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inlineStr">
        <is>
          <t>2</t>
        </is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inlineStr">
        <is>
          <t>3</t>
        </is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inlineStr">
        <is>
          <t>4</t>
        </is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inlineStr">
        <is>
          <t>6</t>
        </is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inlineStr">
        <is>
          <t>10</t>
        </is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inlineStr">
        <is>
          <t>8</t>
        </is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inlineStr">
        <is>
          <t>6</t>
        </is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inlineStr">
        <is>
          <t>4</t>
        </is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inlineStr">
        <is>
          <t>-4</t>
        </is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inlineStr">
        <is>
          <t>-6</t>
        </is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inlineStr">
        <is>
          <t>-8</t>
        </is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inlineStr">
        <is>
          <t>-10</t>
        </is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inlineStr">
        <is>
          <t>6</t>
        </is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inlineStr">
        <is>
          <t>8</t>
        </is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inlineStr">
        <is>
          <t>9</t>
        </is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inlineStr">
        <is>
          <t>10</t>
        </is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_xlfn.XLOOKUP(MIN(ABS($AY$6:$AY$22 - MEDIAN(-2, 2, B15))), ABS($AY$6:$AY$22 - MEDIAN(-2, 2, B15)), $AZ$6:$AZ$22, "Error", 0)</f>
        <v/>
      </c>
      <c r="C44" s="30">
        <f t="array" ref="C44">_xlfn.XLOOKUP(MIN(ABS($AY$6:$AY$22 - MEDIAN(-2, 2, C15))), ABS($AY$6:$AY$22 - MEDIAN(-2, 2, C15)), $AZ$6:$AZ$22, "Error", 0)</f>
        <v/>
      </c>
      <c r="D44" s="30">
        <f t="array" ref="D44">_xlfn.XLOOKUP(MIN(ABS($AY$6:$AY$22 - MEDIAN(-2, 2, D15))), ABS($AY$6:$AY$22 - MEDIAN(-2, 2, D15)), $AZ$6:$AZ$22, "Error", 0)</f>
        <v/>
      </c>
      <c r="E44" s="30">
        <f t="array" ref="E44">_xlfn.XLOOKUP(MIN(ABS($AY$6:$AY$22 - MEDIAN(-2, 2, E15))), ABS($AY$6:$AY$22 - MEDIAN(-2, 2, E15)), $AZ$6:$AZ$22, "Error", 0)</f>
        <v/>
      </c>
      <c r="F44" s="30">
        <f t="array" ref="F44">_xlfn.XLOOKUP(MIN(ABS($AY$6:$AY$22 - MEDIAN(-2, 2, F15))), ABS($AY$6:$AY$22 - MEDIAN(-2, 2, F15)), $AZ$6:$AZ$22, "Error", 0)</f>
        <v/>
      </c>
      <c r="G44" s="30">
        <f t="array" ref="G44">_xlfn.XLOOKUP(MIN(ABS($AY$6:$AY$22 - MEDIAN(-2, 2, G15))), ABS($AY$6:$AY$22 - MEDIAN(-2, 2, G15)), $AZ$6:$AZ$22, "Error", 0)</f>
        <v/>
      </c>
      <c r="H44" s="30">
        <f t="array" ref="H44">_xlfn.XLOOKUP(MIN(ABS($AY$6:$AY$22 - MEDIAN(-2, 2, H15))), ABS($AY$6:$AY$22 - MEDIAN(-2, 2, H15)), $AZ$6:$AZ$22, "Error", 0)</f>
        <v/>
      </c>
      <c r="I44" s="30">
        <f t="array" ref="I44">_xlfn.XLOOKUP(MIN(ABS($AY$6:$AY$22 - MEDIAN(-2, 2, I15))), ABS($AY$6:$AY$22 - MEDIAN(-2, 2, I15)), $AZ$6:$AZ$22, "Error", 0)</f>
        <v/>
      </c>
      <c r="J44" s="30">
        <f t="array" ref="J44">_xlfn.XLOOKUP(MIN(ABS($AY$6:$AY$22 - MEDIAN(-2, 2, J15))), ABS($AY$6:$AY$22 - MEDIAN(-2, 2, J15)), $AZ$6:$AZ$22, "Error", 0)</f>
        <v/>
      </c>
      <c r="K44" s="30">
        <f t="array" ref="K44">_xlfn.XLOOKUP(MIN(ABS($AY$6:$AY$22 - MEDIAN(-2, 2, K15))), ABS($AY$6:$AY$22 - MEDIAN(-2, 2, K15)), $AZ$6:$AZ$22, "Error", 0)</f>
        <v/>
      </c>
      <c r="L44" s="30">
        <f t="array" ref="L44">_xlfn.XLOOKUP(MIN(ABS($AY$6:$AY$22 - MEDIAN(-2, 2, L15))), ABS($AY$6:$AY$22 - MEDIAN(-2, 2, L15)), $AZ$6:$AZ$22, "Error", 0)</f>
        <v/>
      </c>
      <c r="M44" s="30">
        <f t="array" ref="M44">_xlfn.XLOOKUP(MIN(ABS($AY$6:$AY$22 - MEDIAN(-2, 2, M15))), ABS($AY$6:$AY$22 - MEDIAN(-2, 2, M15)), $AZ$6:$AZ$22, "Error", 0)</f>
        <v/>
      </c>
      <c r="N44" s="30">
        <f t="array" ref="N44">_xlfn.XLOOKUP(MIN(ABS($AY$6:$AY$22 - MEDIAN(-2, 2, N15))), ABS($AY$6:$AY$22 - MEDIAN(-2, 2, N15)), $AZ$6:$AZ$22, "Error", 0)</f>
        <v/>
      </c>
      <c r="O44" s="30">
        <f t="array" ref="O44">_xlfn.XLOOKUP(MIN(ABS($AY$6:$AY$22 - MEDIAN(-2, 2, O15))), ABS($AY$6:$AY$22 - MEDIAN(-2, 2, O15)), $AZ$6:$AZ$22, "Error", 0)</f>
        <v/>
      </c>
      <c r="P44" s="30">
        <f t="array" ref="P44">_xlfn.XLOOKUP(MIN(ABS($AY$6:$AY$22 - MEDIAN(-2, 2, P15))), ABS($AY$6:$AY$22 - MEDIAN(-2, 2, P15)), $AZ$6:$AZ$22, "Error", 0)</f>
        <v/>
      </c>
      <c r="Q44" s="30">
        <f t="array" ref="Q44">_xlfn.XLOOKUP(MIN(ABS($AY$6:$AY$22 - MEDIAN(-2, 2, Q15))), ABS($AY$6:$AY$22 - MEDIAN(-2, 2, Q15)), $AZ$6:$AZ$22, "Error", 0)</f>
        <v/>
      </c>
      <c r="R44" s="30">
        <f t="array" ref="R44">_xlfn.XLOOKUP(MIN(ABS($AY$6:$AY$22 - MEDIAN(-2, 2, R15))), ABS($AY$6:$AY$22 - MEDIAN(-2, 2, R15)), $AZ$6:$AZ$22, "Error", 0)</f>
        <v/>
      </c>
      <c r="S44" s="30">
        <f t="array" ref="S44">_xlfn.XLOOKUP(MIN(ABS($AY$6:$AY$22 - MEDIAN(-2, 2, S15))), ABS($AY$6:$AY$22 - MEDIAN(-2, 2, S15)), $AZ$6:$AZ$22, "Error", 0)</f>
        <v/>
      </c>
      <c r="T44" s="30">
        <f t="array" ref="T44">_xlfn.XLOOKUP(MIN(ABS($AY$6:$AY$22 - MEDIAN(-2, 2, T15))), ABS($AY$6:$AY$22 - MEDIAN(-2, 2, T15)), $AZ$6:$AZ$22, "Error", 0)</f>
        <v/>
      </c>
      <c r="U44" s="30">
        <f t="array" ref="U44">_xlfn.XLOOKUP(MIN(ABS($AY$6:$AY$22 - MEDIAN(-2, 2, U15))), ABS($AY$6:$AY$22 - MEDIAN(-2, 2, U15)), $AZ$6:$AZ$22, "Error", 0)</f>
        <v/>
      </c>
      <c r="V44" s="30">
        <f t="array" ref="V44">_xlfn.XLOOKUP(MIN(ABS($AY$6:$AY$22 - MEDIAN(-2, 2, V15))), ABS($AY$6:$AY$22 - MEDIAN(-2, 2, V15)), $AZ$6:$AZ$22, "Error", 0)</f>
        <v/>
      </c>
      <c r="W44" s="30">
        <f t="array" ref="W44">_xlfn.XLOOKUP(MIN(ABS($AY$6:$AY$22 - MEDIAN(-2, 2, W15))), ABS($AY$6:$AY$22 - MEDIAN(-2, 2, W15)), $AZ$6:$AZ$22, "Error", 0)</f>
        <v/>
      </c>
      <c r="X44" s="30">
        <f t="array" ref="X44">_xlfn.XLOOKUP(MIN(ABS($AY$6:$AY$22 - MEDIAN(-2, 2, X15))), ABS($AY$6:$AY$22 - MEDIAN(-2, 2, X15)), $AZ$6:$AZ$22, "Error", 0)</f>
        <v/>
      </c>
      <c r="Y44" s="30">
        <f t="array" ref="Y44">_xlfn.XLOOKUP(MIN(ABS($AY$6:$AY$22 - MEDIAN(-2, 2, Y15))), ABS($AY$6:$AY$22 - MEDIAN(-2, 2, Y15)), $AZ$6:$AZ$22, "Error", 0)</f>
        <v/>
      </c>
      <c r="Z44" s="30">
        <f t="array" ref="Z44">_xlfn.XLOOKUP(MIN(ABS($AY$6:$AY$22 - MEDIAN(-2, 2, Z15))), ABS($AY$6:$AY$22 - MEDIAN(-2, 2, Z15)), $AZ$6:$AZ$22, "Error", 0)</f>
        <v/>
      </c>
      <c r="AA44" s="30">
        <f t="array" ref="AA44">_xlfn.XLOOKUP(MIN(ABS($AY$6:$AY$22 - MEDIAN(-2, 2, AA15))), ABS($AY$6:$AY$22 - MEDIAN(-2, 2, AA15)), $AZ$6:$AZ$22, "Error", 0)</f>
        <v/>
      </c>
      <c r="AB44" s="30">
        <f t="array" ref="AB44">_xlfn.XLOOKUP(MIN(ABS($AY$6:$AY$22 - MEDIAN(-2, 2, AB15))), ABS($AY$6:$AY$22 - MEDIAN(-2, 2, AB15)), $AZ$6:$AZ$22, "Error", 0)</f>
        <v/>
      </c>
      <c r="AC44" s="30">
        <f t="array" ref="AC44">_xlfn.XLOOKUP(MIN(ABS($AY$6:$AY$22 - MEDIAN(-2, 2, AC15))), ABS($AY$6:$AY$22 - MEDIAN(-2, 2, AC15)), $AZ$6:$AZ$22, "Error", 0)</f>
        <v/>
      </c>
      <c r="AD44" s="30">
        <f t="array" ref="AD44">_xlfn.XLOOKUP(MIN(ABS($AY$6:$AY$22 - MEDIAN(-2, 2, AD15))), ABS($AY$6:$AY$22 - MEDIAN(-2, 2, AD15)), $AZ$6:$AZ$22, "Error", 0)</f>
        <v/>
      </c>
      <c r="AE44" s="30">
        <f t="array" ref="AE44">_xlfn.XLOOKUP(MIN(ABS($AY$6:$AY$22 - MEDIAN(-2, 2, AE15))), ABS($AY$6:$AY$22 - MEDIAN(-2, 2, AE15)), $AZ$6:$AZ$22, "Error", 0)</f>
        <v/>
      </c>
      <c r="AF44" s="30">
        <f t="array" ref="AF44">_xlfn.XLOOKUP(MIN(ABS($AY$6:$AY$22 - MEDIAN(-2, 2, AF15))), ABS($AY$6:$AY$22 - MEDIAN(-2, 2, AF15)), $AZ$6:$AZ$22, "Error", 0)</f>
        <v/>
      </c>
      <c r="AG44" s="30">
        <f t="array" ref="AG44">_xlfn.XLOOKUP(MIN(ABS($AY$6:$AY$22 - MEDIAN(-2, 2, AG15))), ABS($AY$6:$AY$22 - MEDIAN(-2, 2, AG15)), $AZ$6:$AZ$22, "Error", 0)</f>
        <v/>
      </c>
      <c r="AH44" s="30">
        <f t="array" ref="AH44">_xlfn.XLOOKUP(MIN(ABS($AY$6:$AY$22 - MEDIAN(-2, 2, AH15))), ABS($AY$6:$AY$22 - MEDIAN(-2, 2, AH15)), $AZ$6:$AZ$22, "Error", 0)</f>
        <v/>
      </c>
      <c r="AI44" s="30">
        <f t="array" ref="AI44">_xlfn.XLOOKUP(MIN(ABS($AY$6:$AY$22 - MEDIAN(-2, 2, AI15))), ABS($AY$6:$AY$22 - MEDIAN(-2, 2, AI15)), $AZ$6:$AZ$22, "Error", 0)</f>
        <v/>
      </c>
      <c r="AJ44" s="30">
        <f t="array" ref="AJ44">_xlfn.XLOOKUP(MIN(ABS($AY$6:$AY$22 - MEDIAN(-2, 2, AJ15))), ABS($AY$6:$AY$22 - MEDIAN(-2, 2, AJ15)), $AZ$6:$AZ$22, "Error", 0)</f>
        <v/>
      </c>
      <c r="AK44" s="30">
        <f t="array" ref="AK44">_xlfn.XLOOKUP(MIN(ABS($AY$6:$AY$22 - MEDIAN(-2, 2, AK15))), ABS($AY$6:$AY$22 - MEDIAN(-2, 2, AK15)), $AZ$6:$AZ$22, "Error", 0)</f>
        <v/>
      </c>
      <c r="AL44" s="30">
        <f t="array" ref="AL44">_xlfn.XLOOKUP(MIN(ABS($AY$6:$AY$22 - MEDIAN(-2, 2, AL15))), ABS($AY$6:$AY$22 - MEDIAN(-2, 2, AL15)), $AZ$6:$AZ$22, "Error", 0)</f>
        <v/>
      </c>
      <c r="AM44" s="30">
        <f t="array" ref="AM44">_xlfn.XLOOKUP(MIN(ABS($AY$6:$AY$22 - MEDIAN(-2, 2, AM15))), ABS($AY$6:$AY$22 - MEDIAN(-2, 2, AM15)), $AZ$6:$AZ$22, "Error", 0)</f>
        <v/>
      </c>
      <c r="AN44" s="30">
        <f t="array" ref="AN44">_xlfn.XLOOKUP(MIN(ABS($AY$6:$AY$22 - MEDIAN(-2, 2, AN15))), ABS($AY$6:$AY$22 - MEDIAN(-2, 2, AN15)), $AZ$6:$AZ$22, "Error", 0)</f>
        <v/>
      </c>
      <c r="AO44" s="30">
        <f t="array" ref="AO44">_xlfn.XLOOKUP(MIN(ABS($AY$6:$AY$22 - MEDIAN(-2, 2, AO15))), ABS($AY$6:$AY$22 - MEDIAN(-2, 2, AO15)), $AZ$6:$AZ$22, "Error", 0)</f>
        <v/>
      </c>
      <c r="AP44" s="30">
        <f t="array" ref="AP44">_xlfn.XLOOKUP(MIN(ABS($AY$6:$AY$22 - MEDIAN(-2, 2, AP15))), ABS($AY$6:$AY$22 - MEDIAN(-2, 2, AP15)), $AZ$6:$AZ$22, "Error", 0)</f>
        <v/>
      </c>
      <c r="AQ44" s="30">
        <f t="array" ref="AQ44">_xlfn.XLOOKUP(MIN(ABS($AY$6:$AY$22 - MEDIAN(-2, 2, AQ15))), ABS($AY$6:$AY$22 - MEDIAN(-2, 2, AQ15)), $AZ$6:$AZ$22, "Error", 0)</f>
        <v/>
      </c>
      <c r="AR44" s="30">
        <f t="array" ref="AR44">_xlfn.XLOOKUP(MIN(ABS($AY$6:$AY$22 - MEDIAN(-2, 2, AR15))), ABS($AY$6:$AY$22 - MEDIAN(-2, 2, AR15)), $AZ$6:$AZ$22, "Error", 0)</f>
        <v/>
      </c>
      <c r="AS44" s="30">
        <f t="array" ref="AS44">_xlfn.XLOOKUP(MIN(ABS($AY$6:$AY$22 - MEDIAN(-2, 2, AS15))), ABS($AY$6:$AY$22 - MEDIAN(-2, 2, AS15)), $AZ$6:$AZ$22, "Error", 0)</f>
        <v/>
      </c>
      <c r="AT44" s="30">
        <f t="array" ref="AT44">_xlfn.XLOOKUP(MIN(ABS($AY$6:$AY$22 - MEDIAN(-2, 2, AT15))), ABS($AY$6:$AY$22 - MEDIAN(-2, 2, AT15)), $AZ$6:$AZ$22, "Error", 0)</f>
        <v/>
      </c>
      <c r="AU44" s="30">
        <f t="array" ref="AU44">_xlfn.XLOOKUP(MIN(ABS($AY$6:$AY$22 - MEDIAN(-2, 2, AU15))), ABS($AY$6:$AY$22 - MEDIAN(-2, 2, AU15)), $AZ$6:$AZ$22, "Error", 0)</f>
        <v/>
      </c>
      <c r="AV44" s="30">
        <f t="array" ref="AV44">_xlfn.XLOOKUP(MIN(ABS($AY$6:$AY$22 - MEDIAN(-2, 2, AV15))), ABS($AY$6:$AY$22 - MEDIAN(-2, 2, AV15)), $AZ$6:$AZ$22, "Error", 0)</f>
        <v/>
      </c>
      <c r="AW44" s="30">
        <f t="array" ref="AW44">_xlfn.XLOOKUP(MIN(ABS($AY$6:$AY$22 - MEDIAN(-2, 2, AW15))), ABS($AY$6:$AY$22 - MEDIAN(-2, 2, AW15)), $AZ$6:$AZ$22, "Error", 0)</f>
        <v/>
      </c>
    </row>
    <row r="45" ht="25" customHeight="1">
      <c r="A45" s="45" t="inlineStr">
        <is>
          <t>USD CHF</t>
        </is>
      </c>
      <c r="B45" s="30">
        <f t="array" ref="B45">_xlfn.XLOOKUP(MIN(ABS($AY$6:$AY$22 - MEDIAN(-2, 2, B16))), ABS($AY$6:$AY$22 - MEDIAN(-2, 2, B16)), $AZ$6:$AZ$22, "Error", 0)</f>
        <v/>
      </c>
      <c r="C45" s="30">
        <f t="array" ref="C45">_xlfn.XLOOKUP(MIN(ABS($AY$6:$AY$22 - MEDIAN(-2, 2, C16))), ABS($AY$6:$AY$22 - MEDIAN(-2, 2, C16)), $AZ$6:$AZ$22, "Error", 0)</f>
        <v/>
      </c>
      <c r="D45" s="30">
        <f t="array" ref="D45">_xlfn.XLOOKUP(MIN(ABS($AY$6:$AY$22 - MEDIAN(-2, 2, D16))), ABS($AY$6:$AY$22 - MEDIAN(-2, 2, D16)), $AZ$6:$AZ$22, "Error", 0)</f>
        <v/>
      </c>
      <c r="E45" s="30">
        <f t="array" ref="E45">_xlfn.XLOOKUP(MIN(ABS($AY$6:$AY$22 - MEDIAN(-2, 2, E16))), ABS($AY$6:$AY$22 - MEDIAN(-2, 2, E16)), $AZ$6:$AZ$22, "Error", 0)</f>
        <v/>
      </c>
      <c r="F45" s="30">
        <f t="array" ref="F45">_xlfn.XLOOKUP(MIN(ABS($AY$6:$AY$22 - MEDIAN(-2, 2, F16))), ABS($AY$6:$AY$22 - MEDIAN(-2, 2, F16)), $AZ$6:$AZ$22, "Error", 0)</f>
        <v/>
      </c>
      <c r="G45" s="30">
        <f t="array" ref="G45">_xlfn.XLOOKUP(MIN(ABS($AY$6:$AY$22 - MEDIAN(-2, 2, G16))), ABS($AY$6:$AY$22 - MEDIAN(-2, 2, G16)), $AZ$6:$AZ$22, "Error", 0)</f>
        <v/>
      </c>
      <c r="H45" s="30">
        <f t="array" ref="H45">_xlfn.XLOOKUP(MIN(ABS($AY$6:$AY$22 - MEDIAN(-2, 2, H16))), ABS($AY$6:$AY$22 - MEDIAN(-2, 2, H16)), $AZ$6:$AZ$22, "Error", 0)</f>
        <v/>
      </c>
      <c r="I45" s="30">
        <f t="array" ref="I45">_xlfn.XLOOKUP(MIN(ABS($AY$6:$AY$22 - MEDIAN(-2, 2, I16))), ABS($AY$6:$AY$22 - MEDIAN(-2, 2, I16)), $AZ$6:$AZ$22, "Error", 0)</f>
        <v/>
      </c>
      <c r="J45" s="30">
        <f t="array" ref="J45">_xlfn.XLOOKUP(MIN(ABS($AY$6:$AY$22 - MEDIAN(-2, 2, J16))), ABS($AY$6:$AY$22 - MEDIAN(-2, 2, J16)), $AZ$6:$AZ$22, "Error", 0)</f>
        <v/>
      </c>
      <c r="K45" s="30">
        <f t="array" ref="K45">_xlfn.XLOOKUP(MIN(ABS($AY$6:$AY$22 - MEDIAN(-2, 2, K16))), ABS($AY$6:$AY$22 - MEDIAN(-2, 2, K16)), $AZ$6:$AZ$22, "Error", 0)</f>
        <v/>
      </c>
      <c r="L45" s="30">
        <f t="array" ref="L45">_xlfn.XLOOKUP(MIN(ABS($AY$6:$AY$22 - MEDIAN(-2, 2, L16))), ABS($AY$6:$AY$22 - MEDIAN(-2, 2, L16)), $AZ$6:$AZ$22, "Error", 0)</f>
        <v/>
      </c>
      <c r="M45" s="30">
        <f t="array" ref="M45">_xlfn.XLOOKUP(MIN(ABS($AY$6:$AY$22 - MEDIAN(-2, 2, M16))), ABS($AY$6:$AY$22 - MEDIAN(-2, 2, M16)), $AZ$6:$AZ$22, "Error", 0)</f>
        <v/>
      </c>
      <c r="N45" s="30">
        <f t="array" ref="N45">_xlfn.XLOOKUP(MIN(ABS($AY$6:$AY$22 - MEDIAN(-2, 2, N16))), ABS($AY$6:$AY$22 - MEDIAN(-2, 2, N16)), $AZ$6:$AZ$22, "Error", 0)</f>
        <v/>
      </c>
      <c r="O45" s="30">
        <f t="array" ref="O45">_xlfn.XLOOKUP(MIN(ABS($AY$6:$AY$22 - MEDIAN(-2, 2, O16))), ABS($AY$6:$AY$22 - MEDIAN(-2, 2, O16)), $AZ$6:$AZ$22, "Error", 0)</f>
        <v/>
      </c>
      <c r="P45" s="30">
        <f t="array" ref="P45">_xlfn.XLOOKUP(MIN(ABS($AY$6:$AY$22 - MEDIAN(-2, 2, P16))), ABS($AY$6:$AY$22 - MEDIAN(-2, 2, P16)), $AZ$6:$AZ$22, "Error", 0)</f>
        <v/>
      </c>
      <c r="Q45" s="30">
        <f t="array" ref="Q45">_xlfn.XLOOKUP(MIN(ABS($AY$6:$AY$22 - MEDIAN(-2, 2, Q16))), ABS($AY$6:$AY$22 - MEDIAN(-2, 2, Q16)), $AZ$6:$AZ$22, "Error", 0)</f>
        <v/>
      </c>
      <c r="R45" s="30">
        <f t="array" ref="R45">_xlfn.XLOOKUP(MIN(ABS($AY$6:$AY$22 - MEDIAN(-2, 2, R16))), ABS($AY$6:$AY$22 - MEDIAN(-2, 2, R16)), $AZ$6:$AZ$22, "Error", 0)</f>
        <v/>
      </c>
      <c r="S45" s="30">
        <f t="array" ref="S45">_xlfn.XLOOKUP(MIN(ABS($AY$6:$AY$22 - MEDIAN(-2, 2, S16))), ABS($AY$6:$AY$22 - MEDIAN(-2, 2, S16)), $AZ$6:$AZ$22, "Error", 0)</f>
        <v/>
      </c>
      <c r="T45" s="30">
        <f t="array" ref="T45">_xlfn.XLOOKUP(MIN(ABS($AY$6:$AY$22 - MEDIAN(-2, 2, T16))), ABS($AY$6:$AY$22 - MEDIAN(-2, 2, T16)), $AZ$6:$AZ$22, "Error", 0)</f>
        <v/>
      </c>
      <c r="U45" s="30">
        <f t="array" ref="U45">_xlfn.XLOOKUP(MIN(ABS($AY$6:$AY$22 - MEDIAN(-2, 2, U16))), ABS($AY$6:$AY$22 - MEDIAN(-2, 2, U16)), $AZ$6:$AZ$22, "Error", 0)</f>
        <v/>
      </c>
      <c r="V45" s="30">
        <f t="array" ref="V45">_xlfn.XLOOKUP(MIN(ABS($AY$6:$AY$22 - MEDIAN(-2, 2, V16))), ABS($AY$6:$AY$22 - MEDIAN(-2, 2, V16)), $AZ$6:$AZ$22, "Error", 0)</f>
        <v/>
      </c>
      <c r="W45" s="30">
        <f t="array" ref="W45">_xlfn.XLOOKUP(MIN(ABS($AY$6:$AY$22 - MEDIAN(-2, 2, W16))), ABS($AY$6:$AY$22 - MEDIAN(-2, 2, W16)), $AZ$6:$AZ$22, "Error", 0)</f>
        <v/>
      </c>
      <c r="X45" s="30">
        <f t="array" ref="X45">_xlfn.XLOOKUP(MIN(ABS($AY$6:$AY$22 - MEDIAN(-2, 2, X16))), ABS($AY$6:$AY$22 - MEDIAN(-2, 2, X16)), $AZ$6:$AZ$22, "Error", 0)</f>
        <v/>
      </c>
      <c r="Y45" s="30">
        <f t="array" ref="Y45">_xlfn.XLOOKUP(MIN(ABS($AY$6:$AY$22 - MEDIAN(-2, 2, Y16))), ABS($AY$6:$AY$22 - MEDIAN(-2, 2, Y16)), $AZ$6:$AZ$22, "Error", 0)</f>
        <v/>
      </c>
      <c r="Z45" s="30">
        <f t="array" ref="Z45">_xlfn.XLOOKUP(MIN(ABS($AY$6:$AY$22 - MEDIAN(-2, 2, Z16))), ABS($AY$6:$AY$22 - MEDIAN(-2, 2, Z16)), $AZ$6:$AZ$22, "Error", 0)</f>
        <v/>
      </c>
      <c r="AA45" s="30">
        <f t="array" ref="AA45">_xlfn.XLOOKUP(MIN(ABS($AY$6:$AY$22 - MEDIAN(-2, 2, AA16))), ABS($AY$6:$AY$22 - MEDIAN(-2, 2, AA16)), $AZ$6:$AZ$22, "Error", 0)</f>
        <v/>
      </c>
      <c r="AB45" s="30">
        <f t="array" ref="AB45">_xlfn.XLOOKUP(MIN(ABS($AY$6:$AY$22 - MEDIAN(-2, 2, AB16))), ABS($AY$6:$AY$22 - MEDIAN(-2, 2, AB16)), $AZ$6:$AZ$22, "Error", 0)</f>
        <v/>
      </c>
      <c r="AC45" s="30">
        <f t="array" ref="AC45">_xlfn.XLOOKUP(MIN(ABS($AY$6:$AY$22 - MEDIAN(-2, 2, AC16))), ABS($AY$6:$AY$22 - MEDIAN(-2, 2, AC16)), $AZ$6:$AZ$22, "Error", 0)</f>
        <v/>
      </c>
      <c r="AD45" s="30">
        <f t="array" ref="AD45">_xlfn.XLOOKUP(MIN(ABS($AY$6:$AY$22 - MEDIAN(-2, 2, AD16))), ABS($AY$6:$AY$22 - MEDIAN(-2, 2, AD16)), $AZ$6:$AZ$22, "Error", 0)</f>
        <v/>
      </c>
      <c r="AE45" s="30">
        <f t="array" ref="AE45">_xlfn.XLOOKUP(MIN(ABS($AY$6:$AY$22 - MEDIAN(-2, 2, AE16))), ABS($AY$6:$AY$22 - MEDIAN(-2, 2, AE16)), $AZ$6:$AZ$22, "Error", 0)</f>
        <v/>
      </c>
      <c r="AF45" s="30">
        <f t="array" ref="AF45">_xlfn.XLOOKUP(MIN(ABS($AY$6:$AY$22 - MEDIAN(-2, 2, AF16))), ABS($AY$6:$AY$22 - MEDIAN(-2, 2, AF16)), $AZ$6:$AZ$22, "Error", 0)</f>
        <v/>
      </c>
      <c r="AG45" s="30">
        <f t="array" ref="AG45">_xlfn.XLOOKUP(MIN(ABS($AY$6:$AY$22 - MEDIAN(-2, 2, AG16))), ABS($AY$6:$AY$22 - MEDIAN(-2, 2, AG16)), $AZ$6:$AZ$22, "Error", 0)</f>
        <v/>
      </c>
      <c r="AH45" s="30">
        <f t="array" ref="AH45">_xlfn.XLOOKUP(MIN(ABS($AY$6:$AY$22 - MEDIAN(-2, 2, AH16))), ABS($AY$6:$AY$22 - MEDIAN(-2, 2, AH16)), $AZ$6:$AZ$22, "Error", 0)</f>
        <v/>
      </c>
      <c r="AI45" s="30">
        <f t="array" ref="AI45">_xlfn.XLOOKUP(MIN(ABS($AY$6:$AY$22 - MEDIAN(-2, 2, AI16))), ABS($AY$6:$AY$22 - MEDIAN(-2, 2, AI16)), $AZ$6:$AZ$22, "Error", 0)</f>
        <v/>
      </c>
      <c r="AJ45" s="30">
        <f t="array" ref="AJ45">_xlfn.XLOOKUP(MIN(ABS($AY$6:$AY$22 - MEDIAN(-2, 2, AJ16))), ABS($AY$6:$AY$22 - MEDIAN(-2, 2, AJ16)), $AZ$6:$AZ$22, "Error", 0)</f>
        <v/>
      </c>
      <c r="AK45" s="30">
        <f t="array" ref="AK45">_xlfn.XLOOKUP(MIN(ABS($AY$6:$AY$22 - MEDIAN(-2, 2, AK16))), ABS($AY$6:$AY$22 - MEDIAN(-2, 2, AK16)), $AZ$6:$AZ$22, "Error", 0)</f>
        <v/>
      </c>
      <c r="AL45" s="30">
        <f t="array" ref="AL45">_xlfn.XLOOKUP(MIN(ABS($AY$6:$AY$22 - MEDIAN(-2, 2, AL16))), ABS($AY$6:$AY$22 - MEDIAN(-2, 2, AL16)), $AZ$6:$AZ$22, "Error", 0)</f>
        <v/>
      </c>
      <c r="AM45" s="30">
        <f t="array" ref="AM45">_xlfn.XLOOKUP(MIN(ABS($AY$6:$AY$22 - MEDIAN(-2, 2, AM16))), ABS($AY$6:$AY$22 - MEDIAN(-2, 2, AM16)), $AZ$6:$AZ$22, "Error", 0)</f>
        <v/>
      </c>
      <c r="AN45" s="30">
        <f t="array" ref="AN45">_xlfn.XLOOKUP(MIN(ABS($AY$6:$AY$22 - MEDIAN(-2, 2, AN16))), ABS($AY$6:$AY$22 - MEDIAN(-2, 2, AN16)), $AZ$6:$AZ$22, "Error", 0)</f>
        <v/>
      </c>
      <c r="AO45" s="30">
        <f t="array" ref="AO45">_xlfn.XLOOKUP(MIN(ABS($AY$6:$AY$22 - MEDIAN(-2, 2, AO16))), ABS($AY$6:$AY$22 - MEDIAN(-2, 2, AO16)), $AZ$6:$AZ$22, "Error", 0)</f>
        <v/>
      </c>
      <c r="AP45" s="30">
        <f t="array" ref="AP45">_xlfn.XLOOKUP(MIN(ABS($AY$6:$AY$22 - MEDIAN(-2, 2, AP16))), ABS($AY$6:$AY$22 - MEDIAN(-2, 2, AP16)), $AZ$6:$AZ$22, "Error", 0)</f>
        <v/>
      </c>
      <c r="AQ45" s="30">
        <f t="array" ref="AQ45">_xlfn.XLOOKUP(MIN(ABS($AY$6:$AY$22 - MEDIAN(-2, 2, AQ16))), ABS($AY$6:$AY$22 - MEDIAN(-2, 2, AQ16)), $AZ$6:$AZ$22, "Error", 0)</f>
        <v/>
      </c>
      <c r="AR45" s="30">
        <f t="array" ref="AR45">_xlfn.XLOOKUP(MIN(ABS($AY$6:$AY$22 - MEDIAN(-2, 2, AR16))), ABS($AY$6:$AY$22 - MEDIAN(-2, 2, AR16)), $AZ$6:$AZ$22, "Error", 0)</f>
        <v/>
      </c>
      <c r="AS45" s="30">
        <f t="array" ref="AS45">_xlfn.XLOOKUP(MIN(ABS($AY$6:$AY$22 - MEDIAN(-2, 2, AS16))), ABS($AY$6:$AY$22 - MEDIAN(-2, 2, AS16)), $AZ$6:$AZ$22, "Error", 0)</f>
        <v/>
      </c>
      <c r="AT45" s="30">
        <f t="array" ref="AT45">_xlfn.XLOOKUP(MIN(ABS($AY$6:$AY$22 - MEDIAN(-2, 2, AT16))), ABS($AY$6:$AY$22 - MEDIAN(-2, 2, AT16)), $AZ$6:$AZ$22, "Error", 0)</f>
        <v/>
      </c>
      <c r="AU45" s="30">
        <f t="array" ref="AU45">_xlfn.XLOOKUP(MIN(ABS($AY$6:$AY$22 - MEDIAN(-2, 2, AU16))), ABS($AY$6:$AY$22 - MEDIAN(-2, 2, AU16)), $AZ$6:$AZ$22, "Error", 0)</f>
        <v/>
      </c>
      <c r="AV45" s="30">
        <f t="array" ref="AV45">_xlfn.XLOOKUP(MIN(ABS($AY$6:$AY$22 - MEDIAN(-2, 2, AV16))), ABS($AY$6:$AY$22 - MEDIAN(-2, 2, AV16)), $AZ$6:$AZ$22, "Error", 0)</f>
        <v/>
      </c>
      <c r="AW45" s="30">
        <f t="array" ref="AW45">_xlfn.XLOOKUP(MIN(ABS($AY$6:$AY$22 - MEDIAN(-2, 2, AW16))), ABS($AY$6:$AY$22 - MEDIAN(-2, 2, AW16)), $AZ$6:$AZ$22, "Error", 0)</f>
        <v/>
      </c>
    </row>
    <row r="46" ht="25" customHeight="1">
      <c r="A46" s="45" t="inlineStr">
        <is>
          <t>USD CAD</t>
        </is>
      </c>
      <c r="B46" s="30">
        <f t="array" ref="B46">_xlfn.XLOOKUP(MIN(ABS($AY$6:$AY$22 - MEDIAN(-2, 2, B17))), ABS($AY$6:$AY$22 - MEDIAN(-2, 2, B17)), $AZ$6:$AZ$22, "Error", 0)</f>
        <v/>
      </c>
      <c r="C46" s="30">
        <f t="array" ref="C46">_xlfn.XLOOKUP(MIN(ABS($AY$6:$AY$22 - MEDIAN(-2, 2, C17))), ABS($AY$6:$AY$22 - MEDIAN(-2, 2, C17)), $AZ$6:$AZ$22, "Error", 0)</f>
        <v/>
      </c>
      <c r="D46" s="30">
        <f t="array" ref="D46">_xlfn.XLOOKUP(MIN(ABS($AY$6:$AY$22 - MEDIAN(-2, 2, D17))), ABS($AY$6:$AY$22 - MEDIAN(-2, 2, D17)), $AZ$6:$AZ$22, "Error", 0)</f>
        <v/>
      </c>
      <c r="E46" s="30">
        <f t="array" ref="E46">_xlfn.XLOOKUP(MIN(ABS($AY$6:$AY$22 - MEDIAN(-2, 2, E17))), ABS($AY$6:$AY$22 - MEDIAN(-2, 2, E17)), $AZ$6:$AZ$22, "Error", 0)</f>
        <v/>
      </c>
      <c r="F46" s="30">
        <f t="array" ref="F46">_xlfn.XLOOKUP(MIN(ABS($AY$6:$AY$22 - MEDIAN(-2, 2, F17))), ABS($AY$6:$AY$22 - MEDIAN(-2, 2, F17)), $AZ$6:$AZ$22, "Error", 0)</f>
        <v/>
      </c>
      <c r="G46" s="30">
        <f t="array" ref="G46">_xlfn.XLOOKUP(MIN(ABS($AY$6:$AY$22 - MEDIAN(-2, 2, G17))), ABS($AY$6:$AY$22 - MEDIAN(-2, 2, G17)), $AZ$6:$AZ$22, "Error", 0)</f>
        <v/>
      </c>
      <c r="H46" s="30">
        <f t="array" ref="H46">_xlfn.XLOOKUP(MIN(ABS($AY$6:$AY$22 - MEDIAN(-2, 2, H17))), ABS($AY$6:$AY$22 - MEDIAN(-2, 2, H17)), $AZ$6:$AZ$22, "Error", 0)</f>
        <v/>
      </c>
      <c r="I46" s="30">
        <f t="array" ref="I46">_xlfn.XLOOKUP(MIN(ABS($AY$6:$AY$22 - MEDIAN(-2, 2, I17))), ABS($AY$6:$AY$22 - MEDIAN(-2, 2, I17)), $AZ$6:$AZ$22, "Error", 0)</f>
        <v/>
      </c>
      <c r="J46" s="30">
        <f t="array" ref="J46">_xlfn.XLOOKUP(MIN(ABS($AY$6:$AY$22 - MEDIAN(-2, 2, J17))), ABS($AY$6:$AY$22 - MEDIAN(-2, 2, J17)), $AZ$6:$AZ$22, "Error", 0)</f>
        <v/>
      </c>
      <c r="K46" s="30">
        <f t="array" ref="K46">_xlfn.XLOOKUP(MIN(ABS($AY$6:$AY$22 - MEDIAN(-2, 2, K17))), ABS($AY$6:$AY$22 - MEDIAN(-2, 2, K17)), $AZ$6:$AZ$22, "Error", 0)</f>
        <v/>
      </c>
      <c r="L46" s="30">
        <f t="array" ref="L46">_xlfn.XLOOKUP(MIN(ABS($AY$6:$AY$22 - MEDIAN(-2, 2, L17))), ABS($AY$6:$AY$22 - MEDIAN(-2, 2, L17)), $AZ$6:$AZ$22, "Error", 0)</f>
        <v/>
      </c>
      <c r="M46" s="30">
        <f t="array" ref="M46">_xlfn.XLOOKUP(MIN(ABS($AY$6:$AY$22 - MEDIAN(-2, 2, M17))), ABS($AY$6:$AY$22 - MEDIAN(-2, 2, M17)), $AZ$6:$AZ$22, "Error", 0)</f>
        <v/>
      </c>
      <c r="N46" s="30">
        <f t="array" ref="N46">_xlfn.XLOOKUP(MIN(ABS($AY$6:$AY$22 - MEDIAN(-2, 2, N17))), ABS($AY$6:$AY$22 - MEDIAN(-2, 2, N17)), $AZ$6:$AZ$22, "Error", 0)</f>
        <v/>
      </c>
      <c r="O46" s="30">
        <f t="array" ref="O46">_xlfn.XLOOKUP(MIN(ABS($AY$6:$AY$22 - MEDIAN(-2, 2, O17))), ABS($AY$6:$AY$22 - MEDIAN(-2, 2, O17)), $AZ$6:$AZ$22, "Error", 0)</f>
        <v/>
      </c>
      <c r="P46" s="30">
        <f t="array" ref="P46">_xlfn.XLOOKUP(MIN(ABS($AY$6:$AY$22 - MEDIAN(-2, 2, P17))), ABS($AY$6:$AY$22 - MEDIAN(-2, 2, P17)), $AZ$6:$AZ$22, "Error", 0)</f>
        <v/>
      </c>
      <c r="Q46" s="30">
        <f t="array" ref="Q46">_xlfn.XLOOKUP(MIN(ABS($AY$6:$AY$22 - MEDIAN(-2, 2, Q17))), ABS($AY$6:$AY$22 - MEDIAN(-2, 2, Q17)), $AZ$6:$AZ$22, "Error", 0)</f>
        <v/>
      </c>
      <c r="R46" s="30">
        <f t="array" ref="R46">_xlfn.XLOOKUP(MIN(ABS($AY$6:$AY$22 - MEDIAN(-2, 2, R17))), ABS($AY$6:$AY$22 - MEDIAN(-2, 2, R17)), $AZ$6:$AZ$22, "Error", 0)</f>
        <v/>
      </c>
      <c r="S46" s="30">
        <f t="array" ref="S46">_xlfn.XLOOKUP(MIN(ABS($AY$6:$AY$22 - MEDIAN(-2, 2, S17))), ABS($AY$6:$AY$22 - MEDIAN(-2, 2, S17)), $AZ$6:$AZ$22, "Error", 0)</f>
        <v/>
      </c>
      <c r="T46" s="30">
        <f t="array" ref="T46">_xlfn.XLOOKUP(MIN(ABS($AY$6:$AY$22 - MEDIAN(-2, 2, T17))), ABS($AY$6:$AY$22 - MEDIAN(-2, 2, T17)), $AZ$6:$AZ$22, "Error", 0)</f>
        <v/>
      </c>
      <c r="U46" s="30">
        <f t="array" ref="U46">_xlfn.XLOOKUP(MIN(ABS($AY$6:$AY$22 - MEDIAN(-2, 2, U17))), ABS($AY$6:$AY$22 - MEDIAN(-2, 2, U17)), $AZ$6:$AZ$22, "Error", 0)</f>
        <v/>
      </c>
      <c r="V46" s="30">
        <f t="array" ref="V46">_xlfn.XLOOKUP(MIN(ABS($AY$6:$AY$22 - MEDIAN(-2, 2, V17))), ABS($AY$6:$AY$22 - MEDIAN(-2, 2, V17)), $AZ$6:$AZ$22, "Error", 0)</f>
        <v/>
      </c>
      <c r="W46" s="30">
        <f t="array" ref="W46">_xlfn.XLOOKUP(MIN(ABS($AY$6:$AY$22 - MEDIAN(-2, 2, W17))), ABS($AY$6:$AY$22 - MEDIAN(-2, 2, W17)), $AZ$6:$AZ$22, "Error", 0)</f>
        <v/>
      </c>
      <c r="X46" s="30">
        <f t="array" ref="X46">_xlfn.XLOOKUP(MIN(ABS($AY$6:$AY$22 - MEDIAN(-2, 2, X17))), ABS($AY$6:$AY$22 - MEDIAN(-2, 2, X17)), $AZ$6:$AZ$22, "Error", 0)</f>
        <v/>
      </c>
      <c r="Y46" s="30">
        <f t="array" ref="Y46">_xlfn.XLOOKUP(MIN(ABS($AY$6:$AY$22 - MEDIAN(-2, 2, Y17))), ABS($AY$6:$AY$22 - MEDIAN(-2, 2, Y17)), $AZ$6:$AZ$22, "Error", 0)</f>
        <v/>
      </c>
      <c r="Z46" s="30">
        <f t="array" ref="Z46">_xlfn.XLOOKUP(MIN(ABS($AY$6:$AY$22 - MEDIAN(-2, 2, Z17))), ABS($AY$6:$AY$22 - MEDIAN(-2, 2, Z17)), $AZ$6:$AZ$22, "Error", 0)</f>
        <v/>
      </c>
      <c r="AA46" s="30">
        <f t="array" ref="AA46">_xlfn.XLOOKUP(MIN(ABS($AY$6:$AY$22 - MEDIAN(-2, 2, AA17))), ABS($AY$6:$AY$22 - MEDIAN(-2, 2, AA17)), $AZ$6:$AZ$22, "Error", 0)</f>
        <v/>
      </c>
      <c r="AB46" s="30">
        <f t="array" ref="AB46">_xlfn.XLOOKUP(MIN(ABS($AY$6:$AY$22 - MEDIAN(-2, 2, AB17))), ABS($AY$6:$AY$22 - MEDIAN(-2, 2, AB17)), $AZ$6:$AZ$22, "Error", 0)</f>
        <v/>
      </c>
      <c r="AC46" s="30">
        <f t="array" ref="AC46">_xlfn.XLOOKUP(MIN(ABS($AY$6:$AY$22 - MEDIAN(-2, 2, AC17))), ABS($AY$6:$AY$22 - MEDIAN(-2, 2, AC17)), $AZ$6:$AZ$22, "Error", 0)</f>
        <v/>
      </c>
      <c r="AD46" s="30">
        <f t="array" ref="AD46">_xlfn.XLOOKUP(MIN(ABS($AY$6:$AY$22 - MEDIAN(-2, 2, AD17))), ABS($AY$6:$AY$22 - MEDIAN(-2, 2, AD17)), $AZ$6:$AZ$22, "Error", 0)</f>
        <v/>
      </c>
      <c r="AE46" s="30">
        <f t="array" ref="AE46">_xlfn.XLOOKUP(MIN(ABS($AY$6:$AY$22 - MEDIAN(-2, 2, AE17))), ABS($AY$6:$AY$22 - MEDIAN(-2, 2, AE17)), $AZ$6:$AZ$22, "Error", 0)</f>
        <v/>
      </c>
      <c r="AF46" s="30">
        <f t="array" ref="AF46">_xlfn.XLOOKUP(MIN(ABS($AY$6:$AY$22 - MEDIAN(-2, 2, AF17))), ABS($AY$6:$AY$22 - MEDIAN(-2, 2, AF17)), $AZ$6:$AZ$22, "Error", 0)</f>
        <v/>
      </c>
      <c r="AG46" s="30">
        <f t="array" ref="AG46">_xlfn.XLOOKUP(MIN(ABS($AY$6:$AY$22 - MEDIAN(-2, 2, AG17))), ABS($AY$6:$AY$22 - MEDIAN(-2, 2, AG17)), $AZ$6:$AZ$22, "Error", 0)</f>
        <v/>
      </c>
      <c r="AH46" s="30">
        <f t="array" ref="AH46">_xlfn.XLOOKUP(MIN(ABS($AY$6:$AY$22 - MEDIAN(-2, 2, AH17))), ABS($AY$6:$AY$22 - MEDIAN(-2, 2, AH17)), $AZ$6:$AZ$22, "Error", 0)</f>
        <v/>
      </c>
      <c r="AI46" s="30">
        <f t="array" ref="AI46">_xlfn.XLOOKUP(MIN(ABS($AY$6:$AY$22 - MEDIAN(-2, 2, AI17))), ABS($AY$6:$AY$22 - MEDIAN(-2, 2, AI17)), $AZ$6:$AZ$22, "Error", 0)</f>
        <v/>
      </c>
      <c r="AJ46" s="30">
        <f t="array" ref="AJ46">_xlfn.XLOOKUP(MIN(ABS($AY$6:$AY$22 - MEDIAN(-2, 2, AJ17))), ABS($AY$6:$AY$22 - MEDIAN(-2, 2, AJ17)), $AZ$6:$AZ$22, "Error", 0)</f>
        <v/>
      </c>
      <c r="AK46" s="30">
        <f t="array" ref="AK46">_xlfn.XLOOKUP(MIN(ABS($AY$6:$AY$22 - MEDIAN(-2, 2, AK17))), ABS($AY$6:$AY$22 - MEDIAN(-2, 2, AK17)), $AZ$6:$AZ$22, "Error", 0)</f>
        <v/>
      </c>
      <c r="AL46" s="30">
        <f t="array" ref="AL46">_xlfn.XLOOKUP(MIN(ABS($AY$6:$AY$22 - MEDIAN(-2, 2, AL17))), ABS($AY$6:$AY$22 - MEDIAN(-2, 2, AL17)), $AZ$6:$AZ$22, "Error", 0)</f>
        <v/>
      </c>
      <c r="AM46" s="30">
        <f t="array" ref="AM46">_xlfn.XLOOKUP(MIN(ABS($AY$6:$AY$22 - MEDIAN(-2, 2, AM17))), ABS($AY$6:$AY$22 - MEDIAN(-2, 2, AM17)), $AZ$6:$AZ$22, "Error", 0)</f>
        <v/>
      </c>
      <c r="AN46" s="30">
        <f t="array" ref="AN46">_xlfn.XLOOKUP(MIN(ABS($AY$6:$AY$22 - MEDIAN(-2, 2, AN17))), ABS($AY$6:$AY$22 - MEDIAN(-2, 2, AN17)), $AZ$6:$AZ$22, "Error", 0)</f>
        <v/>
      </c>
      <c r="AO46" s="30">
        <f t="array" ref="AO46">_xlfn.XLOOKUP(MIN(ABS($AY$6:$AY$22 - MEDIAN(-2, 2, AO17))), ABS($AY$6:$AY$22 - MEDIAN(-2, 2, AO17)), $AZ$6:$AZ$22, "Error", 0)</f>
        <v/>
      </c>
      <c r="AP46" s="30">
        <f t="array" ref="AP46">_xlfn.XLOOKUP(MIN(ABS($AY$6:$AY$22 - MEDIAN(-2, 2, AP17))), ABS($AY$6:$AY$22 - MEDIAN(-2, 2, AP17)), $AZ$6:$AZ$22, "Error", 0)</f>
        <v/>
      </c>
      <c r="AQ46" s="30">
        <f t="array" ref="AQ46">_xlfn.XLOOKUP(MIN(ABS($AY$6:$AY$22 - MEDIAN(-2, 2, AQ17))), ABS($AY$6:$AY$22 - MEDIAN(-2, 2, AQ17)), $AZ$6:$AZ$22, "Error", 0)</f>
        <v/>
      </c>
      <c r="AR46" s="30">
        <f t="array" ref="AR46">_xlfn.XLOOKUP(MIN(ABS($AY$6:$AY$22 - MEDIAN(-2, 2, AR17))), ABS($AY$6:$AY$22 - MEDIAN(-2, 2, AR17)), $AZ$6:$AZ$22, "Error", 0)</f>
        <v/>
      </c>
      <c r="AS46" s="30">
        <f t="array" ref="AS46">_xlfn.XLOOKUP(MIN(ABS($AY$6:$AY$22 - MEDIAN(-2, 2, AS17))), ABS($AY$6:$AY$22 - MEDIAN(-2, 2, AS17)), $AZ$6:$AZ$22, "Error", 0)</f>
        <v/>
      </c>
      <c r="AT46" s="30">
        <f t="array" ref="AT46">_xlfn.XLOOKUP(MIN(ABS($AY$6:$AY$22 - MEDIAN(-2, 2, AT17))), ABS($AY$6:$AY$22 - MEDIAN(-2, 2, AT17)), $AZ$6:$AZ$22, "Error", 0)</f>
        <v/>
      </c>
      <c r="AU46" s="30">
        <f t="array" ref="AU46">_xlfn.XLOOKUP(MIN(ABS($AY$6:$AY$22 - MEDIAN(-2, 2, AU17))), ABS($AY$6:$AY$22 - MEDIAN(-2, 2, AU17)), $AZ$6:$AZ$22, "Error", 0)</f>
        <v/>
      </c>
      <c r="AV46" s="30">
        <f t="array" ref="AV46">_xlfn.XLOOKUP(MIN(ABS($AY$6:$AY$22 - MEDIAN(-2, 2, AV17))), ABS($AY$6:$AY$22 - MEDIAN(-2, 2, AV17)), $AZ$6:$AZ$22, "Error", 0)</f>
        <v/>
      </c>
      <c r="AW46" s="30">
        <f t="array" ref="AW46">_xlfn.XLOOKUP(MIN(ABS($AY$6:$AY$22 - MEDIAN(-2, 2, AW17))), ABS($AY$6:$AY$22 - MEDIAN(-2, 2, AW17)), $AZ$6:$AZ$22, "Error", 0)</f>
        <v/>
      </c>
    </row>
    <row r="47" ht="25" customHeight="1">
      <c r="A47" s="46" t="inlineStr">
        <is>
          <t>EUR USD</t>
        </is>
      </c>
      <c r="B47" s="30">
        <f t="array" ref="B47">_xlfn.XLOOKUP(MIN(ABS($AY$6:$AY$22 - MEDIAN(-2, 2, B18))), ABS($AY$6:$AY$22 - MEDIAN(-2, 2, B18)), $AZ$6:$AZ$22, "Error", 0)</f>
        <v/>
      </c>
      <c r="C47" s="30">
        <f t="array" ref="C47">_xlfn.XLOOKUP(MIN(ABS($AY$6:$AY$22 - MEDIAN(-2, 2, C18))), ABS($AY$6:$AY$22 - MEDIAN(-2, 2, C18)), $AZ$6:$AZ$22, "Error", 0)</f>
        <v/>
      </c>
      <c r="D47" s="30">
        <f t="array" ref="D47">_xlfn.XLOOKUP(MIN(ABS($AY$6:$AY$22 - MEDIAN(-2, 2, D18))), ABS($AY$6:$AY$22 - MEDIAN(-2, 2, D18)), $AZ$6:$AZ$22, "Error", 0)</f>
        <v/>
      </c>
      <c r="E47" s="30">
        <f t="array" ref="E47">_xlfn.XLOOKUP(MIN(ABS($AY$6:$AY$22 - MEDIAN(-2, 2, E18))), ABS($AY$6:$AY$22 - MEDIAN(-2, 2, E18)), $AZ$6:$AZ$22, "Error", 0)</f>
        <v/>
      </c>
      <c r="F47" s="30">
        <f t="array" ref="F47">_xlfn.XLOOKUP(MIN(ABS($AY$6:$AY$22 - MEDIAN(-2, 2, F18))), ABS($AY$6:$AY$22 - MEDIAN(-2, 2, F18)), $AZ$6:$AZ$22, "Error", 0)</f>
        <v/>
      </c>
      <c r="G47" s="30">
        <f t="array" ref="G47">_xlfn.XLOOKUP(MIN(ABS($AY$6:$AY$22 - MEDIAN(-2, 2, G18))), ABS($AY$6:$AY$22 - MEDIAN(-2, 2, G18)), $AZ$6:$AZ$22, "Error", 0)</f>
        <v/>
      </c>
      <c r="H47" s="30">
        <f t="array" ref="H47">_xlfn.XLOOKUP(MIN(ABS($AY$6:$AY$22 - MEDIAN(-2, 2, H18))), ABS($AY$6:$AY$22 - MEDIAN(-2, 2, H18)), $AZ$6:$AZ$22, "Error", 0)</f>
        <v/>
      </c>
      <c r="I47" s="30">
        <f t="array" ref="I47">_xlfn.XLOOKUP(MIN(ABS($AY$6:$AY$22 - MEDIAN(-2, 2, I18))), ABS($AY$6:$AY$22 - MEDIAN(-2, 2, I18)), $AZ$6:$AZ$22, "Error", 0)</f>
        <v/>
      </c>
      <c r="J47" s="30">
        <f t="array" ref="J47">_xlfn.XLOOKUP(MIN(ABS($AY$6:$AY$22 - MEDIAN(-2, 2, J18))), ABS($AY$6:$AY$22 - MEDIAN(-2, 2, J18)), $AZ$6:$AZ$22, "Error", 0)</f>
        <v/>
      </c>
      <c r="K47" s="30">
        <f t="array" ref="K47">_xlfn.XLOOKUP(MIN(ABS($AY$6:$AY$22 - MEDIAN(-2, 2, K18))), ABS($AY$6:$AY$22 - MEDIAN(-2, 2, K18)), $AZ$6:$AZ$22, "Error", 0)</f>
        <v/>
      </c>
      <c r="L47" s="30">
        <f t="array" ref="L47">_xlfn.XLOOKUP(MIN(ABS($AY$6:$AY$22 - MEDIAN(-2, 2, L18))), ABS($AY$6:$AY$22 - MEDIAN(-2, 2, L18)), $AZ$6:$AZ$22, "Error", 0)</f>
        <v/>
      </c>
      <c r="M47" s="30">
        <f t="array" ref="M47">_xlfn.XLOOKUP(MIN(ABS($AY$6:$AY$22 - MEDIAN(-2, 2, M18))), ABS($AY$6:$AY$22 - MEDIAN(-2, 2, M18)), $AZ$6:$AZ$22, "Error", 0)</f>
        <v/>
      </c>
      <c r="N47" s="30">
        <f t="array" ref="N47">_xlfn.XLOOKUP(MIN(ABS($AY$6:$AY$22 - MEDIAN(-2, 2, N18))), ABS($AY$6:$AY$22 - MEDIAN(-2, 2, N18)), $AZ$6:$AZ$22, "Error", 0)</f>
        <v/>
      </c>
      <c r="O47" s="30">
        <f t="array" ref="O47">_xlfn.XLOOKUP(MIN(ABS($AY$6:$AY$22 - MEDIAN(-2, 2, O18))), ABS($AY$6:$AY$22 - MEDIAN(-2, 2, O18)), $AZ$6:$AZ$22, "Error", 0)</f>
        <v/>
      </c>
      <c r="P47" s="30">
        <f t="array" ref="P47">_xlfn.XLOOKUP(MIN(ABS($AY$6:$AY$22 - MEDIAN(-2, 2, P18))), ABS($AY$6:$AY$22 - MEDIAN(-2, 2, P18)), $AZ$6:$AZ$22, "Error", 0)</f>
        <v/>
      </c>
      <c r="Q47" s="30">
        <f t="array" ref="Q47">_xlfn.XLOOKUP(MIN(ABS($AY$6:$AY$22 - MEDIAN(-2, 2, Q18))), ABS($AY$6:$AY$22 - MEDIAN(-2, 2, Q18)), $AZ$6:$AZ$22, "Error", 0)</f>
        <v/>
      </c>
      <c r="R47" s="30">
        <f t="array" ref="R47">_xlfn.XLOOKUP(MIN(ABS($AY$6:$AY$22 - MEDIAN(-2, 2, R18))), ABS($AY$6:$AY$22 - MEDIAN(-2, 2, R18)), $AZ$6:$AZ$22, "Error", 0)</f>
        <v/>
      </c>
      <c r="S47" s="30">
        <f t="array" ref="S47">_xlfn.XLOOKUP(MIN(ABS($AY$6:$AY$22 - MEDIAN(-2, 2, S18))), ABS($AY$6:$AY$22 - MEDIAN(-2, 2, S18)), $AZ$6:$AZ$22, "Error", 0)</f>
        <v/>
      </c>
      <c r="T47" s="30">
        <f t="array" ref="T47">_xlfn.XLOOKUP(MIN(ABS($AY$6:$AY$22 - MEDIAN(-2, 2, T18))), ABS($AY$6:$AY$22 - MEDIAN(-2, 2, T18)), $AZ$6:$AZ$22, "Error", 0)</f>
        <v/>
      </c>
      <c r="U47" s="30">
        <f t="array" ref="U47">_xlfn.XLOOKUP(MIN(ABS($AY$6:$AY$22 - MEDIAN(-2, 2, U18))), ABS($AY$6:$AY$22 - MEDIAN(-2, 2, U18)), $AZ$6:$AZ$22, "Error", 0)</f>
        <v/>
      </c>
      <c r="V47" s="30">
        <f t="array" ref="V47">_xlfn.XLOOKUP(MIN(ABS($AY$6:$AY$22 - MEDIAN(-2, 2, V18))), ABS($AY$6:$AY$22 - MEDIAN(-2, 2, V18)), $AZ$6:$AZ$22, "Error", 0)</f>
        <v/>
      </c>
      <c r="W47" s="30">
        <f t="array" ref="W47">_xlfn.XLOOKUP(MIN(ABS($AY$6:$AY$22 - MEDIAN(-2, 2, W18))), ABS($AY$6:$AY$22 - MEDIAN(-2, 2, W18)), $AZ$6:$AZ$22, "Error", 0)</f>
        <v/>
      </c>
      <c r="X47" s="30">
        <f t="array" ref="X47">_xlfn.XLOOKUP(MIN(ABS($AY$6:$AY$22 - MEDIAN(-2, 2, X18))), ABS($AY$6:$AY$22 - MEDIAN(-2, 2, X18)), $AZ$6:$AZ$22, "Error", 0)</f>
        <v/>
      </c>
      <c r="Y47" s="30">
        <f t="array" ref="Y47">_xlfn.XLOOKUP(MIN(ABS($AY$6:$AY$22 - MEDIAN(-2, 2, Y18))), ABS($AY$6:$AY$22 - MEDIAN(-2, 2, Y18)), $AZ$6:$AZ$22, "Error", 0)</f>
        <v/>
      </c>
      <c r="Z47" s="30">
        <f t="array" ref="Z47">_xlfn.XLOOKUP(MIN(ABS($AY$6:$AY$22 - MEDIAN(-2, 2, Z18))), ABS($AY$6:$AY$22 - MEDIAN(-2, 2, Z18)), $AZ$6:$AZ$22, "Error", 0)</f>
        <v/>
      </c>
      <c r="AA47" s="30">
        <f t="array" ref="AA47">_xlfn.XLOOKUP(MIN(ABS($AY$6:$AY$22 - MEDIAN(-2, 2, AA18))), ABS($AY$6:$AY$22 - MEDIAN(-2, 2, AA18)), $AZ$6:$AZ$22, "Error", 0)</f>
        <v/>
      </c>
      <c r="AB47" s="30">
        <f t="array" ref="AB47">_xlfn.XLOOKUP(MIN(ABS($AY$6:$AY$22 - MEDIAN(-2, 2, AB18))), ABS($AY$6:$AY$22 - MEDIAN(-2, 2, AB18)), $AZ$6:$AZ$22, "Error", 0)</f>
        <v/>
      </c>
      <c r="AC47" s="30">
        <f t="array" ref="AC47">_xlfn.XLOOKUP(MIN(ABS($AY$6:$AY$22 - MEDIAN(-2, 2, AC18))), ABS($AY$6:$AY$22 - MEDIAN(-2, 2, AC18)), $AZ$6:$AZ$22, "Error", 0)</f>
        <v/>
      </c>
      <c r="AD47" s="30">
        <f t="array" ref="AD47">_xlfn.XLOOKUP(MIN(ABS($AY$6:$AY$22 - MEDIAN(-2, 2, AD18))), ABS($AY$6:$AY$22 - MEDIAN(-2, 2, AD18)), $AZ$6:$AZ$22, "Error", 0)</f>
        <v/>
      </c>
      <c r="AE47" s="30">
        <f t="array" ref="AE47">_xlfn.XLOOKUP(MIN(ABS($AY$6:$AY$22 - MEDIAN(-2, 2, AE18))), ABS($AY$6:$AY$22 - MEDIAN(-2, 2, AE18)), $AZ$6:$AZ$22, "Error", 0)</f>
        <v/>
      </c>
      <c r="AF47" s="30">
        <f t="array" ref="AF47">_xlfn.XLOOKUP(MIN(ABS($AY$6:$AY$22 - MEDIAN(-2, 2, AF18))), ABS($AY$6:$AY$22 - MEDIAN(-2, 2, AF18)), $AZ$6:$AZ$22, "Error", 0)</f>
        <v/>
      </c>
      <c r="AG47" s="30">
        <f t="array" ref="AG47">_xlfn.XLOOKUP(MIN(ABS($AY$6:$AY$22 - MEDIAN(-2, 2, AG18))), ABS($AY$6:$AY$22 - MEDIAN(-2, 2, AG18)), $AZ$6:$AZ$22, "Error", 0)</f>
        <v/>
      </c>
      <c r="AH47" s="30">
        <f t="array" ref="AH47">_xlfn.XLOOKUP(MIN(ABS($AY$6:$AY$22 - MEDIAN(-2, 2, AH18))), ABS($AY$6:$AY$22 - MEDIAN(-2, 2, AH18)), $AZ$6:$AZ$22, "Error", 0)</f>
        <v/>
      </c>
      <c r="AI47" s="30">
        <f t="array" ref="AI47">_xlfn.XLOOKUP(MIN(ABS($AY$6:$AY$22 - MEDIAN(-2, 2, AI18))), ABS($AY$6:$AY$22 - MEDIAN(-2, 2, AI18)), $AZ$6:$AZ$22, "Error", 0)</f>
        <v/>
      </c>
      <c r="AJ47" s="30">
        <f t="array" ref="AJ47">_xlfn.XLOOKUP(MIN(ABS($AY$6:$AY$22 - MEDIAN(-2, 2, AJ18))), ABS($AY$6:$AY$22 - MEDIAN(-2, 2, AJ18)), $AZ$6:$AZ$22, "Error", 0)</f>
        <v/>
      </c>
      <c r="AK47" s="30">
        <f t="array" ref="AK47">_xlfn.XLOOKUP(MIN(ABS($AY$6:$AY$22 - MEDIAN(-2, 2, AK18))), ABS($AY$6:$AY$22 - MEDIAN(-2, 2, AK18)), $AZ$6:$AZ$22, "Error", 0)</f>
        <v/>
      </c>
      <c r="AL47" s="30">
        <f t="array" ref="AL47">_xlfn.XLOOKUP(MIN(ABS($AY$6:$AY$22 - MEDIAN(-2, 2, AL18))), ABS($AY$6:$AY$22 - MEDIAN(-2, 2, AL18)), $AZ$6:$AZ$22, "Error", 0)</f>
        <v/>
      </c>
      <c r="AM47" s="30">
        <f t="array" ref="AM47">_xlfn.XLOOKUP(MIN(ABS($AY$6:$AY$22 - MEDIAN(-2, 2, AM18))), ABS($AY$6:$AY$22 - MEDIAN(-2, 2, AM18)), $AZ$6:$AZ$22, "Error", 0)</f>
        <v/>
      </c>
      <c r="AN47" s="30">
        <f t="array" ref="AN47">_xlfn.XLOOKUP(MIN(ABS($AY$6:$AY$22 - MEDIAN(-2, 2, AN18))), ABS($AY$6:$AY$22 - MEDIAN(-2, 2, AN18)), $AZ$6:$AZ$22, "Error", 0)</f>
        <v/>
      </c>
      <c r="AO47" s="30">
        <f t="array" ref="AO47">_xlfn.XLOOKUP(MIN(ABS($AY$6:$AY$22 - MEDIAN(-2, 2, AO18))), ABS($AY$6:$AY$22 - MEDIAN(-2, 2, AO18)), $AZ$6:$AZ$22, "Error", 0)</f>
        <v/>
      </c>
      <c r="AP47" s="30">
        <f t="array" ref="AP47">_xlfn.XLOOKUP(MIN(ABS($AY$6:$AY$22 - MEDIAN(-2, 2, AP18))), ABS($AY$6:$AY$22 - MEDIAN(-2, 2, AP18)), $AZ$6:$AZ$22, "Error", 0)</f>
        <v/>
      </c>
      <c r="AQ47" s="30">
        <f t="array" ref="AQ47">_xlfn.XLOOKUP(MIN(ABS($AY$6:$AY$22 - MEDIAN(-2, 2, AQ18))), ABS($AY$6:$AY$22 - MEDIAN(-2, 2, AQ18)), $AZ$6:$AZ$22, "Error", 0)</f>
        <v/>
      </c>
      <c r="AR47" s="30">
        <f t="array" ref="AR47">_xlfn.XLOOKUP(MIN(ABS($AY$6:$AY$22 - MEDIAN(-2, 2, AR18))), ABS($AY$6:$AY$22 - MEDIAN(-2, 2, AR18)), $AZ$6:$AZ$22, "Error", 0)</f>
        <v/>
      </c>
      <c r="AS47" s="30">
        <f t="array" ref="AS47">_xlfn.XLOOKUP(MIN(ABS($AY$6:$AY$22 - MEDIAN(-2, 2, AS18))), ABS($AY$6:$AY$22 - MEDIAN(-2, 2, AS18)), $AZ$6:$AZ$22, "Error", 0)</f>
        <v/>
      </c>
      <c r="AT47" s="30">
        <f t="array" ref="AT47">_xlfn.XLOOKUP(MIN(ABS($AY$6:$AY$22 - MEDIAN(-2, 2, AT18))), ABS($AY$6:$AY$22 - MEDIAN(-2, 2, AT18)), $AZ$6:$AZ$22, "Error", 0)</f>
        <v/>
      </c>
      <c r="AU47" s="30">
        <f t="array" ref="AU47">_xlfn.XLOOKUP(MIN(ABS($AY$6:$AY$22 - MEDIAN(-2, 2, AU18))), ABS($AY$6:$AY$22 - MEDIAN(-2, 2, AU18)), $AZ$6:$AZ$22, "Error", 0)</f>
        <v/>
      </c>
      <c r="AV47" s="30">
        <f t="array" ref="AV47">_xlfn.XLOOKUP(MIN(ABS($AY$6:$AY$22 - MEDIAN(-2, 2, AV18))), ABS($AY$6:$AY$22 - MEDIAN(-2, 2, AV18)), $AZ$6:$AZ$22, "Error", 0)</f>
        <v/>
      </c>
      <c r="AW47" s="30">
        <f t="array" ref="AW47">_xlfn.XLOOKUP(MIN(ABS($AY$6:$AY$22 - MEDIAN(-2, 2, AW18))), ABS($AY$6:$AY$22 - MEDIAN(-2, 2, AW18)), $AZ$6:$AZ$22, "Error", 0)</f>
        <v/>
      </c>
    </row>
    <row r="48" ht="25" customHeight="1">
      <c r="A48" s="46" t="inlineStr">
        <is>
          <t>EUR JPY</t>
        </is>
      </c>
      <c r="B48" s="30">
        <f t="array" ref="B48">_xlfn.XLOOKUP(MIN(ABS($AY$6:$AY$22 - MEDIAN(-2, 2, B19))), ABS($AY$6:$AY$22 - MEDIAN(-2, 2, B19)), $AZ$6:$AZ$22, "Error", 0)</f>
        <v/>
      </c>
      <c r="C48" s="30">
        <f t="array" ref="C48">_xlfn.XLOOKUP(MIN(ABS($AY$6:$AY$22 - MEDIAN(-2, 2, C19))), ABS($AY$6:$AY$22 - MEDIAN(-2, 2, C19)), $AZ$6:$AZ$22, "Error", 0)</f>
        <v/>
      </c>
      <c r="D48" s="30">
        <f t="array" ref="D48">_xlfn.XLOOKUP(MIN(ABS($AY$6:$AY$22 - MEDIAN(-2, 2, D19))), ABS($AY$6:$AY$22 - MEDIAN(-2, 2, D19)), $AZ$6:$AZ$22, "Error", 0)</f>
        <v/>
      </c>
      <c r="E48" s="30">
        <f t="array" ref="E48">_xlfn.XLOOKUP(MIN(ABS($AY$6:$AY$22 - MEDIAN(-2, 2, E19))), ABS($AY$6:$AY$22 - MEDIAN(-2, 2, E19)), $AZ$6:$AZ$22, "Error", 0)</f>
        <v/>
      </c>
      <c r="F48" s="30">
        <f t="array" ref="F48">_xlfn.XLOOKUP(MIN(ABS($AY$6:$AY$22 - MEDIAN(-2, 2, F19))), ABS($AY$6:$AY$22 - MEDIAN(-2, 2, F19)), $AZ$6:$AZ$22, "Error", 0)</f>
        <v/>
      </c>
      <c r="G48" s="30">
        <f t="array" ref="G48">_xlfn.XLOOKUP(MIN(ABS($AY$6:$AY$22 - MEDIAN(-2, 2, G19))), ABS($AY$6:$AY$22 - MEDIAN(-2, 2, G19)), $AZ$6:$AZ$22, "Error", 0)</f>
        <v/>
      </c>
      <c r="H48" s="30">
        <f t="array" ref="H48">_xlfn.XLOOKUP(MIN(ABS($AY$6:$AY$22 - MEDIAN(-2, 2, H19))), ABS($AY$6:$AY$22 - MEDIAN(-2, 2, H19)), $AZ$6:$AZ$22, "Error", 0)</f>
        <v/>
      </c>
      <c r="I48" s="30">
        <f t="array" ref="I48">_xlfn.XLOOKUP(MIN(ABS($AY$6:$AY$22 - MEDIAN(-2, 2, I19))), ABS($AY$6:$AY$22 - MEDIAN(-2, 2, I19)), $AZ$6:$AZ$22, "Error", 0)</f>
        <v/>
      </c>
      <c r="J48" s="30">
        <f t="array" ref="J48">_xlfn.XLOOKUP(MIN(ABS($AY$6:$AY$22 - MEDIAN(-2, 2, J19))), ABS($AY$6:$AY$22 - MEDIAN(-2, 2, J19)), $AZ$6:$AZ$22, "Error", 0)</f>
        <v/>
      </c>
      <c r="K48" s="30">
        <f t="array" ref="K48">_xlfn.XLOOKUP(MIN(ABS($AY$6:$AY$22 - MEDIAN(-2, 2, K19))), ABS($AY$6:$AY$22 - MEDIAN(-2, 2, K19)), $AZ$6:$AZ$22, "Error", 0)</f>
        <v/>
      </c>
      <c r="L48" s="30">
        <f t="array" ref="L48">_xlfn.XLOOKUP(MIN(ABS($AY$6:$AY$22 - MEDIAN(-2, 2, L19))), ABS($AY$6:$AY$22 - MEDIAN(-2, 2, L19)), $AZ$6:$AZ$22, "Error", 0)</f>
        <v/>
      </c>
      <c r="M48" s="30">
        <f t="array" ref="M48">_xlfn.XLOOKUP(MIN(ABS($AY$6:$AY$22 - MEDIAN(-2, 2, M19))), ABS($AY$6:$AY$22 - MEDIAN(-2, 2, M19)), $AZ$6:$AZ$22, "Error", 0)</f>
        <v/>
      </c>
      <c r="N48" s="30">
        <f t="array" ref="N48">_xlfn.XLOOKUP(MIN(ABS($AY$6:$AY$22 - MEDIAN(-2, 2, N19))), ABS($AY$6:$AY$22 - MEDIAN(-2, 2, N19)), $AZ$6:$AZ$22, "Error", 0)</f>
        <v/>
      </c>
      <c r="O48" s="30">
        <f t="array" ref="O48">_xlfn.XLOOKUP(MIN(ABS($AY$6:$AY$22 - MEDIAN(-2, 2, O19))), ABS($AY$6:$AY$22 - MEDIAN(-2, 2, O19)), $AZ$6:$AZ$22, "Error", 0)</f>
        <v/>
      </c>
      <c r="P48" s="30">
        <f t="array" ref="P48">_xlfn.XLOOKUP(MIN(ABS($AY$6:$AY$22 - MEDIAN(-2, 2, P19))), ABS($AY$6:$AY$22 - MEDIAN(-2, 2, P19)), $AZ$6:$AZ$22, "Error", 0)</f>
        <v/>
      </c>
      <c r="Q48" s="30">
        <f t="array" ref="Q48">_xlfn.XLOOKUP(MIN(ABS($AY$6:$AY$22 - MEDIAN(-2, 2, Q19))), ABS($AY$6:$AY$22 - MEDIAN(-2, 2, Q19)), $AZ$6:$AZ$22, "Error", 0)</f>
        <v/>
      </c>
      <c r="R48" s="30">
        <f t="array" ref="R48">_xlfn.XLOOKUP(MIN(ABS($AY$6:$AY$22 - MEDIAN(-2, 2, R19))), ABS($AY$6:$AY$22 - MEDIAN(-2, 2, R19)), $AZ$6:$AZ$22, "Error", 0)</f>
        <v/>
      </c>
      <c r="S48" s="30">
        <f t="array" ref="S48">_xlfn.XLOOKUP(MIN(ABS($AY$6:$AY$22 - MEDIAN(-2, 2, S19))), ABS($AY$6:$AY$22 - MEDIAN(-2, 2, S19)), $AZ$6:$AZ$22, "Error", 0)</f>
        <v/>
      </c>
      <c r="T48" s="30">
        <f t="array" ref="T48">_xlfn.XLOOKUP(MIN(ABS($AY$6:$AY$22 - MEDIAN(-2, 2, T19))), ABS($AY$6:$AY$22 - MEDIAN(-2, 2, T19)), $AZ$6:$AZ$22, "Error", 0)</f>
        <v/>
      </c>
      <c r="U48" s="30">
        <f t="array" ref="U48">_xlfn.XLOOKUP(MIN(ABS($AY$6:$AY$22 - MEDIAN(-2, 2, U19))), ABS($AY$6:$AY$22 - MEDIAN(-2, 2, U19)), $AZ$6:$AZ$22, "Error", 0)</f>
        <v/>
      </c>
      <c r="V48" s="30">
        <f t="array" ref="V48">_xlfn.XLOOKUP(MIN(ABS($AY$6:$AY$22 - MEDIAN(-2, 2, V19))), ABS($AY$6:$AY$22 - MEDIAN(-2, 2, V19)), $AZ$6:$AZ$22, "Error", 0)</f>
        <v/>
      </c>
      <c r="W48" s="30">
        <f t="array" ref="W48">_xlfn.XLOOKUP(MIN(ABS($AY$6:$AY$22 - MEDIAN(-2, 2, W19))), ABS($AY$6:$AY$22 - MEDIAN(-2, 2, W19)), $AZ$6:$AZ$22, "Error", 0)</f>
        <v/>
      </c>
      <c r="X48" s="30">
        <f t="array" ref="X48">_xlfn.XLOOKUP(MIN(ABS($AY$6:$AY$22 - MEDIAN(-2, 2, X19))), ABS($AY$6:$AY$22 - MEDIAN(-2, 2, X19)), $AZ$6:$AZ$22, "Error", 0)</f>
        <v/>
      </c>
      <c r="Y48" s="30">
        <f t="array" ref="Y48">_xlfn.XLOOKUP(MIN(ABS($AY$6:$AY$22 - MEDIAN(-2, 2, Y19))), ABS($AY$6:$AY$22 - MEDIAN(-2, 2, Y19)), $AZ$6:$AZ$22, "Error", 0)</f>
        <v/>
      </c>
      <c r="Z48" s="30">
        <f t="array" ref="Z48">_xlfn.XLOOKUP(MIN(ABS($AY$6:$AY$22 - MEDIAN(-2, 2, Z19))), ABS($AY$6:$AY$22 - MEDIAN(-2, 2, Z19)), $AZ$6:$AZ$22, "Error", 0)</f>
        <v/>
      </c>
      <c r="AA48" s="30">
        <f t="array" ref="AA48">_xlfn.XLOOKUP(MIN(ABS($AY$6:$AY$22 - MEDIAN(-2, 2, AA19))), ABS($AY$6:$AY$22 - MEDIAN(-2, 2, AA19)), $AZ$6:$AZ$22, "Error", 0)</f>
        <v/>
      </c>
      <c r="AB48" s="30">
        <f t="array" ref="AB48">_xlfn.XLOOKUP(MIN(ABS($AY$6:$AY$22 - MEDIAN(-2, 2, AB19))), ABS($AY$6:$AY$22 - MEDIAN(-2, 2, AB19)), $AZ$6:$AZ$22, "Error", 0)</f>
        <v/>
      </c>
      <c r="AC48" s="30">
        <f t="array" ref="AC48">_xlfn.XLOOKUP(MIN(ABS($AY$6:$AY$22 - MEDIAN(-2, 2, AC19))), ABS($AY$6:$AY$22 - MEDIAN(-2, 2, AC19)), $AZ$6:$AZ$22, "Error", 0)</f>
        <v/>
      </c>
      <c r="AD48" s="30">
        <f t="array" ref="AD48">_xlfn.XLOOKUP(MIN(ABS($AY$6:$AY$22 - MEDIAN(-2, 2, AD19))), ABS($AY$6:$AY$22 - MEDIAN(-2, 2, AD19)), $AZ$6:$AZ$22, "Error", 0)</f>
        <v/>
      </c>
      <c r="AE48" s="30">
        <f t="array" ref="AE48">_xlfn.XLOOKUP(MIN(ABS($AY$6:$AY$22 - MEDIAN(-2, 2, AE19))), ABS($AY$6:$AY$22 - MEDIAN(-2, 2, AE19)), $AZ$6:$AZ$22, "Error", 0)</f>
        <v/>
      </c>
      <c r="AF48" s="30">
        <f t="array" ref="AF48">_xlfn.XLOOKUP(MIN(ABS($AY$6:$AY$22 - MEDIAN(-2, 2, AF19))), ABS($AY$6:$AY$22 - MEDIAN(-2, 2, AF19)), $AZ$6:$AZ$22, "Error", 0)</f>
        <v/>
      </c>
      <c r="AG48" s="30">
        <f t="array" ref="AG48">_xlfn.XLOOKUP(MIN(ABS($AY$6:$AY$22 - MEDIAN(-2, 2, AG19))), ABS($AY$6:$AY$22 - MEDIAN(-2, 2, AG19)), $AZ$6:$AZ$22, "Error", 0)</f>
        <v/>
      </c>
      <c r="AH48" s="30">
        <f t="array" ref="AH48">_xlfn.XLOOKUP(MIN(ABS($AY$6:$AY$22 - MEDIAN(-2, 2, AH19))), ABS($AY$6:$AY$22 - MEDIAN(-2, 2, AH19)), $AZ$6:$AZ$22, "Error", 0)</f>
        <v/>
      </c>
      <c r="AI48" s="30">
        <f t="array" ref="AI48">_xlfn.XLOOKUP(MIN(ABS($AY$6:$AY$22 - MEDIAN(-2, 2, AI19))), ABS($AY$6:$AY$22 - MEDIAN(-2, 2, AI19)), $AZ$6:$AZ$22, "Error", 0)</f>
        <v/>
      </c>
      <c r="AJ48" s="30">
        <f t="array" ref="AJ48">_xlfn.XLOOKUP(MIN(ABS($AY$6:$AY$22 - MEDIAN(-2, 2, AJ19))), ABS($AY$6:$AY$22 - MEDIAN(-2, 2, AJ19)), $AZ$6:$AZ$22, "Error", 0)</f>
        <v/>
      </c>
      <c r="AK48" s="30">
        <f t="array" ref="AK48">_xlfn.XLOOKUP(MIN(ABS($AY$6:$AY$22 - MEDIAN(-2, 2, AK19))), ABS($AY$6:$AY$22 - MEDIAN(-2, 2, AK19)), $AZ$6:$AZ$22, "Error", 0)</f>
        <v/>
      </c>
      <c r="AL48" s="30">
        <f t="array" ref="AL48">_xlfn.XLOOKUP(MIN(ABS($AY$6:$AY$22 - MEDIAN(-2, 2, AL19))), ABS($AY$6:$AY$22 - MEDIAN(-2, 2, AL19)), $AZ$6:$AZ$22, "Error", 0)</f>
        <v/>
      </c>
      <c r="AM48" s="30">
        <f t="array" ref="AM48">_xlfn.XLOOKUP(MIN(ABS($AY$6:$AY$22 - MEDIAN(-2, 2, AM19))), ABS($AY$6:$AY$22 - MEDIAN(-2, 2, AM19)), $AZ$6:$AZ$22, "Error", 0)</f>
        <v/>
      </c>
      <c r="AN48" s="30">
        <f t="array" ref="AN48">_xlfn.XLOOKUP(MIN(ABS($AY$6:$AY$22 - MEDIAN(-2, 2, AN19))), ABS($AY$6:$AY$22 - MEDIAN(-2, 2, AN19)), $AZ$6:$AZ$22, "Error", 0)</f>
        <v/>
      </c>
      <c r="AO48" s="30">
        <f t="array" ref="AO48">_xlfn.XLOOKUP(MIN(ABS($AY$6:$AY$22 - MEDIAN(-2, 2, AO19))), ABS($AY$6:$AY$22 - MEDIAN(-2, 2, AO19)), $AZ$6:$AZ$22, "Error", 0)</f>
        <v/>
      </c>
      <c r="AP48" s="30">
        <f t="array" ref="AP48">_xlfn.XLOOKUP(MIN(ABS($AY$6:$AY$22 - MEDIAN(-2, 2, AP19))), ABS($AY$6:$AY$22 - MEDIAN(-2, 2, AP19)), $AZ$6:$AZ$22, "Error", 0)</f>
        <v/>
      </c>
      <c r="AQ48" s="30">
        <f t="array" ref="AQ48">_xlfn.XLOOKUP(MIN(ABS($AY$6:$AY$22 - MEDIAN(-2, 2, AQ19))), ABS($AY$6:$AY$22 - MEDIAN(-2, 2, AQ19)), $AZ$6:$AZ$22, "Error", 0)</f>
        <v/>
      </c>
      <c r="AR48" s="30">
        <f t="array" ref="AR48">_xlfn.XLOOKUP(MIN(ABS($AY$6:$AY$22 - MEDIAN(-2, 2, AR19))), ABS($AY$6:$AY$22 - MEDIAN(-2, 2, AR19)), $AZ$6:$AZ$22, "Error", 0)</f>
        <v/>
      </c>
      <c r="AS48" s="30">
        <f t="array" ref="AS48">_xlfn.XLOOKUP(MIN(ABS($AY$6:$AY$22 - MEDIAN(-2, 2, AS19))), ABS($AY$6:$AY$22 - MEDIAN(-2, 2, AS19)), $AZ$6:$AZ$22, "Error", 0)</f>
        <v/>
      </c>
      <c r="AT48" s="30">
        <f t="array" ref="AT48">_xlfn.XLOOKUP(MIN(ABS($AY$6:$AY$22 - MEDIAN(-2, 2, AT19))), ABS($AY$6:$AY$22 - MEDIAN(-2, 2, AT19)), $AZ$6:$AZ$22, "Error", 0)</f>
        <v/>
      </c>
      <c r="AU48" s="30">
        <f t="array" ref="AU48">_xlfn.XLOOKUP(MIN(ABS($AY$6:$AY$22 - MEDIAN(-2, 2, AU19))), ABS($AY$6:$AY$22 - MEDIAN(-2, 2, AU19)), $AZ$6:$AZ$22, "Error", 0)</f>
        <v/>
      </c>
      <c r="AV48" s="30">
        <f t="array" ref="AV48">_xlfn.XLOOKUP(MIN(ABS($AY$6:$AY$22 - MEDIAN(-2, 2, AV19))), ABS($AY$6:$AY$22 - MEDIAN(-2, 2, AV19)), $AZ$6:$AZ$22, "Error", 0)</f>
        <v/>
      </c>
      <c r="AW48" s="30">
        <f t="array" ref="AW48">_xlfn.XLOOKUP(MIN(ABS($AY$6:$AY$22 - MEDIAN(-2, 2, AW19))), ABS($AY$6:$AY$22 - MEDIAN(-2, 2, AW19)), $AZ$6:$AZ$22, "Error", 0)</f>
        <v/>
      </c>
    </row>
    <row r="49" ht="25" customHeight="1">
      <c r="A49" s="46" t="inlineStr">
        <is>
          <t>EUR CHF</t>
        </is>
      </c>
      <c r="B49" s="30">
        <f t="array" ref="B49">_xlfn.XLOOKUP(MIN(ABS($AY$6:$AY$22 - MEDIAN(-2, 2, B20))), ABS($AY$6:$AY$22 - MEDIAN(-2, 2, B20)), $AZ$6:$AZ$22, "Error", 0)</f>
        <v/>
      </c>
      <c r="C49" s="30">
        <f t="array" ref="C49">_xlfn.XLOOKUP(MIN(ABS($AY$6:$AY$22 - MEDIAN(-2, 2, C20))), ABS($AY$6:$AY$22 - MEDIAN(-2, 2, C20)), $AZ$6:$AZ$22, "Error", 0)</f>
        <v/>
      </c>
      <c r="D49" s="30">
        <f t="array" ref="D49">_xlfn.XLOOKUP(MIN(ABS($AY$6:$AY$22 - MEDIAN(-2, 2, D20))), ABS($AY$6:$AY$22 - MEDIAN(-2, 2, D20)), $AZ$6:$AZ$22, "Error", 0)</f>
        <v/>
      </c>
      <c r="E49" s="30">
        <f t="array" ref="E49">_xlfn.XLOOKUP(MIN(ABS($AY$6:$AY$22 - MEDIAN(-2, 2, E20))), ABS($AY$6:$AY$22 - MEDIAN(-2, 2, E20)), $AZ$6:$AZ$22, "Error", 0)</f>
        <v/>
      </c>
      <c r="F49" s="30">
        <f t="array" ref="F49">_xlfn.XLOOKUP(MIN(ABS($AY$6:$AY$22 - MEDIAN(-2, 2, F20))), ABS($AY$6:$AY$22 - MEDIAN(-2, 2, F20)), $AZ$6:$AZ$22, "Error", 0)</f>
        <v/>
      </c>
      <c r="G49" s="30">
        <f t="array" ref="G49">_xlfn.XLOOKUP(MIN(ABS($AY$6:$AY$22 - MEDIAN(-2, 2, G20))), ABS($AY$6:$AY$22 - MEDIAN(-2, 2, G20)), $AZ$6:$AZ$22, "Error", 0)</f>
        <v/>
      </c>
      <c r="H49" s="30">
        <f t="array" ref="H49">_xlfn.XLOOKUP(MIN(ABS($AY$6:$AY$22 - MEDIAN(-2, 2, H20))), ABS($AY$6:$AY$22 - MEDIAN(-2, 2, H20)), $AZ$6:$AZ$22, "Error", 0)</f>
        <v/>
      </c>
      <c r="I49" s="30">
        <f t="array" ref="I49">_xlfn.XLOOKUP(MIN(ABS($AY$6:$AY$22 - MEDIAN(-2, 2, I20))), ABS($AY$6:$AY$22 - MEDIAN(-2, 2, I20)), $AZ$6:$AZ$22, "Error", 0)</f>
        <v/>
      </c>
      <c r="J49" s="30">
        <f t="array" ref="J49">_xlfn.XLOOKUP(MIN(ABS($AY$6:$AY$22 - MEDIAN(-2, 2, J20))), ABS($AY$6:$AY$22 - MEDIAN(-2, 2, J20)), $AZ$6:$AZ$22, "Error", 0)</f>
        <v/>
      </c>
      <c r="K49" s="30">
        <f t="array" ref="K49">_xlfn.XLOOKUP(MIN(ABS($AY$6:$AY$22 - MEDIAN(-2, 2, K20))), ABS($AY$6:$AY$22 - MEDIAN(-2, 2, K20)), $AZ$6:$AZ$22, "Error", 0)</f>
        <v/>
      </c>
      <c r="L49" s="30">
        <f t="array" ref="L49">_xlfn.XLOOKUP(MIN(ABS($AY$6:$AY$22 - MEDIAN(-2, 2, L20))), ABS($AY$6:$AY$22 - MEDIAN(-2, 2, L20)), $AZ$6:$AZ$22, "Error", 0)</f>
        <v/>
      </c>
      <c r="M49" s="30">
        <f t="array" ref="M49">_xlfn.XLOOKUP(MIN(ABS($AY$6:$AY$22 - MEDIAN(-2, 2, M20))), ABS($AY$6:$AY$22 - MEDIAN(-2, 2, M20)), $AZ$6:$AZ$22, "Error", 0)</f>
        <v/>
      </c>
      <c r="N49" s="30">
        <f t="array" ref="N49">_xlfn.XLOOKUP(MIN(ABS($AY$6:$AY$22 - MEDIAN(-2, 2, N20))), ABS($AY$6:$AY$22 - MEDIAN(-2, 2, N20)), $AZ$6:$AZ$22, "Error", 0)</f>
        <v/>
      </c>
      <c r="O49" s="30">
        <f t="array" ref="O49">_xlfn.XLOOKUP(MIN(ABS($AY$6:$AY$22 - MEDIAN(-2, 2, O20))), ABS($AY$6:$AY$22 - MEDIAN(-2, 2, O20)), $AZ$6:$AZ$22, "Error", 0)</f>
        <v/>
      </c>
      <c r="P49" s="30">
        <f t="array" ref="P49">_xlfn.XLOOKUP(MIN(ABS($AY$6:$AY$22 - MEDIAN(-2, 2, P20))), ABS($AY$6:$AY$22 - MEDIAN(-2, 2, P20)), $AZ$6:$AZ$22, "Error", 0)</f>
        <v/>
      </c>
      <c r="Q49" s="30">
        <f t="array" ref="Q49">_xlfn.XLOOKUP(MIN(ABS($AY$6:$AY$22 - MEDIAN(-2, 2, Q20))), ABS($AY$6:$AY$22 - MEDIAN(-2, 2, Q20)), $AZ$6:$AZ$22, "Error", 0)</f>
        <v/>
      </c>
      <c r="R49" s="30">
        <f t="array" ref="R49">_xlfn.XLOOKUP(MIN(ABS($AY$6:$AY$22 - MEDIAN(-2, 2, R20))), ABS($AY$6:$AY$22 - MEDIAN(-2, 2, R20)), $AZ$6:$AZ$22, "Error", 0)</f>
        <v/>
      </c>
      <c r="S49" s="30">
        <f t="array" ref="S49">_xlfn.XLOOKUP(MIN(ABS($AY$6:$AY$22 - MEDIAN(-2, 2, S20))), ABS($AY$6:$AY$22 - MEDIAN(-2, 2, S20)), $AZ$6:$AZ$22, "Error", 0)</f>
        <v/>
      </c>
      <c r="T49" s="30">
        <f t="array" ref="T49">_xlfn.XLOOKUP(MIN(ABS($AY$6:$AY$22 - MEDIAN(-2, 2, T20))), ABS($AY$6:$AY$22 - MEDIAN(-2, 2, T20)), $AZ$6:$AZ$22, "Error", 0)</f>
        <v/>
      </c>
      <c r="U49" s="30">
        <f t="array" ref="U49">_xlfn.XLOOKUP(MIN(ABS($AY$6:$AY$22 - MEDIAN(-2, 2, U20))), ABS($AY$6:$AY$22 - MEDIAN(-2, 2, U20)), $AZ$6:$AZ$22, "Error", 0)</f>
        <v/>
      </c>
      <c r="V49" s="30">
        <f t="array" ref="V49">_xlfn.XLOOKUP(MIN(ABS($AY$6:$AY$22 - MEDIAN(-2, 2, V20))), ABS($AY$6:$AY$22 - MEDIAN(-2, 2, V20)), $AZ$6:$AZ$22, "Error", 0)</f>
        <v/>
      </c>
      <c r="W49" s="30">
        <f t="array" ref="W49">_xlfn.XLOOKUP(MIN(ABS($AY$6:$AY$22 - MEDIAN(-2, 2, W20))), ABS($AY$6:$AY$22 - MEDIAN(-2, 2, W20)), $AZ$6:$AZ$22, "Error", 0)</f>
        <v/>
      </c>
      <c r="X49" s="30">
        <f t="array" ref="X49">_xlfn.XLOOKUP(MIN(ABS($AY$6:$AY$22 - MEDIAN(-2, 2, X20))), ABS($AY$6:$AY$22 - MEDIAN(-2, 2, X20)), $AZ$6:$AZ$22, "Error", 0)</f>
        <v/>
      </c>
      <c r="Y49" s="30">
        <f t="array" ref="Y49">_xlfn.XLOOKUP(MIN(ABS($AY$6:$AY$22 - MEDIAN(-2, 2, Y20))), ABS($AY$6:$AY$22 - MEDIAN(-2, 2, Y20)), $AZ$6:$AZ$22, "Error", 0)</f>
        <v/>
      </c>
      <c r="Z49" s="30">
        <f t="array" ref="Z49">_xlfn.XLOOKUP(MIN(ABS($AY$6:$AY$22 - MEDIAN(-2, 2, Z20))), ABS($AY$6:$AY$22 - MEDIAN(-2, 2, Z20)), $AZ$6:$AZ$22, "Error", 0)</f>
        <v/>
      </c>
      <c r="AA49" s="30">
        <f t="array" ref="AA49">_xlfn.XLOOKUP(MIN(ABS($AY$6:$AY$22 - MEDIAN(-2, 2, AA20))), ABS($AY$6:$AY$22 - MEDIAN(-2, 2, AA20)), $AZ$6:$AZ$22, "Error", 0)</f>
        <v/>
      </c>
      <c r="AB49" s="30">
        <f t="array" ref="AB49">_xlfn.XLOOKUP(MIN(ABS($AY$6:$AY$22 - MEDIAN(-2, 2, AB20))), ABS($AY$6:$AY$22 - MEDIAN(-2, 2, AB20)), $AZ$6:$AZ$22, "Error", 0)</f>
        <v/>
      </c>
      <c r="AC49" s="30">
        <f t="array" ref="AC49">_xlfn.XLOOKUP(MIN(ABS($AY$6:$AY$22 - MEDIAN(-2, 2, AC20))), ABS($AY$6:$AY$22 - MEDIAN(-2, 2, AC20)), $AZ$6:$AZ$22, "Error", 0)</f>
        <v/>
      </c>
      <c r="AD49" s="30">
        <f t="array" ref="AD49">_xlfn.XLOOKUP(MIN(ABS($AY$6:$AY$22 - MEDIAN(-2, 2, AD20))), ABS($AY$6:$AY$22 - MEDIAN(-2, 2, AD20)), $AZ$6:$AZ$22, "Error", 0)</f>
        <v/>
      </c>
      <c r="AE49" s="30">
        <f t="array" ref="AE49">_xlfn.XLOOKUP(MIN(ABS($AY$6:$AY$22 - MEDIAN(-2, 2, AE20))), ABS($AY$6:$AY$22 - MEDIAN(-2, 2, AE20)), $AZ$6:$AZ$22, "Error", 0)</f>
        <v/>
      </c>
      <c r="AF49" s="30">
        <f t="array" ref="AF49">_xlfn.XLOOKUP(MIN(ABS($AY$6:$AY$22 - MEDIAN(-2, 2, AF20))), ABS($AY$6:$AY$22 - MEDIAN(-2, 2, AF20)), $AZ$6:$AZ$22, "Error", 0)</f>
        <v/>
      </c>
      <c r="AG49" s="30">
        <f t="array" ref="AG49">_xlfn.XLOOKUP(MIN(ABS($AY$6:$AY$22 - MEDIAN(-2, 2, AG20))), ABS($AY$6:$AY$22 - MEDIAN(-2, 2, AG20)), $AZ$6:$AZ$22, "Error", 0)</f>
        <v/>
      </c>
      <c r="AH49" s="30">
        <f t="array" ref="AH49">_xlfn.XLOOKUP(MIN(ABS($AY$6:$AY$22 - MEDIAN(-2, 2, AH20))), ABS($AY$6:$AY$22 - MEDIAN(-2, 2, AH20)), $AZ$6:$AZ$22, "Error", 0)</f>
        <v/>
      </c>
      <c r="AI49" s="30">
        <f t="array" ref="AI49">_xlfn.XLOOKUP(MIN(ABS($AY$6:$AY$22 - MEDIAN(-2, 2, AI20))), ABS($AY$6:$AY$22 - MEDIAN(-2, 2, AI20)), $AZ$6:$AZ$22, "Error", 0)</f>
        <v/>
      </c>
      <c r="AJ49" s="30">
        <f t="array" ref="AJ49">_xlfn.XLOOKUP(MIN(ABS($AY$6:$AY$22 - MEDIAN(-2, 2, AJ20))), ABS($AY$6:$AY$22 - MEDIAN(-2, 2, AJ20)), $AZ$6:$AZ$22, "Error", 0)</f>
        <v/>
      </c>
      <c r="AK49" s="30">
        <f t="array" ref="AK49">_xlfn.XLOOKUP(MIN(ABS($AY$6:$AY$22 - MEDIAN(-2, 2, AK20))), ABS($AY$6:$AY$22 - MEDIAN(-2, 2, AK20)), $AZ$6:$AZ$22, "Error", 0)</f>
        <v/>
      </c>
      <c r="AL49" s="30">
        <f t="array" ref="AL49">_xlfn.XLOOKUP(MIN(ABS($AY$6:$AY$22 - MEDIAN(-2, 2, AL20))), ABS($AY$6:$AY$22 - MEDIAN(-2, 2, AL20)), $AZ$6:$AZ$22, "Error", 0)</f>
        <v/>
      </c>
      <c r="AM49" s="30">
        <f t="array" ref="AM49">_xlfn.XLOOKUP(MIN(ABS($AY$6:$AY$22 - MEDIAN(-2, 2, AM20))), ABS($AY$6:$AY$22 - MEDIAN(-2, 2, AM20)), $AZ$6:$AZ$22, "Error", 0)</f>
        <v/>
      </c>
      <c r="AN49" s="30">
        <f t="array" ref="AN49">_xlfn.XLOOKUP(MIN(ABS($AY$6:$AY$22 - MEDIAN(-2, 2, AN20))), ABS($AY$6:$AY$22 - MEDIAN(-2, 2, AN20)), $AZ$6:$AZ$22, "Error", 0)</f>
        <v/>
      </c>
      <c r="AO49" s="30">
        <f t="array" ref="AO49">_xlfn.XLOOKUP(MIN(ABS($AY$6:$AY$22 - MEDIAN(-2, 2, AO20))), ABS($AY$6:$AY$22 - MEDIAN(-2, 2, AO20)), $AZ$6:$AZ$22, "Error", 0)</f>
        <v/>
      </c>
      <c r="AP49" s="30">
        <f t="array" ref="AP49">_xlfn.XLOOKUP(MIN(ABS($AY$6:$AY$22 - MEDIAN(-2, 2, AP20))), ABS($AY$6:$AY$22 - MEDIAN(-2, 2, AP20)), $AZ$6:$AZ$22, "Error", 0)</f>
        <v/>
      </c>
      <c r="AQ49" s="30">
        <f t="array" ref="AQ49">_xlfn.XLOOKUP(MIN(ABS($AY$6:$AY$22 - MEDIAN(-2, 2, AQ20))), ABS($AY$6:$AY$22 - MEDIAN(-2, 2, AQ20)), $AZ$6:$AZ$22, "Error", 0)</f>
        <v/>
      </c>
      <c r="AR49" s="30">
        <f t="array" ref="AR49">_xlfn.XLOOKUP(MIN(ABS($AY$6:$AY$22 - MEDIAN(-2, 2, AR20))), ABS($AY$6:$AY$22 - MEDIAN(-2, 2, AR20)), $AZ$6:$AZ$22, "Error", 0)</f>
        <v/>
      </c>
      <c r="AS49" s="30">
        <f t="array" ref="AS49">_xlfn.XLOOKUP(MIN(ABS($AY$6:$AY$22 - MEDIAN(-2, 2, AS20))), ABS($AY$6:$AY$22 - MEDIAN(-2, 2, AS20)), $AZ$6:$AZ$22, "Error", 0)</f>
        <v/>
      </c>
      <c r="AT49" s="30">
        <f t="array" ref="AT49">_xlfn.XLOOKUP(MIN(ABS($AY$6:$AY$22 - MEDIAN(-2, 2, AT20))), ABS($AY$6:$AY$22 - MEDIAN(-2, 2, AT20)), $AZ$6:$AZ$22, "Error", 0)</f>
        <v/>
      </c>
      <c r="AU49" s="30">
        <f t="array" ref="AU49">_xlfn.XLOOKUP(MIN(ABS($AY$6:$AY$22 - MEDIAN(-2, 2, AU20))), ABS($AY$6:$AY$22 - MEDIAN(-2, 2, AU20)), $AZ$6:$AZ$22, "Error", 0)</f>
        <v/>
      </c>
      <c r="AV49" s="30">
        <f t="array" ref="AV49">_xlfn.XLOOKUP(MIN(ABS($AY$6:$AY$22 - MEDIAN(-2, 2, AV20))), ABS($AY$6:$AY$22 - MEDIAN(-2, 2, AV20)), $AZ$6:$AZ$22, "Error", 0)</f>
        <v/>
      </c>
      <c r="AW49" s="30">
        <f t="array" ref="AW49">_xlfn.XLOOKUP(MIN(ABS($AY$6:$AY$22 - MEDIAN(-2, 2, AW20))), ABS($AY$6:$AY$22 - MEDIAN(-2, 2, AW20)), $AZ$6:$AZ$22, "Error", 0)</f>
        <v/>
      </c>
    </row>
    <row r="50" ht="25" customHeight="1">
      <c r="A50" s="46" t="inlineStr">
        <is>
          <t>EUR GBP</t>
        </is>
      </c>
      <c r="B50" s="30">
        <f t="array" ref="B50">_xlfn.XLOOKUP(MIN(ABS($AY$6:$AY$22 - MEDIAN(-2, 2, B21))), ABS($AY$6:$AY$22 - MEDIAN(-2, 2, B21)), $AZ$6:$AZ$22, "Error", 0)</f>
        <v/>
      </c>
      <c r="C50" s="30">
        <f t="array" ref="C50">_xlfn.XLOOKUP(MIN(ABS($AY$6:$AY$22 - MEDIAN(-2, 2, C21))), ABS($AY$6:$AY$22 - MEDIAN(-2, 2, C21)), $AZ$6:$AZ$22, "Error", 0)</f>
        <v/>
      </c>
      <c r="D50" s="30">
        <f t="array" ref="D50">_xlfn.XLOOKUP(MIN(ABS($AY$6:$AY$22 - MEDIAN(-2, 2, D21))), ABS($AY$6:$AY$22 - MEDIAN(-2, 2, D21)), $AZ$6:$AZ$22, "Error", 0)</f>
        <v/>
      </c>
      <c r="E50" s="30">
        <f t="array" ref="E50">_xlfn.XLOOKUP(MIN(ABS($AY$6:$AY$22 - MEDIAN(-2, 2, E21))), ABS($AY$6:$AY$22 - MEDIAN(-2, 2, E21)), $AZ$6:$AZ$22, "Error", 0)</f>
        <v/>
      </c>
      <c r="F50" s="30">
        <f t="array" ref="F50">_xlfn.XLOOKUP(MIN(ABS($AY$6:$AY$22 - MEDIAN(-2, 2, F21))), ABS($AY$6:$AY$22 - MEDIAN(-2, 2, F21)), $AZ$6:$AZ$22, "Error", 0)</f>
        <v/>
      </c>
      <c r="G50" s="30">
        <f t="array" ref="G50">_xlfn.XLOOKUP(MIN(ABS($AY$6:$AY$22 - MEDIAN(-2, 2, G21))), ABS($AY$6:$AY$22 - MEDIAN(-2, 2, G21)), $AZ$6:$AZ$22, "Error", 0)</f>
        <v/>
      </c>
      <c r="H50" s="30">
        <f t="array" ref="H50">_xlfn.XLOOKUP(MIN(ABS($AY$6:$AY$22 - MEDIAN(-2, 2, H21))), ABS($AY$6:$AY$22 - MEDIAN(-2, 2, H21)), $AZ$6:$AZ$22, "Error", 0)</f>
        <v/>
      </c>
      <c r="I50" s="30">
        <f t="array" ref="I50">_xlfn.XLOOKUP(MIN(ABS($AY$6:$AY$22 - MEDIAN(-2, 2, I21))), ABS($AY$6:$AY$22 - MEDIAN(-2, 2, I21)), $AZ$6:$AZ$22, "Error", 0)</f>
        <v/>
      </c>
      <c r="J50" s="30">
        <f t="array" ref="J50">_xlfn.XLOOKUP(MIN(ABS($AY$6:$AY$22 - MEDIAN(-2, 2, J21))), ABS($AY$6:$AY$22 - MEDIAN(-2, 2, J21)), $AZ$6:$AZ$22, "Error", 0)</f>
        <v/>
      </c>
      <c r="K50" s="30">
        <f t="array" ref="K50">_xlfn.XLOOKUP(MIN(ABS($AY$6:$AY$22 - MEDIAN(-2, 2, K21))), ABS($AY$6:$AY$22 - MEDIAN(-2, 2, K21)), $AZ$6:$AZ$22, "Error", 0)</f>
        <v/>
      </c>
      <c r="L50" s="30">
        <f t="array" ref="L50">_xlfn.XLOOKUP(MIN(ABS($AY$6:$AY$22 - MEDIAN(-2, 2, L21))), ABS($AY$6:$AY$22 - MEDIAN(-2, 2, L21)), $AZ$6:$AZ$22, "Error", 0)</f>
        <v/>
      </c>
      <c r="M50" s="30">
        <f t="array" ref="M50">_xlfn.XLOOKUP(MIN(ABS($AY$6:$AY$22 - MEDIAN(-2, 2, M21))), ABS($AY$6:$AY$22 - MEDIAN(-2, 2, M21)), $AZ$6:$AZ$22, "Error", 0)</f>
        <v/>
      </c>
      <c r="N50" s="30">
        <f t="array" ref="N50">_xlfn.XLOOKUP(MIN(ABS($AY$6:$AY$22 - MEDIAN(-2, 2, N21))), ABS($AY$6:$AY$22 - MEDIAN(-2, 2, N21)), $AZ$6:$AZ$22, "Error", 0)</f>
        <v/>
      </c>
      <c r="O50" s="30">
        <f t="array" ref="O50">_xlfn.XLOOKUP(MIN(ABS($AY$6:$AY$22 - MEDIAN(-2, 2, O21))), ABS($AY$6:$AY$22 - MEDIAN(-2, 2, O21)), $AZ$6:$AZ$22, "Error", 0)</f>
        <v/>
      </c>
      <c r="P50" s="30">
        <f t="array" ref="P50">_xlfn.XLOOKUP(MIN(ABS($AY$6:$AY$22 - MEDIAN(-2, 2, P21))), ABS($AY$6:$AY$22 - MEDIAN(-2, 2, P21)), $AZ$6:$AZ$22, "Error", 0)</f>
        <v/>
      </c>
      <c r="Q50" s="30">
        <f t="array" ref="Q50">_xlfn.XLOOKUP(MIN(ABS($AY$6:$AY$22 - MEDIAN(-2, 2, Q21))), ABS($AY$6:$AY$22 - MEDIAN(-2, 2, Q21)), $AZ$6:$AZ$22, "Error", 0)</f>
        <v/>
      </c>
      <c r="R50" s="30">
        <f t="array" ref="R50">_xlfn.XLOOKUP(MIN(ABS($AY$6:$AY$22 - MEDIAN(-2, 2, R21))), ABS($AY$6:$AY$22 - MEDIAN(-2, 2, R21)), $AZ$6:$AZ$22, "Error", 0)</f>
        <v/>
      </c>
      <c r="S50" s="30">
        <f t="array" ref="S50">_xlfn.XLOOKUP(MIN(ABS($AY$6:$AY$22 - MEDIAN(-2, 2, S21))), ABS($AY$6:$AY$22 - MEDIAN(-2, 2, S21)), $AZ$6:$AZ$22, "Error", 0)</f>
        <v/>
      </c>
      <c r="T50" s="30">
        <f t="array" ref="T50">_xlfn.XLOOKUP(MIN(ABS($AY$6:$AY$22 - MEDIAN(-2, 2, T21))), ABS($AY$6:$AY$22 - MEDIAN(-2, 2, T21)), $AZ$6:$AZ$22, "Error", 0)</f>
        <v/>
      </c>
      <c r="U50" s="30">
        <f t="array" ref="U50">_xlfn.XLOOKUP(MIN(ABS($AY$6:$AY$22 - MEDIAN(-2, 2, U21))), ABS($AY$6:$AY$22 - MEDIAN(-2, 2, U21)), $AZ$6:$AZ$22, "Error", 0)</f>
        <v/>
      </c>
      <c r="V50" s="30">
        <f t="array" ref="V50">_xlfn.XLOOKUP(MIN(ABS($AY$6:$AY$22 - MEDIAN(-2, 2, V21))), ABS($AY$6:$AY$22 - MEDIAN(-2, 2, V21)), $AZ$6:$AZ$22, "Error", 0)</f>
        <v/>
      </c>
      <c r="W50" s="30">
        <f t="array" ref="W50">_xlfn.XLOOKUP(MIN(ABS($AY$6:$AY$22 - MEDIAN(-2, 2, W21))), ABS($AY$6:$AY$22 - MEDIAN(-2, 2, W21)), $AZ$6:$AZ$22, "Error", 0)</f>
        <v/>
      </c>
      <c r="X50" s="30">
        <f t="array" ref="X50">_xlfn.XLOOKUP(MIN(ABS($AY$6:$AY$22 - MEDIAN(-2, 2, X21))), ABS($AY$6:$AY$22 - MEDIAN(-2, 2, X21)), $AZ$6:$AZ$22, "Error", 0)</f>
        <v/>
      </c>
      <c r="Y50" s="30">
        <f t="array" ref="Y50">_xlfn.XLOOKUP(MIN(ABS($AY$6:$AY$22 - MEDIAN(-2, 2, Y21))), ABS($AY$6:$AY$22 - MEDIAN(-2, 2, Y21)), $AZ$6:$AZ$22, "Error", 0)</f>
        <v/>
      </c>
      <c r="Z50" s="30">
        <f t="array" ref="Z50">_xlfn.XLOOKUP(MIN(ABS($AY$6:$AY$22 - MEDIAN(-2, 2, Z21))), ABS($AY$6:$AY$22 - MEDIAN(-2, 2, Z21)), $AZ$6:$AZ$22, "Error", 0)</f>
        <v/>
      </c>
      <c r="AA50" s="30">
        <f t="array" ref="AA50">_xlfn.XLOOKUP(MIN(ABS($AY$6:$AY$22 - MEDIAN(-2, 2, AA21))), ABS($AY$6:$AY$22 - MEDIAN(-2, 2, AA21)), $AZ$6:$AZ$22, "Error", 0)</f>
        <v/>
      </c>
      <c r="AB50" s="30">
        <f t="array" ref="AB50">_xlfn.XLOOKUP(MIN(ABS($AY$6:$AY$22 - MEDIAN(-2, 2, AB21))), ABS($AY$6:$AY$22 - MEDIAN(-2, 2, AB21)), $AZ$6:$AZ$22, "Error", 0)</f>
        <v/>
      </c>
      <c r="AC50" s="30">
        <f t="array" ref="AC50">_xlfn.XLOOKUP(MIN(ABS($AY$6:$AY$22 - MEDIAN(-2, 2, AC21))), ABS($AY$6:$AY$22 - MEDIAN(-2, 2, AC21)), $AZ$6:$AZ$22, "Error", 0)</f>
        <v/>
      </c>
      <c r="AD50" s="30">
        <f t="array" ref="AD50">_xlfn.XLOOKUP(MIN(ABS($AY$6:$AY$22 - MEDIAN(-2, 2, AD21))), ABS($AY$6:$AY$22 - MEDIAN(-2, 2, AD21)), $AZ$6:$AZ$22, "Error", 0)</f>
        <v/>
      </c>
      <c r="AE50" s="30">
        <f t="array" ref="AE50">_xlfn.XLOOKUP(MIN(ABS($AY$6:$AY$22 - MEDIAN(-2, 2, AE21))), ABS($AY$6:$AY$22 - MEDIAN(-2, 2, AE21)), $AZ$6:$AZ$22, "Error", 0)</f>
        <v/>
      </c>
      <c r="AF50" s="30">
        <f t="array" ref="AF50">_xlfn.XLOOKUP(MIN(ABS($AY$6:$AY$22 - MEDIAN(-2, 2, AF21))), ABS($AY$6:$AY$22 - MEDIAN(-2, 2, AF21)), $AZ$6:$AZ$22, "Error", 0)</f>
        <v/>
      </c>
      <c r="AG50" s="30">
        <f t="array" ref="AG50">_xlfn.XLOOKUP(MIN(ABS($AY$6:$AY$22 - MEDIAN(-2, 2, AG21))), ABS($AY$6:$AY$22 - MEDIAN(-2, 2, AG21)), $AZ$6:$AZ$22, "Error", 0)</f>
        <v/>
      </c>
      <c r="AH50" s="30">
        <f t="array" ref="AH50">_xlfn.XLOOKUP(MIN(ABS($AY$6:$AY$22 - MEDIAN(-2, 2, AH21))), ABS($AY$6:$AY$22 - MEDIAN(-2, 2, AH21)), $AZ$6:$AZ$22, "Error", 0)</f>
        <v/>
      </c>
      <c r="AI50" s="30">
        <f t="array" ref="AI50">_xlfn.XLOOKUP(MIN(ABS($AY$6:$AY$22 - MEDIAN(-2, 2, AI21))), ABS($AY$6:$AY$22 - MEDIAN(-2, 2, AI21)), $AZ$6:$AZ$22, "Error", 0)</f>
        <v/>
      </c>
      <c r="AJ50" s="30">
        <f t="array" ref="AJ50">_xlfn.XLOOKUP(MIN(ABS($AY$6:$AY$22 - MEDIAN(-2, 2, AJ21))), ABS($AY$6:$AY$22 - MEDIAN(-2, 2, AJ21)), $AZ$6:$AZ$22, "Error", 0)</f>
        <v/>
      </c>
      <c r="AK50" s="30">
        <f t="array" ref="AK50">_xlfn.XLOOKUP(MIN(ABS($AY$6:$AY$22 - MEDIAN(-2, 2, AK21))), ABS($AY$6:$AY$22 - MEDIAN(-2, 2, AK21)), $AZ$6:$AZ$22, "Error", 0)</f>
        <v/>
      </c>
      <c r="AL50" s="30">
        <f t="array" ref="AL50">_xlfn.XLOOKUP(MIN(ABS($AY$6:$AY$22 - MEDIAN(-2, 2, AL21))), ABS($AY$6:$AY$22 - MEDIAN(-2, 2, AL21)), $AZ$6:$AZ$22, "Error", 0)</f>
        <v/>
      </c>
      <c r="AM50" s="30">
        <f t="array" ref="AM50">_xlfn.XLOOKUP(MIN(ABS($AY$6:$AY$22 - MEDIAN(-2, 2, AM21))), ABS($AY$6:$AY$22 - MEDIAN(-2, 2, AM21)), $AZ$6:$AZ$22, "Error", 0)</f>
        <v/>
      </c>
      <c r="AN50" s="30">
        <f t="array" ref="AN50">_xlfn.XLOOKUP(MIN(ABS($AY$6:$AY$22 - MEDIAN(-2, 2, AN21))), ABS($AY$6:$AY$22 - MEDIAN(-2, 2, AN21)), $AZ$6:$AZ$22, "Error", 0)</f>
        <v/>
      </c>
      <c r="AO50" s="30">
        <f t="array" ref="AO50">_xlfn.XLOOKUP(MIN(ABS($AY$6:$AY$22 - MEDIAN(-2, 2, AO21))), ABS($AY$6:$AY$22 - MEDIAN(-2, 2, AO21)), $AZ$6:$AZ$22, "Error", 0)</f>
        <v/>
      </c>
      <c r="AP50" s="30">
        <f t="array" ref="AP50">_xlfn.XLOOKUP(MIN(ABS($AY$6:$AY$22 - MEDIAN(-2, 2, AP21))), ABS($AY$6:$AY$22 - MEDIAN(-2, 2, AP21)), $AZ$6:$AZ$22, "Error", 0)</f>
        <v/>
      </c>
      <c r="AQ50" s="30">
        <f t="array" ref="AQ50">_xlfn.XLOOKUP(MIN(ABS($AY$6:$AY$22 - MEDIAN(-2, 2, AQ21))), ABS($AY$6:$AY$22 - MEDIAN(-2, 2, AQ21)), $AZ$6:$AZ$22, "Error", 0)</f>
        <v/>
      </c>
      <c r="AR50" s="30">
        <f t="array" ref="AR50">_xlfn.XLOOKUP(MIN(ABS($AY$6:$AY$22 - MEDIAN(-2, 2, AR21))), ABS($AY$6:$AY$22 - MEDIAN(-2, 2, AR21)), $AZ$6:$AZ$22, "Error", 0)</f>
        <v/>
      </c>
      <c r="AS50" s="30">
        <f t="array" ref="AS50">_xlfn.XLOOKUP(MIN(ABS($AY$6:$AY$22 - MEDIAN(-2, 2, AS21))), ABS($AY$6:$AY$22 - MEDIAN(-2, 2, AS21)), $AZ$6:$AZ$22, "Error", 0)</f>
        <v/>
      </c>
      <c r="AT50" s="30">
        <f t="array" ref="AT50">_xlfn.XLOOKUP(MIN(ABS($AY$6:$AY$22 - MEDIAN(-2, 2, AT21))), ABS($AY$6:$AY$22 - MEDIAN(-2, 2, AT21)), $AZ$6:$AZ$22, "Error", 0)</f>
        <v/>
      </c>
      <c r="AU50" s="30">
        <f t="array" ref="AU50">_xlfn.XLOOKUP(MIN(ABS($AY$6:$AY$22 - MEDIAN(-2, 2, AU21))), ABS($AY$6:$AY$22 - MEDIAN(-2, 2, AU21)), $AZ$6:$AZ$22, "Error", 0)</f>
        <v/>
      </c>
      <c r="AV50" s="30">
        <f t="array" ref="AV50">_xlfn.XLOOKUP(MIN(ABS($AY$6:$AY$22 - MEDIAN(-2, 2, AV21))), ABS($AY$6:$AY$22 - MEDIAN(-2, 2, AV21)), $AZ$6:$AZ$22, "Error", 0)</f>
        <v/>
      </c>
      <c r="AW50" s="30">
        <f t="array" ref="AW50">_xlfn.XLOOKUP(MIN(ABS($AY$6:$AY$22 - MEDIAN(-2, 2, AW21))), ABS($AY$6:$AY$22 - MEDIAN(-2, 2, AW21)), $AZ$6:$AZ$22, "Error", 0)</f>
        <v/>
      </c>
    </row>
    <row r="51" ht="25" customHeight="1">
      <c r="A51" s="46" t="inlineStr">
        <is>
          <t>EUR CAD</t>
        </is>
      </c>
      <c r="B51" s="30">
        <f t="array" ref="B51">_xlfn.XLOOKUP(MIN(ABS($AY$6:$AY$22 - MEDIAN(-2, 2, B22))), ABS($AY$6:$AY$22 - MEDIAN(-2, 2, B22)), $AZ$6:$AZ$22, "Error", 0)</f>
        <v/>
      </c>
      <c r="C51" s="30">
        <f t="array" ref="C51">_xlfn.XLOOKUP(MIN(ABS($AY$6:$AY$22 - MEDIAN(-2, 2, C22))), ABS($AY$6:$AY$22 - MEDIAN(-2, 2, C22)), $AZ$6:$AZ$22, "Error", 0)</f>
        <v/>
      </c>
      <c r="D51" s="30">
        <f t="array" ref="D51">_xlfn.XLOOKUP(MIN(ABS($AY$6:$AY$22 - MEDIAN(-2, 2, D22))), ABS($AY$6:$AY$22 - MEDIAN(-2, 2, D22)), $AZ$6:$AZ$22, "Error", 0)</f>
        <v/>
      </c>
      <c r="E51" s="30">
        <f t="array" ref="E51">_xlfn.XLOOKUP(MIN(ABS($AY$6:$AY$22 - MEDIAN(-2, 2, E22))), ABS($AY$6:$AY$22 - MEDIAN(-2, 2, E22)), $AZ$6:$AZ$22, "Error", 0)</f>
        <v/>
      </c>
      <c r="F51" s="30">
        <f t="array" ref="F51">_xlfn.XLOOKUP(MIN(ABS($AY$6:$AY$22 - MEDIAN(-2, 2, F22))), ABS($AY$6:$AY$22 - MEDIAN(-2, 2, F22)), $AZ$6:$AZ$22, "Error", 0)</f>
        <v/>
      </c>
      <c r="G51" s="30">
        <f t="array" ref="G51">_xlfn.XLOOKUP(MIN(ABS($AY$6:$AY$22 - MEDIAN(-2, 2, G22))), ABS($AY$6:$AY$22 - MEDIAN(-2, 2, G22)), $AZ$6:$AZ$22, "Error", 0)</f>
        <v/>
      </c>
      <c r="H51" s="30">
        <f t="array" ref="H51">_xlfn.XLOOKUP(MIN(ABS($AY$6:$AY$22 - MEDIAN(-2, 2, H22))), ABS($AY$6:$AY$22 - MEDIAN(-2, 2, H22)), $AZ$6:$AZ$22, "Error", 0)</f>
        <v/>
      </c>
      <c r="I51" s="30">
        <f t="array" ref="I51">_xlfn.XLOOKUP(MIN(ABS($AY$6:$AY$22 - MEDIAN(-2, 2, I22))), ABS($AY$6:$AY$22 - MEDIAN(-2, 2, I22)), $AZ$6:$AZ$22, "Error", 0)</f>
        <v/>
      </c>
      <c r="J51" s="30">
        <f t="array" ref="J51">_xlfn.XLOOKUP(MIN(ABS($AY$6:$AY$22 - MEDIAN(-2, 2, J22))), ABS($AY$6:$AY$22 - MEDIAN(-2, 2, J22)), $AZ$6:$AZ$22, "Error", 0)</f>
        <v/>
      </c>
      <c r="K51" s="30">
        <f t="array" ref="K51">_xlfn.XLOOKUP(MIN(ABS($AY$6:$AY$22 - MEDIAN(-2, 2, K22))), ABS($AY$6:$AY$22 - MEDIAN(-2, 2, K22)), $AZ$6:$AZ$22, "Error", 0)</f>
        <v/>
      </c>
      <c r="L51" s="30">
        <f t="array" ref="L51">_xlfn.XLOOKUP(MIN(ABS($AY$6:$AY$22 - MEDIAN(-2, 2, L22))), ABS($AY$6:$AY$22 - MEDIAN(-2, 2, L22)), $AZ$6:$AZ$22, "Error", 0)</f>
        <v/>
      </c>
      <c r="M51" s="30">
        <f t="array" ref="M51">_xlfn.XLOOKUP(MIN(ABS($AY$6:$AY$22 - MEDIAN(-2, 2, M22))), ABS($AY$6:$AY$22 - MEDIAN(-2, 2, M22)), $AZ$6:$AZ$22, "Error", 0)</f>
        <v/>
      </c>
      <c r="N51" s="30">
        <f t="array" ref="N51">_xlfn.XLOOKUP(MIN(ABS($AY$6:$AY$22 - MEDIAN(-2, 2, N22))), ABS($AY$6:$AY$22 - MEDIAN(-2, 2, N22)), $AZ$6:$AZ$22, "Error", 0)</f>
        <v/>
      </c>
      <c r="O51" s="30">
        <f t="array" ref="O51">_xlfn.XLOOKUP(MIN(ABS($AY$6:$AY$22 - MEDIAN(-2, 2, O22))), ABS($AY$6:$AY$22 - MEDIAN(-2, 2, O22)), $AZ$6:$AZ$22, "Error", 0)</f>
        <v/>
      </c>
      <c r="P51" s="30">
        <f t="array" ref="P51">_xlfn.XLOOKUP(MIN(ABS($AY$6:$AY$22 - MEDIAN(-2, 2, P22))), ABS($AY$6:$AY$22 - MEDIAN(-2, 2, P22)), $AZ$6:$AZ$22, "Error", 0)</f>
        <v/>
      </c>
      <c r="Q51" s="30">
        <f t="array" ref="Q51">_xlfn.XLOOKUP(MIN(ABS($AY$6:$AY$22 - MEDIAN(-2, 2, Q22))), ABS($AY$6:$AY$22 - MEDIAN(-2, 2, Q22)), $AZ$6:$AZ$22, "Error", 0)</f>
        <v/>
      </c>
      <c r="R51" s="30">
        <f t="array" ref="R51">_xlfn.XLOOKUP(MIN(ABS($AY$6:$AY$22 - MEDIAN(-2, 2, R22))), ABS($AY$6:$AY$22 - MEDIAN(-2, 2, R22)), $AZ$6:$AZ$22, "Error", 0)</f>
        <v/>
      </c>
      <c r="S51" s="30">
        <f t="array" ref="S51">_xlfn.XLOOKUP(MIN(ABS($AY$6:$AY$22 - MEDIAN(-2, 2, S22))), ABS($AY$6:$AY$22 - MEDIAN(-2, 2, S22)), $AZ$6:$AZ$22, "Error", 0)</f>
        <v/>
      </c>
      <c r="T51" s="30">
        <f t="array" ref="T51">_xlfn.XLOOKUP(MIN(ABS($AY$6:$AY$22 - MEDIAN(-2, 2, T22))), ABS($AY$6:$AY$22 - MEDIAN(-2, 2, T22)), $AZ$6:$AZ$22, "Error", 0)</f>
        <v/>
      </c>
      <c r="U51" s="30">
        <f t="array" ref="U51">_xlfn.XLOOKUP(MIN(ABS($AY$6:$AY$22 - MEDIAN(-2, 2, U22))), ABS($AY$6:$AY$22 - MEDIAN(-2, 2, U22)), $AZ$6:$AZ$22, "Error", 0)</f>
        <v/>
      </c>
      <c r="V51" s="30">
        <f t="array" ref="V51">_xlfn.XLOOKUP(MIN(ABS($AY$6:$AY$22 - MEDIAN(-2, 2, V22))), ABS($AY$6:$AY$22 - MEDIAN(-2, 2, V22)), $AZ$6:$AZ$22, "Error", 0)</f>
        <v/>
      </c>
      <c r="W51" s="30">
        <f t="array" ref="W51">_xlfn.XLOOKUP(MIN(ABS($AY$6:$AY$22 - MEDIAN(-2, 2, W22))), ABS($AY$6:$AY$22 - MEDIAN(-2, 2, W22)), $AZ$6:$AZ$22, "Error", 0)</f>
        <v/>
      </c>
      <c r="X51" s="30">
        <f t="array" ref="X51">_xlfn.XLOOKUP(MIN(ABS($AY$6:$AY$22 - MEDIAN(-2, 2, X22))), ABS($AY$6:$AY$22 - MEDIAN(-2, 2, X22)), $AZ$6:$AZ$22, "Error", 0)</f>
        <v/>
      </c>
      <c r="Y51" s="30">
        <f t="array" ref="Y51">_xlfn.XLOOKUP(MIN(ABS($AY$6:$AY$22 - MEDIAN(-2, 2, Y22))), ABS($AY$6:$AY$22 - MEDIAN(-2, 2, Y22)), $AZ$6:$AZ$22, "Error", 0)</f>
        <v/>
      </c>
      <c r="Z51" s="30">
        <f t="array" ref="Z51">_xlfn.XLOOKUP(MIN(ABS($AY$6:$AY$22 - MEDIAN(-2, 2, Z22))), ABS($AY$6:$AY$22 - MEDIAN(-2, 2, Z22)), $AZ$6:$AZ$22, "Error", 0)</f>
        <v/>
      </c>
      <c r="AA51" s="30">
        <f t="array" ref="AA51">_xlfn.XLOOKUP(MIN(ABS($AY$6:$AY$22 - MEDIAN(-2, 2, AA22))), ABS($AY$6:$AY$22 - MEDIAN(-2, 2, AA22)), $AZ$6:$AZ$22, "Error", 0)</f>
        <v/>
      </c>
      <c r="AB51" s="30">
        <f t="array" ref="AB51">_xlfn.XLOOKUP(MIN(ABS($AY$6:$AY$22 - MEDIAN(-2, 2, AB22))), ABS($AY$6:$AY$22 - MEDIAN(-2, 2, AB22)), $AZ$6:$AZ$22, "Error", 0)</f>
        <v/>
      </c>
      <c r="AC51" s="30">
        <f t="array" ref="AC51">_xlfn.XLOOKUP(MIN(ABS($AY$6:$AY$22 - MEDIAN(-2, 2, AC22))), ABS($AY$6:$AY$22 - MEDIAN(-2, 2, AC22)), $AZ$6:$AZ$22, "Error", 0)</f>
        <v/>
      </c>
      <c r="AD51" s="30">
        <f t="array" ref="AD51">_xlfn.XLOOKUP(MIN(ABS($AY$6:$AY$22 - MEDIAN(-2, 2, AD22))), ABS($AY$6:$AY$22 - MEDIAN(-2, 2, AD22)), $AZ$6:$AZ$22, "Error", 0)</f>
        <v/>
      </c>
      <c r="AE51" s="30">
        <f t="array" ref="AE51">_xlfn.XLOOKUP(MIN(ABS($AY$6:$AY$22 - MEDIAN(-2, 2, AE22))), ABS($AY$6:$AY$22 - MEDIAN(-2, 2, AE22)), $AZ$6:$AZ$22, "Error", 0)</f>
        <v/>
      </c>
      <c r="AF51" s="30">
        <f t="array" ref="AF51">_xlfn.XLOOKUP(MIN(ABS($AY$6:$AY$22 - MEDIAN(-2, 2, AF22))), ABS($AY$6:$AY$22 - MEDIAN(-2, 2, AF22)), $AZ$6:$AZ$22, "Error", 0)</f>
        <v/>
      </c>
      <c r="AG51" s="30">
        <f t="array" ref="AG51">_xlfn.XLOOKUP(MIN(ABS($AY$6:$AY$22 - MEDIAN(-2, 2, AG22))), ABS($AY$6:$AY$22 - MEDIAN(-2, 2, AG22)), $AZ$6:$AZ$22, "Error", 0)</f>
        <v/>
      </c>
      <c r="AH51" s="30">
        <f t="array" ref="AH51">_xlfn.XLOOKUP(MIN(ABS($AY$6:$AY$22 - MEDIAN(-2, 2, AH22))), ABS($AY$6:$AY$22 - MEDIAN(-2, 2, AH22)), $AZ$6:$AZ$22, "Error", 0)</f>
        <v/>
      </c>
      <c r="AI51" s="30">
        <f t="array" ref="AI51">_xlfn.XLOOKUP(MIN(ABS($AY$6:$AY$22 - MEDIAN(-2, 2, AI22))), ABS($AY$6:$AY$22 - MEDIAN(-2, 2, AI22)), $AZ$6:$AZ$22, "Error", 0)</f>
        <v/>
      </c>
      <c r="AJ51" s="30">
        <f t="array" ref="AJ51">_xlfn.XLOOKUP(MIN(ABS($AY$6:$AY$22 - MEDIAN(-2, 2, AJ22))), ABS($AY$6:$AY$22 - MEDIAN(-2, 2, AJ22)), $AZ$6:$AZ$22, "Error", 0)</f>
        <v/>
      </c>
      <c r="AK51" s="30">
        <f t="array" ref="AK51">_xlfn.XLOOKUP(MIN(ABS($AY$6:$AY$22 - MEDIAN(-2, 2, AK22))), ABS($AY$6:$AY$22 - MEDIAN(-2, 2, AK22)), $AZ$6:$AZ$22, "Error", 0)</f>
        <v/>
      </c>
      <c r="AL51" s="30">
        <f t="array" ref="AL51">_xlfn.XLOOKUP(MIN(ABS($AY$6:$AY$22 - MEDIAN(-2, 2, AL22))), ABS($AY$6:$AY$22 - MEDIAN(-2, 2, AL22)), $AZ$6:$AZ$22, "Error", 0)</f>
        <v/>
      </c>
      <c r="AM51" s="30">
        <f t="array" ref="AM51">_xlfn.XLOOKUP(MIN(ABS($AY$6:$AY$22 - MEDIAN(-2, 2, AM22))), ABS($AY$6:$AY$22 - MEDIAN(-2, 2, AM22)), $AZ$6:$AZ$22, "Error", 0)</f>
        <v/>
      </c>
      <c r="AN51" s="30">
        <f t="array" ref="AN51">_xlfn.XLOOKUP(MIN(ABS($AY$6:$AY$22 - MEDIAN(-2, 2, AN22))), ABS($AY$6:$AY$22 - MEDIAN(-2, 2, AN22)), $AZ$6:$AZ$22, "Error", 0)</f>
        <v/>
      </c>
      <c r="AO51" s="30">
        <f t="array" ref="AO51">_xlfn.XLOOKUP(MIN(ABS($AY$6:$AY$22 - MEDIAN(-2, 2, AO22))), ABS($AY$6:$AY$22 - MEDIAN(-2, 2, AO22)), $AZ$6:$AZ$22, "Error", 0)</f>
        <v/>
      </c>
      <c r="AP51" s="30">
        <f t="array" ref="AP51">_xlfn.XLOOKUP(MIN(ABS($AY$6:$AY$22 - MEDIAN(-2, 2, AP22))), ABS($AY$6:$AY$22 - MEDIAN(-2, 2, AP22)), $AZ$6:$AZ$22, "Error", 0)</f>
        <v/>
      </c>
      <c r="AQ51" s="30">
        <f t="array" ref="AQ51">_xlfn.XLOOKUP(MIN(ABS($AY$6:$AY$22 - MEDIAN(-2, 2, AQ22))), ABS($AY$6:$AY$22 - MEDIAN(-2, 2, AQ22)), $AZ$6:$AZ$22, "Error", 0)</f>
        <v/>
      </c>
      <c r="AR51" s="30">
        <f t="array" ref="AR51">_xlfn.XLOOKUP(MIN(ABS($AY$6:$AY$22 - MEDIAN(-2, 2, AR22))), ABS($AY$6:$AY$22 - MEDIAN(-2, 2, AR22)), $AZ$6:$AZ$22, "Error", 0)</f>
        <v/>
      </c>
      <c r="AS51" s="30">
        <f t="array" ref="AS51">_xlfn.XLOOKUP(MIN(ABS($AY$6:$AY$22 - MEDIAN(-2, 2, AS22))), ABS($AY$6:$AY$22 - MEDIAN(-2, 2, AS22)), $AZ$6:$AZ$22, "Error", 0)</f>
        <v/>
      </c>
      <c r="AT51" s="30">
        <f t="array" ref="AT51">_xlfn.XLOOKUP(MIN(ABS($AY$6:$AY$22 - MEDIAN(-2, 2, AT22))), ABS($AY$6:$AY$22 - MEDIAN(-2, 2, AT22)), $AZ$6:$AZ$22, "Error", 0)</f>
        <v/>
      </c>
      <c r="AU51" s="30">
        <f t="array" ref="AU51">_xlfn.XLOOKUP(MIN(ABS($AY$6:$AY$22 - MEDIAN(-2, 2, AU22))), ABS($AY$6:$AY$22 - MEDIAN(-2, 2, AU22)), $AZ$6:$AZ$22, "Error", 0)</f>
        <v/>
      </c>
      <c r="AV51" s="30">
        <f t="array" ref="AV51">_xlfn.XLOOKUP(MIN(ABS($AY$6:$AY$22 - MEDIAN(-2, 2, AV22))), ABS($AY$6:$AY$22 - MEDIAN(-2, 2, AV22)), $AZ$6:$AZ$22, "Error", 0)</f>
        <v/>
      </c>
      <c r="AW51" s="30">
        <f t="array" ref="AW51">_xlfn.XLOOKUP(MIN(ABS($AY$6:$AY$22 - MEDIAN(-2, 2, AW22))), ABS($AY$6:$AY$22 - MEDIAN(-2, 2, AW22)), $AZ$6:$AZ$22, "Error", 0)</f>
        <v/>
      </c>
    </row>
    <row r="52" ht="25" customHeight="1">
      <c r="A52" s="46" t="inlineStr">
        <is>
          <t>EUR AUD</t>
        </is>
      </c>
      <c r="B52" s="30">
        <f t="array" ref="B52">_xlfn.XLOOKUP(MIN(ABS($AY$6:$AY$22 - MEDIAN(-2, 2, B23))), ABS($AY$6:$AY$22 - MEDIAN(-2, 2, B23)), $AZ$6:$AZ$22, "Error", 0)</f>
        <v/>
      </c>
      <c r="C52" s="30">
        <f t="array" ref="C52">_xlfn.XLOOKUP(MIN(ABS($AY$6:$AY$22 - MEDIAN(-2, 2, C23))), ABS($AY$6:$AY$22 - MEDIAN(-2, 2, C23)), $AZ$6:$AZ$22, "Error", 0)</f>
        <v/>
      </c>
      <c r="D52" s="30">
        <f t="array" ref="D52">_xlfn.XLOOKUP(MIN(ABS($AY$6:$AY$22 - MEDIAN(-2, 2, D23))), ABS($AY$6:$AY$22 - MEDIAN(-2, 2, D23)), $AZ$6:$AZ$22, "Error", 0)</f>
        <v/>
      </c>
      <c r="E52" s="30">
        <f t="array" ref="E52">_xlfn.XLOOKUP(MIN(ABS($AY$6:$AY$22 - MEDIAN(-2, 2, E23))), ABS($AY$6:$AY$22 - MEDIAN(-2, 2, E23)), $AZ$6:$AZ$22, "Error", 0)</f>
        <v/>
      </c>
      <c r="F52" s="30">
        <f t="array" ref="F52">_xlfn.XLOOKUP(MIN(ABS($AY$6:$AY$22 - MEDIAN(-2, 2, F23))), ABS($AY$6:$AY$22 - MEDIAN(-2, 2, F23)), $AZ$6:$AZ$22, "Error", 0)</f>
        <v/>
      </c>
      <c r="G52" s="30">
        <f t="array" ref="G52">_xlfn.XLOOKUP(MIN(ABS($AY$6:$AY$22 - MEDIAN(-2, 2, G23))), ABS($AY$6:$AY$22 - MEDIAN(-2, 2, G23)), $AZ$6:$AZ$22, "Error", 0)</f>
        <v/>
      </c>
      <c r="H52" s="30">
        <f t="array" ref="H52">_xlfn.XLOOKUP(MIN(ABS($AY$6:$AY$22 - MEDIAN(-2, 2, H23))), ABS($AY$6:$AY$22 - MEDIAN(-2, 2, H23)), $AZ$6:$AZ$22, "Error", 0)</f>
        <v/>
      </c>
      <c r="I52" s="30">
        <f t="array" ref="I52">_xlfn.XLOOKUP(MIN(ABS($AY$6:$AY$22 - MEDIAN(-2, 2, I23))), ABS($AY$6:$AY$22 - MEDIAN(-2, 2, I23)), $AZ$6:$AZ$22, "Error", 0)</f>
        <v/>
      </c>
      <c r="J52" s="30">
        <f t="array" ref="J52">_xlfn.XLOOKUP(MIN(ABS($AY$6:$AY$22 - MEDIAN(-2, 2, J23))), ABS($AY$6:$AY$22 - MEDIAN(-2, 2, J23)), $AZ$6:$AZ$22, "Error", 0)</f>
        <v/>
      </c>
      <c r="K52" s="30">
        <f t="array" ref="K52">_xlfn.XLOOKUP(MIN(ABS($AY$6:$AY$22 - MEDIAN(-2, 2, K23))), ABS($AY$6:$AY$22 - MEDIAN(-2, 2, K23)), $AZ$6:$AZ$22, "Error", 0)</f>
        <v/>
      </c>
      <c r="L52" s="30">
        <f t="array" ref="L52">_xlfn.XLOOKUP(MIN(ABS($AY$6:$AY$22 - MEDIAN(-2, 2, L23))), ABS($AY$6:$AY$22 - MEDIAN(-2, 2, L23)), $AZ$6:$AZ$22, "Error", 0)</f>
        <v/>
      </c>
      <c r="M52" s="30">
        <f t="array" ref="M52">_xlfn.XLOOKUP(MIN(ABS($AY$6:$AY$22 - MEDIAN(-2, 2, M23))), ABS($AY$6:$AY$22 - MEDIAN(-2, 2, M23)), $AZ$6:$AZ$22, "Error", 0)</f>
        <v/>
      </c>
      <c r="N52" s="30">
        <f t="array" ref="N52">_xlfn.XLOOKUP(MIN(ABS($AY$6:$AY$22 - MEDIAN(-2, 2, N23))), ABS($AY$6:$AY$22 - MEDIAN(-2, 2, N23)), $AZ$6:$AZ$22, "Error", 0)</f>
        <v/>
      </c>
      <c r="O52" s="30">
        <f t="array" ref="O52">_xlfn.XLOOKUP(MIN(ABS($AY$6:$AY$22 - MEDIAN(-2, 2, O23))), ABS($AY$6:$AY$22 - MEDIAN(-2, 2, O23)), $AZ$6:$AZ$22, "Error", 0)</f>
        <v/>
      </c>
      <c r="P52" s="30">
        <f t="array" ref="P52">_xlfn.XLOOKUP(MIN(ABS($AY$6:$AY$22 - MEDIAN(-2, 2, P23))), ABS($AY$6:$AY$22 - MEDIAN(-2, 2, P23)), $AZ$6:$AZ$22, "Error", 0)</f>
        <v/>
      </c>
      <c r="Q52" s="30">
        <f t="array" ref="Q52">_xlfn.XLOOKUP(MIN(ABS($AY$6:$AY$22 - MEDIAN(-2, 2, Q23))), ABS($AY$6:$AY$22 - MEDIAN(-2, 2, Q23)), $AZ$6:$AZ$22, "Error", 0)</f>
        <v/>
      </c>
      <c r="R52" s="30">
        <f t="array" ref="R52">_xlfn.XLOOKUP(MIN(ABS($AY$6:$AY$22 - MEDIAN(-2, 2, R23))), ABS($AY$6:$AY$22 - MEDIAN(-2, 2, R23)), $AZ$6:$AZ$22, "Error", 0)</f>
        <v/>
      </c>
      <c r="S52" s="30">
        <f t="array" ref="S52">_xlfn.XLOOKUP(MIN(ABS($AY$6:$AY$22 - MEDIAN(-2, 2, S23))), ABS($AY$6:$AY$22 - MEDIAN(-2, 2, S23)), $AZ$6:$AZ$22, "Error", 0)</f>
        <v/>
      </c>
      <c r="T52" s="30">
        <f t="array" ref="T52">_xlfn.XLOOKUP(MIN(ABS($AY$6:$AY$22 - MEDIAN(-2, 2, T23))), ABS($AY$6:$AY$22 - MEDIAN(-2, 2, T23)), $AZ$6:$AZ$22, "Error", 0)</f>
        <v/>
      </c>
      <c r="U52" s="30">
        <f t="array" ref="U52">_xlfn.XLOOKUP(MIN(ABS($AY$6:$AY$22 - MEDIAN(-2, 2, U23))), ABS($AY$6:$AY$22 - MEDIAN(-2, 2, U23)), $AZ$6:$AZ$22, "Error", 0)</f>
        <v/>
      </c>
      <c r="V52" s="30">
        <f t="array" ref="V52">_xlfn.XLOOKUP(MIN(ABS($AY$6:$AY$22 - MEDIAN(-2, 2, V23))), ABS($AY$6:$AY$22 - MEDIAN(-2, 2, V23)), $AZ$6:$AZ$22, "Error", 0)</f>
        <v/>
      </c>
      <c r="W52" s="30">
        <f t="array" ref="W52">_xlfn.XLOOKUP(MIN(ABS($AY$6:$AY$22 - MEDIAN(-2, 2, W23))), ABS($AY$6:$AY$22 - MEDIAN(-2, 2, W23)), $AZ$6:$AZ$22, "Error", 0)</f>
        <v/>
      </c>
      <c r="X52" s="30">
        <f t="array" ref="X52">_xlfn.XLOOKUP(MIN(ABS($AY$6:$AY$22 - MEDIAN(-2, 2, X23))), ABS($AY$6:$AY$22 - MEDIAN(-2, 2, X23)), $AZ$6:$AZ$22, "Error", 0)</f>
        <v/>
      </c>
      <c r="Y52" s="30">
        <f t="array" ref="Y52">_xlfn.XLOOKUP(MIN(ABS($AY$6:$AY$22 - MEDIAN(-2, 2, Y23))), ABS($AY$6:$AY$22 - MEDIAN(-2, 2, Y23)), $AZ$6:$AZ$22, "Error", 0)</f>
        <v/>
      </c>
      <c r="Z52" s="30">
        <f t="array" ref="Z52">_xlfn.XLOOKUP(MIN(ABS($AY$6:$AY$22 - MEDIAN(-2, 2, Z23))), ABS($AY$6:$AY$22 - MEDIAN(-2, 2, Z23)), $AZ$6:$AZ$22, "Error", 0)</f>
        <v/>
      </c>
      <c r="AA52" s="30">
        <f t="array" ref="AA52">_xlfn.XLOOKUP(MIN(ABS($AY$6:$AY$22 - MEDIAN(-2, 2, AA23))), ABS($AY$6:$AY$22 - MEDIAN(-2, 2, AA23)), $AZ$6:$AZ$22, "Error", 0)</f>
        <v/>
      </c>
      <c r="AB52" s="30">
        <f t="array" ref="AB52">_xlfn.XLOOKUP(MIN(ABS($AY$6:$AY$22 - MEDIAN(-2, 2, AB23))), ABS($AY$6:$AY$22 - MEDIAN(-2, 2, AB23)), $AZ$6:$AZ$22, "Error", 0)</f>
        <v/>
      </c>
      <c r="AC52" s="30">
        <f t="array" ref="AC52">_xlfn.XLOOKUP(MIN(ABS($AY$6:$AY$22 - MEDIAN(-2, 2, AC23))), ABS($AY$6:$AY$22 - MEDIAN(-2, 2, AC23)), $AZ$6:$AZ$22, "Error", 0)</f>
        <v/>
      </c>
      <c r="AD52" s="30">
        <f t="array" ref="AD52">_xlfn.XLOOKUP(MIN(ABS($AY$6:$AY$22 - MEDIAN(-2, 2, AD23))), ABS($AY$6:$AY$22 - MEDIAN(-2, 2, AD23)), $AZ$6:$AZ$22, "Error", 0)</f>
        <v/>
      </c>
      <c r="AE52" s="30">
        <f t="array" ref="AE52">_xlfn.XLOOKUP(MIN(ABS($AY$6:$AY$22 - MEDIAN(-2, 2, AE23))), ABS($AY$6:$AY$22 - MEDIAN(-2, 2, AE23)), $AZ$6:$AZ$22, "Error", 0)</f>
        <v/>
      </c>
      <c r="AF52" s="30">
        <f t="array" ref="AF52">_xlfn.XLOOKUP(MIN(ABS($AY$6:$AY$22 - MEDIAN(-2, 2, AF23))), ABS($AY$6:$AY$22 - MEDIAN(-2, 2, AF23)), $AZ$6:$AZ$22, "Error", 0)</f>
        <v/>
      </c>
      <c r="AG52" s="30">
        <f t="array" ref="AG52">_xlfn.XLOOKUP(MIN(ABS($AY$6:$AY$22 - MEDIAN(-2, 2, AG23))), ABS($AY$6:$AY$22 - MEDIAN(-2, 2, AG23)), $AZ$6:$AZ$22, "Error", 0)</f>
        <v/>
      </c>
      <c r="AH52" s="30">
        <f t="array" ref="AH52">_xlfn.XLOOKUP(MIN(ABS($AY$6:$AY$22 - MEDIAN(-2, 2, AH23))), ABS($AY$6:$AY$22 - MEDIAN(-2, 2, AH23)), $AZ$6:$AZ$22, "Error", 0)</f>
        <v/>
      </c>
      <c r="AI52" s="30">
        <f t="array" ref="AI52">_xlfn.XLOOKUP(MIN(ABS($AY$6:$AY$22 - MEDIAN(-2, 2, AI23))), ABS($AY$6:$AY$22 - MEDIAN(-2, 2, AI23)), $AZ$6:$AZ$22, "Error", 0)</f>
        <v/>
      </c>
      <c r="AJ52" s="30">
        <f t="array" ref="AJ52">_xlfn.XLOOKUP(MIN(ABS($AY$6:$AY$22 - MEDIAN(-2, 2, AJ23))), ABS($AY$6:$AY$22 - MEDIAN(-2, 2, AJ23)), $AZ$6:$AZ$22, "Error", 0)</f>
        <v/>
      </c>
      <c r="AK52" s="30">
        <f t="array" ref="AK52">_xlfn.XLOOKUP(MIN(ABS($AY$6:$AY$22 - MEDIAN(-2, 2, AK23))), ABS($AY$6:$AY$22 - MEDIAN(-2, 2, AK23)), $AZ$6:$AZ$22, "Error", 0)</f>
        <v/>
      </c>
      <c r="AL52" s="30">
        <f t="array" ref="AL52">_xlfn.XLOOKUP(MIN(ABS($AY$6:$AY$22 - MEDIAN(-2, 2, AL23))), ABS($AY$6:$AY$22 - MEDIAN(-2, 2, AL23)), $AZ$6:$AZ$22, "Error", 0)</f>
        <v/>
      </c>
      <c r="AM52" s="30">
        <f t="array" ref="AM52">_xlfn.XLOOKUP(MIN(ABS($AY$6:$AY$22 - MEDIAN(-2, 2, AM23))), ABS($AY$6:$AY$22 - MEDIAN(-2, 2, AM23)), $AZ$6:$AZ$22, "Error", 0)</f>
        <v/>
      </c>
      <c r="AN52" s="30">
        <f t="array" ref="AN52">_xlfn.XLOOKUP(MIN(ABS($AY$6:$AY$22 - MEDIAN(-2, 2, AN23))), ABS($AY$6:$AY$22 - MEDIAN(-2, 2, AN23)), $AZ$6:$AZ$22, "Error", 0)</f>
        <v/>
      </c>
      <c r="AO52" s="30">
        <f t="array" ref="AO52">_xlfn.XLOOKUP(MIN(ABS($AY$6:$AY$22 - MEDIAN(-2, 2, AO23))), ABS($AY$6:$AY$22 - MEDIAN(-2, 2, AO23)), $AZ$6:$AZ$22, "Error", 0)</f>
        <v/>
      </c>
      <c r="AP52" s="30">
        <f t="array" ref="AP52">_xlfn.XLOOKUP(MIN(ABS($AY$6:$AY$22 - MEDIAN(-2, 2, AP23))), ABS($AY$6:$AY$22 - MEDIAN(-2, 2, AP23)), $AZ$6:$AZ$22, "Error", 0)</f>
        <v/>
      </c>
      <c r="AQ52" s="30">
        <f t="array" ref="AQ52">_xlfn.XLOOKUP(MIN(ABS($AY$6:$AY$22 - MEDIAN(-2, 2, AQ23))), ABS($AY$6:$AY$22 - MEDIAN(-2, 2, AQ23)), $AZ$6:$AZ$22, "Error", 0)</f>
        <v/>
      </c>
      <c r="AR52" s="30">
        <f t="array" ref="AR52">_xlfn.XLOOKUP(MIN(ABS($AY$6:$AY$22 - MEDIAN(-2, 2, AR23))), ABS($AY$6:$AY$22 - MEDIAN(-2, 2, AR23)), $AZ$6:$AZ$22, "Error", 0)</f>
        <v/>
      </c>
      <c r="AS52" s="30">
        <f t="array" ref="AS52">_xlfn.XLOOKUP(MIN(ABS($AY$6:$AY$22 - MEDIAN(-2, 2, AS23))), ABS($AY$6:$AY$22 - MEDIAN(-2, 2, AS23)), $AZ$6:$AZ$22, "Error", 0)</f>
        <v/>
      </c>
      <c r="AT52" s="30">
        <f t="array" ref="AT52">_xlfn.XLOOKUP(MIN(ABS($AY$6:$AY$22 - MEDIAN(-2, 2, AT23))), ABS($AY$6:$AY$22 - MEDIAN(-2, 2, AT23)), $AZ$6:$AZ$22, "Error", 0)</f>
        <v/>
      </c>
      <c r="AU52" s="30">
        <f t="array" ref="AU52">_xlfn.XLOOKUP(MIN(ABS($AY$6:$AY$22 - MEDIAN(-2, 2, AU23))), ABS($AY$6:$AY$22 - MEDIAN(-2, 2, AU23)), $AZ$6:$AZ$22, "Error", 0)</f>
        <v/>
      </c>
      <c r="AV52" s="30">
        <f t="array" ref="AV52">_xlfn.XLOOKUP(MIN(ABS($AY$6:$AY$22 - MEDIAN(-2, 2, AV23))), ABS($AY$6:$AY$22 - MEDIAN(-2, 2, AV23)), $AZ$6:$AZ$22, "Error", 0)</f>
        <v/>
      </c>
      <c r="AW52" s="30">
        <f t="array" ref="AW52">_xlfn.XLOOKUP(MIN(ABS($AY$6:$AY$22 - MEDIAN(-2, 2, AW23))), ABS($AY$6:$AY$22 - MEDIAN(-2, 2, AW23)), $AZ$6:$AZ$22, "Error", 0)</f>
        <v/>
      </c>
    </row>
    <row r="53" ht="25" customHeight="1">
      <c r="A53" s="47" t="inlineStr">
        <is>
          <t>EUR NZD</t>
        </is>
      </c>
      <c r="B53" s="30">
        <f t="array" ref="B53">_xlfn.XLOOKUP(MIN(ABS($AY$6:$AY$22 - MEDIAN(-2, 2, B24))), ABS($AY$6:$AY$22 - MEDIAN(-2, 2, B24)), $AZ$6:$AZ$22, "Error", 0)</f>
        <v/>
      </c>
      <c r="C53" s="30">
        <f t="array" ref="C53">_xlfn.XLOOKUP(MIN(ABS($AY$6:$AY$22 - MEDIAN(-2, 2, C24))), ABS($AY$6:$AY$22 - MEDIAN(-2, 2, C24)), $AZ$6:$AZ$22, "Error", 0)</f>
        <v/>
      </c>
      <c r="D53" s="30">
        <f t="array" ref="D53">_xlfn.XLOOKUP(MIN(ABS($AY$6:$AY$22 - MEDIAN(-2, 2, D24))), ABS($AY$6:$AY$22 - MEDIAN(-2, 2, D24)), $AZ$6:$AZ$22, "Error", 0)</f>
        <v/>
      </c>
      <c r="E53" s="30">
        <f t="array" ref="E53">_xlfn.XLOOKUP(MIN(ABS($AY$6:$AY$22 - MEDIAN(-2, 2, E24))), ABS($AY$6:$AY$22 - MEDIAN(-2, 2, E24)), $AZ$6:$AZ$22, "Error", 0)</f>
        <v/>
      </c>
      <c r="F53" s="30">
        <f t="array" ref="F53">_xlfn.XLOOKUP(MIN(ABS($AY$6:$AY$22 - MEDIAN(-2, 2, F24))), ABS($AY$6:$AY$22 - MEDIAN(-2, 2, F24)), $AZ$6:$AZ$22, "Error", 0)</f>
        <v/>
      </c>
      <c r="G53" s="30">
        <f t="array" ref="G53">_xlfn.XLOOKUP(MIN(ABS($AY$6:$AY$22 - MEDIAN(-2, 2, G24))), ABS($AY$6:$AY$22 - MEDIAN(-2, 2, G24)), $AZ$6:$AZ$22, "Error", 0)</f>
        <v/>
      </c>
      <c r="H53" s="30">
        <f t="array" ref="H53">_xlfn.XLOOKUP(MIN(ABS($AY$6:$AY$22 - MEDIAN(-2, 2, H24))), ABS($AY$6:$AY$22 - MEDIAN(-2, 2, H24)), $AZ$6:$AZ$22, "Error", 0)</f>
        <v/>
      </c>
      <c r="I53" s="30">
        <f t="array" ref="I53">_xlfn.XLOOKUP(MIN(ABS($AY$6:$AY$22 - MEDIAN(-2, 2, I24))), ABS($AY$6:$AY$22 - MEDIAN(-2, 2, I24)), $AZ$6:$AZ$22, "Error", 0)</f>
        <v/>
      </c>
      <c r="J53" s="30">
        <f t="array" ref="J53">_xlfn.XLOOKUP(MIN(ABS($AY$6:$AY$22 - MEDIAN(-2, 2, J24))), ABS($AY$6:$AY$22 - MEDIAN(-2, 2, J24)), $AZ$6:$AZ$22, "Error", 0)</f>
        <v/>
      </c>
      <c r="K53" s="30">
        <f t="array" ref="K53">_xlfn.XLOOKUP(MIN(ABS($AY$6:$AY$22 - MEDIAN(-2, 2, K24))), ABS($AY$6:$AY$22 - MEDIAN(-2, 2, K24)), $AZ$6:$AZ$22, "Error", 0)</f>
        <v/>
      </c>
      <c r="L53" s="30">
        <f t="array" ref="L53">_xlfn.XLOOKUP(MIN(ABS($AY$6:$AY$22 - MEDIAN(-2, 2, L24))), ABS($AY$6:$AY$22 - MEDIAN(-2, 2, L24)), $AZ$6:$AZ$22, "Error", 0)</f>
        <v/>
      </c>
      <c r="M53" s="30">
        <f t="array" ref="M53">_xlfn.XLOOKUP(MIN(ABS($AY$6:$AY$22 - MEDIAN(-2, 2, M24))), ABS($AY$6:$AY$22 - MEDIAN(-2, 2, M24)), $AZ$6:$AZ$22, "Error", 0)</f>
        <v/>
      </c>
      <c r="N53" s="30">
        <f t="array" ref="N53">_xlfn.XLOOKUP(MIN(ABS($AY$6:$AY$22 - MEDIAN(-2, 2, N24))), ABS($AY$6:$AY$22 - MEDIAN(-2, 2, N24)), $AZ$6:$AZ$22, "Error", 0)</f>
        <v/>
      </c>
      <c r="O53" s="30">
        <f t="array" ref="O53">_xlfn.XLOOKUP(MIN(ABS($AY$6:$AY$22 - MEDIAN(-2, 2, O24))), ABS($AY$6:$AY$22 - MEDIAN(-2, 2, O24)), $AZ$6:$AZ$22, "Error", 0)</f>
        <v/>
      </c>
      <c r="P53" s="30">
        <f t="array" ref="P53">_xlfn.XLOOKUP(MIN(ABS($AY$6:$AY$22 - MEDIAN(-2, 2, P24))), ABS($AY$6:$AY$22 - MEDIAN(-2, 2, P24)), $AZ$6:$AZ$22, "Error", 0)</f>
        <v/>
      </c>
      <c r="Q53" s="30">
        <f t="array" ref="Q53">_xlfn.XLOOKUP(MIN(ABS($AY$6:$AY$22 - MEDIAN(-2, 2, Q24))), ABS($AY$6:$AY$22 - MEDIAN(-2, 2, Q24)), $AZ$6:$AZ$22, "Error", 0)</f>
        <v/>
      </c>
      <c r="R53" s="30">
        <f t="array" ref="R53">_xlfn.XLOOKUP(MIN(ABS($AY$6:$AY$22 - MEDIAN(-2, 2, R24))), ABS($AY$6:$AY$22 - MEDIAN(-2, 2, R24)), $AZ$6:$AZ$22, "Error", 0)</f>
        <v/>
      </c>
      <c r="S53" s="30">
        <f t="array" ref="S53">_xlfn.XLOOKUP(MIN(ABS($AY$6:$AY$22 - MEDIAN(-2, 2, S24))), ABS($AY$6:$AY$22 - MEDIAN(-2, 2, S24)), $AZ$6:$AZ$22, "Error", 0)</f>
        <v/>
      </c>
      <c r="T53" s="30">
        <f t="array" ref="T53">_xlfn.XLOOKUP(MIN(ABS($AY$6:$AY$22 - MEDIAN(-2, 2, T24))), ABS($AY$6:$AY$22 - MEDIAN(-2, 2, T24)), $AZ$6:$AZ$22, "Error", 0)</f>
        <v/>
      </c>
      <c r="U53" s="30">
        <f t="array" ref="U53">_xlfn.XLOOKUP(MIN(ABS($AY$6:$AY$22 - MEDIAN(-2, 2, U24))), ABS($AY$6:$AY$22 - MEDIAN(-2, 2, U24)), $AZ$6:$AZ$22, "Error", 0)</f>
        <v/>
      </c>
      <c r="V53" s="30">
        <f t="array" ref="V53">_xlfn.XLOOKUP(MIN(ABS($AY$6:$AY$22 - MEDIAN(-2, 2, V24))), ABS($AY$6:$AY$22 - MEDIAN(-2, 2, V24)), $AZ$6:$AZ$22, "Error", 0)</f>
        <v/>
      </c>
      <c r="W53" s="30">
        <f t="array" ref="W53">_xlfn.XLOOKUP(MIN(ABS($AY$6:$AY$22 - MEDIAN(-2, 2, W24))), ABS($AY$6:$AY$22 - MEDIAN(-2, 2, W24)), $AZ$6:$AZ$22, "Error", 0)</f>
        <v/>
      </c>
      <c r="X53" s="30">
        <f t="array" ref="X53">_xlfn.XLOOKUP(MIN(ABS($AY$6:$AY$22 - MEDIAN(-2, 2, X24))), ABS($AY$6:$AY$22 - MEDIAN(-2, 2, X24)), $AZ$6:$AZ$22, "Error", 0)</f>
        <v/>
      </c>
      <c r="Y53" s="30">
        <f t="array" ref="Y53">_xlfn.XLOOKUP(MIN(ABS($AY$6:$AY$22 - MEDIAN(-2, 2, Y24))), ABS($AY$6:$AY$22 - MEDIAN(-2, 2, Y24)), $AZ$6:$AZ$22, "Error", 0)</f>
        <v/>
      </c>
      <c r="Z53" s="30">
        <f t="array" ref="Z53">_xlfn.XLOOKUP(MIN(ABS($AY$6:$AY$22 - MEDIAN(-2, 2, Z24))), ABS($AY$6:$AY$22 - MEDIAN(-2, 2, Z24)), $AZ$6:$AZ$22, "Error", 0)</f>
        <v/>
      </c>
      <c r="AA53" s="30">
        <f t="array" ref="AA53">_xlfn.XLOOKUP(MIN(ABS($AY$6:$AY$22 - MEDIAN(-2, 2, AA24))), ABS($AY$6:$AY$22 - MEDIAN(-2, 2, AA24)), $AZ$6:$AZ$22, "Error", 0)</f>
        <v/>
      </c>
      <c r="AB53" s="30">
        <f t="array" ref="AB53">_xlfn.XLOOKUP(MIN(ABS($AY$6:$AY$22 - MEDIAN(-2, 2, AB24))), ABS($AY$6:$AY$22 - MEDIAN(-2, 2, AB24)), $AZ$6:$AZ$22, "Error", 0)</f>
        <v/>
      </c>
      <c r="AC53" s="30">
        <f t="array" ref="AC53">_xlfn.XLOOKUP(MIN(ABS($AY$6:$AY$22 - MEDIAN(-2, 2, AC24))), ABS($AY$6:$AY$22 - MEDIAN(-2, 2, AC24)), $AZ$6:$AZ$22, "Error", 0)</f>
        <v/>
      </c>
      <c r="AD53" s="30">
        <f t="array" ref="AD53">_xlfn.XLOOKUP(MIN(ABS($AY$6:$AY$22 - MEDIAN(-2, 2, AD24))), ABS($AY$6:$AY$22 - MEDIAN(-2, 2, AD24)), $AZ$6:$AZ$22, "Error", 0)</f>
        <v/>
      </c>
      <c r="AE53" s="30">
        <f t="array" ref="AE53">_xlfn.XLOOKUP(MIN(ABS($AY$6:$AY$22 - MEDIAN(-2, 2, AE24))), ABS($AY$6:$AY$22 - MEDIAN(-2, 2, AE24)), $AZ$6:$AZ$22, "Error", 0)</f>
        <v/>
      </c>
      <c r="AF53" s="30">
        <f t="array" ref="AF53">_xlfn.XLOOKUP(MIN(ABS($AY$6:$AY$22 - MEDIAN(-2, 2, AF24))), ABS($AY$6:$AY$22 - MEDIAN(-2, 2, AF24)), $AZ$6:$AZ$22, "Error", 0)</f>
        <v/>
      </c>
      <c r="AG53" s="30">
        <f t="array" ref="AG53">_xlfn.XLOOKUP(MIN(ABS($AY$6:$AY$22 - MEDIAN(-2, 2, AG24))), ABS($AY$6:$AY$22 - MEDIAN(-2, 2, AG24)), $AZ$6:$AZ$22, "Error", 0)</f>
        <v/>
      </c>
      <c r="AH53" s="30">
        <f t="array" ref="AH53">_xlfn.XLOOKUP(MIN(ABS($AY$6:$AY$22 - MEDIAN(-2, 2, AH24))), ABS($AY$6:$AY$22 - MEDIAN(-2, 2, AH24)), $AZ$6:$AZ$22, "Error", 0)</f>
        <v/>
      </c>
      <c r="AI53" s="30">
        <f t="array" ref="AI53">_xlfn.XLOOKUP(MIN(ABS($AY$6:$AY$22 - MEDIAN(-2, 2, AI24))), ABS($AY$6:$AY$22 - MEDIAN(-2, 2, AI24)), $AZ$6:$AZ$22, "Error", 0)</f>
        <v/>
      </c>
      <c r="AJ53" s="30">
        <f t="array" ref="AJ53">_xlfn.XLOOKUP(MIN(ABS($AY$6:$AY$22 - MEDIAN(-2, 2, AJ24))), ABS($AY$6:$AY$22 - MEDIAN(-2, 2, AJ24)), $AZ$6:$AZ$22, "Error", 0)</f>
        <v/>
      </c>
      <c r="AK53" s="30">
        <f t="array" ref="AK53">_xlfn.XLOOKUP(MIN(ABS($AY$6:$AY$22 - MEDIAN(-2, 2, AK24))), ABS($AY$6:$AY$22 - MEDIAN(-2, 2, AK24)), $AZ$6:$AZ$22, "Error", 0)</f>
        <v/>
      </c>
      <c r="AL53" s="30">
        <f t="array" ref="AL53">_xlfn.XLOOKUP(MIN(ABS($AY$6:$AY$22 - MEDIAN(-2, 2, AL24))), ABS($AY$6:$AY$22 - MEDIAN(-2, 2, AL24)), $AZ$6:$AZ$22, "Error", 0)</f>
        <v/>
      </c>
      <c r="AM53" s="30">
        <f t="array" ref="AM53">_xlfn.XLOOKUP(MIN(ABS($AY$6:$AY$22 - MEDIAN(-2, 2, AM24))), ABS($AY$6:$AY$22 - MEDIAN(-2, 2, AM24)), $AZ$6:$AZ$22, "Error", 0)</f>
        <v/>
      </c>
      <c r="AN53" s="30">
        <f t="array" ref="AN53">_xlfn.XLOOKUP(MIN(ABS($AY$6:$AY$22 - MEDIAN(-2, 2, AN24))), ABS($AY$6:$AY$22 - MEDIAN(-2, 2, AN24)), $AZ$6:$AZ$22, "Error", 0)</f>
        <v/>
      </c>
      <c r="AO53" s="30">
        <f t="array" ref="AO53">_xlfn.XLOOKUP(MIN(ABS($AY$6:$AY$22 - MEDIAN(-2, 2, AO24))), ABS($AY$6:$AY$22 - MEDIAN(-2, 2, AO24)), $AZ$6:$AZ$22, "Error", 0)</f>
        <v/>
      </c>
      <c r="AP53" s="30">
        <f t="array" ref="AP53">_xlfn.XLOOKUP(MIN(ABS($AY$6:$AY$22 - MEDIAN(-2, 2, AP24))), ABS($AY$6:$AY$22 - MEDIAN(-2, 2, AP24)), $AZ$6:$AZ$22, "Error", 0)</f>
        <v/>
      </c>
      <c r="AQ53" s="30">
        <f t="array" ref="AQ53">_xlfn.XLOOKUP(MIN(ABS($AY$6:$AY$22 - MEDIAN(-2, 2, AQ24))), ABS($AY$6:$AY$22 - MEDIAN(-2, 2, AQ24)), $AZ$6:$AZ$22, "Error", 0)</f>
        <v/>
      </c>
      <c r="AR53" s="30">
        <f t="array" ref="AR53">_xlfn.XLOOKUP(MIN(ABS($AY$6:$AY$22 - MEDIAN(-2, 2, AR24))), ABS($AY$6:$AY$22 - MEDIAN(-2, 2, AR24)), $AZ$6:$AZ$22, "Error", 0)</f>
        <v/>
      </c>
      <c r="AS53" s="30">
        <f t="array" ref="AS53">_xlfn.XLOOKUP(MIN(ABS($AY$6:$AY$22 - MEDIAN(-2, 2, AS24))), ABS($AY$6:$AY$22 - MEDIAN(-2, 2, AS24)), $AZ$6:$AZ$22, "Error", 0)</f>
        <v/>
      </c>
      <c r="AT53" s="30">
        <f t="array" ref="AT53">_xlfn.XLOOKUP(MIN(ABS($AY$6:$AY$22 - MEDIAN(-2, 2, AT24))), ABS($AY$6:$AY$22 - MEDIAN(-2, 2, AT24)), $AZ$6:$AZ$22, "Error", 0)</f>
        <v/>
      </c>
      <c r="AU53" s="30">
        <f t="array" ref="AU53">_xlfn.XLOOKUP(MIN(ABS($AY$6:$AY$22 - MEDIAN(-2, 2, AU24))), ABS($AY$6:$AY$22 - MEDIAN(-2, 2, AU24)), $AZ$6:$AZ$22, "Error", 0)</f>
        <v/>
      </c>
      <c r="AV53" s="30">
        <f t="array" ref="AV53">_xlfn.XLOOKUP(MIN(ABS($AY$6:$AY$22 - MEDIAN(-2, 2, AV24))), ABS($AY$6:$AY$22 - MEDIAN(-2, 2, AV24)), $AZ$6:$AZ$22, "Error", 0)</f>
        <v/>
      </c>
      <c r="AW53" s="30">
        <f t="array" ref="AW53">_xlfn.XLOOKUP(MIN(ABS($AY$6:$AY$22 - MEDIAN(-2, 2, AW24))), ABS($AY$6:$AY$22 - MEDIAN(-2, 2, AW24)), $AZ$6:$AZ$22, "Error", 0)</f>
        <v/>
      </c>
    </row>
    <row r="54" ht="25" customHeight="1">
      <c r="A54" s="48" t="inlineStr">
        <is>
          <t>GBP USD</t>
        </is>
      </c>
      <c r="B54" s="30">
        <f t="array" ref="B54">_xlfn.XLOOKUP(MIN(ABS($AY$6:$AY$22 - MEDIAN(-2, 2, B25))), ABS($AY$6:$AY$22 - MEDIAN(-2, 2, B25)), $AZ$6:$AZ$22, "Error", 0)</f>
        <v/>
      </c>
      <c r="C54" s="30">
        <f t="array" ref="C54">_xlfn.XLOOKUP(MIN(ABS($AY$6:$AY$22 - MEDIAN(-2, 2, C25))), ABS($AY$6:$AY$22 - MEDIAN(-2, 2, C25)), $AZ$6:$AZ$22, "Error", 0)</f>
        <v/>
      </c>
      <c r="D54" s="30">
        <f t="array" ref="D54">_xlfn.XLOOKUP(MIN(ABS($AY$6:$AY$22 - MEDIAN(-2, 2, D25))), ABS($AY$6:$AY$22 - MEDIAN(-2, 2, D25)), $AZ$6:$AZ$22, "Error", 0)</f>
        <v/>
      </c>
      <c r="E54" s="30">
        <f t="array" ref="E54">_xlfn.XLOOKUP(MIN(ABS($AY$6:$AY$22 - MEDIAN(-2, 2, E25))), ABS($AY$6:$AY$22 - MEDIAN(-2, 2, E25)), $AZ$6:$AZ$22, "Error", 0)</f>
        <v/>
      </c>
      <c r="F54" s="30">
        <f t="array" ref="F54">_xlfn.XLOOKUP(MIN(ABS($AY$6:$AY$22 - MEDIAN(-2, 2, F25))), ABS($AY$6:$AY$22 - MEDIAN(-2, 2, F25)), $AZ$6:$AZ$22, "Error", 0)</f>
        <v/>
      </c>
      <c r="G54" s="30">
        <f t="array" ref="G54">_xlfn.XLOOKUP(MIN(ABS($AY$6:$AY$22 - MEDIAN(-2, 2, G25))), ABS($AY$6:$AY$22 - MEDIAN(-2, 2, G25)), $AZ$6:$AZ$22, "Error", 0)</f>
        <v/>
      </c>
      <c r="H54" s="30">
        <f t="array" ref="H54">_xlfn.XLOOKUP(MIN(ABS($AY$6:$AY$22 - MEDIAN(-2, 2, H25))), ABS($AY$6:$AY$22 - MEDIAN(-2, 2, H25)), $AZ$6:$AZ$22, "Error", 0)</f>
        <v/>
      </c>
      <c r="I54" s="30">
        <f t="array" ref="I54">_xlfn.XLOOKUP(MIN(ABS($AY$6:$AY$22 - MEDIAN(-2, 2, I25))), ABS($AY$6:$AY$22 - MEDIAN(-2, 2, I25)), $AZ$6:$AZ$22, "Error", 0)</f>
        <v/>
      </c>
      <c r="J54" s="30">
        <f t="array" ref="J54">_xlfn.XLOOKUP(MIN(ABS($AY$6:$AY$22 - MEDIAN(-2, 2, J25))), ABS($AY$6:$AY$22 - MEDIAN(-2, 2, J25)), $AZ$6:$AZ$22, "Error", 0)</f>
        <v/>
      </c>
      <c r="K54" s="30">
        <f t="array" ref="K54">_xlfn.XLOOKUP(MIN(ABS($AY$6:$AY$22 - MEDIAN(-2, 2, K25))), ABS($AY$6:$AY$22 - MEDIAN(-2, 2, K25)), $AZ$6:$AZ$22, "Error", 0)</f>
        <v/>
      </c>
      <c r="L54" s="30">
        <f t="array" ref="L54">_xlfn.XLOOKUP(MIN(ABS($AY$6:$AY$22 - MEDIAN(-2, 2, L25))), ABS($AY$6:$AY$22 - MEDIAN(-2, 2, L25)), $AZ$6:$AZ$22, "Error", 0)</f>
        <v/>
      </c>
      <c r="M54" s="30">
        <f t="array" ref="M54">_xlfn.XLOOKUP(MIN(ABS($AY$6:$AY$22 - MEDIAN(-2, 2, M25))), ABS($AY$6:$AY$22 - MEDIAN(-2, 2, M25)), $AZ$6:$AZ$22, "Error", 0)</f>
        <v/>
      </c>
      <c r="N54" s="30">
        <f t="array" ref="N54">_xlfn.XLOOKUP(MIN(ABS($AY$6:$AY$22 - MEDIAN(-2, 2, N25))), ABS($AY$6:$AY$22 - MEDIAN(-2, 2, N25)), $AZ$6:$AZ$22, "Error", 0)</f>
        <v/>
      </c>
      <c r="O54" s="30">
        <f t="array" ref="O54">_xlfn.XLOOKUP(MIN(ABS($AY$6:$AY$22 - MEDIAN(-2, 2, O25))), ABS($AY$6:$AY$22 - MEDIAN(-2, 2, O25)), $AZ$6:$AZ$22, "Error", 0)</f>
        <v/>
      </c>
      <c r="P54" s="30">
        <f t="array" ref="P54">_xlfn.XLOOKUP(MIN(ABS($AY$6:$AY$22 - MEDIAN(-2, 2, P25))), ABS($AY$6:$AY$22 - MEDIAN(-2, 2, P25)), $AZ$6:$AZ$22, "Error", 0)</f>
        <v/>
      </c>
      <c r="Q54" s="30">
        <f t="array" ref="Q54">_xlfn.XLOOKUP(MIN(ABS($AY$6:$AY$22 - MEDIAN(-2, 2, Q25))), ABS($AY$6:$AY$22 - MEDIAN(-2, 2, Q25)), $AZ$6:$AZ$22, "Error", 0)</f>
        <v/>
      </c>
      <c r="R54" s="30">
        <f t="array" ref="R54">_xlfn.XLOOKUP(MIN(ABS($AY$6:$AY$22 - MEDIAN(-2, 2, R25))), ABS($AY$6:$AY$22 - MEDIAN(-2, 2, R25)), $AZ$6:$AZ$22, "Error", 0)</f>
        <v/>
      </c>
      <c r="S54" s="30">
        <f t="array" ref="S54">_xlfn.XLOOKUP(MIN(ABS($AY$6:$AY$22 - MEDIAN(-2, 2, S25))), ABS($AY$6:$AY$22 - MEDIAN(-2, 2, S25)), $AZ$6:$AZ$22, "Error", 0)</f>
        <v/>
      </c>
      <c r="T54" s="30">
        <f t="array" ref="T54">_xlfn.XLOOKUP(MIN(ABS($AY$6:$AY$22 - MEDIAN(-2, 2, T25))), ABS($AY$6:$AY$22 - MEDIAN(-2, 2, T25)), $AZ$6:$AZ$22, "Error", 0)</f>
        <v/>
      </c>
      <c r="U54" s="30">
        <f t="array" ref="U54">_xlfn.XLOOKUP(MIN(ABS($AY$6:$AY$22 - MEDIAN(-2, 2, U25))), ABS($AY$6:$AY$22 - MEDIAN(-2, 2, U25)), $AZ$6:$AZ$22, "Error", 0)</f>
        <v/>
      </c>
      <c r="V54" s="30">
        <f t="array" ref="V54">_xlfn.XLOOKUP(MIN(ABS($AY$6:$AY$22 - MEDIAN(-2, 2, V25))), ABS($AY$6:$AY$22 - MEDIAN(-2, 2, V25)), $AZ$6:$AZ$22, "Error", 0)</f>
        <v/>
      </c>
      <c r="W54" s="30">
        <f t="array" ref="W54">_xlfn.XLOOKUP(MIN(ABS($AY$6:$AY$22 - MEDIAN(-2, 2, W25))), ABS($AY$6:$AY$22 - MEDIAN(-2, 2, W25)), $AZ$6:$AZ$22, "Error", 0)</f>
        <v/>
      </c>
      <c r="X54" s="30">
        <f t="array" ref="X54">_xlfn.XLOOKUP(MIN(ABS($AY$6:$AY$22 - MEDIAN(-2, 2, X25))), ABS($AY$6:$AY$22 - MEDIAN(-2, 2, X25)), $AZ$6:$AZ$22, "Error", 0)</f>
        <v/>
      </c>
      <c r="Y54" s="30">
        <f t="array" ref="Y54">_xlfn.XLOOKUP(MIN(ABS($AY$6:$AY$22 - MEDIAN(-2, 2, Y25))), ABS($AY$6:$AY$22 - MEDIAN(-2, 2, Y25)), $AZ$6:$AZ$22, "Error", 0)</f>
        <v/>
      </c>
      <c r="Z54" s="30">
        <f t="array" ref="Z54">_xlfn.XLOOKUP(MIN(ABS($AY$6:$AY$22 - MEDIAN(-2, 2, Z25))), ABS($AY$6:$AY$22 - MEDIAN(-2, 2, Z25)), $AZ$6:$AZ$22, "Error", 0)</f>
        <v/>
      </c>
      <c r="AA54" s="30">
        <f t="array" ref="AA54">_xlfn.XLOOKUP(MIN(ABS($AY$6:$AY$22 - MEDIAN(-2, 2, AA25))), ABS($AY$6:$AY$22 - MEDIAN(-2, 2, AA25)), $AZ$6:$AZ$22, "Error", 0)</f>
        <v/>
      </c>
      <c r="AB54" s="30">
        <f t="array" ref="AB54">_xlfn.XLOOKUP(MIN(ABS($AY$6:$AY$22 - MEDIAN(-2, 2, AB25))), ABS($AY$6:$AY$22 - MEDIAN(-2, 2, AB25)), $AZ$6:$AZ$22, "Error", 0)</f>
        <v/>
      </c>
      <c r="AC54" s="30">
        <f t="array" ref="AC54">_xlfn.XLOOKUP(MIN(ABS($AY$6:$AY$22 - MEDIAN(-2, 2, AC25))), ABS($AY$6:$AY$22 - MEDIAN(-2, 2, AC25)), $AZ$6:$AZ$22, "Error", 0)</f>
        <v/>
      </c>
      <c r="AD54" s="30">
        <f t="array" ref="AD54">_xlfn.XLOOKUP(MIN(ABS($AY$6:$AY$22 - MEDIAN(-2, 2, AD25))), ABS($AY$6:$AY$22 - MEDIAN(-2, 2, AD25)), $AZ$6:$AZ$22, "Error", 0)</f>
        <v/>
      </c>
      <c r="AE54" s="30">
        <f t="array" ref="AE54">_xlfn.XLOOKUP(MIN(ABS($AY$6:$AY$22 - MEDIAN(-2, 2, AE25))), ABS($AY$6:$AY$22 - MEDIAN(-2, 2, AE25)), $AZ$6:$AZ$22, "Error", 0)</f>
        <v/>
      </c>
      <c r="AF54" s="30">
        <f t="array" ref="AF54">_xlfn.XLOOKUP(MIN(ABS($AY$6:$AY$22 - MEDIAN(-2, 2, AF25))), ABS($AY$6:$AY$22 - MEDIAN(-2, 2, AF25)), $AZ$6:$AZ$22, "Error", 0)</f>
        <v/>
      </c>
      <c r="AG54" s="30">
        <f t="array" ref="AG54">_xlfn.XLOOKUP(MIN(ABS($AY$6:$AY$22 - MEDIAN(-2, 2, AG25))), ABS($AY$6:$AY$22 - MEDIAN(-2, 2, AG25)), $AZ$6:$AZ$22, "Error", 0)</f>
        <v/>
      </c>
      <c r="AH54" s="30">
        <f t="array" ref="AH54">_xlfn.XLOOKUP(MIN(ABS($AY$6:$AY$22 - MEDIAN(-2, 2, AH25))), ABS($AY$6:$AY$22 - MEDIAN(-2, 2, AH25)), $AZ$6:$AZ$22, "Error", 0)</f>
        <v/>
      </c>
      <c r="AI54" s="30">
        <f t="array" ref="AI54">_xlfn.XLOOKUP(MIN(ABS($AY$6:$AY$22 - MEDIAN(-2, 2, AI25))), ABS($AY$6:$AY$22 - MEDIAN(-2, 2, AI25)), $AZ$6:$AZ$22, "Error", 0)</f>
        <v/>
      </c>
      <c r="AJ54" s="30">
        <f t="array" ref="AJ54">_xlfn.XLOOKUP(MIN(ABS($AY$6:$AY$22 - MEDIAN(-2, 2, AJ25))), ABS($AY$6:$AY$22 - MEDIAN(-2, 2, AJ25)), $AZ$6:$AZ$22, "Error", 0)</f>
        <v/>
      </c>
      <c r="AK54" s="30">
        <f t="array" ref="AK54">_xlfn.XLOOKUP(MIN(ABS($AY$6:$AY$22 - MEDIAN(-2, 2, AK25))), ABS($AY$6:$AY$22 - MEDIAN(-2, 2, AK25)), $AZ$6:$AZ$22, "Error", 0)</f>
        <v/>
      </c>
      <c r="AL54" s="30">
        <f t="array" ref="AL54">_xlfn.XLOOKUP(MIN(ABS($AY$6:$AY$22 - MEDIAN(-2, 2, AL25))), ABS($AY$6:$AY$22 - MEDIAN(-2, 2, AL25)), $AZ$6:$AZ$22, "Error", 0)</f>
        <v/>
      </c>
      <c r="AM54" s="30">
        <f t="array" ref="AM54">_xlfn.XLOOKUP(MIN(ABS($AY$6:$AY$22 - MEDIAN(-2, 2, AM25))), ABS($AY$6:$AY$22 - MEDIAN(-2, 2, AM25)), $AZ$6:$AZ$22, "Error", 0)</f>
        <v/>
      </c>
      <c r="AN54" s="30">
        <f t="array" ref="AN54">_xlfn.XLOOKUP(MIN(ABS($AY$6:$AY$22 - MEDIAN(-2, 2, AN25))), ABS($AY$6:$AY$22 - MEDIAN(-2, 2, AN25)), $AZ$6:$AZ$22, "Error", 0)</f>
        <v/>
      </c>
      <c r="AO54" s="30">
        <f t="array" ref="AO54">_xlfn.XLOOKUP(MIN(ABS($AY$6:$AY$22 - MEDIAN(-2, 2, AO25))), ABS($AY$6:$AY$22 - MEDIAN(-2, 2, AO25)), $AZ$6:$AZ$22, "Error", 0)</f>
        <v/>
      </c>
      <c r="AP54" s="30">
        <f t="array" ref="AP54">_xlfn.XLOOKUP(MIN(ABS($AY$6:$AY$22 - MEDIAN(-2, 2, AP25))), ABS($AY$6:$AY$22 - MEDIAN(-2, 2, AP25)), $AZ$6:$AZ$22, "Error", 0)</f>
        <v/>
      </c>
      <c r="AQ54" s="30">
        <f t="array" ref="AQ54">_xlfn.XLOOKUP(MIN(ABS($AY$6:$AY$22 - MEDIAN(-2, 2, AQ25))), ABS($AY$6:$AY$22 - MEDIAN(-2, 2, AQ25)), $AZ$6:$AZ$22, "Error", 0)</f>
        <v/>
      </c>
      <c r="AR54" s="30">
        <f t="array" ref="AR54">_xlfn.XLOOKUP(MIN(ABS($AY$6:$AY$22 - MEDIAN(-2, 2, AR25))), ABS($AY$6:$AY$22 - MEDIAN(-2, 2, AR25)), $AZ$6:$AZ$22, "Error", 0)</f>
        <v/>
      </c>
      <c r="AS54" s="30">
        <f t="array" ref="AS54">_xlfn.XLOOKUP(MIN(ABS($AY$6:$AY$22 - MEDIAN(-2, 2, AS25))), ABS($AY$6:$AY$22 - MEDIAN(-2, 2, AS25)), $AZ$6:$AZ$22, "Error", 0)</f>
        <v/>
      </c>
      <c r="AT54" s="30">
        <f t="array" ref="AT54">_xlfn.XLOOKUP(MIN(ABS($AY$6:$AY$22 - MEDIAN(-2, 2, AT25))), ABS($AY$6:$AY$22 - MEDIAN(-2, 2, AT25)), $AZ$6:$AZ$22, "Error", 0)</f>
        <v/>
      </c>
      <c r="AU54" s="30">
        <f t="array" ref="AU54">_xlfn.XLOOKUP(MIN(ABS($AY$6:$AY$22 - MEDIAN(-2, 2, AU25))), ABS($AY$6:$AY$22 - MEDIAN(-2, 2, AU25)), $AZ$6:$AZ$22, "Error", 0)</f>
        <v/>
      </c>
      <c r="AV54" s="30">
        <f t="array" ref="AV54">_xlfn.XLOOKUP(MIN(ABS($AY$6:$AY$22 - MEDIAN(-2, 2, AV25))), ABS($AY$6:$AY$22 - MEDIAN(-2, 2, AV25)), $AZ$6:$AZ$22, "Error", 0)</f>
        <v/>
      </c>
      <c r="AW54" s="30">
        <f t="array" ref="AW54">_xlfn.XLOOKUP(MIN(ABS($AY$6:$AY$22 - MEDIAN(-2, 2, AW25))), ABS($AY$6:$AY$22 - MEDIAN(-2, 2, AW25)), $AZ$6:$AZ$22, "Error", 0)</f>
        <v/>
      </c>
    </row>
    <row r="55" ht="25" customHeight="1">
      <c r="A55" s="48" t="inlineStr">
        <is>
          <t>GBP JPY</t>
        </is>
      </c>
      <c r="B55" s="30">
        <f t="array" ref="B55">_xlfn.XLOOKUP(MIN(ABS($AY$6:$AY$22 - MEDIAN(-2, 2, B26))), ABS($AY$6:$AY$22 - MEDIAN(-2, 2, B26)), $AZ$6:$AZ$22, "Error", 0)</f>
        <v/>
      </c>
      <c r="C55" s="30">
        <f t="array" ref="C55">_xlfn.XLOOKUP(MIN(ABS($AY$6:$AY$22 - MEDIAN(-2, 2, C26))), ABS($AY$6:$AY$22 - MEDIAN(-2, 2, C26)), $AZ$6:$AZ$22, "Error", 0)</f>
        <v/>
      </c>
      <c r="D55" s="30">
        <f t="array" ref="D55">_xlfn.XLOOKUP(MIN(ABS($AY$6:$AY$22 - MEDIAN(-2, 2, D26))), ABS($AY$6:$AY$22 - MEDIAN(-2, 2, D26)), $AZ$6:$AZ$22, "Error", 0)</f>
        <v/>
      </c>
      <c r="E55" s="30">
        <f t="array" ref="E55">_xlfn.XLOOKUP(MIN(ABS($AY$6:$AY$22 - MEDIAN(-2, 2, E26))), ABS($AY$6:$AY$22 - MEDIAN(-2, 2, E26)), $AZ$6:$AZ$22, "Error", 0)</f>
        <v/>
      </c>
      <c r="F55" s="30">
        <f t="array" ref="F55">_xlfn.XLOOKUP(MIN(ABS($AY$6:$AY$22 - MEDIAN(-2, 2, F26))), ABS($AY$6:$AY$22 - MEDIAN(-2, 2, F26)), $AZ$6:$AZ$22, "Error", 0)</f>
        <v/>
      </c>
      <c r="G55" s="30">
        <f t="array" ref="G55">_xlfn.XLOOKUP(MIN(ABS($AY$6:$AY$22 - MEDIAN(-2, 2, G26))), ABS($AY$6:$AY$22 - MEDIAN(-2, 2, G26)), $AZ$6:$AZ$22, "Error", 0)</f>
        <v/>
      </c>
      <c r="H55" s="30">
        <f t="array" ref="H55">_xlfn.XLOOKUP(MIN(ABS($AY$6:$AY$22 - MEDIAN(-2, 2, H26))), ABS($AY$6:$AY$22 - MEDIAN(-2, 2, H26)), $AZ$6:$AZ$22, "Error", 0)</f>
        <v/>
      </c>
      <c r="I55" s="30">
        <f t="array" ref="I55">_xlfn.XLOOKUP(MIN(ABS($AY$6:$AY$22 - MEDIAN(-2, 2, I26))), ABS($AY$6:$AY$22 - MEDIAN(-2, 2, I26)), $AZ$6:$AZ$22, "Error", 0)</f>
        <v/>
      </c>
      <c r="J55" s="30">
        <f t="array" ref="J55">_xlfn.XLOOKUP(MIN(ABS($AY$6:$AY$22 - MEDIAN(-2, 2, J26))), ABS($AY$6:$AY$22 - MEDIAN(-2, 2, J26)), $AZ$6:$AZ$22, "Error", 0)</f>
        <v/>
      </c>
      <c r="K55" s="30">
        <f t="array" ref="K55">_xlfn.XLOOKUP(MIN(ABS($AY$6:$AY$22 - MEDIAN(-2, 2, K26))), ABS($AY$6:$AY$22 - MEDIAN(-2, 2, K26)), $AZ$6:$AZ$22, "Error", 0)</f>
        <v/>
      </c>
      <c r="L55" s="30">
        <f t="array" ref="L55">_xlfn.XLOOKUP(MIN(ABS($AY$6:$AY$22 - MEDIAN(-2, 2, L26))), ABS($AY$6:$AY$22 - MEDIAN(-2, 2, L26)), $AZ$6:$AZ$22, "Error", 0)</f>
        <v/>
      </c>
      <c r="M55" s="30">
        <f t="array" ref="M55">_xlfn.XLOOKUP(MIN(ABS($AY$6:$AY$22 - MEDIAN(-2, 2, M26))), ABS($AY$6:$AY$22 - MEDIAN(-2, 2, M26)), $AZ$6:$AZ$22, "Error", 0)</f>
        <v/>
      </c>
      <c r="N55" s="30">
        <f t="array" ref="N55">_xlfn.XLOOKUP(MIN(ABS($AY$6:$AY$22 - MEDIAN(-2, 2, N26))), ABS($AY$6:$AY$22 - MEDIAN(-2, 2, N26)), $AZ$6:$AZ$22, "Error", 0)</f>
        <v/>
      </c>
      <c r="O55" s="30">
        <f t="array" ref="O55">_xlfn.XLOOKUP(MIN(ABS($AY$6:$AY$22 - MEDIAN(-2, 2, O26))), ABS($AY$6:$AY$22 - MEDIAN(-2, 2, O26)), $AZ$6:$AZ$22, "Error", 0)</f>
        <v/>
      </c>
      <c r="P55" s="30">
        <f t="array" ref="P55">_xlfn.XLOOKUP(MIN(ABS($AY$6:$AY$22 - MEDIAN(-2, 2, P26))), ABS($AY$6:$AY$22 - MEDIAN(-2, 2, P26)), $AZ$6:$AZ$22, "Error", 0)</f>
        <v/>
      </c>
      <c r="Q55" s="30">
        <f t="array" ref="Q55">_xlfn.XLOOKUP(MIN(ABS($AY$6:$AY$22 - MEDIAN(-2, 2, Q26))), ABS($AY$6:$AY$22 - MEDIAN(-2, 2, Q26)), $AZ$6:$AZ$22, "Error", 0)</f>
        <v/>
      </c>
      <c r="R55" s="30">
        <f t="array" ref="R55">_xlfn.XLOOKUP(MIN(ABS($AY$6:$AY$22 - MEDIAN(-2, 2, R26))), ABS($AY$6:$AY$22 - MEDIAN(-2, 2, R26)), $AZ$6:$AZ$22, "Error", 0)</f>
        <v/>
      </c>
      <c r="S55" s="30">
        <f t="array" ref="S55">_xlfn.XLOOKUP(MIN(ABS($AY$6:$AY$22 - MEDIAN(-2, 2, S26))), ABS($AY$6:$AY$22 - MEDIAN(-2, 2, S26)), $AZ$6:$AZ$22, "Error", 0)</f>
        <v/>
      </c>
      <c r="T55" s="30">
        <f t="array" ref="T55">_xlfn.XLOOKUP(MIN(ABS($AY$6:$AY$22 - MEDIAN(-2, 2, T26))), ABS($AY$6:$AY$22 - MEDIAN(-2, 2, T26)), $AZ$6:$AZ$22, "Error", 0)</f>
        <v/>
      </c>
      <c r="U55" s="30">
        <f t="array" ref="U55">_xlfn.XLOOKUP(MIN(ABS($AY$6:$AY$22 - MEDIAN(-2, 2, U26))), ABS($AY$6:$AY$22 - MEDIAN(-2, 2, U26)), $AZ$6:$AZ$22, "Error", 0)</f>
        <v/>
      </c>
      <c r="V55" s="30">
        <f t="array" ref="V55">_xlfn.XLOOKUP(MIN(ABS($AY$6:$AY$22 - MEDIAN(-2, 2, V26))), ABS($AY$6:$AY$22 - MEDIAN(-2, 2, V26)), $AZ$6:$AZ$22, "Error", 0)</f>
        <v/>
      </c>
      <c r="W55" s="30">
        <f t="array" ref="W55">_xlfn.XLOOKUP(MIN(ABS($AY$6:$AY$22 - MEDIAN(-2, 2, W26))), ABS($AY$6:$AY$22 - MEDIAN(-2, 2, W26)), $AZ$6:$AZ$22, "Error", 0)</f>
        <v/>
      </c>
      <c r="X55" s="30">
        <f t="array" ref="X55">_xlfn.XLOOKUP(MIN(ABS($AY$6:$AY$22 - MEDIAN(-2, 2, X26))), ABS($AY$6:$AY$22 - MEDIAN(-2, 2, X26)), $AZ$6:$AZ$22, "Error", 0)</f>
        <v/>
      </c>
      <c r="Y55" s="30">
        <f t="array" ref="Y55">_xlfn.XLOOKUP(MIN(ABS($AY$6:$AY$22 - MEDIAN(-2, 2, Y26))), ABS($AY$6:$AY$22 - MEDIAN(-2, 2, Y26)), $AZ$6:$AZ$22, "Error", 0)</f>
        <v/>
      </c>
      <c r="Z55" s="30">
        <f t="array" ref="Z55">_xlfn.XLOOKUP(MIN(ABS($AY$6:$AY$22 - MEDIAN(-2, 2, Z26))), ABS($AY$6:$AY$22 - MEDIAN(-2, 2, Z26)), $AZ$6:$AZ$22, "Error", 0)</f>
        <v/>
      </c>
      <c r="AA55" s="30">
        <f t="array" ref="AA55">_xlfn.XLOOKUP(MIN(ABS($AY$6:$AY$22 - MEDIAN(-2, 2, AA26))), ABS($AY$6:$AY$22 - MEDIAN(-2, 2, AA26)), $AZ$6:$AZ$22, "Error", 0)</f>
        <v/>
      </c>
      <c r="AB55" s="30">
        <f t="array" ref="AB55">_xlfn.XLOOKUP(MIN(ABS($AY$6:$AY$22 - MEDIAN(-2, 2, AB26))), ABS($AY$6:$AY$22 - MEDIAN(-2, 2, AB26)), $AZ$6:$AZ$22, "Error", 0)</f>
        <v/>
      </c>
      <c r="AC55" s="30">
        <f t="array" ref="AC55">_xlfn.XLOOKUP(MIN(ABS($AY$6:$AY$22 - MEDIAN(-2, 2, AC26))), ABS($AY$6:$AY$22 - MEDIAN(-2, 2, AC26)), $AZ$6:$AZ$22, "Error", 0)</f>
        <v/>
      </c>
      <c r="AD55" s="30">
        <f t="array" ref="AD55">_xlfn.XLOOKUP(MIN(ABS($AY$6:$AY$22 - MEDIAN(-2, 2, AD26))), ABS($AY$6:$AY$22 - MEDIAN(-2, 2, AD26)), $AZ$6:$AZ$22, "Error", 0)</f>
        <v/>
      </c>
      <c r="AE55" s="30">
        <f t="array" ref="AE55">_xlfn.XLOOKUP(MIN(ABS($AY$6:$AY$22 - MEDIAN(-2, 2, AE26))), ABS($AY$6:$AY$22 - MEDIAN(-2, 2, AE26)), $AZ$6:$AZ$22, "Error", 0)</f>
        <v/>
      </c>
      <c r="AF55" s="30">
        <f t="array" ref="AF55">_xlfn.XLOOKUP(MIN(ABS($AY$6:$AY$22 - MEDIAN(-2, 2, AF26))), ABS($AY$6:$AY$22 - MEDIAN(-2, 2, AF26)), $AZ$6:$AZ$22, "Error", 0)</f>
        <v/>
      </c>
      <c r="AG55" s="30">
        <f t="array" ref="AG55">_xlfn.XLOOKUP(MIN(ABS($AY$6:$AY$22 - MEDIAN(-2, 2, AG26))), ABS($AY$6:$AY$22 - MEDIAN(-2, 2, AG26)), $AZ$6:$AZ$22, "Error", 0)</f>
        <v/>
      </c>
      <c r="AH55" s="30">
        <f t="array" ref="AH55">_xlfn.XLOOKUP(MIN(ABS($AY$6:$AY$22 - MEDIAN(-2, 2, AH26))), ABS($AY$6:$AY$22 - MEDIAN(-2, 2, AH26)), $AZ$6:$AZ$22, "Error", 0)</f>
        <v/>
      </c>
      <c r="AI55" s="30">
        <f t="array" ref="AI55">_xlfn.XLOOKUP(MIN(ABS($AY$6:$AY$22 - MEDIAN(-2, 2, AI26))), ABS($AY$6:$AY$22 - MEDIAN(-2, 2, AI26)), $AZ$6:$AZ$22, "Error", 0)</f>
        <v/>
      </c>
      <c r="AJ55" s="30">
        <f t="array" ref="AJ55">_xlfn.XLOOKUP(MIN(ABS($AY$6:$AY$22 - MEDIAN(-2, 2, AJ26))), ABS($AY$6:$AY$22 - MEDIAN(-2, 2, AJ26)), $AZ$6:$AZ$22, "Error", 0)</f>
        <v/>
      </c>
      <c r="AK55" s="30">
        <f t="array" ref="AK55">_xlfn.XLOOKUP(MIN(ABS($AY$6:$AY$22 - MEDIAN(-2, 2, AK26))), ABS($AY$6:$AY$22 - MEDIAN(-2, 2, AK26)), $AZ$6:$AZ$22, "Error", 0)</f>
        <v/>
      </c>
      <c r="AL55" s="30">
        <f t="array" ref="AL55">_xlfn.XLOOKUP(MIN(ABS($AY$6:$AY$22 - MEDIAN(-2, 2, AL26))), ABS($AY$6:$AY$22 - MEDIAN(-2, 2, AL26)), $AZ$6:$AZ$22, "Error", 0)</f>
        <v/>
      </c>
      <c r="AM55" s="30">
        <f t="array" ref="AM55">_xlfn.XLOOKUP(MIN(ABS($AY$6:$AY$22 - MEDIAN(-2, 2, AM26))), ABS($AY$6:$AY$22 - MEDIAN(-2, 2, AM26)), $AZ$6:$AZ$22, "Error", 0)</f>
        <v/>
      </c>
      <c r="AN55" s="30">
        <f t="array" ref="AN55">_xlfn.XLOOKUP(MIN(ABS($AY$6:$AY$22 - MEDIAN(-2, 2, AN26))), ABS($AY$6:$AY$22 - MEDIAN(-2, 2, AN26)), $AZ$6:$AZ$22, "Error", 0)</f>
        <v/>
      </c>
      <c r="AO55" s="30">
        <f t="array" ref="AO55">_xlfn.XLOOKUP(MIN(ABS($AY$6:$AY$22 - MEDIAN(-2, 2, AO26))), ABS($AY$6:$AY$22 - MEDIAN(-2, 2, AO26)), $AZ$6:$AZ$22, "Error", 0)</f>
        <v/>
      </c>
      <c r="AP55" s="30">
        <f t="array" ref="AP55">_xlfn.XLOOKUP(MIN(ABS($AY$6:$AY$22 - MEDIAN(-2, 2, AP26))), ABS($AY$6:$AY$22 - MEDIAN(-2, 2, AP26)), $AZ$6:$AZ$22, "Error", 0)</f>
        <v/>
      </c>
      <c r="AQ55" s="30">
        <f t="array" ref="AQ55">_xlfn.XLOOKUP(MIN(ABS($AY$6:$AY$22 - MEDIAN(-2, 2, AQ26))), ABS($AY$6:$AY$22 - MEDIAN(-2, 2, AQ26)), $AZ$6:$AZ$22, "Error", 0)</f>
        <v/>
      </c>
      <c r="AR55" s="30">
        <f t="array" ref="AR55">_xlfn.XLOOKUP(MIN(ABS($AY$6:$AY$22 - MEDIAN(-2, 2, AR26))), ABS($AY$6:$AY$22 - MEDIAN(-2, 2, AR26)), $AZ$6:$AZ$22, "Error", 0)</f>
        <v/>
      </c>
      <c r="AS55" s="30">
        <f t="array" ref="AS55">_xlfn.XLOOKUP(MIN(ABS($AY$6:$AY$22 - MEDIAN(-2, 2, AS26))), ABS($AY$6:$AY$22 - MEDIAN(-2, 2, AS26)), $AZ$6:$AZ$22, "Error", 0)</f>
        <v/>
      </c>
      <c r="AT55" s="30">
        <f t="array" ref="AT55">_xlfn.XLOOKUP(MIN(ABS($AY$6:$AY$22 - MEDIAN(-2, 2, AT26))), ABS($AY$6:$AY$22 - MEDIAN(-2, 2, AT26)), $AZ$6:$AZ$22, "Error", 0)</f>
        <v/>
      </c>
      <c r="AU55" s="30">
        <f t="array" ref="AU55">_xlfn.XLOOKUP(MIN(ABS($AY$6:$AY$22 - MEDIAN(-2, 2, AU26))), ABS($AY$6:$AY$22 - MEDIAN(-2, 2, AU26)), $AZ$6:$AZ$22, "Error", 0)</f>
        <v/>
      </c>
      <c r="AV55" s="30">
        <f t="array" ref="AV55">_xlfn.XLOOKUP(MIN(ABS($AY$6:$AY$22 - MEDIAN(-2, 2, AV26))), ABS($AY$6:$AY$22 - MEDIAN(-2, 2, AV26)), $AZ$6:$AZ$22, "Error", 0)</f>
        <v/>
      </c>
      <c r="AW55" s="30">
        <f t="array" ref="AW55">_xlfn.XLOOKUP(MIN(ABS($AY$6:$AY$22 - MEDIAN(-2, 2, AW26))), ABS($AY$6:$AY$22 - MEDIAN(-2, 2, AW26)), $AZ$6:$AZ$22, "Error", 0)</f>
        <v/>
      </c>
    </row>
    <row r="56" ht="25" customHeight="1">
      <c r="A56" s="48" t="inlineStr">
        <is>
          <t>GBP CHF</t>
        </is>
      </c>
      <c r="B56" s="30">
        <f t="array" ref="B56">_xlfn.XLOOKUP(MIN(ABS($AY$6:$AY$22 - MEDIAN(-2, 2, B27))), ABS($AY$6:$AY$22 - MEDIAN(-2, 2, B27)), $AZ$6:$AZ$22, "Error", 0)</f>
        <v/>
      </c>
      <c r="C56" s="30">
        <f t="array" ref="C56">_xlfn.XLOOKUP(MIN(ABS($AY$6:$AY$22 - MEDIAN(-2, 2, C27))), ABS($AY$6:$AY$22 - MEDIAN(-2, 2, C27)), $AZ$6:$AZ$22, "Error", 0)</f>
        <v/>
      </c>
      <c r="D56" s="30">
        <f t="array" ref="D56">_xlfn.XLOOKUP(MIN(ABS($AY$6:$AY$22 - MEDIAN(-2, 2, D27))), ABS($AY$6:$AY$22 - MEDIAN(-2, 2, D27)), $AZ$6:$AZ$22, "Error", 0)</f>
        <v/>
      </c>
      <c r="E56" s="30">
        <f t="array" ref="E56">_xlfn.XLOOKUP(MIN(ABS($AY$6:$AY$22 - MEDIAN(-2, 2, E27))), ABS($AY$6:$AY$22 - MEDIAN(-2, 2, E27)), $AZ$6:$AZ$22, "Error", 0)</f>
        <v/>
      </c>
      <c r="F56" s="30">
        <f t="array" ref="F56">_xlfn.XLOOKUP(MIN(ABS($AY$6:$AY$22 - MEDIAN(-2, 2, F27))), ABS($AY$6:$AY$22 - MEDIAN(-2, 2, F27)), $AZ$6:$AZ$22, "Error", 0)</f>
        <v/>
      </c>
      <c r="G56" s="30">
        <f t="array" ref="G56">_xlfn.XLOOKUP(MIN(ABS($AY$6:$AY$22 - MEDIAN(-2, 2, G27))), ABS($AY$6:$AY$22 - MEDIAN(-2, 2, G27)), $AZ$6:$AZ$22, "Error", 0)</f>
        <v/>
      </c>
      <c r="H56" s="30">
        <f t="array" ref="H56">_xlfn.XLOOKUP(MIN(ABS($AY$6:$AY$22 - MEDIAN(-2, 2, H27))), ABS($AY$6:$AY$22 - MEDIAN(-2, 2, H27)), $AZ$6:$AZ$22, "Error", 0)</f>
        <v/>
      </c>
      <c r="I56" s="30">
        <f t="array" ref="I56">_xlfn.XLOOKUP(MIN(ABS($AY$6:$AY$22 - MEDIAN(-2, 2, I27))), ABS($AY$6:$AY$22 - MEDIAN(-2, 2, I27)), $AZ$6:$AZ$22, "Error", 0)</f>
        <v/>
      </c>
      <c r="J56" s="30">
        <f t="array" ref="J56">_xlfn.XLOOKUP(MIN(ABS($AY$6:$AY$22 - MEDIAN(-2, 2, J27))), ABS($AY$6:$AY$22 - MEDIAN(-2, 2, J27)), $AZ$6:$AZ$22, "Error", 0)</f>
        <v/>
      </c>
      <c r="K56" s="30">
        <f t="array" ref="K56">_xlfn.XLOOKUP(MIN(ABS($AY$6:$AY$22 - MEDIAN(-2, 2, K27))), ABS($AY$6:$AY$22 - MEDIAN(-2, 2, K27)), $AZ$6:$AZ$22, "Error", 0)</f>
        <v/>
      </c>
      <c r="L56" s="30">
        <f t="array" ref="L56">_xlfn.XLOOKUP(MIN(ABS($AY$6:$AY$22 - MEDIAN(-2, 2, L27))), ABS($AY$6:$AY$22 - MEDIAN(-2, 2, L27)), $AZ$6:$AZ$22, "Error", 0)</f>
        <v/>
      </c>
      <c r="M56" s="30">
        <f t="array" ref="M56">_xlfn.XLOOKUP(MIN(ABS($AY$6:$AY$22 - MEDIAN(-2, 2, M27))), ABS($AY$6:$AY$22 - MEDIAN(-2, 2, M27)), $AZ$6:$AZ$22, "Error", 0)</f>
        <v/>
      </c>
      <c r="N56" s="30">
        <f t="array" ref="N56">_xlfn.XLOOKUP(MIN(ABS($AY$6:$AY$22 - MEDIAN(-2, 2, N27))), ABS($AY$6:$AY$22 - MEDIAN(-2, 2, N27)), $AZ$6:$AZ$22, "Error", 0)</f>
        <v/>
      </c>
      <c r="O56" s="30">
        <f t="array" ref="O56">_xlfn.XLOOKUP(MIN(ABS($AY$6:$AY$22 - MEDIAN(-2, 2, O27))), ABS($AY$6:$AY$22 - MEDIAN(-2, 2, O27)), $AZ$6:$AZ$22, "Error", 0)</f>
        <v/>
      </c>
      <c r="P56" s="30">
        <f t="array" ref="P56">_xlfn.XLOOKUP(MIN(ABS($AY$6:$AY$22 - MEDIAN(-2, 2, P27))), ABS($AY$6:$AY$22 - MEDIAN(-2, 2, P27)), $AZ$6:$AZ$22, "Error", 0)</f>
        <v/>
      </c>
      <c r="Q56" s="30">
        <f t="array" ref="Q56">_xlfn.XLOOKUP(MIN(ABS($AY$6:$AY$22 - MEDIAN(-2, 2, Q27))), ABS($AY$6:$AY$22 - MEDIAN(-2, 2, Q27)), $AZ$6:$AZ$22, "Error", 0)</f>
        <v/>
      </c>
      <c r="R56" s="30">
        <f t="array" ref="R56">_xlfn.XLOOKUP(MIN(ABS($AY$6:$AY$22 - MEDIAN(-2, 2, R27))), ABS($AY$6:$AY$22 - MEDIAN(-2, 2, R27)), $AZ$6:$AZ$22, "Error", 0)</f>
        <v/>
      </c>
      <c r="S56" s="30">
        <f t="array" ref="S56">_xlfn.XLOOKUP(MIN(ABS($AY$6:$AY$22 - MEDIAN(-2, 2, S27))), ABS($AY$6:$AY$22 - MEDIAN(-2, 2, S27)), $AZ$6:$AZ$22, "Error", 0)</f>
        <v/>
      </c>
      <c r="T56" s="30">
        <f t="array" ref="T56">_xlfn.XLOOKUP(MIN(ABS($AY$6:$AY$22 - MEDIAN(-2, 2, T27))), ABS($AY$6:$AY$22 - MEDIAN(-2, 2, T27)), $AZ$6:$AZ$22, "Error", 0)</f>
        <v/>
      </c>
      <c r="U56" s="30">
        <f t="array" ref="U56">_xlfn.XLOOKUP(MIN(ABS($AY$6:$AY$22 - MEDIAN(-2, 2, U27))), ABS($AY$6:$AY$22 - MEDIAN(-2, 2, U27)), $AZ$6:$AZ$22, "Error", 0)</f>
        <v/>
      </c>
      <c r="V56" s="30">
        <f t="array" ref="V56">_xlfn.XLOOKUP(MIN(ABS($AY$6:$AY$22 - MEDIAN(-2, 2, V27))), ABS($AY$6:$AY$22 - MEDIAN(-2, 2, V27)), $AZ$6:$AZ$22, "Error", 0)</f>
        <v/>
      </c>
      <c r="W56" s="30">
        <f t="array" ref="W56">_xlfn.XLOOKUP(MIN(ABS($AY$6:$AY$22 - MEDIAN(-2, 2, W27))), ABS($AY$6:$AY$22 - MEDIAN(-2, 2, W27)), $AZ$6:$AZ$22, "Error", 0)</f>
        <v/>
      </c>
      <c r="X56" s="30">
        <f t="array" ref="X56">_xlfn.XLOOKUP(MIN(ABS($AY$6:$AY$22 - MEDIAN(-2, 2, X27))), ABS($AY$6:$AY$22 - MEDIAN(-2, 2, X27)), $AZ$6:$AZ$22, "Error", 0)</f>
        <v/>
      </c>
      <c r="Y56" s="30">
        <f t="array" ref="Y56">_xlfn.XLOOKUP(MIN(ABS($AY$6:$AY$22 - MEDIAN(-2, 2, Y27))), ABS($AY$6:$AY$22 - MEDIAN(-2, 2, Y27)), $AZ$6:$AZ$22, "Error", 0)</f>
        <v/>
      </c>
      <c r="Z56" s="30">
        <f t="array" ref="Z56">_xlfn.XLOOKUP(MIN(ABS($AY$6:$AY$22 - MEDIAN(-2, 2, Z27))), ABS($AY$6:$AY$22 - MEDIAN(-2, 2, Z27)), $AZ$6:$AZ$22, "Error", 0)</f>
        <v/>
      </c>
      <c r="AA56" s="30">
        <f t="array" ref="AA56">_xlfn.XLOOKUP(MIN(ABS($AY$6:$AY$22 - MEDIAN(-2, 2, AA27))), ABS($AY$6:$AY$22 - MEDIAN(-2, 2, AA27)), $AZ$6:$AZ$22, "Error", 0)</f>
        <v/>
      </c>
      <c r="AB56" s="30">
        <f t="array" ref="AB56">_xlfn.XLOOKUP(MIN(ABS($AY$6:$AY$22 - MEDIAN(-2, 2, AB27))), ABS($AY$6:$AY$22 - MEDIAN(-2, 2, AB27)), $AZ$6:$AZ$22, "Error", 0)</f>
        <v/>
      </c>
      <c r="AC56" s="30">
        <f t="array" ref="AC56">_xlfn.XLOOKUP(MIN(ABS($AY$6:$AY$22 - MEDIAN(-2, 2, AC27))), ABS($AY$6:$AY$22 - MEDIAN(-2, 2, AC27)), $AZ$6:$AZ$22, "Error", 0)</f>
        <v/>
      </c>
      <c r="AD56" s="30">
        <f t="array" ref="AD56">_xlfn.XLOOKUP(MIN(ABS($AY$6:$AY$22 - MEDIAN(-2, 2, AD27))), ABS($AY$6:$AY$22 - MEDIAN(-2, 2, AD27)), $AZ$6:$AZ$22, "Error", 0)</f>
        <v/>
      </c>
      <c r="AE56" s="30">
        <f t="array" ref="AE56">_xlfn.XLOOKUP(MIN(ABS($AY$6:$AY$22 - MEDIAN(-2, 2, AE27))), ABS($AY$6:$AY$22 - MEDIAN(-2, 2, AE27)), $AZ$6:$AZ$22, "Error", 0)</f>
        <v/>
      </c>
      <c r="AF56" s="30">
        <f t="array" ref="AF56">_xlfn.XLOOKUP(MIN(ABS($AY$6:$AY$22 - MEDIAN(-2, 2, AF27))), ABS($AY$6:$AY$22 - MEDIAN(-2, 2, AF27)), $AZ$6:$AZ$22, "Error", 0)</f>
        <v/>
      </c>
      <c r="AG56" s="30">
        <f t="array" ref="AG56">_xlfn.XLOOKUP(MIN(ABS($AY$6:$AY$22 - MEDIAN(-2, 2, AG27))), ABS($AY$6:$AY$22 - MEDIAN(-2, 2, AG27)), $AZ$6:$AZ$22, "Error", 0)</f>
        <v/>
      </c>
      <c r="AH56" s="30">
        <f t="array" ref="AH56">_xlfn.XLOOKUP(MIN(ABS($AY$6:$AY$22 - MEDIAN(-2, 2, AH27))), ABS($AY$6:$AY$22 - MEDIAN(-2, 2, AH27)), $AZ$6:$AZ$22, "Error", 0)</f>
        <v/>
      </c>
      <c r="AI56" s="30">
        <f t="array" ref="AI56">_xlfn.XLOOKUP(MIN(ABS($AY$6:$AY$22 - MEDIAN(-2, 2, AI27))), ABS($AY$6:$AY$22 - MEDIAN(-2, 2, AI27)), $AZ$6:$AZ$22, "Error", 0)</f>
        <v/>
      </c>
      <c r="AJ56" s="30">
        <f t="array" ref="AJ56">_xlfn.XLOOKUP(MIN(ABS($AY$6:$AY$22 - MEDIAN(-2, 2, AJ27))), ABS($AY$6:$AY$22 - MEDIAN(-2, 2, AJ27)), $AZ$6:$AZ$22, "Error", 0)</f>
        <v/>
      </c>
      <c r="AK56" s="30">
        <f t="array" ref="AK56">_xlfn.XLOOKUP(MIN(ABS($AY$6:$AY$22 - MEDIAN(-2, 2, AK27))), ABS($AY$6:$AY$22 - MEDIAN(-2, 2, AK27)), $AZ$6:$AZ$22, "Error", 0)</f>
        <v/>
      </c>
      <c r="AL56" s="30">
        <f t="array" ref="AL56">_xlfn.XLOOKUP(MIN(ABS($AY$6:$AY$22 - MEDIAN(-2, 2, AL27))), ABS($AY$6:$AY$22 - MEDIAN(-2, 2, AL27)), $AZ$6:$AZ$22, "Error", 0)</f>
        <v/>
      </c>
      <c r="AM56" s="30">
        <f t="array" ref="AM56">_xlfn.XLOOKUP(MIN(ABS($AY$6:$AY$22 - MEDIAN(-2, 2, AM27))), ABS($AY$6:$AY$22 - MEDIAN(-2, 2, AM27)), $AZ$6:$AZ$22, "Error", 0)</f>
        <v/>
      </c>
      <c r="AN56" s="30">
        <f t="array" ref="AN56">_xlfn.XLOOKUP(MIN(ABS($AY$6:$AY$22 - MEDIAN(-2, 2, AN27))), ABS($AY$6:$AY$22 - MEDIAN(-2, 2, AN27)), $AZ$6:$AZ$22, "Error", 0)</f>
        <v/>
      </c>
      <c r="AO56" s="30">
        <f t="array" ref="AO56">_xlfn.XLOOKUP(MIN(ABS($AY$6:$AY$22 - MEDIAN(-2, 2, AO27))), ABS($AY$6:$AY$22 - MEDIAN(-2, 2, AO27)), $AZ$6:$AZ$22, "Error", 0)</f>
        <v/>
      </c>
      <c r="AP56" s="30">
        <f t="array" ref="AP56">_xlfn.XLOOKUP(MIN(ABS($AY$6:$AY$22 - MEDIAN(-2, 2, AP27))), ABS($AY$6:$AY$22 - MEDIAN(-2, 2, AP27)), $AZ$6:$AZ$22, "Error", 0)</f>
        <v/>
      </c>
      <c r="AQ56" s="30">
        <f t="array" ref="AQ56">_xlfn.XLOOKUP(MIN(ABS($AY$6:$AY$22 - MEDIAN(-2, 2, AQ27))), ABS($AY$6:$AY$22 - MEDIAN(-2, 2, AQ27)), $AZ$6:$AZ$22, "Error", 0)</f>
        <v/>
      </c>
      <c r="AR56" s="30">
        <f t="array" ref="AR56">_xlfn.XLOOKUP(MIN(ABS($AY$6:$AY$22 - MEDIAN(-2, 2, AR27))), ABS($AY$6:$AY$22 - MEDIAN(-2, 2, AR27)), $AZ$6:$AZ$22, "Error", 0)</f>
        <v/>
      </c>
      <c r="AS56" s="30">
        <f t="array" ref="AS56">_xlfn.XLOOKUP(MIN(ABS($AY$6:$AY$22 - MEDIAN(-2, 2, AS27))), ABS($AY$6:$AY$22 - MEDIAN(-2, 2, AS27)), $AZ$6:$AZ$22, "Error", 0)</f>
        <v/>
      </c>
      <c r="AT56" s="30">
        <f t="array" ref="AT56">_xlfn.XLOOKUP(MIN(ABS($AY$6:$AY$22 - MEDIAN(-2, 2, AT27))), ABS($AY$6:$AY$22 - MEDIAN(-2, 2, AT27)), $AZ$6:$AZ$22, "Error", 0)</f>
        <v/>
      </c>
      <c r="AU56" s="30">
        <f t="array" ref="AU56">_xlfn.XLOOKUP(MIN(ABS($AY$6:$AY$22 - MEDIAN(-2, 2, AU27))), ABS($AY$6:$AY$22 - MEDIAN(-2, 2, AU27)), $AZ$6:$AZ$22, "Error", 0)</f>
        <v/>
      </c>
      <c r="AV56" s="30">
        <f t="array" ref="AV56">_xlfn.XLOOKUP(MIN(ABS($AY$6:$AY$22 - MEDIAN(-2, 2, AV27))), ABS($AY$6:$AY$22 - MEDIAN(-2, 2, AV27)), $AZ$6:$AZ$22, "Error", 0)</f>
        <v/>
      </c>
      <c r="AW56" s="30">
        <f t="array" ref="AW56">_xlfn.XLOOKUP(MIN(ABS($AY$6:$AY$22 - MEDIAN(-2, 2, AW27))), ABS($AY$6:$AY$22 - MEDIAN(-2, 2, AW27)), $AZ$6:$AZ$22, "Error", 0)</f>
        <v/>
      </c>
    </row>
    <row r="57" ht="25" customHeight="1">
      <c r="A57" s="48" t="inlineStr">
        <is>
          <t>GBP CAD</t>
        </is>
      </c>
      <c r="B57" s="30">
        <f t="array" ref="B57">_xlfn.XLOOKUP(MIN(ABS($AY$6:$AY$22 - MEDIAN(-2, 2, B28))), ABS($AY$6:$AY$22 - MEDIAN(-2, 2, B28)), $AZ$6:$AZ$22, "Error", 0)</f>
        <v/>
      </c>
      <c r="C57" s="30">
        <f t="array" ref="C57">_xlfn.XLOOKUP(MIN(ABS($AY$6:$AY$22 - MEDIAN(-2, 2, C28))), ABS($AY$6:$AY$22 - MEDIAN(-2, 2, C28)), $AZ$6:$AZ$22, "Error", 0)</f>
        <v/>
      </c>
      <c r="D57" s="30">
        <f t="array" ref="D57">_xlfn.XLOOKUP(MIN(ABS($AY$6:$AY$22 - MEDIAN(-2, 2, D28))), ABS($AY$6:$AY$22 - MEDIAN(-2, 2, D28)), $AZ$6:$AZ$22, "Error", 0)</f>
        <v/>
      </c>
      <c r="E57" s="30">
        <f t="array" ref="E57">_xlfn.XLOOKUP(MIN(ABS($AY$6:$AY$22 - MEDIAN(-2, 2, E28))), ABS($AY$6:$AY$22 - MEDIAN(-2, 2, E28)), $AZ$6:$AZ$22, "Error", 0)</f>
        <v/>
      </c>
      <c r="F57" s="30">
        <f t="array" ref="F57">_xlfn.XLOOKUP(MIN(ABS($AY$6:$AY$22 - MEDIAN(-2, 2, F28))), ABS($AY$6:$AY$22 - MEDIAN(-2, 2, F28)), $AZ$6:$AZ$22, "Error", 0)</f>
        <v/>
      </c>
      <c r="G57" s="30">
        <f t="array" ref="G57">_xlfn.XLOOKUP(MIN(ABS($AY$6:$AY$22 - MEDIAN(-2, 2, G28))), ABS($AY$6:$AY$22 - MEDIAN(-2, 2, G28)), $AZ$6:$AZ$22, "Error", 0)</f>
        <v/>
      </c>
      <c r="H57" s="30">
        <f t="array" ref="H57">_xlfn.XLOOKUP(MIN(ABS($AY$6:$AY$22 - MEDIAN(-2, 2, H28))), ABS($AY$6:$AY$22 - MEDIAN(-2, 2, H28)), $AZ$6:$AZ$22, "Error", 0)</f>
        <v/>
      </c>
      <c r="I57" s="30">
        <f t="array" ref="I57">_xlfn.XLOOKUP(MIN(ABS($AY$6:$AY$22 - MEDIAN(-2, 2, I28))), ABS($AY$6:$AY$22 - MEDIAN(-2, 2, I28)), $AZ$6:$AZ$22, "Error", 0)</f>
        <v/>
      </c>
      <c r="J57" s="30">
        <f t="array" ref="J57">_xlfn.XLOOKUP(MIN(ABS($AY$6:$AY$22 - MEDIAN(-2, 2, J28))), ABS($AY$6:$AY$22 - MEDIAN(-2, 2, J28)), $AZ$6:$AZ$22, "Error", 0)</f>
        <v/>
      </c>
      <c r="K57" s="30">
        <f t="array" ref="K57">_xlfn.XLOOKUP(MIN(ABS($AY$6:$AY$22 - MEDIAN(-2, 2, K28))), ABS($AY$6:$AY$22 - MEDIAN(-2, 2, K28)), $AZ$6:$AZ$22, "Error", 0)</f>
        <v/>
      </c>
      <c r="L57" s="30">
        <f t="array" ref="L57">_xlfn.XLOOKUP(MIN(ABS($AY$6:$AY$22 - MEDIAN(-2, 2, L28))), ABS($AY$6:$AY$22 - MEDIAN(-2, 2, L28)), $AZ$6:$AZ$22, "Error", 0)</f>
        <v/>
      </c>
      <c r="M57" s="30">
        <f t="array" ref="M57">_xlfn.XLOOKUP(MIN(ABS($AY$6:$AY$22 - MEDIAN(-2, 2, M28))), ABS($AY$6:$AY$22 - MEDIAN(-2, 2, M28)), $AZ$6:$AZ$22, "Error", 0)</f>
        <v/>
      </c>
      <c r="N57" s="30">
        <f t="array" ref="N57">_xlfn.XLOOKUP(MIN(ABS($AY$6:$AY$22 - MEDIAN(-2, 2, N28))), ABS($AY$6:$AY$22 - MEDIAN(-2, 2, N28)), $AZ$6:$AZ$22, "Error", 0)</f>
        <v/>
      </c>
      <c r="O57" s="30">
        <f t="array" ref="O57">_xlfn.XLOOKUP(MIN(ABS($AY$6:$AY$22 - MEDIAN(-2, 2, O28))), ABS($AY$6:$AY$22 - MEDIAN(-2, 2, O28)), $AZ$6:$AZ$22, "Error", 0)</f>
        <v/>
      </c>
      <c r="P57" s="30">
        <f t="array" ref="P57">_xlfn.XLOOKUP(MIN(ABS($AY$6:$AY$22 - MEDIAN(-2, 2, P28))), ABS($AY$6:$AY$22 - MEDIAN(-2, 2, P28)), $AZ$6:$AZ$22, "Error", 0)</f>
        <v/>
      </c>
      <c r="Q57" s="30">
        <f t="array" ref="Q57">_xlfn.XLOOKUP(MIN(ABS($AY$6:$AY$22 - MEDIAN(-2, 2, Q28))), ABS($AY$6:$AY$22 - MEDIAN(-2, 2, Q28)), $AZ$6:$AZ$22, "Error", 0)</f>
        <v/>
      </c>
      <c r="R57" s="30">
        <f t="array" ref="R57">_xlfn.XLOOKUP(MIN(ABS($AY$6:$AY$22 - MEDIAN(-2, 2, R28))), ABS($AY$6:$AY$22 - MEDIAN(-2, 2, R28)), $AZ$6:$AZ$22, "Error", 0)</f>
        <v/>
      </c>
      <c r="S57" s="30">
        <f t="array" ref="S57">_xlfn.XLOOKUP(MIN(ABS($AY$6:$AY$22 - MEDIAN(-2, 2, S28))), ABS($AY$6:$AY$22 - MEDIAN(-2, 2, S28)), $AZ$6:$AZ$22, "Error", 0)</f>
        <v/>
      </c>
      <c r="T57" s="30">
        <f t="array" ref="T57">_xlfn.XLOOKUP(MIN(ABS($AY$6:$AY$22 - MEDIAN(-2, 2, T28))), ABS($AY$6:$AY$22 - MEDIAN(-2, 2, T28)), $AZ$6:$AZ$22, "Error", 0)</f>
        <v/>
      </c>
      <c r="U57" s="30">
        <f t="array" ref="U57">_xlfn.XLOOKUP(MIN(ABS($AY$6:$AY$22 - MEDIAN(-2, 2, U28))), ABS($AY$6:$AY$22 - MEDIAN(-2, 2, U28)), $AZ$6:$AZ$22, "Error", 0)</f>
        <v/>
      </c>
      <c r="V57" s="30">
        <f t="array" ref="V57">_xlfn.XLOOKUP(MIN(ABS($AY$6:$AY$22 - MEDIAN(-2, 2, V28))), ABS($AY$6:$AY$22 - MEDIAN(-2, 2, V28)), $AZ$6:$AZ$22, "Error", 0)</f>
        <v/>
      </c>
      <c r="W57" s="30">
        <f t="array" ref="W57">_xlfn.XLOOKUP(MIN(ABS($AY$6:$AY$22 - MEDIAN(-2, 2, W28))), ABS($AY$6:$AY$22 - MEDIAN(-2, 2, W28)), $AZ$6:$AZ$22, "Error", 0)</f>
        <v/>
      </c>
      <c r="X57" s="30">
        <f t="array" ref="X57">_xlfn.XLOOKUP(MIN(ABS($AY$6:$AY$22 - MEDIAN(-2, 2, X28))), ABS($AY$6:$AY$22 - MEDIAN(-2, 2, X28)), $AZ$6:$AZ$22, "Error", 0)</f>
        <v/>
      </c>
      <c r="Y57" s="30">
        <f t="array" ref="Y57">_xlfn.XLOOKUP(MIN(ABS($AY$6:$AY$22 - MEDIAN(-2, 2, Y28))), ABS($AY$6:$AY$22 - MEDIAN(-2, 2, Y28)), $AZ$6:$AZ$22, "Error", 0)</f>
        <v/>
      </c>
      <c r="Z57" s="30">
        <f t="array" ref="Z57">_xlfn.XLOOKUP(MIN(ABS($AY$6:$AY$22 - MEDIAN(-2, 2, Z28))), ABS($AY$6:$AY$22 - MEDIAN(-2, 2, Z28)), $AZ$6:$AZ$22, "Error", 0)</f>
        <v/>
      </c>
      <c r="AA57" s="30">
        <f t="array" ref="AA57">_xlfn.XLOOKUP(MIN(ABS($AY$6:$AY$22 - MEDIAN(-2, 2, AA28))), ABS($AY$6:$AY$22 - MEDIAN(-2, 2, AA28)), $AZ$6:$AZ$22, "Error", 0)</f>
        <v/>
      </c>
      <c r="AB57" s="30">
        <f t="array" ref="AB57">_xlfn.XLOOKUP(MIN(ABS($AY$6:$AY$22 - MEDIAN(-2, 2, AB28))), ABS($AY$6:$AY$22 - MEDIAN(-2, 2, AB28)), $AZ$6:$AZ$22, "Error", 0)</f>
        <v/>
      </c>
      <c r="AC57" s="30">
        <f t="array" ref="AC57">_xlfn.XLOOKUP(MIN(ABS($AY$6:$AY$22 - MEDIAN(-2, 2, AC28))), ABS($AY$6:$AY$22 - MEDIAN(-2, 2, AC28)), $AZ$6:$AZ$22, "Error", 0)</f>
        <v/>
      </c>
      <c r="AD57" s="30">
        <f t="array" ref="AD57">_xlfn.XLOOKUP(MIN(ABS($AY$6:$AY$22 - MEDIAN(-2, 2, AD28))), ABS($AY$6:$AY$22 - MEDIAN(-2, 2, AD28)), $AZ$6:$AZ$22, "Error", 0)</f>
        <v/>
      </c>
      <c r="AE57" s="30">
        <f t="array" ref="AE57">_xlfn.XLOOKUP(MIN(ABS($AY$6:$AY$22 - MEDIAN(-2, 2, AE28))), ABS($AY$6:$AY$22 - MEDIAN(-2, 2, AE28)), $AZ$6:$AZ$22, "Error", 0)</f>
        <v/>
      </c>
      <c r="AF57" s="30">
        <f t="array" ref="AF57">_xlfn.XLOOKUP(MIN(ABS($AY$6:$AY$22 - MEDIAN(-2, 2, AF28))), ABS($AY$6:$AY$22 - MEDIAN(-2, 2, AF28)), $AZ$6:$AZ$22, "Error", 0)</f>
        <v/>
      </c>
      <c r="AG57" s="30">
        <f t="array" ref="AG57">_xlfn.XLOOKUP(MIN(ABS($AY$6:$AY$22 - MEDIAN(-2, 2, AG28))), ABS($AY$6:$AY$22 - MEDIAN(-2, 2, AG28)), $AZ$6:$AZ$22, "Error", 0)</f>
        <v/>
      </c>
      <c r="AH57" s="30">
        <f t="array" ref="AH57">_xlfn.XLOOKUP(MIN(ABS($AY$6:$AY$22 - MEDIAN(-2, 2, AH28))), ABS($AY$6:$AY$22 - MEDIAN(-2, 2, AH28)), $AZ$6:$AZ$22, "Error", 0)</f>
        <v/>
      </c>
      <c r="AI57" s="30">
        <f t="array" ref="AI57">_xlfn.XLOOKUP(MIN(ABS($AY$6:$AY$22 - MEDIAN(-2, 2, AI28))), ABS($AY$6:$AY$22 - MEDIAN(-2, 2, AI28)), $AZ$6:$AZ$22, "Error", 0)</f>
        <v/>
      </c>
      <c r="AJ57" s="30">
        <f t="array" ref="AJ57">_xlfn.XLOOKUP(MIN(ABS($AY$6:$AY$22 - MEDIAN(-2, 2, AJ28))), ABS($AY$6:$AY$22 - MEDIAN(-2, 2, AJ28)), $AZ$6:$AZ$22, "Error", 0)</f>
        <v/>
      </c>
      <c r="AK57" s="30">
        <f t="array" ref="AK57">_xlfn.XLOOKUP(MIN(ABS($AY$6:$AY$22 - MEDIAN(-2, 2, AK28))), ABS($AY$6:$AY$22 - MEDIAN(-2, 2, AK28)), $AZ$6:$AZ$22, "Error", 0)</f>
        <v/>
      </c>
      <c r="AL57" s="30">
        <f t="array" ref="AL57">_xlfn.XLOOKUP(MIN(ABS($AY$6:$AY$22 - MEDIAN(-2, 2, AL28))), ABS($AY$6:$AY$22 - MEDIAN(-2, 2, AL28)), $AZ$6:$AZ$22, "Error", 0)</f>
        <v/>
      </c>
      <c r="AM57" s="30">
        <f t="array" ref="AM57">_xlfn.XLOOKUP(MIN(ABS($AY$6:$AY$22 - MEDIAN(-2, 2, AM28))), ABS($AY$6:$AY$22 - MEDIAN(-2, 2, AM28)), $AZ$6:$AZ$22, "Error", 0)</f>
        <v/>
      </c>
      <c r="AN57" s="30">
        <f t="array" ref="AN57">_xlfn.XLOOKUP(MIN(ABS($AY$6:$AY$22 - MEDIAN(-2, 2, AN28))), ABS($AY$6:$AY$22 - MEDIAN(-2, 2, AN28)), $AZ$6:$AZ$22, "Error", 0)</f>
        <v/>
      </c>
      <c r="AO57" s="30">
        <f t="array" ref="AO57">_xlfn.XLOOKUP(MIN(ABS($AY$6:$AY$22 - MEDIAN(-2, 2, AO28))), ABS($AY$6:$AY$22 - MEDIAN(-2, 2, AO28)), $AZ$6:$AZ$22, "Error", 0)</f>
        <v/>
      </c>
      <c r="AP57" s="30">
        <f t="array" ref="AP57">_xlfn.XLOOKUP(MIN(ABS($AY$6:$AY$22 - MEDIAN(-2, 2, AP28))), ABS($AY$6:$AY$22 - MEDIAN(-2, 2, AP28)), $AZ$6:$AZ$22, "Error", 0)</f>
        <v/>
      </c>
      <c r="AQ57" s="30">
        <f t="array" ref="AQ57">_xlfn.XLOOKUP(MIN(ABS($AY$6:$AY$22 - MEDIAN(-2, 2, AQ28))), ABS($AY$6:$AY$22 - MEDIAN(-2, 2, AQ28)), $AZ$6:$AZ$22, "Error", 0)</f>
        <v/>
      </c>
      <c r="AR57" s="30">
        <f t="array" ref="AR57">_xlfn.XLOOKUP(MIN(ABS($AY$6:$AY$22 - MEDIAN(-2, 2, AR28))), ABS($AY$6:$AY$22 - MEDIAN(-2, 2, AR28)), $AZ$6:$AZ$22, "Error", 0)</f>
        <v/>
      </c>
      <c r="AS57" s="30">
        <f t="array" ref="AS57">_xlfn.XLOOKUP(MIN(ABS($AY$6:$AY$22 - MEDIAN(-2, 2, AS28))), ABS($AY$6:$AY$22 - MEDIAN(-2, 2, AS28)), $AZ$6:$AZ$22, "Error", 0)</f>
        <v/>
      </c>
      <c r="AT57" s="30">
        <f t="array" ref="AT57">_xlfn.XLOOKUP(MIN(ABS($AY$6:$AY$22 - MEDIAN(-2, 2, AT28))), ABS($AY$6:$AY$22 - MEDIAN(-2, 2, AT28)), $AZ$6:$AZ$22, "Error", 0)</f>
        <v/>
      </c>
      <c r="AU57" s="30">
        <f t="array" ref="AU57">_xlfn.XLOOKUP(MIN(ABS($AY$6:$AY$22 - MEDIAN(-2, 2, AU28))), ABS($AY$6:$AY$22 - MEDIAN(-2, 2, AU28)), $AZ$6:$AZ$22, "Error", 0)</f>
        <v/>
      </c>
      <c r="AV57" s="30">
        <f t="array" ref="AV57">_xlfn.XLOOKUP(MIN(ABS($AY$6:$AY$22 - MEDIAN(-2, 2, AV28))), ABS($AY$6:$AY$22 - MEDIAN(-2, 2, AV28)), $AZ$6:$AZ$22, "Error", 0)</f>
        <v/>
      </c>
      <c r="AW57" s="30">
        <f t="array" ref="AW57">_xlfn.XLOOKUP(MIN(ABS($AY$6:$AY$22 - MEDIAN(-2, 2, AW28))), ABS($AY$6:$AY$22 - MEDIAN(-2, 2, AW28)), $AZ$6:$AZ$22, "Error", 0)</f>
        <v/>
      </c>
    </row>
    <row r="58" ht="25" customHeight="1">
      <c r="A58" s="48" t="inlineStr">
        <is>
          <t>GBP AUD</t>
        </is>
      </c>
      <c r="B58" s="30">
        <f t="array" ref="B58">_xlfn.XLOOKUP(MIN(ABS($AY$6:$AY$22 - MEDIAN(-2, 2, B29))), ABS($AY$6:$AY$22 - MEDIAN(-2, 2, B29)), $AZ$6:$AZ$22, "Error", 0)</f>
        <v/>
      </c>
      <c r="C58" s="30">
        <f t="array" ref="C58">_xlfn.XLOOKUP(MIN(ABS($AY$6:$AY$22 - MEDIAN(-2, 2, C29))), ABS($AY$6:$AY$22 - MEDIAN(-2, 2, C29)), $AZ$6:$AZ$22, "Error", 0)</f>
        <v/>
      </c>
      <c r="D58" s="30">
        <f t="array" ref="D58">_xlfn.XLOOKUP(MIN(ABS($AY$6:$AY$22 - MEDIAN(-2, 2, D29))), ABS($AY$6:$AY$22 - MEDIAN(-2, 2, D29)), $AZ$6:$AZ$22, "Error", 0)</f>
        <v/>
      </c>
      <c r="E58" s="30">
        <f t="array" ref="E58">_xlfn.XLOOKUP(MIN(ABS($AY$6:$AY$22 - MEDIAN(-2, 2, E29))), ABS($AY$6:$AY$22 - MEDIAN(-2, 2, E29)), $AZ$6:$AZ$22, "Error", 0)</f>
        <v/>
      </c>
      <c r="F58" s="30">
        <f t="array" ref="F58">_xlfn.XLOOKUP(MIN(ABS($AY$6:$AY$22 - MEDIAN(-2, 2, F29))), ABS($AY$6:$AY$22 - MEDIAN(-2, 2, F29)), $AZ$6:$AZ$22, "Error", 0)</f>
        <v/>
      </c>
      <c r="G58" s="30">
        <f t="array" ref="G58">_xlfn.XLOOKUP(MIN(ABS($AY$6:$AY$22 - MEDIAN(-2, 2, G29))), ABS($AY$6:$AY$22 - MEDIAN(-2, 2, G29)), $AZ$6:$AZ$22, "Error", 0)</f>
        <v/>
      </c>
      <c r="H58" s="30">
        <f t="array" ref="H58">_xlfn.XLOOKUP(MIN(ABS($AY$6:$AY$22 - MEDIAN(-2, 2, H29))), ABS($AY$6:$AY$22 - MEDIAN(-2, 2, H29)), $AZ$6:$AZ$22, "Error", 0)</f>
        <v/>
      </c>
      <c r="I58" s="30">
        <f t="array" ref="I58">_xlfn.XLOOKUP(MIN(ABS($AY$6:$AY$22 - MEDIAN(-2, 2, I29))), ABS($AY$6:$AY$22 - MEDIAN(-2, 2, I29)), $AZ$6:$AZ$22, "Error", 0)</f>
        <v/>
      </c>
      <c r="J58" s="30">
        <f t="array" ref="J58">_xlfn.XLOOKUP(MIN(ABS($AY$6:$AY$22 - MEDIAN(-2, 2, J29))), ABS($AY$6:$AY$22 - MEDIAN(-2, 2, J29)), $AZ$6:$AZ$22, "Error", 0)</f>
        <v/>
      </c>
      <c r="K58" s="30">
        <f t="array" ref="K58">_xlfn.XLOOKUP(MIN(ABS($AY$6:$AY$22 - MEDIAN(-2, 2, K29))), ABS($AY$6:$AY$22 - MEDIAN(-2, 2, K29)), $AZ$6:$AZ$22, "Error", 0)</f>
        <v/>
      </c>
      <c r="L58" s="30">
        <f t="array" ref="L58">_xlfn.XLOOKUP(MIN(ABS($AY$6:$AY$22 - MEDIAN(-2, 2, L29))), ABS($AY$6:$AY$22 - MEDIAN(-2, 2, L29)), $AZ$6:$AZ$22, "Error", 0)</f>
        <v/>
      </c>
      <c r="M58" s="30">
        <f t="array" ref="M58">_xlfn.XLOOKUP(MIN(ABS($AY$6:$AY$22 - MEDIAN(-2, 2, M29))), ABS($AY$6:$AY$22 - MEDIAN(-2, 2, M29)), $AZ$6:$AZ$22, "Error", 0)</f>
        <v/>
      </c>
      <c r="N58" s="30">
        <f t="array" ref="N58">_xlfn.XLOOKUP(MIN(ABS($AY$6:$AY$22 - MEDIAN(-2, 2, N29))), ABS($AY$6:$AY$22 - MEDIAN(-2, 2, N29)), $AZ$6:$AZ$22, "Error", 0)</f>
        <v/>
      </c>
      <c r="O58" s="30">
        <f t="array" ref="O58">_xlfn.XLOOKUP(MIN(ABS($AY$6:$AY$22 - MEDIAN(-2, 2, O29))), ABS($AY$6:$AY$22 - MEDIAN(-2, 2, O29)), $AZ$6:$AZ$22, "Error", 0)</f>
        <v/>
      </c>
      <c r="P58" s="30">
        <f t="array" ref="P58">_xlfn.XLOOKUP(MIN(ABS($AY$6:$AY$22 - MEDIAN(-2, 2, P29))), ABS($AY$6:$AY$22 - MEDIAN(-2, 2, P29)), $AZ$6:$AZ$22, "Error", 0)</f>
        <v/>
      </c>
      <c r="Q58" s="30">
        <f t="array" ref="Q58">_xlfn.XLOOKUP(MIN(ABS($AY$6:$AY$22 - MEDIAN(-2, 2, Q29))), ABS($AY$6:$AY$22 - MEDIAN(-2, 2, Q29)), $AZ$6:$AZ$22, "Error", 0)</f>
        <v/>
      </c>
      <c r="R58" s="30">
        <f t="array" ref="R58">_xlfn.XLOOKUP(MIN(ABS($AY$6:$AY$22 - MEDIAN(-2, 2, R29))), ABS($AY$6:$AY$22 - MEDIAN(-2, 2, R29)), $AZ$6:$AZ$22, "Error", 0)</f>
        <v/>
      </c>
      <c r="S58" s="30">
        <f t="array" ref="S58">_xlfn.XLOOKUP(MIN(ABS($AY$6:$AY$22 - MEDIAN(-2, 2, S29))), ABS($AY$6:$AY$22 - MEDIAN(-2, 2, S29)), $AZ$6:$AZ$22, "Error", 0)</f>
        <v/>
      </c>
      <c r="T58" s="30">
        <f t="array" ref="T58">_xlfn.XLOOKUP(MIN(ABS($AY$6:$AY$22 - MEDIAN(-2, 2, T29))), ABS($AY$6:$AY$22 - MEDIAN(-2, 2, T29)), $AZ$6:$AZ$22, "Error", 0)</f>
        <v/>
      </c>
      <c r="U58" s="30">
        <f t="array" ref="U58">_xlfn.XLOOKUP(MIN(ABS($AY$6:$AY$22 - MEDIAN(-2, 2, U29))), ABS($AY$6:$AY$22 - MEDIAN(-2, 2, U29)), $AZ$6:$AZ$22, "Error", 0)</f>
        <v/>
      </c>
      <c r="V58" s="30">
        <f t="array" ref="V58">_xlfn.XLOOKUP(MIN(ABS($AY$6:$AY$22 - MEDIAN(-2, 2, V29))), ABS($AY$6:$AY$22 - MEDIAN(-2, 2, V29)), $AZ$6:$AZ$22, "Error", 0)</f>
        <v/>
      </c>
      <c r="W58" s="30">
        <f t="array" ref="W58">_xlfn.XLOOKUP(MIN(ABS($AY$6:$AY$22 - MEDIAN(-2, 2, W29))), ABS($AY$6:$AY$22 - MEDIAN(-2, 2, W29)), $AZ$6:$AZ$22, "Error", 0)</f>
        <v/>
      </c>
      <c r="X58" s="30">
        <f t="array" ref="X58">_xlfn.XLOOKUP(MIN(ABS($AY$6:$AY$22 - MEDIAN(-2, 2, X29))), ABS($AY$6:$AY$22 - MEDIAN(-2, 2, X29)), $AZ$6:$AZ$22, "Error", 0)</f>
        <v/>
      </c>
      <c r="Y58" s="30">
        <f t="array" ref="Y58">_xlfn.XLOOKUP(MIN(ABS($AY$6:$AY$22 - MEDIAN(-2, 2, Y29))), ABS($AY$6:$AY$22 - MEDIAN(-2, 2, Y29)), $AZ$6:$AZ$22, "Error", 0)</f>
        <v/>
      </c>
      <c r="Z58" s="30">
        <f t="array" ref="Z58">_xlfn.XLOOKUP(MIN(ABS($AY$6:$AY$22 - MEDIAN(-2, 2, Z29))), ABS($AY$6:$AY$22 - MEDIAN(-2, 2, Z29)), $AZ$6:$AZ$22, "Error", 0)</f>
        <v/>
      </c>
      <c r="AA58" s="30">
        <f t="array" ref="AA58">_xlfn.XLOOKUP(MIN(ABS($AY$6:$AY$22 - MEDIAN(-2, 2, AA29))), ABS($AY$6:$AY$22 - MEDIAN(-2, 2, AA29)), $AZ$6:$AZ$22, "Error", 0)</f>
        <v/>
      </c>
      <c r="AB58" s="30">
        <f t="array" ref="AB58">_xlfn.XLOOKUP(MIN(ABS($AY$6:$AY$22 - MEDIAN(-2, 2, AB29))), ABS($AY$6:$AY$22 - MEDIAN(-2, 2, AB29)), $AZ$6:$AZ$22, "Error", 0)</f>
        <v/>
      </c>
      <c r="AC58" s="30">
        <f t="array" ref="AC58">_xlfn.XLOOKUP(MIN(ABS($AY$6:$AY$22 - MEDIAN(-2, 2, AC29))), ABS($AY$6:$AY$22 - MEDIAN(-2, 2, AC29)), $AZ$6:$AZ$22, "Error", 0)</f>
        <v/>
      </c>
      <c r="AD58" s="30">
        <f t="array" ref="AD58">_xlfn.XLOOKUP(MIN(ABS($AY$6:$AY$22 - MEDIAN(-2, 2, AD29))), ABS($AY$6:$AY$22 - MEDIAN(-2, 2, AD29)), $AZ$6:$AZ$22, "Error", 0)</f>
        <v/>
      </c>
      <c r="AE58" s="30">
        <f t="array" ref="AE58">_xlfn.XLOOKUP(MIN(ABS($AY$6:$AY$22 - MEDIAN(-2, 2, AE29))), ABS($AY$6:$AY$22 - MEDIAN(-2, 2, AE29)), $AZ$6:$AZ$22, "Error", 0)</f>
        <v/>
      </c>
      <c r="AF58" s="30">
        <f t="array" ref="AF58">_xlfn.XLOOKUP(MIN(ABS($AY$6:$AY$22 - MEDIAN(-2, 2, AF29))), ABS($AY$6:$AY$22 - MEDIAN(-2, 2, AF29)), $AZ$6:$AZ$22, "Error", 0)</f>
        <v/>
      </c>
      <c r="AG58" s="30">
        <f t="array" ref="AG58">_xlfn.XLOOKUP(MIN(ABS($AY$6:$AY$22 - MEDIAN(-2, 2, AG29))), ABS($AY$6:$AY$22 - MEDIAN(-2, 2, AG29)), $AZ$6:$AZ$22, "Error", 0)</f>
        <v/>
      </c>
      <c r="AH58" s="30">
        <f t="array" ref="AH58">_xlfn.XLOOKUP(MIN(ABS($AY$6:$AY$22 - MEDIAN(-2, 2, AH29))), ABS($AY$6:$AY$22 - MEDIAN(-2, 2, AH29)), $AZ$6:$AZ$22, "Error", 0)</f>
        <v/>
      </c>
      <c r="AI58" s="30">
        <f t="array" ref="AI58">_xlfn.XLOOKUP(MIN(ABS($AY$6:$AY$22 - MEDIAN(-2, 2, AI29))), ABS($AY$6:$AY$22 - MEDIAN(-2, 2, AI29)), $AZ$6:$AZ$22, "Error", 0)</f>
        <v/>
      </c>
      <c r="AJ58" s="30">
        <f t="array" ref="AJ58">_xlfn.XLOOKUP(MIN(ABS($AY$6:$AY$22 - MEDIAN(-2, 2, AJ29))), ABS($AY$6:$AY$22 - MEDIAN(-2, 2, AJ29)), $AZ$6:$AZ$22, "Error", 0)</f>
        <v/>
      </c>
      <c r="AK58" s="30">
        <f t="array" ref="AK58">_xlfn.XLOOKUP(MIN(ABS($AY$6:$AY$22 - MEDIAN(-2, 2, AK29))), ABS($AY$6:$AY$22 - MEDIAN(-2, 2, AK29)), $AZ$6:$AZ$22, "Error", 0)</f>
        <v/>
      </c>
      <c r="AL58" s="30">
        <f t="array" ref="AL58">_xlfn.XLOOKUP(MIN(ABS($AY$6:$AY$22 - MEDIAN(-2, 2, AL29))), ABS($AY$6:$AY$22 - MEDIAN(-2, 2, AL29)), $AZ$6:$AZ$22, "Error", 0)</f>
        <v/>
      </c>
      <c r="AM58" s="30">
        <f t="array" ref="AM58">_xlfn.XLOOKUP(MIN(ABS($AY$6:$AY$22 - MEDIAN(-2, 2, AM29))), ABS($AY$6:$AY$22 - MEDIAN(-2, 2, AM29)), $AZ$6:$AZ$22, "Error", 0)</f>
        <v/>
      </c>
      <c r="AN58" s="30">
        <f t="array" ref="AN58">_xlfn.XLOOKUP(MIN(ABS($AY$6:$AY$22 - MEDIAN(-2, 2, AN29))), ABS($AY$6:$AY$22 - MEDIAN(-2, 2, AN29)), $AZ$6:$AZ$22, "Error", 0)</f>
        <v/>
      </c>
      <c r="AO58" s="30">
        <f t="array" ref="AO58">_xlfn.XLOOKUP(MIN(ABS($AY$6:$AY$22 - MEDIAN(-2, 2, AO29))), ABS($AY$6:$AY$22 - MEDIAN(-2, 2, AO29)), $AZ$6:$AZ$22, "Error", 0)</f>
        <v/>
      </c>
      <c r="AP58" s="30">
        <f t="array" ref="AP58">_xlfn.XLOOKUP(MIN(ABS($AY$6:$AY$22 - MEDIAN(-2, 2, AP29))), ABS($AY$6:$AY$22 - MEDIAN(-2, 2, AP29)), $AZ$6:$AZ$22, "Error", 0)</f>
        <v/>
      </c>
      <c r="AQ58" s="30">
        <f t="array" ref="AQ58">_xlfn.XLOOKUP(MIN(ABS($AY$6:$AY$22 - MEDIAN(-2, 2, AQ29))), ABS($AY$6:$AY$22 - MEDIAN(-2, 2, AQ29)), $AZ$6:$AZ$22, "Error", 0)</f>
        <v/>
      </c>
      <c r="AR58" s="30">
        <f t="array" ref="AR58">_xlfn.XLOOKUP(MIN(ABS($AY$6:$AY$22 - MEDIAN(-2, 2, AR29))), ABS($AY$6:$AY$22 - MEDIAN(-2, 2, AR29)), $AZ$6:$AZ$22, "Error", 0)</f>
        <v/>
      </c>
      <c r="AS58" s="30">
        <f t="array" ref="AS58">_xlfn.XLOOKUP(MIN(ABS($AY$6:$AY$22 - MEDIAN(-2, 2, AS29))), ABS($AY$6:$AY$22 - MEDIAN(-2, 2, AS29)), $AZ$6:$AZ$22, "Error", 0)</f>
        <v/>
      </c>
      <c r="AT58" s="30">
        <f t="array" ref="AT58">_xlfn.XLOOKUP(MIN(ABS($AY$6:$AY$22 - MEDIAN(-2, 2, AT29))), ABS($AY$6:$AY$22 - MEDIAN(-2, 2, AT29)), $AZ$6:$AZ$22, "Error", 0)</f>
        <v/>
      </c>
      <c r="AU58" s="30">
        <f t="array" ref="AU58">_xlfn.XLOOKUP(MIN(ABS($AY$6:$AY$22 - MEDIAN(-2, 2, AU29))), ABS($AY$6:$AY$22 - MEDIAN(-2, 2, AU29)), $AZ$6:$AZ$22, "Error", 0)</f>
        <v/>
      </c>
      <c r="AV58" s="30">
        <f t="array" ref="AV58">_xlfn.XLOOKUP(MIN(ABS($AY$6:$AY$22 - MEDIAN(-2, 2, AV29))), ABS($AY$6:$AY$22 - MEDIAN(-2, 2, AV29)), $AZ$6:$AZ$22, "Error", 0)</f>
        <v/>
      </c>
      <c r="AW58" s="30">
        <f t="array" ref="AW58">_xlfn.XLOOKUP(MIN(ABS($AY$6:$AY$22 - MEDIAN(-2, 2, AW29))), ABS($AY$6:$AY$22 - MEDIAN(-2, 2, AW29)), $AZ$6:$AZ$22, "Error", 0)</f>
        <v/>
      </c>
    </row>
    <row r="59" ht="25" customHeight="1">
      <c r="A59" s="48" t="inlineStr">
        <is>
          <t>GBP NZD</t>
        </is>
      </c>
      <c r="B59" s="30">
        <f t="array" ref="B59">_xlfn.XLOOKUP(MIN(ABS($AY$6:$AY$22 - MEDIAN(-2, 2, B30))), ABS($AY$6:$AY$22 - MEDIAN(-2, 2, B30)), $AZ$6:$AZ$22, "Error", 0)</f>
        <v/>
      </c>
      <c r="C59" s="30">
        <f t="array" ref="C59">_xlfn.XLOOKUP(MIN(ABS($AY$6:$AY$22 - MEDIAN(-2, 2, C30))), ABS($AY$6:$AY$22 - MEDIAN(-2, 2, C30)), $AZ$6:$AZ$22, "Error", 0)</f>
        <v/>
      </c>
      <c r="D59" s="30">
        <f t="array" ref="D59">_xlfn.XLOOKUP(MIN(ABS($AY$6:$AY$22 - MEDIAN(-2, 2, D30))), ABS($AY$6:$AY$22 - MEDIAN(-2, 2, D30)), $AZ$6:$AZ$22, "Error", 0)</f>
        <v/>
      </c>
      <c r="E59" s="30">
        <f t="array" ref="E59">_xlfn.XLOOKUP(MIN(ABS($AY$6:$AY$22 - MEDIAN(-2, 2, E30))), ABS($AY$6:$AY$22 - MEDIAN(-2, 2, E30)), $AZ$6:$AZ$22, "Error", 0)</f>
        <v/>
      </c>
      <c r="F59" s="30">
        <f t="array" ref="F59">_xlfn.XLOOKUP(MIN(ABS($AY$6:$AY$22 - MEDIAN(-2, 2, F30))), ABS($AY$6:$AY$22 - MEDIAN(-2, 2, F30)), $AZ$6:$AZ$22, "Error", 0)</f>
        <v/>
      </c>
      <c r="G59" s="30">
        <f t="array" ref="G59">_xlfn.XLOOKUP(MIN(ABS($AY$6:$AY$22 - MEDIAN(-2, 2, G30))), ABS($AY$6:$AY$22 - MEDIAN(-2, 2, G30)), $AZ$6:$AZ$22, "Error", 0)</f>
        <v/>
      </c>
      <c r="H59" s="30">
        <f t="array" ref="H59">_xlfn.XLOOKUP(MIN(ABS($AY$6:$AY$22 - MEDIAN(-2, 2, H30))), ABS($AY$6:$AY$22 - MEDIAN(-2, 2, H30)), $AZ$6:$AZ$22, "Error", 0)</f>
        <v/>
      </c>
      <c r="I59" s="30">
        <f t="array" ref="I59">_xlfn.XLOOKUP(MIN(ABS($AY$6:$AY$22 - MEDIAN(-2, 2, I30))), ABS($AY$6:$AY$22 - MEDIAN(-2, 2, I30)), $AZ$6:$AZ$22, "Error", 0)</f>
        <v/>
      </c>
      <c r="J59" s="30">
        <f t="array" ref="J59">_xlfn.XLOOKUP(MIN(ABS($AY$6:$AY$22 - MEDIAN(-2, 2, J30))), ABS($AY$6:$AY$22 - MEDIAN(-2, 2, J30)), $AZ$6:$AZ$22, "Error", 0)</f>
        <v/>
      </c>
      <c r="K59" s="30">
        <f t="array" ref="K59">_xlfn.XLOOKUP(MIN(ABS($AY$6:$AY$22 - MEDIAN(-2, 2, K30))), ABS($AY$6:$AY$22 - MEDIAN(-2, 2, K30)), $AZ$6:$AZ$22, "Error", 0)</f>
        <v/>
      </c>
      <c r="L59" s="30">
        <f t="array" ref="L59">_xlfn.XLOOKUP(MIN(ABS($AY$6:$AY$22 - MEDIAN(-2, 2, L30))), ABS($AY$6:$AY$22 - MEDIAN(-2, 2, L30)), $AZ$6:$AZ$22, "Error", 0)</f>
        <v/>
      </c>
      <c r="M59" s="30">
        <f t="array" ref="M59">_xlfn.XLOOKUP(MIN(ABS($AY$6:$AY$22 - MEDIAN(-2, 2, M30))), ABS($AY$6:$AY$22 - MEDIAN(-2, 2, M30)), $AZ$6:$AZ$22, "Error", 0)</f>
        <v/>
      </c>
      <c r="N59" s="30">
        <f t="array" ref="N59">_xlfn.XLOOKUP(MIN(ABS($AY$6:$AY$22 - MEDIAN(-2, 2, N30))), ABS($AY$6:$AY$22 - MEDIAN(-2, 2, N30)), $AZ$6:$AZ$22, "Error", 0)</f>
        <v/>
      </c>
      <c r="O59" s="30">
        <f t="array" ref="O59">_xlfn.XLOOKUP(MIN(ABS($AY$6:$AY$22 - MEDIAN(-2, 2, O30))), ABS($AY$6:$AY$22 - MEDIAN(-2, 2, O30)), $AZ$6:$AZ$22, "Error", 0)</f>
        <v/>
      </c>
      <c r="P59" s="30">
        <f t="array" ref="P59">_xlfn.XLOOKUP(MIN(ABS($AY$6:$AY$22 - MEDIAN(-2, 2, P30))), ABS($AY$6:$AY$22 - MEDIAN(-2, 2, P30)), $AZ$6:$AZ$22, "Error", 0)</f>
        <v/>
      </c>
      <c r="Q59" s="30">
        <f t="array" ref="Q59">_xlfn.XLOOKUP(MIN(ABS($AY$6:$AY$22 - MEDIAN(-2, 2, Q30))), ABS($AY$6:$AY$22 - MEDIAN(-2, 2, Q30)), $AZ$6:$AZ$22, "Error", 0)</f>
        <v/>
      </c>
      <c r="R59" s="30">
        <f t="array" ref="R59">_xlfn.XLOOKUP(MIN(ABS($AY$6:$AY$22 - MEDIAN(-2, 2, R30))), ABS($AY$6:$AY$22 - MEDIAN(-2, 2, R30)), $AZ$6:$AZ$22, "Error", 0)</f>
        <v/>
      </c>
      <c r="S59" s="30">
        <f t="array" ref="S59">_xlfn.XLOOKUP(MIN(ABS($AY$6:$AY$22 - MEDIAN(-2, 2, S30))), ABS($AY$6:$AY$22 - MEDIAN(-2, 2, S30)), $AZ$6:$AZ$22, "Error", 0)</f>
        <v/>
      </c>
      <c r="T59" s="30">
        <f t="array" ref="T59">_xlfn.XLOOKUP(MIN(ABS($AY$6:$AY$22 - MEDIAN(-2, 2, T30))), ABS($AY$6:$AY$22 - MEDIAN(-2, 2, T30)), $AZ$6:$AZ$22, "Error", 0)</f>
        <v/>
      </c>
      <c r="U59" s="30">
        <f t="array" ref="U59">_xlfn.XLOOKUP(MIN(ABS($AY$6:$AY$22 - MEDIAN(-2, 2, U30))), ABS($AY$6:$AY$22 - MEDIAN(-2, 2, U30)), $AZ$6:$AZ$22, "Error", 0)</f>
        <v/>
      </c>
      <c r="V59" s="30">
        <f t="array" ref="V59">_xlfn.XLOOKUP(MIN(ABS($AY$6:$AY$22 - MEDIAN(-2, 2, V30))), ABS($AY$6:$AY$22 - MEDIAN(-2, 2, V30)), $AZ$6:$AZ$22, "Error", 0)</f>
        <v/>
      </c>
      <c r="W59" s="30">
        <f t="array" ref="W59">_xlfn.XLOOKUP(MIN(ABS($AY$6:$AY$22 - MEDIAN(-2, 2, W30))), ABS($AY$6:$AY$22 - MEDIAN(-2, 2, W30)), $AZ$6:$AZ$22, "Error", 0)</f>
        <v/>
      </c>
      <c r="X59" s="30">
        <f t="array" ref="X59">_xlfn.XLOOKUP(MIN(ABS($AY$6:$AY$22 - MEDIAN(-2, 2, X30))), ABS($AY$6:$AY$22 - MEDIAN(-2, 2, X30)), $AZ$6:$AZ$22, "Error", 0)</f>
        <v/>
      </c>
      <c r="Y59" s="30">
        <f t="array" ref="Y59">_xlfn.XLOOKUP(MIN(ABS($AY$6:$AY$22 - MEDIAN(-2, 2, Y30))), ABS($AY$6:$AY$22 - MEDIAN(-2, 2, Y30)), $AZ$6:$AZ$22, "Error", 0)</f>
        <v/>
      </c>
      <c r="Z59" s="30">
        <f t="array" ref="Z59">_xlfn.XLOOKUP(MIN(ABS($AY$6:$AY$22 - MEDIAN(-2, 2, Z30))), ABS($AY$6:$AY$22 - MEDIAN(-2, 2, Z30)), $AZ$6:$AZ$22, "Error", 0)</f>
        <v/>
      </c>
      <c r="AA59" s="30">
        <f t="array" ref="AA59">_xlfn.XLOOKUP(MIN(ABS($AY$6:$AY$22 - MEDIAN(-2, 2, AA30))), ABS($AY$6:$AY$22 - MEDIAN(-2, 2, AA30)), $AZ$6:$AZ$22, "Error", 0)</f>
        <v/>
      </c>
      <c r="AB59" s="30">
        <f t="array" ref="AB59">_xlfn.XLOOKUP(MIN(ABS($AY$6:$AY$22 - MEDIAN(-2, 2, AB30))), ABS($AY$6:$AY$22 - MEDIAN(-2, 2, AB30)), $AZ$6:$AZ$22, "Error", 0)</f>
        <v/>
      </c>
      <c r="AC59" s="30">
        <f t="array" ref="AC59">_xlfn.XLOOKUP(MIN(ABS($AY$6:$AY$22 - MEDIAN(-2, 2, AC30))), ABS($AY$6:$AY$22 - MEDIAN(-2, 2, AC30)), $AZ$6:$AZ$22, "Error", 0)</f>
        <v/>
      </c>
      <c r="AD59" s="30">
        <f t="array" ref="AD59">_xlfn.XLOOKUP(MIN(ABS($AY$6:$AY$22 - MEDIAN(-2, 2, AD30))), ABS($AY$6:$AY$22 - MEDIAN(-2, 2, AD30)), $AZ$6:$AZ$22, "Error", 0)</f>
        <v/>
      </c>
      <c r="AE59" s="30">
        <f t="array" ref="AE59">_xlfn.XLOOKUP(MIN(ABS($AY$6:$AY$22 - MEDIAN(-2, 2, AE30))), ABS($AY$6:$AY$22 - MEDIAN(-2, 2, AE30)), $AZ$6:$AZ$22, "Error", 0)</f>
        <v/>
      </c>
      <c r="AF59" s="30">
        <f t="array" ref="AF59">_xlfn.XLOOKUP(MIN(ABS($AY$6:$AY$22 - MEDIAN(-2, 2, AF30))), ABS($AY$6:$AY$22 - MEDIAN(-2, 2, AF30)), $AZ$6:$AZ$22, "Error", 0)</f>
        <v/>
      </c>
      <c r="AG59" s="30">
        <f t="array" ref="AG59">_xlfn.XLOOKUP(MIN(ABS($AY$6:$AY$22 - MEDIAN(-2, 2, AG30))), ABS($AY$6:$AY$22 - MEDIAN(-2, 2, AG30)), $AZ$6:$AZ$22, "Error", 0)</f>
        <v/>
      </c>
      <c r="AH59" s="30">
        <f t="array" ref="AH59">_xlfn.XLOOKUP(MIN(ABS($AY$6:$AY$22 - MEDIAN(-2, 2, AH30))), ABS($AY$6:$AY$22 - MEDIAN(-2, 2, AH30)), $AZ$6:$AZ$22, "Error", 0)</f>
        <v/>
      </c>
      <c r="AI59" s="30">
        <f t="array" ref="AI59">_xlfn.XLOOKUP(MIN(ABS($AY$6:$AY$22 - MEDIAN(-2, 2, AI30))), ABS($AY$6:$AY$22 - MEDIAN(-2, 2, AI30)), $AZ$6:$AZ$22, "Error", 0)</f>
        <v/>
      </c>
      <c r="AJ59" s="30">
        <f t="array" ref="AJ59">_xlfn.XLOOKUP(MIN(ABS($AY$6:$AY$22 - MEDIAN(-2, 2, AJ30))), ABS($AY$6:$AY$22 - MEDIAN(-2, 2, AJ30)), $AZ$6:$AZ$22, "Error", 0)</f>
        <v/>
      </c>
      <c r="AK59" s="30">
        <f t="array" ref="AK59">_xlfn.XLOOKUP(MIN(ABS($AY$6:$AY$22 - MEDIAN(-2, 2, AK30))), ABS($AY$6:$AY$22 - MEDIAN(-2, 2, AK30)), $AZ$6:$AZ$22, "Error", 0)</f>
        <v/>
      </c>
      <c r="AL59" s="30">
        <f t="array" ref="AL59">_xlfn.XLOOKUP(MIN(ABS($AY$6:$AY$22 - MEDIAN(-2, 2, AL30))), ABS($AY$6:$AY$22 - MEDIAN(-2, 2, AL30)), $AZ$6:$AZ$22, "Error", 0)</f>
        <v/>
      </c>
      <c r="AM59" s="30">
        <f t="array" ref="AM59">_xlfn.XLOOKUP(MIN(ABS($AY$6:$AY$22 - MEDIAN(-2, 2, AM30))), ABS($AY$6:$AY$22 - MEDIAN(-2, 2, AM30)), $AZ$6:$AZ$22, "Error", 0)</f>
        <v/>
      </c>
      <c r="AN59" s="30">
        <f t="array" ref="AN59">_xlfn.XLOOKUP(MIN(ABS($AY$6:$AY$22 - MEDIAN(-2, 2, AN30))), ABS($AY$6:$AY$22 - MEDIAN(-2, 2, AN30)), $AZ$6:$AZ$22, "Error", 0)</f>
        <v/>
      </c>
      <c r="AO59" s="30">
        <f t="array" ref="AO59">_xlfn.XLOOKUP(MIN(ABS($AY$6:$AY$22 - MEDIAN(-2, 2, AO30))), ABS($AY$6:$AY$22 - MEDIAN(-2, 2, AO30)), $AZ$6:$AZ$22, "Error", 0)</f>
        <v/>
      </c>
      <c r="AP59" s="30">
        <f t="array" ref="AP59">_xlfn.XLOOKUP(MIN(ABS($AY$6:$AY$22 - MEDIAN(-2, 2, AP30))), ABS($AY$6:$AY$22 - MEDIAN(-2, 2, AP30)), $AZ$6:$AZ$22, "Error", 0)</f>
        <v/>
      </c>
      <c r="AQ59" s="30">
        <f t="array" ref="AQ59">_xlfn.XLOOKUP(MIN(ABS($AY$6:$AY$22 - MEDIAN(-2, 2, AQ30))), ABS($AY$6:$AY$22 - MEDIAN(-2, 2, AQ30)), $AZ$6:$AZ$22, "Error", 0)</f>
        <v/>
      </c>
      <c r="AR59" s="30">
        <f t="array" ref="AR59">_xlfn.XLOOKUP(MIN(ABS($AY$6:$AY$22 - MEDIAN(-2, 2, AR30))), ABS($AY$6:$AY$22 - MEDIAN(-2, 2, AR30)), $AZ$6:$AZ$22, "Error", 0)</f>
        <v/>
      </c>
      <c r="AS59" s="30">
        <f t="array" ref="AS59">_xlfn.XLOOKUP(MIN(ABS($AY$6:$AY$22 - MEDIAN(-2, 2, AS30))), ABS($AY$6:$AY$22 - MEDIAN(-2, 2, AS30)), $AZ$6:$AZ$22, "Error", 0)</f>
        <v/>
      </c>
      <c r="AT59" s="30">
        <f t="array" ref="AT59">_xlfn.XLOOKUP(MIN(ABS($AY$6:$AY$22 - MEDIAN(-2, 2, AT30))), ABS($AY$6:$AY$22 - MEDIAN(-2, 2, AT30)), $AZ$6:$AZ$22, "Error", 0)</f>
        <v/>
      </c>
      <c r="AU59" s="30">
        <f t="array" ref="AU59">_xlfn.XLOOKUP(MIN(ABS($AY$6:$AY$22 - MEDIAN(-2, 2, AU30))), ABS($AY$6:$AY$22 - MEDIAN(-2, 2, AU30)), $AZ$6:$AZ$22, "Error", 0)</f>
        <v/>
      </c>
      <c r="AV59" s="30">
        <f t="array" ref="AV59">_xlfn.XLOOKUP(MIN(ABS($AY$6:$AY$22 - MEDIAN(-2, 2, AV30))), ABS($AY$6:$AY$22 - MEDIAN(-2, 2, AV30)), $AZ$6:$AZ$22, "Error", 0)</f>
        <v/>
      </c>
      <c r="AW59" s="30">
        <f t="array" ref="AW59">_xlfn.XLOOKUP(MIN(ABS($AY$6:$AY$22 - MEDIAN(-2, 2, AW30))), ABS($AY$6:$AY$22 - MEDIAN(-2, 2, AW30)), $AZ$6:$AZ$22, "Error",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_xlfn.XLOOKUP(MIN(ABS($AY$6:$AY$22 - MEDIAN(-2, 2, B31))), ABS($AY$6:$AY$22 - MEDIAN(-2, 2, B31)), $AZ$6:$AZ$22, "Error", 0)</f>
        <v/>
      </c>
      <c r="C60" s="30">
        <f t="array" ref="C60">_xlfn.XLOOKUP(MIN(ABS($AY$6:$AY$22 - MEDIAN(-2, 2, C31))), ABS($AY$6:$AY$22 - MEDIAN(-2, 2, C31)), $AZ$6:$AZ$22, "Error", 0)</f>
        <v/>
      </c>
      <c r="D60" s="30">
        <f t="array" ref="D60">_xlfn.XLOOKUP(MIN(ABS($AY$6:$AY$22 - MEDIAN(-2, 2, D31))), ABS($AY$6:$AY$22 - MEDIAN(-2, 2, D31)), $AZ$6:$AZ$22, "Error", 0)</f>
        <v/>
      </c>
      <c r="E60" s="30">
        <f t="array" ref="E60">_xlfn.XLOOKUP(MIN(ABS($AY$6:$AY$22 - MEDIAN(-2, 2, E31))), ABS($AY$6:$AY$22 - MEDIAN(-2, 2, E31)), $AZ$6:$AZ$22, "Error", 0)</f>
        <v/>
      </c>
      <c r="F60" s="30">
        <f t="array" ref="F60">_xlfn.XLOOKUP(MIN(ABS($AY$6:$AY$22 - MEDIAN(-2, 2, F31))), ABS($AY$6:$AY$22 - MEDIAN(-2, 2, F31)), $AZ$6:$AZ$22, "Error", 0)</f>
        <v/>
      </c>
      <c r="G60" s="30">
        <f t="array" ref="G60">_xlfn.XLOOKUP(MIN(ABS($AY$6:$AY$22 - MEDIAN(-2, 2, G31))), ABS($AY$6:$AY$22 - MEDIAN(-2, 2, G31)), $AZ$6:$AZ$22, "Error", 0)</f>
        <v/>
      </c>
      <c r="H60" s="30">
        <f t="array" ref="H60">_xlfn.XLOOKUP(MIN(ABS($AY$6:$AY$22 - MEDIAN(-2, 2, H31))), ABS($AY$6:$AY$22 - MEDIAN(-2, 2, H31)), $AZ$6:$AZ$22, "Error", 0)</f>
        <v/>
      </c>
      <c r="I60" s="30">
        <f t="array" ref="I60">_xlfn.XLOOKUP(MIN(ABS($AY$6:$AY$22 - MEDIAN(-2, 2, I31))), ABS($AY$6:$AY$22 - MEDIAN(-2, 2, I31)), $AZ$6:$AZ$22, "Error", 0)</f>
        <v/>
      </c>
      <c r="J60" s="30">
        <f t="array" ref="J60">_xlfn.XLOOKUP(MIN(ABS($AY$6:$AY$22 - MEDIAN(-2, 2, J31))), ABS($AY$6:$AY$22 - MEDIAN(-2, 2, J31)), $AZ$6:$AZ$22, "Error", 0)</f>
        <v/>
      </c>
      <c r="K60" s="30">
        <f t="array" ref="K60">_xlfn.XLOOKUP(MIN(ABS($AY$6:$AY$22 - MEDIAN(-2, 2, K31))), ABS($AY$6:$AY$22 - MEDIAN(-2, 2, K31)), $AZ$6:$AZ$22, "Error", 0)</f>
        <v/>
      </c>
      <c r="L60" s="30">
        <f t="array" ref="L60">_xlfn.XLOOKUP(MIN(ABS($AY$6:$AY$22 - MEDIAN(-2, 2, L31))), ABS($AY$6:$AY$22 - MEDIAN(-2, 2, L31)), $AZ$6:$AZ$22, "Error", 0)</f>
        <v/>
      </c>
      <c r="M60" s="30">
        <f t="array" ref="M60">_xlfn.XLOOKUP(MIN(ABS($AY$6:$AY$22 - MEDIAN(-2, 2, M31))), ABS($AY$6:$AY$22 - MEDIAN(-2, 2, M31)), $AZ$6:$AZ$22, "Error", 0)</f>
        <v/>
      </c>
      <c r="N60" s="30">
        <f t="array" ref="N60">_xlfn.XLOOKUP(MIN(ABS($AY$6:$AY$22 - MEDIAN(-2, 2, N31))), ABS($AY$6:$AY$22 - MEDIAN(-2, 2, N31)), $AZ$6:$AZ$22, "Error", 0)</f>
        <v/>
      </c>
      <c r="O60" s="30">
        <f t="array" ref="O60">_xlfn.XLOOKUP(MIN(ABS($AY$6:$AY$22 - MEDIAN(-2, 2, O31))), ABS($AY$6:$AY$22 - MEDIAN(-2, 2, O31)), $AZ$6:$AZ$22, "Error", 0)</f>
        <v/>
      </c>
      <c r="P60" s="30">
        <f t="array" ref="P60">_xlfn.XLOOKUP(MIN(ABS($AY$6:$AY$22 - MEDIAN(-2, 2, P31))), ABS($AY$6:$AY$22 - MEDIAN(-2, 2, P31)), $AZ$6:$AZ$22, "Error", 0)</f>
        <v/>
      </c>
      <c r="Q60" s="30">
        <f t="array" ref="Q60">_xlfn.XLOOKUP(MIN(ABS($AY$6:$AY$22 - MEDIAN(-2, 2, Q31))), ABS($AY$6:$AY$22 - MEDIAN(-2, 2, Q31)), $AZ$6:$AZ$22, "Error", 0)</f>
        <v/>
      </c>
      <c r="R60" s="30">
        <f t="array" ref="R60">_xlfn.XLOOKUP(MIN(ABS($AY$6:$AY$22 - MEDIAN(-2, 2, R31))), ABS($AY$6:$AY$22 - MEDIAN(-2, 2, R31)), $AZ$6:$AZ$22, "Error", 0)</f>
        <v/>
      </c>
      <c r="S60" s="30">
        <f t="array" ref="S60">_xlfn.XLOOKUP(MIN(ABS($AY$6:$AY$22 - MEDIAN(-2, 2, S31))), ABS($AY$6:$AY$22 - MEDIAN(-2, 2, S31)), $AZ$6:$AZ$22, "Error", 0)</f>
        <v/>
      </c>
      <c r="T60" s="30">
        <f t="array" ref="T60">_xlfn.XLOOKUP(MIN(ABS($AY$6:$AY$22 - MEDIAN(-2, 2, T31))), ABS($AY$6:$AY$22 - MEDIAN(-2, 2, T31)), $AZ$6:$AZ$22, "Error", 0)</f>
        <v/>
      </c>
      <c r="U60" s="30">
        <f t="array" ref="U60">_xlfn.XLOOKUP(MIN(ABS($AY$6:$AY$22 - MEDIAN(-2, 2, U31))), ABS($AY$6:$AY$22 - MEDIAN(-2, 2, U31)), $AZ$6:$AZ$22, "Error", 0)</f>
        <v/>
      </c>
      <c r="V60" s="30">
        <f t="array" ref="V60">_xlfn.XLOOKUP(MIN(ABS($AY$6:$AY$22 - MEDIAN(-2, 2, V31))), ABS($AY$6:$AY$22 - MEDIAN(-2, 2, V31)), $AZ$6:$AZ$22, "Error", 0)</f>
        <v/>
      </c>
      <c r="W60" s="30">
        <f t="array" ref="W60">_xlfn.XLOOKUP(MIN(ABS($AY$6:$AY$22 - MEDIAN(-2, 2, W31))), ABS($AY$6:$AY$22 - MEDIAN(-2, 2, W31)), $AZ$6:$AZ$22, "Error", 0)</f>
        <v/>
      </c>
      <c r="X60" s="30">
        <f t="array" ref="X60">_xlfn.XLOOKUP(MIN(ABS($AY$6:$AY$22 - MEDIAN(-2, 2, X31))), ABS($AY$6:$AY$22 - MEDIAN(-2, 2, X31)), $AZ$6:$AZ$22, "Error", 0)</f>
        <v/>
      </c>
      <c r="Y60" s="30">
        <f t="array" ref="Y60">_xlfn.XLOOKUP(MIN(ABS($AY$6:$AY$22 - MEDIAN(-2, 2, Y31))), ABS($AY$6:$AY$22 - MEDIAN(-2, 2, Y31)), $AZ$6:$AZ$22, "Error", 0)</f>
        <v/>
      </c>
      <c r="Z60" s="30">
        <f t="array" ref="Z60">_xlfn.XLOOKUP(MIN(ABS($AY$6:$AY$22 - MEDIAN(-2, 2, Z31))), ABS($AY$6:$AY$22 - MEDIAN(-2, 2, Z31)), $AZ$6:$AZ$22, "Error", 0)</f>
        <v/>
      </c>
      <c r="AA60" s="30">
        <f t="array" ref="AA60">_xlfn.XLOOKUP(MIN(ABS($AY$6:$AY$22 - MEDIAN(-2, 2, AA31))), ABS($AY$6:$AY$22 - MEDIAN(-2, 2, AA31)), $AZ$6:$AZ$22, "Error", 0)</f>
        <v/>
      </c>
      <c r="AB60" s="30">
        <f t="array" ref="AB60">_xlfn.XLOOKUP(MIN(ABS($AY$6:$AY$22 - MEDIAN(-2, 2, AB31))), ABS($AY$6:$AY$22 - MEDIAN(-2, 2, AB31)), $AZ$6:$AZ$22, "Error", 0)</f>
        <v/>
      </c>
      <c r="AC60" s="30">
        <f t="array" ref="AC60">_xlfn.XLOOKUP(MIN(ABS($AY$6:$AY$22 - MEDIAN(-2, 2, AC31))), ABS($AY$6:$AY$22 - MEDIAN(-2, 2, AC31)), $AZ$6:$AZ$22, "Error", 0)</f>
        <v/>
      </c>
      <c r="AD60" s="30">
        <f t="array" ref="AD60">_xlfn.XLOOKUP(MIN(ABS($AY$6:$AY$22 - MEDIAN(-2, 2, AD31))), ABS($AY$6:$AY$22 - MEDIAN(-2, 2, AD31)), $AZ$6:$AZ$22, "Error", 0)</f>
        <v/>
      </c>
      <c r="AE60" s="30">
        <f t="array" ref="AE60">_xlfn.XLOOKUP(MIN(ABS($AY$6:$AY$22 - MEDIAN(-2, 2, AE31))), ABS($AY$6:$AY$22 - MEDIAN(-2, 2, AE31)), $AZ$6:$AZ$22, "Error", 0)</f>
        <v/>
      </c>
      <c r="AF60" s="30">
        <f t="array" ref="AF60">_xlfn.XLOOKUP(MIN(ABS($AY$6:$AY$22 - MEDIAN(-2, 2, AF31))), ABS($AY$6:$AY$22 - MEDIAN(-2, 2, AF31)), $AZ$6:$AZ$22, "Error", 0)</f>
        <v/>
      </c>
      <c r="AG60" s="30">
        <f t="array" ref="AG60">_xlfn.XLOOKUP(MIN(ABS($AY$6:$AY$22 - MEDIAN(-2, 2, AG31))), ABS($AY$6:$AY$22 - MEDIAN(-2, 2, AG31)), $AZ$6:$AZ$22, "Error", 0)</f>
        <v/>
      </c>
      <c r="AH60" s="30">
        <f t="array" ref="AH60">_xlfn.XLOOKUP(MIN(ABS($AY$6:$AY$22 - MEDIAN(-2, 2, AH31))), ABS($AY$6:$AY$22 - MEDIAN(-2, 2, AH31)), $AZ$6:$AZ$22, "Error", 0)</f>
        <v/>
      </c>
      <c r="AI60" s="30">
        <f t="array" ref="AI60">_xlfn.XLOOKUP(MIN(ABS($AY$6:$AY$22 - MEDIAN(-2, 2, AI31))), ABS($AY$6:$AY$22 - MEDIAN(-2, 2, AI31)), $AZ$6:$AZ$22, "Error", 0)</f>
        <v/>
      </c>
      <c r="AJ60" s="30">
        <f t="array" ref="AJ60">_xlfn.XLOOKUP(MIN(ABS($AY$6:$AY$22 - MEDIAN(-2, 2, AJ31))), ABS($AY$6:$AY$22 - MEDIAN(-2, 2, AJ31)), $AZ$6:$AZ$22, "Error", 0)</f>
        <v/>
      </c>
      <c r="AK60" s="30">
        <f t="array" ref="AK60">_xlfn.XLOOKUP(MIN(ABS($AY$6:$AY$22 - MEDIAN(-2, 2, AK31))), ABS($AY$6:$AY$22 - MEDIAN(-2, 2, AK31)), $AZ$6:$AZ$22, "Error", 0)</f>
        <v/>
      </c>
      <c r="AL60" s="30">
        <f t="array" ref="AL60">_xlfn.XLOOKUP(MIN(ABS($AY$6:$AY$22 - MEDIAN(-2, 2, AL31))), ABS($AY$6:$AY$22 - MEDIAN(-2, 2, AL31)), $AZ$6:$AZ$22, "Error", 0)</f>
        <v/>
      </c>
      <c r="AM60" s="30">
        <f t="array" ref="AM60">_xlfn.XLOOKUP(MIN(ABS($AY$6:$AY$22 - MEDIAN(-2, 2, AM31))), ABS($AY$6:$AY$22 - MEDIAN(-2, 2, AM31)), $AZ$6:$AZ$22, "Error", 0)</f>
        <v/>
      </c>
      <c r="AN60" s="30">
        <f t="array" ref="AN60">_xlfn.XLOOKUP(MIN(ABS($AY$6:$AY$22 - MEDIAN(-2, 2, AN31))), ABS($AY$6:$AY$22 - MEDIAN(-2, 2, AN31)), $AZ$6:$AZ$22, "Error", 0)</f>
        <v/>
      </c>
      <c r="AO60" s="30">
        <f t="array" ref="AO60">_xlfn.XLOOKUP(MIN(ABS($AY$6:$AY$22 - MEDIAN(-2, 2, AO31))), ABS($AY$6:$AY$22 - MEDIAN(-2, 2, AO31)), $AZ$6:$AZ$22, "Error", 0)</f>
        <v/>
      </c>
      <c r="AP60" s="30">
        <f t="array" ref="AP60">_xlfn.XLOOKUP(MIN(ABS($AY$6:$AY$22 - MEDIAN(-2, 2, AP31))), ABS($AY$6:$AY$22 - MEDIAN(-2, 2, AP31)), $AZ$6:$AZ$22, "Error", 0)</f>
        <v/>
      </c>
      <c r="AQ60" s="30">
        <f t="array" ref="AQ60">_xlfn.XLOOKUP(MIN(ABS($AY$6:$AY$22 - MEDIAN(-2, 2, AQ31))), ABS($AY$6:$AY$22 - MEDIAN(-2, 2, AQ31)), $AZ$6:$AZ$22, "Error", 0)</f>
        <v/>
      </c>
      <c r="AR60" s="30">
        <f t="array" ref="AR60">_xlfn.XLOOKUP(MIN(ABS($AY$6:$AY$22 - MEDIAN(-2, 2, AR31))), ABS($AY$6:$AY$22 - MEDIAN(-2, 2, AR31)), $AZ$6:$AZ$22, "Error", 0)</f>
        <v/>
      </c>
      <c r="AS60" s="30">
        <f t="array" ref="AS60">_xlfn.XLOOKUP(MIN(ABS($AY$6:$AY$22 - MEDIAN(-2, 2, AS31))), ABS($AY$6:$AY$22 - MEDIAN(-2, 2, AS31)), $AZ$6:$AZ$22, "Error", 0)</f>
        <v/>
      </c>
      <c r="AT60" s="30">
        <f t="array" ref="AT60">_xlfn.XLOOKUP(MIN(ABS($AY$6:$AY$22 - MEDIAN(-2, 2, AT31))), ABS($AY$6:$AY$22 - MEDIAN(-2, 2, AT31)), $AZ$6:$AZ$22, "Error", 0)</f>
        <v/>
      </c>
      <c r="AU60" s="30">
        <f t="array" ref="AU60">_xlfn.XLOOKUP(MIN(ABS($AY$6:$AY$22 - MEDIAN(-2, 2, AU31))), ABS($AY$6:$AY$22 - MEDIAN(-2, 2, AU31)), $AZ$6:$AZ$22, "Error", 0)</f>
        <v/>
      </c>
      <c r="AV60" s="30">
        <f t="array" ref="AV60">_xlfn.XLOOKUP(MIN(ABS($AY$6:$AY$22 - MEDIAN(-2, 2, AV31))), ABS($AY$6:$AY$22 - MEDIAN(-2, 2, AV31)), $AZ$6:$AZ$22, "Error", 0)</f>
        <v/>
      </c>
      <c r="AW60" s="30">
        <f t="array" ref="AW60">_xlfn.XLOOKUP(MIN(ABS($AY$6:$AY$22 - MEDIAN(-2, 2, AW31))), ABS($AY$6:$AY$22 - MEDIAN(-2, 2, AW31)), $AZ$6:$AZ$22, "Error", 0)</f>
        <v/>
      </c>
    </row>
    <row r="61" ht="25" customHeight="1">
      <c r="A61" s="50" t="inlineStr">
        <is>
          <t>AUD USD</t>
        </is>
      </c>
      <c r="B61" s="30">
        <f t="array" ref="B61">_xlfn.XLOOKUP(MIN(ABS($AY$6:$AY$22 - MEDIAN(-2, 2, B32))), ABS($AY$6:$AY$22 - MEDIAN(-2, 2, B32)), $AZ$6:$AZ$22, "Error", 0)</f>
        <v/>
      </c>
      <c r="C61" s="30">
        <f t="array" ref="C61">_xlfn.XLOOKUP(MIN(ABS($AY$6:$AY$22 - MEDIAN(-2, 2, C32))), ABS($AY$6:$AY$22 - MEDIAN(-2, 2, C32)), $AZ$6:$AZ$22, "Error", 0)</f>
        <v/>
      </c>
      <c r="D61" s="30">
        <f t="array" ref="D61">_xlfn.XLOOKUP(MIN(ABS($AY$6:$AY$22 - MEDIAN(-2, 2, D32))), ABS($AY$6:$AY$22 - MEDIAN(-2, 2, D32)), $AZ$6:$AZ$22, "Error", 0)</f>
        <v/>
      </c>
      <c r="E61" s="30">
        <f t="array" ref="E61">_xlfn.XLOOKUP(MIN(ABS($AY$6:$AY$22 - MEDIAN(-2, 2, E32))), ABS($AY$6:$AY$22 - MEDIAN(-2, 2, E32)), $AZ$6:$AZ$22, "Error", 0)</f>
        <v/>
      </c>
      <c r="F61" s="30">
        <f t="array" ref="F61">_xlfn.XLOOKUP(MIN(ABS($AY$6:$AY$22 - MEDIAN(-2, 2, F32))), ABS($AY$6:$AY$22 - MEDIAN(-2, 2, F32)), $AZ$6:$AZ$22, "Error", 0)</f>
        <v/>
      </c>
      <c r="G61" s="30">
        <f t="array" ref="G61">_xlfn.XLOOKUP(MIN(ABS($AY$6:$AY$22 - MEDIAN(-2, 2, G32))), ABS($AY$6:$AY$22 - MEDIAN(-2, 2, G32)), $AZ$6:$AZ$22, "Error", 0)</f>
        <v/>
      </c>
      <c r="H61" s="30">
        <f t="array" ref="H61">_xlfn.XLOOKUP(MIN(ABS($AY$6:$AY$22 - MEDIAN(-2, 2, H32))), ABS($AY$6:$AY$22 - MEDIAN(-2, 2, H32)), $AZ$6:$AZ$22, "Error", 0)</f>
        <v/>
      </c>
      <c r="I61" s="30">
        <f t="array" ref="I61">_xlfn.XLOOKUP(MIN(ABS($AY$6:$AY$22 - MEDIAN(-2, 2, I32))), ABS($AY$6:$AY$22 - MEDIAN(-2, 2, I32)), $AZ$6:$AZ$22, "Error", 0)</f>
        <v/>
      </c>
      <c r="J61" s="30">
        <f t="array" ref="J61">_xlfn.XLOOKUP(MIN(ABS($AY$6:$AY$22 - MEDIAN(-2, 2, J32))), ABS($AY$6:$AY$22 - MEDIAN(-2, 2, J32)), $AZ$6:$AZ$22, "Error", 0)</f>
        <v/>
      </c>
      <c r="K61" s="30">
        <f t="array" ref="K61">_xlfn.XLOOKUP(MIN(ABS($AY$6:$AY$22 - MEDIAN(-2, 2, K32))), ABS($AY$6:$AY$22 - MEDIAN(-2, 2, K32)), $AZ$6:$AZ$22, "Error", 0)</f>
        <v/>
      </c>
      <c r="L61" s="30">
        <f t="array" ref="L61">_xlfn.XLOOKUP(MIN(ABS($AY$6:$AY$22 - MEDIAN(-2, 2, L32))), ABS($AY$6:$AY$22 - MEDIAN(-2, 2, L32)), $AZ$6:$AZ$22, "Error", 0)</f>
        <v/>
      </c>
      <c r="M61" s="30">
        <f t="array" ref="M61">_xlfn.XLOOKUP(MIN(ABS($AY$6:$AY$22 - MEDIAN(-2, 2, M32))), ABS($AY$6:$AY$22 - MEDIAN(-2, 2, M32)), $AZ$6:$AZ$22, "Error", 0)</f>
        <v/>
      </c>
      <c r="N61" s="30">
        <f t="array" ref="N61">_xlfn.XLOOKUP(MIN(ABS($AY$6:$AY$22 - MEDIAN(-2, 2, N32))), ABS($AY$6:$AY$22 - MEDIAN(-2, 2, N32)), $AZ$6:$AZ$22, "Error", 0)</f>
        <v/>
      </c>
      <c r="O61" s="30">
        <f t="array" ref="O61">_xlfn.XLOOKUP(MIN(ABS($AY$6:$AY$22 - MEDIAN(-2, 2, O32))), ABS($AY$6:$AY$22 - MEDIAN(-2, 2, O32)), $AZ$6:$AZ$22, "Error", 0)</f>
        <v/>
      </c>
      <c r="P61" s="30">
        <f t="array" ref="P61">_xlfn.XLOOKUP(MIN(ABS($AY$6:$AY$22 - MEDIAN(-2, 2, P32))), ABS($AY$6:$AY$22 - MEDIAN(-2, 2, P32)), $AZ$6:$AZ$22, "Error", 0)</f>
        <v/>
      </c>
      <c r="Q61" s="30">
        <f t="array" ref="Q61">_xlfn.XLOOKUP(MIN(ABS($AY$6:$AY$22 - MEDIAN(-2, 2, Q32))), ABS($AY$6:$AY$22 - MEDIAN(-2, 2, Q32)), $AZ$6:$AZ$22, "Error", 0)</f>
        <v/>
      </c>
      <c r="R61" s="30">
        <f t="array" ref="R61">_xlfn.XLOOKUP(MIN(ABS($AY$6:$AY$22 - MEDIAN(-2, 2, R32))), ABS($AY$6:$AY$22 - MEDIAN(-2, 2, R32)), $AZ$6:$AZ$22, "Error", 0)</f>
        <v/>
      </c>
      <c r="S61" s="30">
        <f t="array" ref="S61">_xlfn.XLOOKUP(MIN(ABS($AY$6:$AY$22 - MEDIAN(-2, 2, S32))), ABS($AY$6:$AY$22 - MEDIAN(-2, 2, S32)), $AZ$6:$AZ$22, "Error", 0)</f>
        <v/>
      </c>
      <c r="T61" s="30">
        <f t="array" ref="T61">_xlfn.XLOOKUP(MIN(ABS($AY$6:$AY$22 - MEDIAN(-2, 2, T32))), ABS($AY$6:$AY$22 - MEDIAN(-2, 2, T32)), $AZ$6:$AZ$22, "Error", 0)</f>
        <v/>
      </c>
      <c r="U61" s="30">
        <f t="array" ref="U61">_xlfn.XLOOKUP(MIN(ABS($AY$6:$AY$22 - MEDIAN(-2, 2, U32))), ABS($AY$6:$AY$22 - MEDIAN(-2, 2, U32)), $AZ$6:$AZ$22, "Error", 0)</f>
        <v/>
      </c>
      <c r="V61" s="30">
        <f t="array" ref="V61">_xlfn.XLOOKUP(MIN(ABS($AY$6:$AY$22 - MEDIAN(-2, 2, V32))), ABS($AY$6:$AY$22 - MEDIAN(-2, 2, V32)), $AZ$6:$AZ$22, "Error", 0)</f>
        <v/>
      </c>
      <c r="W61" s="30">
        <f t="array" ref="W61">_xlfn.XLOOKUP(MIN(ABS($AY$6:$AY$22 - MEDIAN(-2, 2, W32))), ABS($AY$6:$AY$22 - MEDIAN(-2, 2, W32)), $AZ$6:$AZ$22, "Error", 0)</f>
        <v/>
      </c>
      <c r="X61" s="30">
        <f t="array" ref="X61">_xlfn.XLOOKUP(MIN(ABS($AY$6:$AY$22 - MEDIAN(-2, 2, X32))), ABS($AY$6:$AY$22 - MEDIAN(-2, 2, X32)), $AZ$6:$AZ$22, "Error", 0)</f>
        <v/>
      </c>
      <c r="Y61" s="30">
        <f t="array" ref="Y61">_xlfn.XLOOKUP(MIN(ABS($AY$6:$AY$22 - MEDIAN(-2, 2, Y32))), ABS($AY$6:$AY$22 - MEDIAN(-2, 2, Y32)), $AZ$6:$AZ$22, "Error", 0)</f>
        <v/>
      </c>
      <c r="Z61" s="30">
        <f t="array" ref="Z61">_xlfn.XLOOKUP(MIN(ABS($AY$6:$AY$22 - MEDIAN(-2, 2, Z32))), ABS($AY$6:$AY$22 - MEDIAN(-2, 2, Z32)), $AZ$6:$AZ$22, "Error", 0)</f>
        <v/>
      </c>
      <c r="AA61" s="30">
        <f t="array" ref="AA61">_xlfn.XLOOKUP(MIN(ABS($AY$6:$AY$22 - MEDIAN(-2, 2, AA32))), ABS($AY$6:$AY$22 - MEDIAN(-2, 2, AA32)), $AZ$6:$AZ$22, "Error", 0)</f>
        <v/>
      </c>
      <c r="AB61" s="30">
        <f t="array" ref="AB61">_xlfn.XLOOKUP(MIN(ABS($AY$6:$AY$22 - MEDIAN(-2, 2, AB32))), ABS($AY$6:$AY$22 - MEDIAN(-2, 2, AB32)), $AZ$6:$AZ$22, "Error", 0)</f>
        <v/>
      </c>
      <c r="AC61" s="30">
        <f t="array" ref="AC61">_xlfn.XLOOKUP(MIN(ABS($AY$6:$AY$22 - MEDIAN(-2, 2, AC32))), ABS($AY$6:$AY$22 - MEDIAN(-2, 2, AC32)), $AZ$6:$AZ$22, "Error", 0)</f>
        <v/>
      </c>
      <c r="AD61" s="30">
        <f t="array" ref="AD61">_xlfn.XLOOKUP(MIN(ABS($AY$6:$AY$22 - MEDIAN(-2, 2, AD32))), ABS($AY$6:$AY$22 - MEDIAN(-2, 2, AD32)), $AZ$6:$AZ$22, "Error", 0)</f>
        <v/>
      </c>
      <c r="AE61" s="30">
        <f t="array" ref="AE61">_xlfn.XLOOKUP(MIN(ABS($AY$6:$AY$22 - MEDIAN(-2, 2, AE32))), ABS($AY$6:$AY$22 - MEDIAN(-2, 2, AE32)), $AZ$6:$AZ$22, "Error", 0)</f>
        <v/>
      </c>
      <c r="AF61" s="30">
        <f t="array" ref="AF61">_xlfn.XLOOKUP(MIN(ABS($AY$6:$AY$22 - MEDIAN(-2, 2, AF32))), ABS($AY$6:$AY$22 - MEDIAN(-2, 2, AF32)), $AZ$6:$AZ$22, "Error", 0)</f>
        <v/>
      </c>
      <c r="AG61" s="30">
        <f t="array" ref="AG61">_xlfn.XLOOKUP(MIN(ABS($AY$6:$AY$22 - MEDIAN(-2, 2, AG32))), ABS($AY$6:$AY$22 - MEDIAN(-2, 2, AG32)), $AZ$6:$AZ$22, "Error", 0)</f>
        <v/>
      </c>
      <c r="AH61" s="30">
        <f t="array" ref="AH61">_xlfn.XLOOKUP(MIN(ABS($AY$6:$AY$22 - MEDIAN(-2, 2, AH32))), ABS($AY$6:$AY$22 - MEDIAN(-2, 2, AH32)), $AZ$6:$AZ$22, "Error", 0)</f>
        <v/>
      </c>
      <c r="AI61" s="30">
        <f t="array" ref="AI61">_xlfn.XLOOKUP(MIN(ABS($AY$6:$AY$22 - MEDIAN(-2, 2, AI32))), ABS($AY$6:$AY$22 - MEDIAN(-2, 2, AI32)), $AZ$6:$AZ$22, "Error", 0)</f>
        <v/>
      </c>
      <c r="AJ61" s="30">
        <f t="array" ref="AJ61">_xlfn.XLOOKUP(MIN(ABS($AY$6:$AY$22 - MEDIAN(-2, 2, AJ32))), ABS($AY$6:$AY$22 - MEDIAN(-2, 2, AJ32)), $AZ$6:$AZ$22, "Error", 0)</f>
        <v/>
      </c>
      <c r="AK61" s="30">
        <f t="array" ref="AK61">_xlfn.XLOOKUP(MIN(ABS($AY$6:$AY$22 - MEDIAN(-2, 2, AK32))), ABS($AY$6:$AY$22 - MEDIAN(-2, 2, AK32)), $AZ$6:$AZ$22, "Error", 0)</f>
        <v/>
      </c>
      <c r="AL61" s="30">
        <f t="array" ref="AL61">_xlfn.XLOOKUP(MIN(ABS($AY$6:$AY$22 - MEDIAN(-2, 2, AL32))), ABS($AY$6:$AY$22 - MEDIAN(-2, 2, AL32)), $AZ$6:$AZ$22, "Error", 0)</f>
        <v/>
      </c>
      <c r="AM61" s="30">
        <f t="array" ref="AM61">_xlfn.XLOOKUP(MIN(ABS($AY$6:$AY$22 - MEDIAN(-2, 2, AM32))), ABS($AY$6:$AY$22 - MEDIAN(-2, 2, AM32)), $AZ$6:$AZ$22, "Error", 0)</f>
        <v/>
      </c>
      <c r="AN61" s="30">
        <f t="array" ref="AN61">_xlfn.XLOOKUP(MIN(ABS($AY$6:$AY$22 - MEDIAN(-2, 2, AN32))), ABS($AY$6:$AY$22 - MEDIAN(-2, 2, AN32)), $AZ$6:$AZ$22, "Error", 0)</f>
        <v/>
      </c>
      <c r="AO61" s="30">
        <f t="array" ref="AO61">_xlfn.XLOOKUP(MIN(ABS($AY$6:$AY$22 - MEDIAN(-2, 2, AO32))), ABS($AY$6:$AY$22 - MEDIAN(-2, 2, AO32)), $AZ$6:$AZ$22, "Error", 0)</f>
        <v/>
      </c>
      <c r="AP61" s="30">
        <f t="array" ref="AP61">_xlfn.XLOOKUP(MIN(ABS($AY$6:$AY$22 - MEDIAN(-2, 2, AP32))), ABS($AY$6:$AY$22 - MEDIAN(-2, 2, AP32)), $AZ$6:$AZ$22, "Error", 0)</f>
        <v/>
      </c>
      <c r="AQ61" s="30">
        <f t="array" ref="AQ61">_xlfn.XLOOKUP(MIN(ABS($AY$6:$AY$22 - MEDIAN(-2, 2, AQ32))), ABS($AY$6:$AY$22 - MEDIAN(-2, 2, AQ32)), $AZ$6:$AZ$22, "Error", 0)</f>
        <v/>
      </c>
      <c r="AR61" s="30">
        <f t="array" ref="AR61">_xlfn.XLOOKUP(MIN(ABS($AY$6:$AY$22 - MEDIAN(-2, 2, AR32))), ABS($AY$6:$AY$22 - MEDIAN(-2, 2, AR32)), $AZ$6:$AZ$22, "Error", 0)</f>
        <v/>
      </c>
      <c r="AS61" s="30">
        <f t="array" ref="AS61">_xlfn.XLOOKUP(MIN(ABS($AY$6:$AY$22 - MEDIAN(-2, 2, AS32))), ABS($AY$6:$AY$22 - MEDIAN(-2, 2, AS32)), $AZ$6:$AZ$22, "Error", 0)</f>
        <v/>
      </c>
      <c r="AT61" s="30">
        <f t="array" ref="AT61">_xlfn.XLOOKUP(MIN(ABS($AY$6:$AY$22 - MEDIAN(-2, 2, AT32))), ABS($AY$6:$AY$22 - MEDIAN(-2, 2, AT32)), $AZ$6:$AZ$22, "Error", 0)</f>
        <v/>
      </c>
      <c r="AU61" s="30">
        <f t="array" ref="AU61">_xlfn.XLOOKUP(MIN(ABS($AY$6:$AY$22 - MEDIAN(-2, 2, AU32))), ABS($AY$6:$AY$22 - MEDIAN(-2, 2, AU32)), $AZ$6:$AZ$22, "Error", 0)</f>
        <v/>
      </c>
      <c r="AV61" s="30">
        <f t="array" ref="AV61">_xlfn.XLOOKUP(MIN(ABS($AY$6:$AY$22 - MEDIAN(-2, 2, AV32))), ABS($AY$6:$AY$22 - MEDIAN(-2, 2, AV32)), $AZ$6:$AZ$22, "Error", 0)</f>
        <v/>
      </c>
      <c r="AW61" s="30">
        <f t="array" ref="AW61">_xlfn.XLOOKUP(MIN(ABS($AY$6:$AY$22 - MEDIAN(-2, 2, AW32))), ABS($AY$6:$AY$22 - MEDIAN(-2, 2, AW32)), $AZ$6:$AZ$22, "Error", 0)</f>
        <v/>
      </c>
    </row>
    <row r="62" ht="25" customHeight="1">
      <c r="A62" s="50" t="inlineStr">
        <is>
          <t>AUD CHF</t>
        </is>
      </c>
      <c r="B62" s="30">
        <f t="array" ref="B62">_xlfn.XLOOKUP(MIN(ABS($AY$6:$AY$22 - MEDIAN(-2, 2, B33))), ABS($AY$6:$AY$22 - MEDIAN(-2, 2, B33)), $AZ$6:$AZ$22, "Error", 0)</f>
        <v/>
      </c>
      <c r="C62" s="30">
        <f t="array" ref="C62">_xlfn.XLOOKUP(MIN(ABS($AY$6:$AY$22 - MEDIAN(-2, 2, C33))), ABS($AY$6:$AY$22 - MEDIAN(-2, 2, C33)), $AZ$6:$AZ$22, "Error", 0)</f>
        <v/>
      </c>
      <c r="D62" s="30">
        <f t="array" ref="D62">_xlfn.XLOOKUP(MIN(ABS($AY$6:$AY$22 - MEDIAN(-2, 2, D33))), ABS($AY$6:$AY$22 - MEDIAN(-2, 2, D33)), $AZ$6:$AZ$22, "Error", 0)</f>
        <v/>
      </c>
      <c r="E62" s="30">
        <f t="array" ref="E62">_xlfn.XLOOKUP(MIN(ABS($AY$6:$AY$22 - MEDIAN(-2, 2, E33))), ABS($AY$6:$AY$22 - MEDIAN(-2, 2, E33)), $AZ$6:$AZ$22, "Error", 0)</f>
        <v/>
      </c>
      <c r="F62" s="30">
        <f t="array" ref="F62">_xlfn.XLOOKUP(MIN(ABS($AY$6:$AY$22 - MEDIAN(-2, 2, F33))), ABS($AY$6:$AY$22 - MEDIAN(-2, 2, F33)), $AZ$6:$AZ$22, "Error", 0)</f>
        <v/>
      </c>
      <c r="G62" s="30">
        <f t="array" ref="G62">_xlfn.XLOOKUP(MIN(ABS($AY$6:$AY$22 - MEDIAN(-2, 2, G33))), ABS($AY$6:$AY$22 - MEDIAN(-2, 2, G33)), $AZ$6:$AZ$22, "Error", 0)</f>
        <v/>
      </c>
      <c r="H62" s="30">
        <f t="array" ref="H62">_xlfn.XLOOKUP(MIN(ABS($AY$6:$AY$22 - MEDIAN(-2, 2, H33))), ABS($AY$6:$AY$22 - MEDIAN(-2, 2, H33)), $AZ$6:$AZ$22, "Error", 0)</f>
        <v/>
      </c>
      <c r="I62" s="30">
        <f t="array" ref="I62">_xlfn.XLOOKUP(MIN(ABS($AY$6:$AY$22 - MEDIAN(-2, 2, I33))), ABS($AY$6:$AY$22 - MEDIAN(-2, 2, I33)), $AZ$6:$AZ$22, "Error", 0)</f>
        <v/>
      </c>
      <c r="J62" s="30">
        <f t="array" ref="J62">_xlfn.XLOOKUP(MIN(ABS($AY$6:$AY$22 - MEDIAN(-2, 2, J33))), ABS($AY$6:$AY$22 - MEDIAN(-2, 2, J33)), $AZ$6:$AZ$22, "Error", 0)</f>
        <v/>
      </c>
      <c r="K62" s="30">
        <f t="array" ref="K62">_xlfn.XLOOKUP(MIN(ABS($AY$6:$AY$22 - MEDIAN(-2, 2, K33))), ABS($AY$6:$AY$22 - MEDIAN(-2, 2, K33)), $AZ$6:$AZ$22, "Error", 0)</f>
        <v/>
      </c>
      <c r="L62" s="30">
        <f t="array" ref="L62">_xlfn.XLOOKUP(MIN(ABS($AY$6:$AY$22 - MEDIAN(-2, 2, L33))), ABS($AY$6:$AY$22 - MEDIAN(-2, 2, L33)), $AZ$6:$AZ$22, "Error", 0)</f>
        <v/>
      </c>
      <c r="M62" s="30">
        <f t="array" ref="M62">_xlfn.XLOOKUP(MIN(ABS($AY$6:$AY$22 - MEDIAN(-2, 2, M33))), ABS($AY$6:$AY$22 - MEDIAN(-2, 2, M33)), $AZ$6:$AZ$22, "Error", 0)</f>
        <v/>
      </c>
      <c r="N62" s="30">
        <f t="array" ref="N62">_xlfn.XLOOKUP(MIN(ABS($AY$6:$AY$22 - MEDIAN(-2, 2, N33))), ABS($AY$6:$AY$22 - MEDIAN(-2, 2, N33)), $AZ$6:$AZ$22, "Error", 0)</f>
        <v/>
      </c>
      <c r="O62" s="30">
        <f t="array" ref="O62">_xlfn.XLOOKUP(MIN(ABS($AY$6:$AY$22 - MEDIAN(-2, 2, O33))), ABS($AY$6:$AY$22 - MEDIAN(-2, 2, O33)), $AZ$6:$AZ$22, "Error", 0)</f>
        <v/>
      </c>
      <c r="P62" s="30">
        <f t="array" ref="P62">_xlfn.XLOOKUP(MIN(ABS($AY$6:$AY$22 - MEDIAN(-2, 2, P33))), ABS($AY$6:$AY$22 - MEDIAN(-2, 2, P33)), $AZ$6:$AZ$22, "Error", 0)</f>
        <v/>
      </c>
      <c r="Q62" s="30">
        <f t="array" ref="Q62">_xlfn.XLOOKUP(MIN(ABS($AY$6:$AY$22 - MEDIAN(-2, 2, Q33))), ABS($AY$6:$AY$22 - MEDIAN(-2, 2, Q33)), $AZ$6:$AZ$22, "Error", 0)</f>
        <v/>
      </c>
      <c r="R62" s="30">
        <f t="array" ref="R62">_xlfn.XLOOKUP(MIN(ABS($AY$6:$AY$22 - MEDIAN(-2, 2, R33))), ABS($AY$6:$AY$22 - MEDIAN(-2, 2, R33)), $AZ$6:$AZ$22, "Error", 0)</f>
        <v/>
      </c>
      <c r="S62" s="30">
        <f t="array" ref="S62">_xlfn.XLOOKUP(MIN(ABS($AY$6:$AY$22 - MEDIAN(-2, 2, S33))), ABS($AY$6:$AY$22 - MEDIAN(-2, 2, S33)), $AZ$6:$AZ$22, "Error", 0)</f>
        <v/>
      </c>
      <c r="T62" s="30">
        <f t="array" ref="T62">_xlfn.XLOOKUP(MIN(ABS($AY$6:$AY$22 - MEDIAN(-2, 2, T33))), ABS($AY$6:$AY$22 - MEDIAN(-2, 2, T33)), $AZ$6:$AZ$22, "Error", 0)</f>
        <v/>
      </c>
      <c r="U62" s="30">
        <f t="array" ref="U62">_xlfn.XLOOKUP(MIN(ABS($AY$6:$AY$22 - MEDIAN(-2, 2, U33))), ABS($AY$6:$AY$22 - MEDIAN(-2, 2, U33)), $AZ$6:$AZ$22, "Error", 0)</f>
        <v/>
      </c>
      <c r="V62" s="30">
        <f t="array" ref="V62">_xlfn.XLOOKUP(MIN(ABS($AY$6:$AY$22 - MEDIAN(-2, 2, V33))), ABS($AY$6:$AY$22 - MEDIAN(-2, 2, V33)), $AZ$6:$AZ$22, "Error", 0)</f>
        <v/>
      </c>
      <c r="W62" s="30">
        <f t="array" ref="W62">_xlfn.XLOOKUP(MIN(ABS($AY$6:$AY$22 - MEDIAN(-2, 2, W33))), ABS($AY$6:$AY$22 - MEDIAN(-2, 2, W33)), $AZ$6:$AZ$22, "Error", 0)</f>
        <v/>
      </c>
      <c r="X62" s="30">
        <f t="array" ref="X62">_xlfn.XLOOKUP(MIN(ABS($AY$6:$AY$22 - MEDIAN(-2, 2, X33))), ABS($AY$6:$AY$22 - MEDIAN(-2, 2, X33)), $AZ$6:$AZ$22, "Error", 0)</f>
        <v/>
      </c>
      <c r="Y62" s="30">
        <f t="array" ref="Y62">_xlfn.XLOOKUP(MIN(ABS($AY$6:$AY$22 - MEDIAN(-2, 2, Y33))), ABS($AY$6:$AY$22 - MEDIAN(-2, 2, Y33)), $AZ$6:$AZ$22, "Error", 0)</f>
        <v/>
      </c>
      <c r="Z62" s="30">
        <f t="array" ref="Z62">_xlfn.XLOOKUP(MIN(ABS($AY$6:$AY$22 - MEDIAN(-2, 2, Z33))), ABS($AY$6:$AY$22 - MEDIAN(-2, 2, Z33)), $AZ$6:$AZ$22, "Error", 0)</f>
        <v/>
      </c>
      <c r="AA62" s="30">
        <f t="array" ref="AA62">_xlfn.XLOOKUP(MIN(ABS($AY$6:$AY$22 - MEDIAN(-2, 2, AA33))), ABS($AY$6:$AY$22 - MEDIAN(-2, 2, AA33)), $AZ$6:$AZ$22, "Error", 0)</f>
        <v/>
      </c>
      <c r="AB62" s="30">
        <f t="array" ref="AB62">_xlfn.XLOOKUP(MIN(ABS($AY$6:$AY$22 - MEDIAN(-2, 2, AB33))), ABS($AY$6:$AY$22 - MEDIAN(-2, 2, AB33)), $AZ$6:$AZ$22, "Error", 0)</f>
        <v/>
      </c>
      <c r="AC62" s="30">
        <f t="array" ref="AC62">_xlfn.XLOOKUP(MIN(ABS($AY$6:$AY$22 - MEDIAN(-2, 2, AC33))), ABS($AY$6:$AY$22 - MEDIAN(-2, 2, AC33)), $AZ$6:$AZ$22, "Error", 0)</f>
        <v/>
      </c>
      <c r="AD62" s="30">
        <f t="array" ref="AD62">_xlfn.XLOOKUP(MIN(ABS($AY$6:$AY$22 - MEDIAN(-2, 2, AD33))), ABS($AY$6:$AY$22 - MEDIAN(-2, 2, AD33)), $AZ$6:$AZ$22, "Error", 0)</f>
        <v/>
      </c>
      <c r="AE62" s="30">
        <f t="array" ref="AE62">_xlfn.XLOOKUP(MIN(ABS($AY$6:$AY$22 - MEDIAN(-2, 2, AE33))), ABS($AY$6:$AY$22 - MEDIAN(-2, 2, AE33)), $AZ$6:$AZ$22, "Error", 0)</f>
        <v/>
      </c>
      <c r="AF62" s="30">
        <f t="array" ref="AF62">_xlfn.XLOOKUP(MIN(ABS($AY$6:$AY$22 - MEDIAN(-2, 2, AF33))), ABS($AY$6:$AY$22 - MEDIAN(-2, 2, AF33)), $AZ$6:$AZ$22, "Error", 0)</f>
        <v/>
      </c>
      <c r="AG62" s="30">
        <f t="array" ref="AG62">_xlfn.XLOOKUP(MIN(ABS($AY$6:$AY$22 - MEDIAN(-2, 2, AG33))), ABS($AY$6:$AY$22 - MEDIAN(-2, 2, AG33)), $AZ$6:$AZ$22, "Error", 0)</f>
        <v/>
      </c>
      <c r="AH62" s="30">
        <f t="array" ref="AH62">_xlfn.XLOOKUP(MIN(ABS($AY$6:$AY$22 - MEDIAN(-2, 2, AH33))), ABS($AY$6:$AY$22 - MEDIAN(-2, 2, AH33)), $AZ$6:$AZ$22, "Error", 0)</f>
        <v/>
      </c>
      <c r="AI62" s="30">
        <f t="array" ref="AI62">_xlfn.XLOOKUP(MIN(ABS($AY$6:$AY$22 - MEDIAN(-2, 2, AI33))), ABS($AY$6:$AY$22 - MEDIAN(-2, 2, AI33)), $AZ$6:$AZ$22, "Error", 0)</f>
        <v/>
      </c>
      <c r="AJ62" s="30">
        <f t="array" ref="AJ62">_xlfn.XLOOKUP(MIN(ABS($AY$6:$AY$22 - MEDIAN(-2, 2, AJ33))), ABS($AY$6:$AY$22 - MEDIAN(-2, 2, AJ33)), $AZ$6:$AZ$22, "Error", 0)</f>
        <v/>
      </c>
      <c r="AK62" s="30">
        <f t="array" ref="AK62">_xlfn.XLOOKUP(MIN(ABS($AY$6:$AY$22 - MEDIAN(-2, 2, AK33))), ABS($AY$6:$AY$22 - MEDIAN(-2, 2, AK33)), $AZ$6:$AZ$22, "Error", 0)</f>
        <v/>
      </c>
      <c r="AL62" s="30">
        <f t="array" ref="AL62">_xlfn.XLOOKUP(MIN(ABS($AY$6:$AY$22 - MEDIAN(-2, 2, AL33))), ABS($AY$6:$AY$22 - MEDIAN(-2, 2, AL33)), $AZ$6:$AZ$22, "Error", 0)</f>
        <v/>
      </c>
      <c r="AM62" s="30">
        <f t="array" ref="AM62">_xlfn.XLOOKUP(MIN(ABS($AY$6:$AY$22 - MEDIAN(-2, 2, AM33))), ABS($AY$6:$AY$22 - MEDIAN(-2, 2, AM33)), $AZ$6:$AZ$22, "Error", 0)</f>
        <v/>
      </c>
      <c r="AN62" s="30">
        <f t="array" ref="AN62">_xlfn.XLOOKUP(MIN(ABS($AY$6:$AY$22 - MEDIAN(-2, 2, AN33))), ABS($AY$6:$AY$22 - MEDIAN(-2, 2, AN33)), $AZ$6:$AZ$22, "Error", 0)</f>
        <v/>
      </c>
      <c r="AO62" s="30">
        <f t="array" ref="AO62">_xlfn.XLOOKUP(MIN(ABS($AY$6:$AY$22 - MEDIAN(-2, 2, AO33))), ABS($AY$6:$AY$22 - MEDIAN(-2, 2, AO33)), $AZ$6:$AZ$22, "Error", 0)</f>
        <v/>
      </c>
      <c r="AP62" s="30">
        <f t="array" ref="AP62">_xlfn.XLOOKUP(MIN(ABS($AY$6:$AY$22 - MEDIAN(-2, 2, AP33))), ABS($AY$6:$AY$22 - MEDIAN(-2, 2, AP33)), $AZ$6:$AZ$22, "Error", 0)</f>
        <v/>
      </c>
      <c r="AQ62" s="30">
        <f t="array" ref="AQ62">_xlfn.XLOOKUP(MIN(ABS($AY$6:$AY$22 - MEDIAN(-2, 2, AQ33))), ABS($AY$6:$AY$22 - MEDIAN(-2, 2, AQ33)), $AZ$6:$AZ$22, "Error", 0)</f>
        <v/>
      </c>
      <c r="AR62" s="30">
        <f t="array" ref="AR62">_xlfn.XLOOKUP(MIN(ABS($AY$6:$AY$22 - MEDIAN(-2, 2, AR33))), ABS($AY$6:$AY$22 - MEDIAN(-2, 2, AR33)), $AZ$6:$AZ$22, "Error", 0)</f>
        <v/>
      </c>
      <c r="AS62" s="30">
        <f t="array" ref="AS62">_xlfn.XLOOKUP(MIN(ABS($AY$6:$AY$22 - MEDIAN(-2, 2, AS33))), ABS($AY$6:$AY$22 - MEDIAN(-2, 2, AS33)), $AZ$6:$AZ$22, "Error", 0)</f>
        <v/>
      </c>
      <c r="AT62" s="30">
        <f t="array" ref="AT62">_xlfn.XLOOKUP(MIN(ABS($AY$6:$AY$22 - MEDIAN(-2, 2, AT33))), ABS($AY$6:$AY$22 - MEDIAN(-2, 2, AT33)), $AZ$6:$AZ$22, "Error", 0)</f>
        <v/>
      </c>
      <c r="AU62" s="30">
        <f t="array" ref="AU62">_xlfn.XLOOKUP(MIN(ABS($AY$6:$AY$22 - MEDIAN(-2, 2, AU33))), ABS($AY$6:$AY$22 - MEDIAN(-2, 2, AU33)), $AZ$6:$AZ$22, "Error", 0)</f>
        <v/>
      </c>
      <c r="AV62" s="30">
        <f t="array" ref="AV62">_xlfn.XLOOKUP(MIN(ABS($AY$6:$AY$22 - MEDIAN(-2, 2, AV33))), ABS($AY$6:$AY$22 - MEDIAN(-2, 2, AV33)), $AZ$6:$AZ$22, "Error", 0)</f>
        <v/>
      </c>
      <c r="AW62" s="30">
        <f t="array" ref="AW62">_xlfn.XLOOKUP(MIN(ABS($AY$6:$AY$22 - MEDIAN(-2, 2, AW33))), ABS($AY$6:$AY$22 - MEDIAN(-2, 2, AW33)), $AZ$6:$AZ$22, "Error", 0)</f>
        <v/>
      </c>
    </row>
    <row r="63" ht="25" customHeight="1">
      <c r="A63" s="50" t="inlineStr">
        <is>
          <t>AUD JPY</t>
        </is>
      </c>
      <c r="B63" s="30">
        <f t="array" ref="B63">_xlfn.XLOOKUP(MIN(ABS($AY$6:$AY$22 - MEDIAN(-2, 2, B34))), ABS($AY$6:$AY$22 - MEDIAN(-2, 2, B34)), $AZ$6:$AZ$22, "Error", 0)</f>
        <v/>
      </c>
      <c r="C63" s="30">
        <f t="array" ref="C63">_xlfn.XLOOKUP(MIN(ABS($AY$6:$AY$22 - MEDIAN(-2, 2, C34))), ABS($AY$6:$AY$22 - MEDIAN(-2, 2, C34)), $AZ$6:$AZ$22, "Error", 0)</f>
        <v/>
      </c>
      <c r="D63" s="30">
        <f t="array" ref="D63">_xlfn.XLOOKUP(MIN(ABS($AY$6:$AY$22 - MEDIAN(-2, 2, D34))), ABS($AY$6:$AY$22 - MEDIAN(-2, 2, D34)), $AZ$6:$AZ$22, "Error", 0)</f>
        <v/>
      </c>
      <c r="E63" s="30">
        <f t="array" ref="E63">_xlfn.XLOOKUP(MIN(ABS($AY$6:$AY$22 - MEDIAN(-2, 2, E34))), ABS($AY$6:$AY$22 - MEDIAN(-2, 2, E34)), $AZ$6:$AZ$22, "Error", 0)</f>
        <v/>
      </c>
      <c r="F63" s="30">
        <f t="array" ref="F63">_xlfn.XLOOKUP(MIN(ABS($AY$6:$AY$22 - MEDIAN(-2, 2, F34))), ABS($AY$6:$AY$22 - MEDIAN(-2, 2, F34)), $AZ$6:$AZ$22, "Error", 0)</f>
        <v/>
      </c>
      <c r="G63" s="30">
        <f t="array" ref="G63">_xlfn.XLOOKUP(MIN(ABS($AY$6:$AY$22 - MEDIAN(-2, 2, G34))), ABS($AY$6:$AY$22 - MEDIAN(-2, 2, G34)), $AZ$6:$AZ$22, "Error", 0)</f>
        <v/>
      </c>
      <c r="H63" s="30">
        <f t="array" ref="H63">_xlfn.XLOOKUP(MIN(ABS($AY$6:$AY$22 - MEDIAN(-2, 2, H34))), ABS($AY$6:$AY$22 - MEDIAN(-2, 2, H34)), $AZ$6:$AZ$22, "Error", 0)</f>
        <v/>
      </c>
      <c r="I63" s="30">
        <f t="array" ref="I63">_xlfn.XLOOKUP(MIN(ABS($AY$6:$AY$22 - MEDIAN(-2, 2, I34))), ABS($AY$6:$AY$22 - MEDIAN(-2, 2, I34)), $AZ$6:$AZ$22, "Error", 0)</f>
        <v/>
      </c>
      <c r="J63" s="30">
        <f t="array" ref="J63">_xlfn.XLOOKUP(MIN(ABS($AY$6:$AY$22 - MEDIAN(-2, 2, J34))), ABS($AY$6:$AY$22 - MEDIAN(-2, 2, J34)), $AZ$6:$AZ$22, "Error", 0)</f>
        <v/>
      </c>
      <c r="K63" s="30">
        <f t="array" ref="K63">_xlfn.XLOOKUP(MIN(ABS($AY$6:$AY$22 - MEDIAN(-2, 2, K34))), ABS($AY$6:$AY$22 - MEDIAN(-2, 2, K34)), $AZ$6:$AZ$22, "Error", 0)</f>
        <v/>
      </c>
      <c r="L63" s="30">
        <f t="array" ref="L63">_xlfn.XLOOKUP(MIN(ABS($AY$6:$AY$22 - MEDIAN(-2, 2, L34))), ABS($AY$6:$AY$22 - MEDIAN(-2, 2, L34)), $AZ$6:$AZ$22, "Error", 0)</f>
        <v/>
      </c>
      <c r="M63" s="30">
        <f t="array" ref="M63">_xlfn.XLOOKUP(MIN(ABS($AY$6:$AY$22 - MEDIAN(-2, 2, M34))), ABS($AY$6:$AY$22 - MEDIAN(-2, 2, M34)), $AZ$6:$AZ$22, "Error", 0)</f>
        <v/>
      </c>
      <c r="N63" s="30">
        <f t="array" ref="N63">_xlfn.XLOOKUP(MIN(ABS($AY$6:$AY$22 - MEDIAN(-2, 2, N34))), ABS($AY$6:$AY$22 - MEDIAN(-2, 2, N34)), $AZ$6:$AZ$22, "Error", 0)</f>
        <v/>
      </c>
      <c r="O63" s="30">
        <f t="array" ref="O63">_xlfn.XLOOKUP(MIN(ABS($AY$6:$AY$22 - MEDIAN(-2, 2, O34))), ABS($AY$6:$AY$22 - MEDIAN(-2, 2, O34)), $AZ$6:$AZ$22, "Error", 0)</f>
        <v/>
      </c>
      <c r="P63" s="30">
        <f t="array" ref="P63">_xlfn.XLOOKUP(MIN(ABS($AY$6:$AY$22 - MEDIAN(-2, 2, P34))), ABS($AY$6:$AY$22 - MEDIAN(-2, 2, P34)), $AZ$6:$AZ$22, "Error", 0)</f>
        <v/>
      </c>
      <c r="Q63" s="30">
        <f t="array" ref="Q63">_xlfn.XLOOKUP(MIN(ABS($AY$6:$AY$22 - MEDIAN(-2, 2, Q34))), ABS($AY$6:$AY$22 - MEDIAN(-2, 2, Q34)), $AZ$6:$AZ$22, "Error", 0)</f>
        <v/>
      </c>
      <c r="R63" s="30">
        <f t="array" ref="R63">_xlfn.XLOOKUP(MIN(ABS($AY$6:$AY$22 - MEDIAN(-2, 2, R34))), ABS($AY$6:$AY$22 - MEDIAN(-2, 2, R34)), $AZ$6:$AZ$22, "Error", 0)</f>
        <v/>
      </c>
      <c r="S63" s="30">
        <f t="array" ref="S63">_xlfn.XLOOKUP(MIN(ABS($AY$6:$AY$22 - MEDIAN(-2, 2, S34))), ABS($AY$6:$AY$22 - MEDIAN(-2, 2, S34)), $AZ$6:$AZ$22, "Error", 0)</f>
        <v/>
      </c>
      <c r="T63" s="30">
        <f t="array" ref="T63">_xlfn.XLOOKUP(MIN(ABS($AY$6:$AY$22 - MEDIAN(-2, 2, T34))), ABS($AY$6:$AY$22 - MEDIAN(-2, 2, T34)), $AZ$6:$AZ$22, "Error", 0)</f>
        <v/>
      </c>
      <c r="U63" s="30">
        <f t="array" ref="U63">_xlfn.XLOOKUP(MIN(ABS($AY$6:$AY$22 - MEDIAN(-2, 2, U34))), ABS($AY$6:$AY$22 - MEDIAN(-2, 2, U34)), $AZ$6:$AZ$22, "Error", 0)</f>
        <v/>
      </c>
      <c r="V63" s="30">
        <f t="array" ref="V63">_xlfn.XLOOKUP(MIN(ABS($AY$6:$AY$22 - MEDIAN(-2, 2, V34))), ABS($AY$6:$AY$22 - MEDIAN(-2, 2, V34)), $AZ$6:$AZ$22, "Error", 0)</f>
        <v/>
      </c>
      <c r="W63" s="30">
        <f t="array" ref="W63">_xlfn.XLOOKUP(MIN(ABS($AY$6:$AY$22 - MEDIAN(-2, 2, W34))), ABS($AY$6:$AY$22 - MEDIAN(-2, 2, W34)), $AZ$6:$AZ$22, "Error", 0)</f>
        <v/>
      </c>
      <c r="X63" s="30">
        <f t="array" ref="X63">_xlfn.XLOOKUP(MIN(ABS($AY$6:$AY$22 - MEDIAN(-2, 2, X34))), ABS($AY$6:$AY$22 - MEDIAN(-2, 2, X34)), $AZ$6:$AZ$22, "Error", 0)</f>
        <v/>
      </c>
      <c r="Y63" s="30">
        <f t="array" ref="Y63">_xlfn.XLOOKUP(MIN(ABS($AY$6:$AY$22 - MEDIAN(-2, 2, Y34))), ABS($AY$6:$AY$22 - MEDIAN(-2, 2, Y34)), $AZ$6:$AZ$22, "Error", 0)</f>
        <v/>
      </c>
      <c r="Z63" s="30">
        <f t="array" ref="Z63">_xlfn.XLOOKUP(MIN(ABS($AY$6:$AY$22 - MEDIAN(-2, 2, Z34))), ABS($AY$6:$AY$22 - MEDIAN(-2, 2, Z34)), $AZ$6:$AZ$22, "Error", 0)</f>
        <v/>
      </c>
      <c r="AA63" s="30">
        <f t="array" ref="AA63">_xlfn.XLOOKUP(MIN(ABS($AY$6:$AY$22 - MEDIAN(-2, 2, AA34))), ABS($AY$6:$AY$22 - MEDIAN(-2, 2, AA34)), $AZ$6:$AZ$22, "Error", 0)</f>
        <v/>
      </c>
      <c r="AB63" s="30">
        <f t="array" ref="AB63">_xlfn.XLOOKUP(MIN(ABS($AY$6:$AY$22 - MEDIAN(-2, 2, AB34))), ABS($AY$6:$AY$22 - MEDIAN(-2, 2, AB34)), $AZ$6:$AZ$22, "Error", 0)</f>
        <v/>
      </c>
      <c r="AC63" s="30">
        <f t="array" ref="AC63">_xlfn.XLOOKUP(MIN(ABS($AY$6:$AY$22 - MEDIAN(-2, 2, AC34))), ABS($AY$6:$AY$22 - MEDIAN(-2, 2, AC34)), $AZ$6:$AZ$22, "Error", 0)</f>
        <v/>
      </c>
      <c r="AD63" s="30">
        <f t="array" ref="AD63">_xlfn.XLOOKUP(MIN(ABS($AY$6:$AY$22 - MEDIAN(-2, 2, AD34))), ABS($AY$6:$AY$22 - MEDIAN(-2, 2, AD34)), $AZ$6:$AZ$22, "Error", 0)</f>
        <v/>
      </c>
      <c r="AE63" s="30">
        <f t="array" ref="AE63">_xlfn.XLOOKUP(MIN(ABS($AY$6:$AY$22 - MEDIAN(-2, 2, AE34))), ABS($AY$6:$AY$22 - MEDIAN(-2, 2, AE34)), $AZ$6:$AZ$22, "Error", 0)</f>
        <v/>
      </c>
      <c r="AF63" s="30">
        <f t="array" ref="AF63">_xlfn.XLOOKUP(MIN(ABS($AY$6:$AY$22 - MEDIAN(-2, 2, AF34))), ABS($AY$6:$AY$22 - MEDIAN(-2, 2, AF34)), $AZ$6:$AZ$22, "Error", 0)</f>
        <v/>
      </c>
      <c r="AG63" s="30">
        <f t="array" ref="AG63">_xlfn.XLOOKUP(MIN(ABS($AY$6:$AY$22 - MEDIAN(-2, 2, AG34))), ABS($AY$6:$AY$22 - MEDIAN(-2, 2, AG34)), $AZ$6:$AZ$22, "Error", 0)</f>
        <v/>
      </c>
      <c r="AH63" s="30">
        <f t="array" ref="AH63">_xlfn.XLOOKUP(MIN(ABS($AY$6:$AY$22 - MEDIAN(-2, 2, AH34))), ABS($AY$6:$AY$22 - MEDIAN(-2, 2, AH34)), $AZ$6:$AZ$22, "Error", 0)</f>
        <v/>
      </c>
      <c r="AI63" s="30">
        <f t="array" ref="AI63">_xlfn.XLOOKUP(MIN(ABS($AY$6:$AY$22 - MEDIAN(-2, 2, AI34))), ABS($AY$6:$AY$22 - MEDIAN(-2, 2, AI34)), $AZ$6:$AZ$22, "Error", 0)</f>
        <v/>
      </c>
      <c r="AJ63" s="30">
        <f t="array" ref="AJ63">_xlfn.XLOOKUP(MIN(ABS($AY$6:$AY$22 - MEDIAN(-2, 2, AJ34))), ABS($AY$6:$AY$22 - MEDIAN(-2, 2, AJ34)), $AZ$6:$AZ$22, "Error", 0)</f>
        <v/>
      </c>
      <c r="AK63" s="30">
        <f t="array" ref="AK63">_xlfn.XLOOKUP(MIN(ABS($AY$6:$AY$22 - MEDIAN(-2, 2, AK34))), ABS($AY$6:$AY$22 - MEDIAN(-2, 2, AK34)), $AZ$6:$AZ$22, "Error", 0)</f>
        <v/>
      </c>
      <c r="AL63" s="30">
        <f t="array" ref="AL63">_xlfn.XLOOKUP(MIN(ABS($AY$6:$AY$22 - MEDIAN(-2, 2, AL34))), ABS($AY$6:$AY$22 - MEDIAN(-2, 2, AL34)), $AZ$6:$AZ$22, "Error", 0)</f>
        <v/>
      </c>
      <c r="AM63" s="30">
        <f t="array" ref="AM63">_xlfn.XLOOKUP(MIN(ABS($AY$6:$AY$22 - MEDIAN(-2, 2, AM34))), ABS($AY$6:$AY$22 - MEDIAN(-2, 2, AM34)), $AZ$6:$AZ$22, "Error", 0)</f>
        <v/>
      </c>
      <c r="AN63" s="30">
        <f t="array" ref="AN63">_xlfn.XLOOKUP(MIN(ABS($AY$6:$AY$22 - MEDIAN(-2, 2, AN34))), ABS($AY$6:$AY$22 - MEDIAN(-2, 2, AN34)), $AZ$6:$AZ$22, "Error", 0)</f>
        <v/>
      </c>
      <c r="AO63" s="30">
        <f t="array" ref="AO63">_xlfn.XLOOKUP(MIN(ABS($AY$6:$AY$22 - MEDIAN(-2, 2, AO34))), ABS($AY$6:$AY$22 - MEDIAN(-2, 2, AO34)), $AZ$6:$AZ$22, "Error", 0)</f>
        <v/>
      </c>
      <c r="AP63" s="30">
        <f t="array" ref="AP63">_xlfn.XLOOKUP(MIN(ABS($AY$6:$AY$22 - MEDIAN(-2, 2, AP34))), ABS($AY$6:$AY$22 - MEDIAN(-2, 2, AP34)), $AZ$6:$AZ$22, "Error", 0)</f>
        <v/>
      </c>
      <c r="AQ63" s="30">
        <f t="array" ref="AQ63">_xlfn.XLOOKUP(MIN(ABS($AY$6:$AY$22 - MEDIAN(-2, 2, AQ34))), ABS($AY$6:$AY$22 - MEDIAN(-2, 2, AQ34)), $AZ$6:$AZ$22, "Error", 0)</f>
        <v/>
      </c>
      <c r="AR63" s="30">
        <f t="array" ref="AR63">_xlfn.XLOOKUP(MIN(ABS($AY$6:$AY$22 - MEDIAN(-2, 2, AR34))), ABS($AY$6:$AY$22 - MEDIAN(-2, 2, AR34)), $AZ$6:$AZ$22, "Error", 0)</f>
        <v/>
      </c>
      <c r="AS63" s="30">
        <f t="array" ref="AS63">_xlfn.XLOOKUP(MIN(ABS($AY$6:$AY$22 - MEDIAN(-2, 2, AS34))), ABS($AY$6:$AY$22 - MEDIAN(-2, 2, AS34)), $AZ$6:$AZ$22, "Error", 0)</f>
        <v/>
      </c>
      <c r="AT63" s="30">
        <f t="array" ref="AT63">_xlfn.XLOOKUP(MIN(ABS($AY$6:$AY$22 - MEDIAN(-2, 2, AT34))), ABS($AY$6:$AY$22 - MEDIAN(-2, 2, AT34)), $AZ$6:$AZ$22, "Error", 0)</f>
        <v/>
      </c>
      <c r="AU63" s="30">
        <f t="array" ref="AU63">_xlfn.XLOOKUP(MIN(ABS($AY$6:$AY$22 - MEDIAN(-2, 2, AU34))), ABS($AY$6:$AY$22 - MEDIAN(-2, 2, AU34)), $AZ$6:$AZ$22, "Error", 0)</f>
        <v/>
      </c>
      <c r="AV63" s="30">
        <f t="array" ref="AV63">_xlfn.XLOOKUP(MIN(ABS($AY$6:$AY$22 - MEDIAN(-2, 2, AV34))), ABS($AY$6:$AY$22 - MEDIAN(-2, 2, AV34)), $AZ$6:$AZ$22, "Error", 0)</f>
        <v/>
      </c>
      <c r="AW63" s="30">
        <f t="array" ref="AW63">_xlfn.XLOOKUP(MIN(ABS($AY$6:$AY$22 - MEDIAN(-2, 2, AW34))), ABS($AY$6:$AY$22 - MEDIAN(-2, 2, AW34)), $AZ$6:$AZ$22, "Error", 0)</f>
        <v/>
      </c>
    </row>
    <row r="64" ht="25" customHeight="1">
      <c r="A64" s="50" t="inlineStr">
        <is>
          <t>AUD NZD</t>
        </is>
      </c>
      <c r="B64" s="30">
        <f t="array" ref="B64">_xlfn.XLOOKUP(MIN(ABS($AY$6:$AY$22 - MEDIAN(-2, 2, B35))), ABS($AY$6:$AY$22 - MEDIAN(-2, 2, B35)), $AZ$6:$AZ$22, "Error", 0)</f>
        <v/>
      </c>
      <c r="C64" s="30">
        <f t="array" ref="C64">_xlfn.XLOOKUP(MIN(ABS($AY$6:$AY$22 - MEDIAN(-2, 2, C35))), ABS($AY$6:$AY$22 - MEDIAN(-2, 2, C35)), $AZ$6:$AZ$22, "Error", 0)</f>
        <v/>
      </c>
      <c r="D64" s="30">
        <f t="array" ref="D64">_xlfn.XLOOKUP(MIN(ABS($AY$6:$AY$22 - MEDIAN(-2, 2, D35))), ABS($AY$6:$AY$22 - MEDIAN(-2, 2, D35)), $AZ$6:$AZ$22, "Error", 0)</f>
        <v/>
      </c>
      <c r="E64" s="30">
        <f t="array" ref="E64">_xlfn.XLOOKUP(MIN(ABS($AY$6:$AY$22 - MEDIAN(-2, 2, E35))), ABS($AY$6:$AY$22 - MEDIAN(-2, 2, E35)), $AZ$6:$AZ$22, "Error", 0)</f>
        <v/>
      </c>
      <c r="F64" s="30">
        <f t="array" ref="F64">_xlfn.XLOOKUP(MIN(ABS($AY$6:$AY$22 - MEDIAN(-2, 2, F35))), ABS($AY$6:$AY$22 - MEDIAN(-2, 2, F35)), $AZ$6:$AZ$22, "Error", 0)</f>
        <v/>
      </c>
      <c r="G64" s="30">
        <f t="array" ref="G64">_xlfn.XLOOKUP(MIN(ABS($AY$6:$AY$22 - MEDIAN(-2, 2, G35))), ABS($AY$6:$AY$22 - MEDIAN(-2, 2, G35)), $AZ$6:$AZ$22, "Error", 0)</f>
        <v/>
      </c>
      <c r="H64" s="30">
        <f t="array" ref="H64">_xlfn.XLOOKUP(MIN(ABS($AY$6:$AY$22 - MEDIAN(-2, 2, H35))), ABS($AY$6:$AY$22 - MEDIAN(-2, 2, H35)), $AZ$6:$AZ$22, "Error", 0)</f>
        <v/>
      </c>
      <c r="I64" s="30">
        <f t="array" ref="I64">_xlfn.XLOOKUP(MIN(ABS($AY$6:$AY$22 - MEDIAN(-2, 2, I35))), ABS($AY$6:$AY$22 - MEDIAN(-2, 2, I35)), $AZ$6:$AZ$22, "Error", 0)</f>
        <v/>
      </c>
      <c r="J64" s="30">
        <f t="array" ref="J64">_xlfn.XLOOKUP(MIN(ABS($AY$6:$AY$22 - MEDIAN(-2, 2, J35))), ABS($AY$6:$AY$22 - MEDIAN(-2, 2, J35)), $AZ$6:$AZ$22, "Error", 0)</f>
        <v/>
      </c>
      <c r="K64" s="30">
        <f t="array" ref="K64">_xlfn.XLOOKUP(MIN(ABS($AY$6:$AY$22 - MEDIAN(-2, 2, K35))), ABS($AY$6:$AY$22 - MEDIAN(-2, 2, K35)), $AZ$6:$AZ$22, "Error", 0)</f>
        <v/>
      </c>
      <c r="L64" s="30">
        <f t="array" ref="L64">_xlfn.XLOOKUP(MIN(ABS($AY$6:$AY$22 - MEDIAN(-2, 2, L35))), ABS($AY$6:$AY$22 - MEDIAN(-2, 2, L35)), $AZ$6:$AZ$22, "Error", 0)</f>
        <v/>
      </c>
      <c r="M64" s="30">
        <f t="array" ref="M64">_xlfn.XLOOKUP(MIN(ABS($AY$6:$AY$22 - MEDIAN(-2, 2, M35))), ABS($AY$6:$AY$22 - MEDIAN(-2, 2, M35)), $AZ$6:$AZ$22, "Error", 0)</f>
        <v/>
      </c>
      <c r="N64" s="30">
        <f t="array" ref="N64">_xlfn.XLOOKUP(MIN(ABS($AY$6:$AY$22 - MEDIAN(-2, 2, N35))), ABS($AY$6:$AY$22 - MEDIAN(-2, 2, N35)), $AZ$6:$AZ$22, "Error", 0)</f>
        <v/>
      </c>
      <c r="O64" s="30">
        <f t="array" ref="O64">_xlfn.XLOOKUP(MIN(ABS($AY$6:$AY$22 - MEDIAN(-2, 2, O35))), ABS($AY$6:$AY$22 - MEDIAN(-2, 2, O35)), $AZ$6:$AZ$22, "Error", 0)</f>
        <v/>
      </c>
      <c r="P64" s="30">
        <f t="array" ref="P64">_xlfn.XLOOKUP(MIN(ABS($AY$6:$AY$22 - MEDIAN(-2, 2, P35))), ABS($AY$6:$AY$22 - MEDIAN(-2, 2, P35)), $AZ$6:$AZ$22, "Error", 0)</f>
        <v/>
      </c>
      <c r="Q64" s="30">
        <f t="array" ref="Q64">_xlfn.XLOOKUP(MIN(ABS($AY$6:$AY$22 - MEDIAN(-2, 2, Q35))), ABS($AY$6:$AY$22 - MEDIAN(-2, 2, Q35)), $AZ$6:$AZ$22, "Error", 0)</f>
        <v/>
      </c>
      <c r="R64" s="30">
        <f t="array" ref="R64">_xlfn.XLOOKUP(MIN(ABS($AY$6:$AY$22 - MEDIAN(-2, 2, R35))), ABS($AY$6:$AY$22 - MEDIAN(-2, 2, R35)), $AZ$6:$AZ$22, "Error", 0)</f>
        <v/>
      </c>
      <c r="S64" s="30">
        <f t="array" ref="S64">_xlfn.XLOOKUP(MIN(ABS($AY$6:$AY$22 - MEDIAN(-2, 2, S35))), ABS($AY$6:$AY$22 - MEDIAN(-2, 2, S35)), $AZ$6:$AZ$22, "Error", 0)</f>
        <v/>
      </c>
      <c r="T64" s="30">
        <f t="array" ref="T64">_xlfn.XLOOKUP(MIN(ABS($AY$6:$AY$22 - MEDIAN(-2, 2, T35))), ABS($AY$6:$AY$22 - MEDIAN(-2, 2, T35)), $AZ$6:$AZ$22, "Error", 0)</f>
        <v/>
      </c>
      <c r="U64" s="30">
        <f t="array" ref="U64">_xlfn.XLOOKUP(MIN(ABS($AY$6:$AY$22 - MEDIAN(-2, 2, U35))), ABS($AY$6:$AY$22 - MEDIAN(-2, 2, U35)), $AZ$6:$AZ$22, "Error", 0)</f>
        <v/>
      </c>
      <c r="V64" s="30">
        <f t="array" ref="V64">_xlfn.XLOOKUP(MIN(ABS($AY$6:$AY$22 - MEDIAN(-2, 2, V35))), ABS($AY$6:$AY$22 - MEDIAN(-2, 2, V35)), $AZ$6:$AZ$22, "Error", 0)</f>
        <v/>
      </c>
      <c r="W64" s="30">
        <f t="array" ref="W64">_xlfn.XLOOKUP(MIN(ABS($AY$6:$AY$22 - MEDIAN(-2, 2, W35))), ABS($AY$6:$AY$22 - MEDIAN(-2, 2, W35)), $AZ$6:$AZ$22, "Error", 0)</f>
        <v/>
      </c>
      <c r="X64" s="30">
        <f t="array" ref="X64">_xlfn.XLOOKUP(MIN(ABS($AY$6:$AY$22 - MEDIAN(-2, 2, X35))), ABS($AY$6:$AY$22 - MEDIAN(-2, 2, X35)), $AZ$6:$AZ$22, "Error", 0)</f>
        <v/>
      </c>
      <c r="Y64" s="30">
        <f t="array" ref="Y64">_xlfn.XLOOKUP(MIN(ABS($AY$6:$AY$22 - MEDIAN(-2, 2, Y35))), ABS($AY$6:$AY$22 - MEDIAN(-2, 2, Y35)), $AZ$6:$AZ$22, "Error", 0)</f>
        <v/>
      </c>
      <c r="Z64" s="30">
        <f t="array" ref="Z64">_xlfn.XLOOKUP(MIN(ABS($AY$6:$AY$22 - MEDIAN(-2, 2, Z35))), ABS($AY$6:$AY$22 - MEDIAN(-2, 2, Z35)), $AZ$6:$AZ$22, "Error", 0)</f>
        <v/>
      </c>
      <c r="AA64" s="30">
        <f t="array" ref="AA64">_xlfn.XLOOKUP(MIN(ABS($AY$6:$AY$22 - MEDIAN(-2, 2, AA35))), ABS($AY$6:$AY$22 - MEDIAN(-2, 2, AA35)), $AZ$6:$AZ$22, "Error", 0)</f>
        <v/>
      </c>
      <c r="AB64" s="30">
        <f t="array" ref="AB64">_xlfn.XLOOKUP(MIN(ABS($AY$6:$AY$22 - MEDIAN(-2, 2, AB35))), ABS($AY$6:$AY$22 - MEDIAN(-2, 2, AB35)), $AZ$6:$AZ$22, "Error", 0)</f>
        <v/>
      </c>
      <c r="AC64" s="30">
        <f t="array" ref="AC64">_xlfn.XLOOKUP(MIN(ABS($AY$6:$AY$22 - MEDIAN(-2, 2, AC35))), ABS($AY$6:$AY$22 - MEDIAN(-2, 2, AC35)), $AZ$6:$AZ$22, "Error", 0)</f>
        <v/>
      </c>
      <c r="AD64" s="30">
        <f t="array" ref="AD64">_xlfn.XLOOKUP(MIN(ABS($AY$6:$AY$22 - MEDIAN(-2, 2, AD35))), ABS($AY$6:$AY$22 - MEDIAN(-2, 2, AD35)), $AZ$6:$AZ$22, "Error", 0)</f>
        <v/>
      </c>
      <c r="AE64" s="30">
        <f t="array" ref="AE64">_xlfn.XLOOKUP(MIN(ABS($AY$6:$AY$22 - MEDIAN(-2, 2, AE35))), ABS($AY$6:$AY$22 - MEDIAN(-2, 2, AE35)), $AZ$6:$AZ$22, "Error", 0)</f>
        <v/>
      </c>
      <c r="AF64" s="30">
        <f t="array" ref="AF64">_xlfn.XLOOKUP(MIN(ABS($AY$6:$AY$22 - MEDIAN(-2, 2, AF35))), ABS($AY$6:$AY$22 - MEDIAN(-2, 2, AF35)), $AZ$6:$AZ$22, "Error", 0)</f>
        <v/>
      </c>
      <c r="AG64" s="30">
        <f t="array" ref="AG64">_xlfn.XLOOKUP(MIN(ABS($AY$6:$AY$22 - MEDIAN(-2, 2, AG35))), ABS($AY$6:$AY$22 - MEDIAN(-2, 2, AG35)), $AZ$6:$AZ$22, "Error", 0)</f>
        <v/>
      </c>
      <c r="AH64" s="30">
        <f t="array" ref="AH64">_xlfn.XLOOKUP(MIN(ABS($AY$6:$AY$22 - MEDIAN(-2, 2, AH35))), ABS($AY$6:$AY$22 - MEDIAN(-2, 2, AH35)), $AZ$6:$AZ$22, "Error", 0)</f>
        <v/>
      </c>
      <c r="AI64" s="30">
        <f t="array" ref="AI64">_xlfn.XLOOKUP(MIN(ABS($AY$6:$AY$22 - MEDIAN(-2, 2, AI35))), ABS($AY$6:$AY$22 - MEDIAN(-2, 2, AI35)), $AZ$6:$AZ$22, "Error", 0)</f>
        <v/>
      </c>
      <c r="AJ64" s="30">
        <f t="array" ref="AJ64">_xlfn.XLOOKUP(MIN(ABS($AY$6:$AY$22 - MEDIAN(-2, 2, AJ35))), ABS($AY$6:$AY$22 - MEDIAN(-2, 2, AJ35)), $AZ$6:$AZ$22, "Error", 0)</f>
        <v/>
      </c>
      <c r="AK64" s="30">
        <f t="array" ref="AK64">_xlfn.XLOOKUP(MIN(ABS($AY$6:$AY$22 - MEDIAN(-2, 2, AK35))), ABS($AY$6:$AY$22 - MEDIAN(-2, 2, AK35)), $AZ$6:$AZ$22, "Error", 0)</f>
        <v/>
      </c>
      <c r="AL64" s="30">
        <f t="array" ref="AL64">_xlfn.XLOOKUP(MIN(ABS($AY$6:$AY$22 - MEDIAN(-2, 2, AL35))), ABS($AY$6:$AY$22 - MEDIAN(-2, 2, AL35)), $AZ$6:$AZ$22, "Error", 0)</f>
        <v/>
      </c>
      <c r="AM64" s="30">
        <f t="array" ref="AM64">_xlfn.XLOOKUP(MIN(ABS($AY$6:$AY$22 - MEDIAN(-2, 2, AM35))), ABS($AY$6:$AY$22 - MEDIAN(-2, 2, AM35)), $AZ$6:$AZ$22, "Error", 0)</f>
        <v/>
      </c>
      <c r="AN64" s="30">
        <f t="array" ref="AN64">_xlfn.XLOOKUP(MIN(ABS($AY$6:$AY$22 - MEDIAN(-2, 2, AN35))), ABS($AY$6:$AY$22 - MEDIAN(-2, 2, AN35)), $AZ$6:$AZ$22, "Error", 0)</f>
        <v/>
      </c>
      <c r="AO64" s="30">
        <f t="array" ref="AO64">_xlfn.XLOOKUP(MIN(ABS($AY$6:$AY$22 - MEDIAN(-2, 2, AO35))), ABS($AY$6:$AY$22 - MEDIAN(-2, 2, AO35)), $AZ$6:$AZ$22, "Error", 0)</f>
        <v/>
      </c>
      <c r="AP64" s="30">
        <f t="array" ref="AP64">_xlfn.XLOOKUP(MIN(ABS($AY$6:$AY$22 - MEDIAN(-2, 2, AP35))), ABS($AY$6:$AY$22 - MEDIAN(-2, 2, AP35)), $AZ$6:$AZ$22, "Error", 0)</f>
        <v/>
      </c>
      <c r="AQ64" s="30">
        <f t="array" ref="AQ64">_xlfn.XLOOKUP(MIN(ABS($AY$6:$AY$22 - MEDIAN(-2, 2, AQ35))), ABS($AY$6:$AY$22 - MEDIAN(-2, 2, AQ35)), $AZ$6:$AZ$22, "Error", 0)</f>
        <v/>
      </c>
      <c r="AR64" s="30">
        <f t="array" ref="AR64">_xlfn.XLOOKUP(MIN(ABS($AY$6:$AY$22 - MEDIAN(-2, 2, AR35))), ABS($AY$6:$AY$22 - MEDIAN(-2, 2, AR35)), $AZ$6:$AZ$22, "Error", 0)</f>
        <v/>
      </c>
      <c r="AS64" s="30">
        <f t="array" ref="AS64">_xlfn.XLOOKUP(MIN(ABS($AY$6:$AY$22 - MEDIAN(-2, 2, AS35))), ABS($AY$6:$AY$22 - MEDIAN(-2, 2, AS35)), $AZ$6:$AZ$22, "Error", 0)</f>
        <v/>
      </c>
      <c r="AT64" s="30">
        <f t="array" ref="AT64">_xlfn.XLOOKUP(MIN(ABS($AY$6:$AY$22 - MEDIAN(-2, 2, AT35))), ABS($AY$6:$AY$22 - MEDIAN(-2, 2, AT35)), $AZ$6:$AZ$22, "Error", 0)</f>
        <v/>
      </c>
      <c r="AU64" s="30">
        <f t="array" ref="AU64">_xlfn.XLOOKUP(MIN(ABS($AY$6:$AY$22 - MEDIAN(-2, 2, AU35))), ABS($AY$6:$AY$22 - MEDIAN(-2, 2, AU35)), $AZ$6:$AZ$22, "Error", 0)</f>
        <v/>
      </c>
      <c r="AV64" s="30">
        <f t="array" ref="AV64">_xlfn.XLOOKUP(MIN(ABS($AY$6:$AY$22 - MEDIAN(-2, 2, AV35))), ABS($AY$6:$AY$22 - MEDIAN(-2, 2, AV35)), $AZ$6:$AZ$22, "Error", 0)</f>
        <v/>
      </c>
      <c r="AW64" s="30">
        <f t="array" ref="AW64">_xlfn.XLOOKUP(MIN(ABS($AY$6:$AY$22 - MEDIAN(-2, 2, AW35))), ABS($AY$6:$AY$22 - MEDIAN(-2, 2, AW35)), $AZ$6:$AZ$22, "Error", 0)</f>
        <v/>
      </c>
    </row>
    <row r="65" ht="25" customHeight="1">
      <c r="A65" s="50" t="inlineStr">
        <is>
          <t>AUD CAD</t>
        </is>
      </c>
      <c r="B65" s="30">
        <f t="array" ref="B65">_xlfn.XLOOKUP(MIN(ABS($AY$6:$AY$22 - MEDIAN(-2, 2, B36))), ABS($AY$6:$AY$22 - MEDIAN(-2, 2, B36)), $AZ$6:$AZ$22, "Error", 0)</f>
        <v/>
      </c>
      <c r="C65" s="30">
        <f t="array" ref="C65">_xlfn.XLOOKUP(MIN(ABS($AY$6:$AY$22 - MEDIAN(-2, 2, C36))), ABS($AY$6:$AY$22 - MEDIAN(-2, 2, C36)), $AZ$6:$AZ$22, "Error", 0)</f>
        <v/>
      </c>
      <c r="D65" s="30">
        <f t="array" ref="D65">_xlfn.XLOOKUP(MIN(ABS($AY$6:$AY$22 - MEDIAN(-2, 2, D36))), ABS($AY$6:$AY$22 - MEDIAN(-2, 2, D36)), $AZ$6:$AZ$22, "Error", 0)</f>
        <v/>
      </c>
      <c r="E65" s="30">
        <f t="array" ref="E65">_xlfn.XLOOKUP(MIN(ABS($AY$6:$AY$22 - MEDIAN(-2, 2, E36))), ABS($AY$6:$AY$22 - MEDIAN(-2, 2, E36)), $AZ$6:$AZ$22, "Error", 0)</f>
        <v/>
      </c>
      <c r="F65" s="30">
        <f t="array" ref="F65">_xlfn.XLOOKUP(MIN(ABS($AY$6:$AY$22 - MEDIAN(-2, 2, F36))), ABS($AY$6:$AY$22 - MEDIAN(-2, 2, F36)), $AZ$6:$AZ$22, "Error", 0)</f>
        <v/>
      </c>
      <c r="G65" s="30">
        <f t="array" ref="G65">_xlfn.XLOOKUP(MIN(ABS($AY$6:$AY$22 - MEDIAN(-2, 2, G36))), ABS($AY$6:$AY$22 - MEDIAN(-2, 2, G36)), $AZ$6:$AZ$22, "Error", 0)</f>
        <v/>
      </c>
      <c r="H65" s="30">
        <f t="array" ref="H65">_xlfn.XLOOKUP(MIN(ABS($AY$6:$AY$22 - MEDIAN(-2, 2, H36))), ABS($AY$6:$AY$22 - MEDIAN(-2, 2, H36)), $AZ$6:$AZ$22, "Error", 0)</f>
        <v/>
      </c>
      <c r="I65" s="30">
        <f t="array" ref="I65">_xlfn.XLOOKUP(MIN(ABS($AY$6:$AY$22 - MEDIAN(-2, 2, I36))), ABS($AY$6:$AY$22 - MEDIAN(-2, 2, I36)), $AZ$6:$AZ$22, "Error", 0)</f>
        <v/>
      </c>
      <c r="J65" s="30">
        <f t="array" ref="J65">_xlfn.XLOOKUP(MIN(ABS($AY$6:$AY$22 - MEDIAN(-2, 2, J36))), ABS($AY$6:$AY$22 - MEDIAN(-2, 2, J36)), $AZ$6:$AZ$22, "Error", 0)</f>
        <v/>
      </c>
      <c r="K65" s="30">
        <f t="array" ref="K65">_xlfn.XLOOKUP(MIN(ABS($AY$6:$AY$22 - MEDIAN(-2, 2, K36))), ABS($AY$6:$AY$22 - MEDIAN(-2, 2, K36)), $AZ$6:$AZ$22, "Error", 0)</f>
        <v/>
      </c>
      <c r="L65" s="30">
        <f t="array" ref="L65">_xlfn.XLOOKUP(MIN(ABS($AY$6:$AY$22 - MEDIAN(-2, 2, L36))), ABS($AY$6:$AY$22 - MEDIAN(-2, 2, L36)), $AZ$6:$AZ$22, "Error", 0)</f>
        <v/>
      </c>
      <c r="M65" s="30">
        <f t="array" ref="M65">_xlfn.XLOOKUP(MIN(ABS($AY$6:$AY$22 - MEDIAN(-2, 2, M36))), ABS($AY$6:$AY$22 - MEDIAN(-2, 2, M36)), $AZ$6:$AZ$22, "Error", 0)</f>
        <v/>
      </c>
      <c r="N65" s="30">
        <f t="array" ref="N65">_xlfn.XLOOKUP(MIN(ABS($AY$6:$AY$22 - MEDIAN(-2, 2, N36))), ABS($AY$6:$AY$22 - MEDIAN(-2, 2, N36)), $AZ$6:$AZ$22, "Error", 0)</f>
        <v/>
      </c>
      <c r="O65" s="30">
        <f t="array" ref="O65">_xlfn.XLOOKUP(MIN(ABS($AY$6:$AY$22 - MEDIAN(-2, 2, O36))), ABS($AY$6:$AY$22 - MEDIAN(-2, 2, O36)), $AZ$6:$AZ$22, "Error", 0)</f>
        <v/>
      </c>
      <c r="P65" s="30">
        <f t="array" ref="P65">_xlfn.XLOOKUP(MIN(ABS($AY$6:$AY$22 - MEDIAN(-2, 2, P36))), ABS($AY$6:$AY$22 - MEDIAN(-2, 2, P36)), $AZ$6:$AZ$22, "Error", 0)</f>
        <v/>
      </c>
      <c r="Q65" s="30">
        <f t="array" ref="Q65">_xlfn.XLOOKUP(MIN(ABS($AY$6:$AY$22 - MEDIAN(-2, 2, Q36))), ABS($AY$6:$AY$22 - MEDIAN(-2, 2, Q36)), $AZ$6:$AZ$22, "Error", 0)</f>
        <v/>
      </c>
      <c r="R65" s="30">
        <f t="array" ref="R65">_xlfn.XLOOKUP(MIN(ABS($AY$6:$AY$22 - MEDIAN(-2, 2, R36))), ABS($AY$6:$AY$22 - MEDIAN(-2, 2, R36)), $AZ$6:$AZ$22, "Error", 0)</f>
        <v/>
      </c>
      <c r="S65" s="30">
        <f t="array" ref="S65">_xlfn.XLOOKUP(MIN(ABS($AY$6:$AY$22 - MEDIAN(-2, 2, S36))), ABS($AY$6:$AY$22 - MEDIAN(-2, 2, S36)), $AZ$6:$AZ$22, "Error", 0)</f>
        <v/>
      </c>
      <c r="T65" s="30">
        <f t="array" ref="T65">_xlfn.XLOOKUP(MIN(ABS($AY$6:$AY$22 - MEDIAN(-2, 2, T36))), ABS($AY$6:$AY$22 - MEDIAN(-2, 2, T36)), $AZ$6:$AZ$22, "Error", 0)</f>
        <v/>
      </c>
      <c r="U65" s="30">
        <f t="array" ref="U65">_xlfn.XLOOKUP(MIN(ABS($AY$6:$AY$22 - MEDIAN(-2, 2, U36))), ABS($AY$6:$AY$22 - MEDIAN(-2, 2, U36)), $AZ$6:$AZ$22, "Error", 0)</f>
        <v/>
      </c>
      <c r="V65" s="30">
        <f t="array" ref="V65">_xlfn.XLOOKUP(MIN(ABS($AY$6:$AY$22 - MEDIAN(-2, 2, V36))), ABS($AY$6:$AY$22 - MEDIAN(-2, 2, V36)), $AZ$6:$AZ$22, "Error", 0)</f>
        <v/>
      </c>
      <c r="W65" s="30">
        <f t="array" ref="W65">_xlfn.XLOOKUP(MIN(ABS($AY$6:$AY$22 - MEDIAN(-2, 2, W36))), ABS($AY$6:$AY$22 - MEDIAN(-2, 2, W36)), $AZ$6:$AZ$22, "Error", 0)</f>
        <v/>
      </c>
      <c r="X65" s="30">
        <f t="array" ref="X65">_xlfn.XLOOKUP(MIN(ABS($AY$6:$AY$22 - MEDIAN(-2, 2, X36))), ABS($AY$6:$AY$22 - MEDIAN(-2, 2, X36)), $AZ$6:$AZ$22, "Error", 0)</f>
        <v/>
      </c>
      <c r="Y65" s="30">
        <f t="array" ref="Y65">_xlfn.XLOOKUP(MIN(ABS($AY$6:$AY$22 - MEDIAN(-2, 2, Y36))), ABS($AY$6:$AY$22 - MEDIAN(-2, 2, Y36)), $AZ$6:$AZ$22, "Error", 0)</f>
        <v/>
      </c>
      <c r="Z65" s="30">
        <f t="array" ref="Z65">_xlfn.XLOOKUP(MIN(ABS($AY$6:$AY$22 - MEDIAN(-2, 2, Z36))), ABS($AY$6:$AY$22 - MEDIAN(-2, 2, Z36)), $AZ$6:$AZ$22, "Error", 0)</f>
        <v/>
      </c>
      <c r="AA65" s="30">
        <f t="array" ref="AA65">_xlfn.XLOOKUP(MIN(ABS($AY$6:$AY$22 - MEDIAN(-2, 2, AA36))), ABS($AY$6:$AY$22 - MEDIAN(-2, 2, AA36)), $AZ$6:$AZ$22, "Error", 0)</f>
        <v/>
      </c>
      <c r="AB65" s="30">
        <f t="array" ref="AB65">_xlfn.XLOOKUP(MIN(ABS($AY$6:$AY$22 - MEDIAN(-2, 2, AB36))), ABS($AY$6:$AY$22 - MEDIAN(-2, 2, AB36)), $AZ$6:$AZ$22, "Error", 0)</f>
        <v/>
      </c>
      <c r="AC65" s="30">
        <f t="array" ref="AC65">_xlfn.XLOOKUP(MIN(ABS($AY$6:$AY$22 - MEDIAN(-2, 2, AC36))), ABS($AY$6:$AY$22 - MEDIAN(-2, 2, AC36)), $AZ$6:$AZ$22, "Error", 0)</f>
        <v/>
      </c>
      <c r="AD65" s="30">
        <f t="array" ref="AD65">_xlfn.XLOOKUP(MIN(ABS($AY$6:$AY$22 - MEDIAN(-2, 2, AD36))), ABS($AY$6:$AY$22 - MEDIAN(-2, 2, AD36)), $AZ$6:$AZ$22, "Error", 0)</f>
        <v/>
      </c>
      <c r="AE65" s="30">
        <f t="array" ref="AE65">_xlfn.XLOOKUP(MIN(ABS($AY$6:$AY$22 - MEDIAN(-2, 2, AE36))), ABS($AY$6:$AY$22 - MEDIAN(-2, 2, AE36)), $AZ$6:$AZ$22, "Error", 0)</f>
        <v/>
      </c>
      <c r="AF65" s="30">
        <f t="array" ref="AF65">_xlfn.XLOOKUP(MIN(ABS($AY$6:$AY$22 - MEDIAN(-2, 2, AF36))), ABS($AY$6:$AY$22 - MEDIAN(-2, 2, AF36)), $AZ$6:$AZ$22, "Error", 0)</f>
        <v/>
      </c>
      <c r="AG65" s="30">
        <f t="array" ref="AG65">_xlfn.XLOOKUP(MIN(ABS($AY$6:$AY$22 - MEDIAN(-2, 2, AG36))), ABS($AY$6:$AY$22 - MEDIAN(-2, 2, AG36)), $AZ$6:$AZ$22, "Error", 0)</f>
        <v/>
      </c>
      <c r="AH65" s="30">
        <f t="array" ref="AH65">_xlfn.XLOOKUP(MIN(ABS($AY$6:$AY$22 - MEDIAN(-2, 2, AH36))), ABS($AY$6:$AY$22 - MEDIAN(-2, 2, AH36)), $AZ$6:$AZ$22, "Error", 0)</f>
        <v/>
      </c>
      <c r="AI65" s="30">
        <f t="array" ref="AI65">_xlfn.XLOOKUP(MIN(ABS($AY$6:$AY$22 - MEDIAN(-2, 2, AI36))), ABS($AY$6:$AY$22 - MEDIAN(-2, 2, AI36)), $AZ$6:$AZ$22, "Error", 0)</f>
        <v/>
      </c>
      <c r="AJ65" s="30">
        <f t="array" ref="AJ65">_xlfn.XLOOKUP(MIN(ABS($AY$6:$AY$22 - MEDIAN(-2, 2, AJ36))), ABS($AY$6:$AY$22 - MEDIAN(-2, 2, AJ36)), $AZ$6:$AZ$22, "Error", 0)</f>
        <v/>
      </c>
      <c r="AK65" s="30">
        <f t="array" ref="AK65">_xlfn.XLOOKUP(MIN(ABS($AY$6:$AY$22 - MEDIAN(-2, 2, AK36))), ABS($AY$6:$AY$22 - MEDIAN(-2, 2, AK36)), $AZ$6:$AZ$22, "Error", 0)</f>
        <v/>
      </c>
      <c r="AL65" s="30">
        <f t="array" ref="AL65">_xlfn.XLOOKUP(MIN(ABS($AY$6:$AY$22 - MEDIAN(-2, 2, AL36))), ABS($AY$6:$AY$22 - MEDIAN(-2, 2, AL36)), $AZ$6:$AZ$22, "Error", 0)</f>
        <v/>
      </c>
      <c r="AM65" s="30">
        <f t="array" ref="AM65">_xlfn.XLOOKUP(MIN(ABS($AY$6:$AY$22 - MEDIAN(-2, 2, AM36))), ABS($AY$6:$AY$22 - MEDIAN(-2, 2, AM36)), $AZ$6:$AZ$22, "Error", 0)</f>
        <v/>
      </c>
      <c r="AN65" s="30">
        <f t="array" ref="AN65">_xlfn.XLOOKUP(MIN(ABS($AY$6:$AY$22 - MEDIAN(-2, 2, AN36))), ABS($AY$6:$AY$22 - MEDIAN(-2, 2, AN36)), $AZ$6:$AZ$22, "Error", 0)</f>
        <v/>
      </c>
      <c r="AO65" s="30">
        <f t="array" ref="AO65">_xlfn.XLOOKUP(MIN(ABS($AY$6:$AY$22 - MEDIAN(-2, 2, AO36))), ABS($AY$6:$AY$22 - MEDIAN(-2, 2, AO36)), $AZ$6:$AZ$22, "Error", 0)</f>
        <v/>
      </c>
      <c r="AP65" s="30">
        <f t="array" ref="AP65">_xlfn.XLOOKUP(MIN(ABS($AY$6:$AY$22 - MEDIAN(-2, 2, AP36))), ABS($AY$6:$AY$22 - MEDIAN(-2, 2, AP36)), $AZ$6:$AZ$22, "Error", 0)</f>
        <v/>
      </c>
      <c r="AQ65" s="30">
        <f t="array" ref="AQ65">_xlfn.XLOOKUP(MIN(ABS($AY$6:$AY$22 - MEDIAN(-2, 2, AQ36))), ABS($AY$6:$AY$22 - MEDIAN(-2, 2, AQ36)), $AZ$6:$AZ$22, "Error", 0)</f>
        <v/>
      </c>
      <c r="AR65" s="30">
        <f t="array" ref="AR65">_xlfn.XLOOKUP(MIN(ABS($AY$6:$AY$22 - MEDIAN(-2, 2, AR36))), ABS($AY$6:$AY$22 - MEDIAN(-2, 2, AR36)), $AZ$6:$AZ$22, "Error", 0)</f>
        <v/>
      </c>
      <c r="AS65" s="30">
        <f t="array" ref="AS65">_xlfn.XLOOKUP(MIN(ABS($AY$6:$AY$22 - MEDIAN(-2, 2, AS36))), ABS($AY$6:$AY$22 - MEDIAN(-2, 2, AS36)), $AZ$6:$AZ$22, "Error", 0)</f>
        <v/>
      </c>
      <c r="AT65" s="30">
        <f t="array" ref="AT65">_xlfn.XLOOKUP(MIN(ABS($AY$6:$AY$22 - MEDIAN(-2, 2, AT36))), ABS($AY$6:$AY$22 - MEDIAN(-2, 2, AT36)), $AZ$6:$AZ$22, "Error", 0)</f>
        <v/>
      </c>
      <c r="AU65" s="30">
        <f t="array" ref="AU65">_xlfn.XLOOKUP(MIN(ABS($AY$6:$AY$22 - MEDIAN(-2, 2, AU36))), ABS($AY$6:$AY$22 - MEDIAN(-2, 2, AU36)), $AZ$6:$AZ$22, "Error", 0)</f>
        <v/>
      </c>
      <c r="AV65" s="30">
        <f t="array" ref="AV65">_xlfn.XLOOKUP(MIN(ABS($AY$6:$AY$22 - MEDIAN(-2, 2, AV36))), ABS($AY$6:$AY$22 - MEDIAN(-2, 2, AV36)), $AZ$6:$AZ$22, "Error", 0)</f>
        <v/>
      </c>
      <c r="AW65" s="30">
        <f t="array" ref="AW65">_xlfn.XLOOKUP(MIN(ABS($AY$6:$AY$22 - MEDIAN(-2, 2, AW36))), ABS($AY$6:$AY$22 - MEDIAN(-2, 2, AW36)), $AZ$6:$AZ$22, "Error", 0)</f>
        <v/>
      </c>
    </row>
    <row r="66" ht="25" customHeight="1">
      <c r="A66" s="51" t="inlineStr">
        <is>
          <t>CAD JPY</t>
        </is>
      </c>
      <c r="B66" s="30">
        <f t="array" ref="B66">_xlfn.XLOOKUP(MIN(ABS($AY$6:$AY$22 - MEDIAN(-2, 2, B37))), ABS($AY$6:$AY$22 - MEDIAN(-2, 2, B37)), $AZ$6:$AZ$22, "Error", 0)</f>
        <v/>
      </c>
      <c r="C66" s="30">
        <f t="array" ref="C66">_xlfn.XLOOKUP(MIN(ABS($AY$6:$AY$22 - MEDIAN(-2, 2, C37))), ABS($AY$6:$AY$22 - MEDIAN(-2, 2, C37)), $AZ$6:$AZ$22, "Error", 0)</f>
        <v/>
      </c>
      <c r="D66" s="30">
        <f t="array" ref="D66">_xlfn.XLOOKUP(MIN(ABS($AY$6:$AY$22 - MEDIAN(-2, 2, D37))), ABS($AY$6:$AY$22 - MEDIAN(-2, 2, D37)), $AZ$6:$AZ$22, "Error", 0)</f>
        <v/>
      </c>
      <c r="E66" s="30">
        <f t="array" ref="E66">_xlfn.XLOOKUP(MIN(ABS($AY$6:$AY$22 - MEDIAN(-2, 2, E37))), ABS($AY$6:$AY$22 - MEDIAN(-2, 2, E37)), $AZ$6:$AZ$22, "Error", 0)</f>
        <v/>
      </c>
      <c r="F66" s="30">
        <f t="array" ref="F66">_xlfn.XLOOKUP(MIN(ABS($AY$6:$AY$22 - MEDIAN(-2, 2, F37))), ABS($AY$6:$AY$22 - MEDIAN(-2, 2, F37)), $AZ$6:$AZ$22, "Error", 0)</f>
        <v/>
      </c>
      <c r="G66" s="30">
        <f t="array" ref="G66">_xlfn.XLOOKUP(MIN(ABS($AY$6:$AY$22 - MEDIAN(-2, 2, G37))), ABS($AY$6:$AY$22 - MEDIAN(-2, 2, G37)), $AZ$6:$AZ$22, "Error", 0)</f>
        <v/>
      </c>
      <c r="H66" s="30">
        <f t="array" ref="H66">_xlfn.XLOOKUP(MIN(ABS($AY$6:$AY$22 - MEDIAN(-2, 2, H37))), ABS($AY$6:$AY$22 - MEDIAN(-2, 2, H37)), $AZ$6:$AZ$22, "Error", 0)</f>
        <v/>
      </c>
      <c r="I66" s="30">
        <f t="array" ref="I66">_xlfn.XLOOKUP(MIN(ABS($AY$6:$AY$22 - MEDIAN(-2, 2, I37))), ABS($AY$6:$AY$22 - MEDIAN(-2, 2, I37)), $AZ$6:$AZ$22, "Error", 0)</f>
        <v/>
      </c>
      <c r="J66" s="30">
        <f t="array" ref="J66">_xlfn.XLOOKUP(MIN(ABS($AY$6:$AY$22 - MEDIAN(-2, 2, J37))), ABS($AY$6:$AY$22 - MEDIAN(-2, 2, J37)), $AZ$6:$AZ$22, "Error", 0)</f>
        <v/>
      </c>
      <c r="K66" s="30">
        <f t="array" ref="K66">_xlfn.XLOOKUP(MIN(ABS($AY$6:$AY$22 - MEDIAN(-2, 2, K37))), ABS($AY$6:$AY$22 - MEDIAN(-2, 2, K37)), $AZ$6:$AZ$22, "Error", 0)</f>
        <v/>
      </c>
      <c r="L66" s="30">
        <f t="array" ref="L66">_xlfn.XLOOKUP(MIN(ABS($AY$6:$AY$22 - MEDIAN(-2, 2, L37))), ABS($AY$6:$AY$22 - MEDIAN(-2, 2, L37)), $AZ$6:$AZ$22, "Error", 0)</f>
        <v/>
      </c>
      <c r="M66" s="30">
        <f t="array" ref="M66">_xlfn.XLOOKUP(MIN(ABS($AY$6:$AY$22 - MEDIAN(-2, 2, M37))), ABS($AY$6:$AY$22 - MEDIAN(-2, 2, M37)), $AZ$6:$AZ$22, "Error", 0)</f>
        <v/>
      </c>
      <c r="N66" s="30">
        <f t="array" ref="N66">_xlfn.XLOOKUP(MIN(ABS($AY$6:$AY$22 - MEDIAN(-2, 2, N37))), ABS($AY$6:$AY$22 - MEDIAN(-2, 2, N37)), $AZ$6:$AZ$22, "Error", 0)</f>
        <v/>
      </c>
      <c r="O66" s="30">
        <f t="array" ref="O66">_xlfn.XLOOKUP(MIN(ABS($AY$6:$AY$22 - MEDIAN(-2, 2, O37))), ABS($AY$6:$AY$22 - MEDIAN(-2, 2, O37)), $AZ$6:$AZ$22, "Error", 0)</f>
        <v/>
      </c>
      <c r="P66" s="30">
        <f t="array" ref="P66">_xlfn.XLOOKUP(MIN(ABS($AY$6:$AY$22 - MEDIAN(-2, 2, P37))), ABS($AY$6:$AY$22 - MEDIAN(-2, 2, P37)), $AZ$6:$AZ$22, "Error", 0)</f>
        <v/>
      </c>
      <c r="Q66" s="30">
        <f t="array" ref="Q66">_xlfn.XLOOKUP(MIN(ABS($AY$6:$AY$22 - MEDIAN(-2, 2, Q37))), ABS($AY$6:$AY$22 - MEDIAN(-2, 2, Q37)), $AZ$6:$AZ$22, "Error", 0)</f>
        <v/>
      </c>
      <c r="R66" s="30">
        <f t="array" ref="R66">_xlfn.XLOOKUP(MIN(ABS($AY$6:$AY$22 - MEDIAN(-2, 2, R37))), ABS($AY$6:$AY$22 - MEDIAN(-2, 2, R37)), $AZ$6:$AZ$22, "Error", 0)</f>
        <v/>
      </c>
      <c r="S66" s="30">
        <f t="array" ref="S66">_xlfn.XLOOKUP(MIN(ABS($AY$6:$AY$22 - MEDIAN(-2, 2, S37))), ABS($AY$6:$AY$22 - MEDIAN(-2, 2, S37)), $AZ$6:$AZ$22, "Error", 0)</f>
        <v/>
      </c>
      <c r="T66" s="30">
        <f t="array" ref="T66">_xlfn.XLOOKUP(MIN(ABS($AY$6:$AY$22 - MEDIAN(-2, 2, T37))), ABS($AY$6:$AY$22 - MEDIAN(-2, 2, T37)), $AZ$6:$AZ$22, "Error", 0)</f>
        <v/>
      </c>
      <c r="U66" s="30">
        <f t="array" ref="U66">_xlfn.XLOOKUP(MIN(ABS($AY$6:$AY$22 - MEDIAN(-2, 2, U37))), ABS($AY$6:$AY$22 - MEDIAN(-2, 2, U37)), $AZ$6:$AZ$22, "Error", 0)</f>
        <v/>
      </c>
      <c r="V66" s="30">
        <f t="array" ref="V66">_xlfn.XLOOKUP(MIN(ABS($AY$6:$AY$22 - MEDIAN(-2, 2, V37))), ABS($AY$6:$AY$22 - MEDIAN(-2, 2, V37)), $AZ$6:$AZ$22, "Error", 0)</f>
        <v/>
      </c>
      <c r="W66" s="30">
        <f t="array" ref="W66">_xlfn.XLOOKUP(MIN(ABS($AY$6:$AY$22 - MEDIAN(-2, 2, W37))), ABS($AY$6:$AY$22 - MEDIAN(-2, 2, W37)), $AZ$6:$AZ$22, "Error", 0)</f>
        <v/>
      </c>
      <c r="X66" s="30">
        <f t="array" ref="X66">_xlfn.XLOOKUP(MIN(ABS($AY$6:$AY$22 - MEDIAN(-2, 2, X37))), ABS($AY$6:$AY$22 - MEDIAN(-2, 2, X37)), $AZ$6:$AZ$22, "Error", 0)</f>
        <v/>
      </c>
      <c r="Y66" s="30">
        <f t="array" ref="Y66">_xlfn.XLOOKUP(MIN(ABS($AY$6:$AY$22 - MEDIAN(-2, 2, Y37))), ABS($AY$6:$AY$22 - MEDIAN(-2, 2, Y37)), $AZ$6:$AZ$22, "Error", 0)</f>
        <v/>
      </c>
      <c r="Z66" s="30">
        <f t="array" ref="Z66">_xlfn.XLOOKUP(MIN(ABS($AY$6:$AY$22 - MEDIAN(-2, 2, Z37))), ABS($AY$6:$AY$22 - MEDIAN(-2, 2, Z37)), $AZ$6:$AZ$22, "Error", 0)</f>
        <v/>
      </c>
      <c r="AA66" s="30">
        <f t="array" ref="AA66">_xlfn.XLOOKUP(MIN(ABS($AY$6:$AY$22 - MEDIAN(-2, 2, AA37))), ABS($AY$6:$AY$22 - MEDIAN(-2, 2, AA37)), $AZ$6:$AZ$22, "Error", 0)</f>
        <v/>
      </c>
      <c r="AB66" s="30">
        <f t="array" ref="AB66">_xlfn.XLOOKUP(MIN(ABS($AY$6:$AY$22 - MEDIAN(-2, 2, AB37))), ABS($AY$6:$AY$22 - MEDIAN(-2, 2, AB37)), $AZ$6:$AZ$22, "Error", 0)</f>
        <v/>
      </c>
      <c r="AC66" s="30">
        <f t="array" ref="AC66">_xlfn.XLOOKUP(MIN(ABS($AY$6:$AY$22 - MEDIAN(-2, 2, AC37))), ABS($AY$6:$AY$22 - MEDIAN(-2, 2, AC37)), $AZ$6:$AZ$22, "Error", 0)</f>
        <v/>
      </c>
      <c r="AD66" s="30">
        <f t="array" ref="AD66">_xlfn.XLOOKUP(MIN(ABS($AY$6:$AY$22 - MEDIAN(-2, 2, AD37))), ABS($AY$6:$AY$22 - MEDIAN(-2, 2, AD37)), $AZ$6:$AZ$22, "Error", 0)</f>
        <v/>
      </c>
      <c r="AE66" s="30">
        <f t="array" ref="AE66">_xlfn.XLOOKUP(MIN(ABS($AY$6:$AY$22 - MEDIAN(-2, 2, AE37))), ABS($AY$6:$AY$22 - MEDIAN(-2, 2, AE37)), $AZ$6:$AZ$22, "Error", 0)</f>
        <v/>
      </c>
      <c r="AF66" s="30">
        <f t="array" ref="AF66">_xlfn.XLOOKUP(MIN(ABS($AY$6:$AY$22 - MEDIAN(-2, 2, AF37))), ABS($AY$6:$AY$22 - MEDIAN(-2, 2, AF37)), $AZ$6:$AZ$22, "Error", 0)</f>
        <v/>
      </c>
      <c r="AG66" s="30">
        <f t="array" ref="AG66">_xlfn.XLOOKUP(MIN(ABS($AY$6:$AY$22 - MEDIAN(-2, 2, AG37))), ABS($AY$6:$AY$22 - MEDIAN(-2, 2, AG37)), $AZ$6:$AZ$22, "Error", 0)</f>
        <v/>
      </c>
      <c r="AH66" s="30">
        <f t="array" ref="AH66">_xlfn.XLOOKUP(MIN(ABS($AY$6:$AY$22 - MEDIAN(-2, 2, AH37))), ABS($AY$6:$AY$22 - MEDIAN(-2, 2, AH37)), $AZ$6:$AZ$22, "Error", 0)</f>
        <v/>
      </c>
      <c r="AI66" s="30">
        <f t="array" ref="AI66">_xlfn.XLOOKUP(MIN(ABS($AY$6:$AY$22 - MEDIAN(-2, 2, AI37))), ABS($AY$6:$AY$22 - MEDIAN(-2, 2, AI37)), $AZ$6:$AZ$22, "Error", 0)</f>
        <v/>
      </c>
      <c r="AJ66" s="30">
        <f t="array" ref="AJ66">_xlfn.XLOOKUP(MIN(ABS($AY$6:$AY$22 - MEDIAN(-2, 2, AJ37))), ABS($AY$6:$AY$22 - MEDIAN(-2, 2, AJ37)), $AZ$6:$AZ$22, "Error", 0)</f>
        <v/>
      </c>
      <c r="AK66" s="30">
        <f t="array" ref="AK66">_xlfn.XLOOKUP(MIN(ABS($AY$6:$AY$22 - MEDIAN(-2, 2, AK37))), ABS($AY$6:$AY$22 - MEDIAN(-2, 2, AK37)), $AZ$6:$AZ$22, "Error", 0)</f>
        <v/>
      </c>
      <c r="AL66" s="30">
        <f t="array" ref="AL66">_xlfn.XLOOKUP(MIN(ABS($AY$6:$AY$22 - MEDIAN(-2, 2, AL37))), ABS($AY$6:$AY$22 - MEDIAN(-2, 2, AL37)), $AZ$6:$AZ$22, "Error", 0)</f>
        <v/>
      </c>
      <c r="AM66" s="30">
        <f t="array" ref="AM66">_xlfn.XLOOKUP(MIN(ABS($AY$6:$AY$22 - MEDIAN(-2, 2, AM37))), ABS($AY$6:$AY$22 - MEDIAN(-2, 2, AM37)), $AZ$6:$AZ$22, "Error", 0)</f>
        <v/>
      </c>
      <c r="AN66" s="30">
        <f t="array" ref="AN66">_xlfn.XLOOKUP(MIN(ABS($AY$6:$AY$22 - MEDIAN(-2, 2, AN37))), ABS($AY$6:$AY$22 - MEDIAN(-2, 2, AN37)), $AZ$6:$AZ$22, "Error", 0)</f>
        <v/>
      </c>
      <c r="AO66" s="30">
        <f t="array" ref="AO66">_xlfn.XLOOKUP(MIN(ABS($AY$6:$AY$22 - MEDIAN(-2, 2, AO37))), ABS($AY$6:$AY$22 - MEDIAN(-2, 2, AO37)), $AZ$6:$AZ$22, "Error", 0)</f>
        <v/>
      </c>
      <c r="AP66" s="30">
        <f t="array" ref="AP66">_xlfn.XLOOKUP(MIN(ABS($AY$6:$AY$22 - MEDIAN(-2, 2, AP37))), ABS($AY$6:$AY$22 - MEDIAN(-2, 2, AP37)), $AZ$6:$AZ$22, "Error", 0)</f>
        <v/>
      </c>
      <c r="AQ66" s="30">
        <f t="array" ref="AQ66">_xlfn.XLOOKUP(MIN(ABS($AY$6:$AY$22 - MEDIAN(-2, 2, AQ37))), ABS($AY$6:$AY$22 - MEDIAN(-2, 2, AQ37)), $AZ$6:$AZ$22, "Error", 0)</f>
        <v/>
      </c>
      <c r="AR66" s="30">
        <f t="array" ref="AR66">_xlfn.XLOOKUP(MIN(ABS($AY$6:$AY$22 - MEDIAN(-2, 2, AR37))), ABS($AY$6:$AY$22 - MEDIAN(-2, 2, AR37)), $AZ$6:$AZ$22, "Error", 0)</f>
        <v/>
      </c>
      <c r="AS66" s="30">
        <f t="array" ref="AS66">_xlfn.XLOOKUP(MIN(ABS($AY$6:$AY$22 - MEDIAN(-2, 2, AS37))), ABS($AY$6:$AY$22 - MEDIAN(-2, 2, AS37)), $AZ$6:$AZ$22, "Error", 0)</f>
        <v/>
      </c>
      <c r="AT66" s="30">
        <f t="array" ref="AT66">_xlfn.XLOOKUP(MIN(ABS($AY$6:$AY$22 - MEDIAN(-2, 2, AT37))), ABS($AY$6:$AY$22 - MEDIAN(-2, 2, AT37)), $AZ$6:$AZ$22, "Error", 0)</f>
        <v/>
      </c>
      <c r="AU66" s="30">
        <f t="array" ref="AU66">_xlfn.XLOOKUP(MIN(ABS($AY$6:$AY$22 - MEDIAN(-2, 2, AU37))), ABS($AY$6:$AY$22 - MEDIAN(-2, 2, AU37)), $AZ$6:$AZ$22, "Error", 0)</f>
        <v/>
      </c>
      <c r="AV66" s="30">
        <f t="array" ref="AV66">_xlfn.XLOOKUP(MIN(ABS($AY$6:$AY$22 - MEDIAN(-2, 2, AV37))), ABS($AY$6:$AY$22 - MEDIAN(-2, 2, AV37)), $AZ$6:$AZ$22, "Error", 0)</f>
        <v/>
      </c>
      <c r="AW66" s="30">
        <f t="array" ref="AW66">_xlfn.XLOOKUP(MIN(ABS($AY$6:$AY$22 - MEDIAN(-2, 2, AW37))), ABS($AY$6:$AY$22 - MEDIAN(-2, 2, AW37)), $AZ$6:$AZ$22,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40914</v>
      </c>
      <c r="BD3" s="297" t="n">
        <v>46176</v>
      </c>
      <c r="BE3" s="297" t="n">
        <v>45499</v>
      </c>
      <c r="BF3" s="297" t="n">
        <v>46150</v>
      </c>
      <c r="BG3" s="298" t="n">
        <v>46150</v>
      </c>
      <c r="BH3" s="298" t="n">
        <v>46150</v>
      </c>
      <c r="BI3" s="298" t="n">
        <v>46150</v>
      </c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98078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97109</v>
      </c>
      <c r="BF4" s="298" t="n">
        <v>97000</v>
      </c>
      <c r="BG4" s="298" t="n">
        <v>97000</v>
      </c>
      <c r="BH4" s="298" t="n">
        <v>97000</v>
      </c>
      <c r="BI4" s="298" t="n">
        <v>97000</v>
      </c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1177807</v>
      </c>
      <c r="BA5" s="297" t="n">
        <v>1185255</v>
      </c>
      <c r="BB5" s="297" t="n">
        <v>1109822</v>
      </c>
      <c r="BC5" s="297" t="n">
        <v>1106270</v>
      </c>
      <c r="BD5" s="297" t="n">
        <v>1105474</v>
      </c>
      <c r="BE5" s="297" t="n">
        <v>1010831</v>
      </c>
      <c r="BF5" s="297" t="n">
        <v>1105474</v>
      </c>
      <c r="BG5" s="298" t="n">
        <v>1105474</v>
      </c>
      <c r="BH5" s="298" t="n">
        <v>1105474</v>
      </c>
      <c r="BI5" s="298" t="n">
        <v>1105474</v>
      </c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964651.0609802209</v>
      </c>
      <c r="G6" s="296" t="n">
        <v>887448.483778983</v>
      </c>
      <c r="H6" s="296" t="n">
        <v>887071.82518893</v>
      </c>
      <c r="I6" s="296" t="n">
        <v>877562.2500717901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779970.8667007299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795406.0140837099</v>
      </c>
      <c r="AE6" s="296" t="n">
        <v>791623.0760191899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822339.5037284399</v>
      </c>
      <c r="AO6" s="296" t="n">
        <v>854313.95996821</v>
      </c>
      <c r="AP6" s="296" t="n">
        <v>854058.96599178</v>
      </c>
      <c r="AQ6" s="296" t="n">
        <v>894234.5999136801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914657.71900691</v>
      </c>
      <c r="AX6" s="297" t="n">
        <v>926074.94942205</v>
      </c>
      <c r="AY6" s="297" t="n">
        <v>923641.87887566</v>
      </c>
      <c r="AZ6" s="297" t="n">
        <v>901037.53097727</v>
      </c>
      <c r="BA6" s="297" t="n">
        <v>912992.02395432</v>
      </c>
      <c r="BB6" s="297" t="n">
        <v>909891.41469097</v>
      </c>
      <c r="BC6" s="297" t="n">
        <v>938059.9641347199</v>
      </c>
      <c r="BD6" s="298" t="n">
        <v>945802.57427075</v>
      </c>
      <c r="BE6" s="298" t="n">
        <v>921227</v>
      </c>
      <c r="BF6" s="298" t="n">
        <v>921227</v>
      </c>
      <c r="BG6" s="298" t="n">
        <v>921227</v>
      </c>
      <c r="BH6" s="298" t="n">
        <v>921227</v>
      </c>
      <c r="BI6" s="298" t="n">
        <v>921227</v>
      </c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27582</v>
      </c>
      <c r="AY7" s="297" t="n">
        <v>25799</v>
      </c>
      <c r="AZ7" s="297" t="n">
        <v>31400</v>
      </c>
      <c r="BA7" s="297" t="n">
        <v>27963</v>
      </c>
      <c r="BB7" s="297" t="n">
        <v>29170</v>
      </c>
      <c r="BC7" s="297" t="n">
        <v>26032</v>
      </c>
      <c r="BD7" s="298" t="n">
        <v>26599</v>
      </c>
      <c r="BE7" s="298" t="n">
        <v>25646</v>
      </c>
      <c r="BF7" s="298" t="n">
        <v>30563</v>
      </c>
      <c r="BG7" s="298" t="n">
        <v>30563</v>
      </c>
      <c r="BH7" s="298" t="n">
        <v>30563</v>
      </c>
      <c r="BI7" s="298" t="n">
        <v>30563</v>
      </c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126625.304962764</v>
      </c>
      <c r="AZ8" s="297" t="n">
        <v>126449.822954947</v>
      </c>
      <c r="BA8" s="297" t="n">
        <v>122681.060997496</v>
      </c>
      <c r="BB8" s="298" t="n">
        <v>123400.428948683</v>
      </c>
      <c r="BC8" s="298" t="n">
        <v>129270.906280131</v>
      </c>
      <c r="BD8" s="298" t="n">
        <v>122614.113201429</v>
      </c>
      <c r="BE8" s="298" t="n">
        <v>123120.95008682</v>
      </c>
      <c r="BF8" s="298" t="n">
        <v>124927</v>
      </c>
      <c r="BG8" s="298" t="n">
        <v>124927</v>
      </c>
      <c r="BH8" s="298" t="n">
        <v>124927</v>
      </c>
      <c r="BI8" s="298" t="n">
        <v>124927</v>
      </c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37755.47393437001</v>
      </c>
      <c r="O9" s="296" t="n">
        <v>36604.92785976</v>
      </c>
      <c r="P9" s="296" t="n">
        <v>37565.90131096</v>
      </c>
      <c r="Q9" s="296" t="n">
        <v>37627.61025501999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36448.63040605999</v>
      </c>
      <c r="V9" s="296" t="n">
        <v>35613.44049191001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35990.21997201999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38564.76410933999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38992.33621886</v>
      </c>
      <c r="AZ9" s="297" t="n">
        <v>38121.06183804</v>
      </c>
      <c r="BA9" s="297" t="n">
        <v>38838</v>
      </c>
      <c r="BB9" s="298" t="n">
        <v>38587</v>
      </c>
      <c r="BC9" s="298" t="n">
        <v>37797.21856307</v>
      </c>
      <c r="BD9" s="298" t="n">
        <v>38342.78246054</v>
      </c>
      <c r="BE9" s="298" t="n">
        <v>38577.95823229</v>
      </c>
      <c r="BF9" s="298" t="n">
        <v>38992</v>
      </c>
      <c r="BG9" s="298" t="n">
        <v>38992</v>
      </c>
      <c r="BH9" s="298" t="n">
        <v>38992</v>
      </c>
      <c r="BI9" s="298" t="n">
        <v>38992</v>
      </c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>
        <v>342550</v>
      </c>
      <c r="BH10" s="298" t="n">
        <v>342550</v>
      </c>
      <c r="BI10" s="298" t="n">
        <v>342550</v>
      </c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>
        <f>AX6-AW6</f>
        <v/>
      </c>
      <c r="AY17" s="302">
        <f>AY6-AX6</f>
        <v/>
      </c>
      <c r="AZ17" s="302">
        <f>AZ6-AY6</f>
        <v/>
      </c>
      <c r="BA17" s="302">
        <f>BA6-AZ6</f>
        <v/>
      </c>
      <c r="BB17" s="302">
        <f>BB6-BA6</f>
        <v/>
      </c>
      <c r="BC17" s="302">
        <f>BC6-BB6</f>
        <v/>
      </c>
      <c r="BD17" s="302">
        <f>BD6-BC6</f>
        <v/>
      </c>
      <c r="BE17" s="302">
        <f>BE6-BD6</f>
        <v/>
      </c>
      <c r="BF17" s="302">
        <f>BF6-BE6</f>
        <v/>
      </c>
      <c r="BG17" s="302">
        <f>BG6-BF6</f>
        <v/>
      </c>
      <c r="BH17" s="302">
        <f>BH6-BG6</f>
        <v/>
      </c>
      <c r="BI17" s="302">
        <f>BI6-BH6</f>
        <v/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>
        <f>N32-N25</f>
        <v/>
      </c>
      <c r="O45" s="30">
        <f>O32-O25</f>
        <v/>
      </c>
      <c r="P45" s="30">
        <f>P32-P25</f>
        <v/>
      </c>
      <c r="Q45" s="30">
        <f>Q32-Q25</f>
        <v/>
      </c>
      <c r="R45" s="30">
        <f>R32-R25</f>
        <v/>
      </c>
      <c r="S45" s="30">
        <f>S32-S25</f>
        <v/>
      </c>
      <c r="T45" s="30">
        <f>T32-T25</f>
        <v/>
      </c>
      <c r="U45" s="30">
        <f>U32-U25</f>
        <v/>
      </c>
      <c r="V45" s="30">
        <f>V32-V25</f>
        <v/>
      </c>
      <c r="W45" s="30">
        <f>W32-W25</f>
        <v/>
      </c>
      <c r="X45" s="30">
        <f>X32-X25</f>
        <v/>
      </c>
      <c r="Y45" s="30">
        <f>Y32-Y25</f>
        <v/>
      </c>
      <c r="Z45" s="30">
        <f>Z32-Z25</f>
        <v/>
      </c>
      <c r="AA45" s="30">
        <f>AA32-AA25</f>
        <v/>
      </c>
      <c r="AB45" s="30">
        <f>AB32-AB25</f>
        <v/>
      </c>
      <c r="AC45" s="30">
        <f>AC32-AC25</f>
        <v/>
      </c>
      <c r="AD45" s="30">
        <f>AD32-AD25</f>
        <v/>
      </c>
      <c r="AE45" s="30">
        <f>AE32-AE25</f>
        <v/>
      </c>
      <c r="AF45" s="30">
        <f>AF32-AF25</f>
        <v/>
      </c>
      <c r="AG45" s="30">
        <f>AG32-AG25</f>
        <v/>
      </c>
      <c r="AH45" s="30">
        <f>AH32-AH25</f>
        <v/>
      </c>
      <c r="AI45" s="30">
        <f>AI32-AI25</f>
        <v/>
      </c>
      <c r="AJ45" s="30">
        <f>AJ32-AJ25</f>
        <v/>
      </c>
      <c r="AK45" s="30">
        <f>AK32-AK25</f>
        <v/>
      </c>
      <c r="AL45" s="30">
        <f>AL32-AL25</f>
        <v/>
      </c>
      <c r="AM45" s="30">
        <f>AM32-AM25</f>
        <v/>
      </c>
      <c r="AN45" s="30">
        <f>AN32-AN25</f>
        <v/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>CHF JPY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>_xlfn.XLOOKUP(MIN(ABS($BK$3:$BK$23 - MEDIAN(MIN($BK$3:$BK$23), MAX($BK$3:$BK$23), N37))), ABS($BK$3:$BK$23 - MEDIAN(MIN($BK$3:$BK$23), MAX($BK$3:$BK$23), N37)), $BL$3:$BL$23, "Error", 0)</f>
        <v/>
      </c>
      <c r="O66" s="30">
        <f>_xlfn.XLOOKUP(MIN(ABS($BK$3:$BK$23 - MEDIAN(MIN($BK$3:$BK$23), MAX($BK$3:$BK$23), O37))), ABS($BK$3:$BK$23 - MEDIAN(MIN($BK$3:$BK$23), MAX($BK$3:$BK$23), O37)), $BL$3:$BL$23, "Error", 0)</f>
        <v/>
      </c>
      <c r="P66" s="30">
        <f>_xlfn.XLOOKUP(MIN(ABS($BK$3:$BK$23 - MEDIAN(MIN($BK$3:$BK$23), MAX($BK$3:$BK$23), P37))), ABS($BK$3:$BK$23 - MEDIAN(MIN($BK$3:$BK$23), MAX($BK$3:$BK$23), P37)), $BL$3:$BL$23, "Error", 0)</f>
        <v/>
      </c>
      <c r="Q66" s="30">
        <f>_xlfn.XLOOKUP(MIN(ABS($BK$3:$BK$23 - MEDIAN(MIN($BK$3:$BK$23), MAX($BK$3:$BK$23), Q37))), ABS($BK$3:$BK$23 - MEDIAN(MIN($BK$3:$BK$23), MAX($BK$3:$BK$23), Q37)), $BL$3:$BL$23, "Error", 0)</f>
        <v/>
      </c>
      <c r="R66" s="30">
        <f>_xlfn.XLOOKUP(MIN(ABS($BK$3:$BK$23 - MEDIAN(MIN($BK$3:$BK$23), MAX($BK$3:$BK$23), R37))), ABS($BK$3:$BK$23 - MEDIAN(MIN($BK$3:$BK$23), MAX($BK$3:$BK$23), R37)), $BL$3:$BL$23, "Error", 0)</f>
        <v/>
      </c>
      <c r="S66" s="30">
        <f>_xlfn.XLOOKUP(MIN(ABS($BK$3:$BK$23 - MEDIAN(MIN($BK$3:$BK$23), MAX($BK$3:$BK$23), S37))), ABS($BK$3:$BK$23 - MEDIAN(MIN($BK$3:$BK$23), MAX($BK$3:$BK$23), S37)), $BL$3:$BL$23, "Error", 0)</f>
        <v/>
      </c>
      <c r="T66" s="30">
        <f>_xlfn.XLOOKUP(MIN(ABS($BK$3:$BK$23 - MEDIAN(MIN($BK$3:$BK$23), MAX($BK$3:$BK$23), T37))), ABS($BK$3:$BK$23 - MEDIAN(MIN($BK$3:$BK$23), MAX($BK$3:$BK$23), T37)), $BL$3:$BL$23, "Error", 0)</f>
        <v/>
      </c>
      <c r="U66" s="30">
        <f>_xlfn.XLOOKUP(MIN(ABS($BK$3:$BK$23 - MEDIAN(MIN($BK$3:$BK$23), MAX($BK$3:$BK$23), U37))), ABS($BK$3:$BK$23 - MEDIAN(MIN($BK$3:$BK$23), MAX($BK$3:$BK$23), U37)), $BL$3:$BL$23, "Error", 0)</f>
        <v/>
      </c>
      <c r="V66" s="30">
        <f>_xlfn.XLOOKUP(MIN(ABS($BK$3:$BK$23 - MEDIAN(MIN($BK$3:$BK$23), MAX($BK$3:$BK$23), V37))), ABS($BK$3:$BK$23 - MEDIAN(MIN($BK$3:$BK$23), MAX($BK$3:$BK$23), V37)), $BL$3:$BL$23, "Error", 0)</f>
        <v/>
      </c>
      <c r="W66" s="30">
        <f>_xlfn.XLOOKUP(MIN(ABS($BK$3:$BK$23 - MEDIAN(MIN($BK$3:$BK$23), MAX($BK$3:$BK$23), W37))), ABS($BK$3:$BK$23 - MEDIAN(MIN($BK$3:$BK$23), MAX($BK$3:$BK$23), W37)), $BL$3:$BL$23, "Error", 0)</f>
        <v/>
      </c>
      <c r="X66" s="30">
        <f>_xlfn.XLOOKUP(MIN(ABS($BK$3:$BK$23 - MEDIAN(MIN($BK$3:$BK$23), MAX($BK$3:$BK$23), X37))), ABS($BK$3:$BK$23 - MEDIAN(MIN($BK$3:$BK$23), MAX($BK$3:$BK$23), X37)), $BL$3:$BL$23, "Error", 0)</f>
        <v/>
      </c>
      <c r="Y66" s="30">
        <f>_xlfn.XLOOKUP(MIN(ABS($BK$3:$BK$23 - MEDIAN(MIN($BK$3:$BK$23), MAX($BK$3:$BK$23), Y37))), ABS($BK$3:$BK$23 - MEDIAN(MIN($BK$3:$BK$23), MAX($BK$3:$BK$23), Y37)), $BL$3:$BL$23, "Error", 0)</f>
        <v/>
      </c>
      <c r="Z66" s="30">
        <f>_xlfn.XLOOKUP(MIN(ABS($BK$3:$BK$23 - MEDIAN(MIN($BK$3:$BK$23), MAX($BK$3:$BK$23), Z37))), ABS($BK$3:$BK$23 - MEDIAN(MIN($BK$3:$BK$23), MAX($BK$3:$BK$23), Z37)), $BL$3:$BL$23, "Error", 0)</f>
        <v/>
      </c>
      <c r="AA66" s="30">
        <f>_xlfn.XLOOKUP(MIN(ABS($BK$3:$BK$23 - MEDIAN(MIN($BK$3:$BK$23), MAX($BK$3:$BK$23), AA37))), ABS($BK$3:$BK$23 - MEDIAN(MIN($BK$3:$BK$23), MAX($BK$3:$BK$23), AA37)), $BL$3:$BL$23, "Error", 0)</f>
        <v/>
      </c>
      <c r="AB66" s="30">
        <f>_xlfn.XLOOKUP(MIN(ABS($BK$3:$BK$23 - MEDIAN(MIN($BK$3:$BK$23), MAX($BK$3:$BK$23), AB37))), ABS($BK$3:$BK$23 - MEDIAN(MIN($BK$3:$BK$23), MAX($BK$3:$BK$23), AB37)), $BL$3:$BL$23, "Error", 0)</f>
        <v/>
      </c>
      <c r="AC66" s="30">
        <f>_xlfn.XLOOKUP(MIN(ABS($BK$3:$BK$23 - MEDIAN(MIN($BK$3:$BK$23), MAX($BK$3:$BK$23), AC37))), ABS($BK$3:$BK$23 - MEDIAN(MIN($BK$3:$BK$23), MAX($BK$3:$BK$23), AC37)), $BL$3:$BL$23, "Error", 0)</f>
        <v/>
      </c>
      <c r="AD66" s="30">
        <f>_xlfn.XLOOKUP(MIN(ABS($BK$3:$BK$23 - MEDIAN(MIN($BK$3:$BK$23), MAX($BK$3:$BK$23), AD37))), ABS($BK$3:$BK$23 - MEDIAN(MIN($BK$3:$BK$23), MAX($BK$3:$BK$23), AD37)), $BL$3:$BL$23, "Error", 0)</f>
        <v/>
      </c>
      <c r="AE66" s="30">
        <f>_xlfn.XLOOKUP(MIN(ABS($BK$3:$BK$23 - MEDIAN(MIN($BK$3:$BK$23), MAX($BK$3:$BK$23), AE37))), ABS($BK$3:$BK$23 - MEDIAN(MIN($BK$3:$BK$23), MAX($BK$3:$BK$23), AE37)), $BL$3:$BL$23, "Error", 0)</f>
        <v/>
      </c>
      <c r="AF66" s="30">
        <f>_xlfn.XLOOKUP(MIN(ABS($BK$3:$BK$23 - MEDIAN(MIN($BK$3:$BK$23), MAX($BK$3:$BK$23), AF37))), ABS($BK$3:$BK$23 - MEDIAN(MIN($BK$3:$BK$23), MAX($BK$3:$BK$23), AF37)), $BL$3:$BL$23, "Error", 0)</f>
        <v/>
      </c>
      <c r="AG66" s="30">
        <f>_xlfn.XLOOKUP(MIN(ABS($BK$3:$BK$23 - MEDIAN(MIN($BK$3:$BK$23), MAX($BK$3:$BK$23), AG37))), ABS($BK$3:$BK$23 - MEDIAN(MIN($BK$3:$BK$23), MAX($BK$3:$BK$23), AG37)), $BL$3:$BL$23, "Error", 0)</f>
        <v/>
      </c>
      <c r="AH66" s="30">
        <f>_xlfn.XLOOKUP(MIN(ABS($BK$3:$BK$23 - MEDIAN(MIN($BK$3:$BK$23), MAX($BK$3:$BK$23), AH37))), ABS($BK$3:$BK$23 - MEDIAN(MIN($BK$3:$BK$23), MAX($BK$3:$BK$23), AH37)), $BL$3:$BL$23, "Error", 0)</f>
        <v/>
      </c>
      <c r="AI66" s="30">
        <f>_xlfn.XLOOKUP(MIN(ABS($BK$3:$BK$23 - MEDIAN(MIN($BK$3:$BK$23), MAX($BK$3:$BK$23), AI37))), ABS($BK$3:$BK$23 - MEDIAN(MIN($BK$3:$BK$23), MAX($BK$3:$BK$23), AI37)), $BL$3:$BL$23, "Error", 0)</f>
        <v/>
      </c>
      <c r="AJ66" s="30">
        <f>_xlfn.XLOOKUP(MIN(ABS($BK$3:$BK$23 - MEDIAN(MIN($BK$3:$BK$23), MAX($BK$3:$BK$23), AJ37))), ABS($BK$3:$BK$23 - MEDIAN(MIN($BK$3:$BK$23), MAX($BK$3:$BK$23), AJ37)), $BL$3:$BL$23, "Error", 0)</f>
        <v/>
      </c>
      <c r="AK66" s="30">
        <f>_xlfn.XLOOKUP(MIN(ABS($BK$3:$BK$23 - MEDIAN(MIN($BK$3:$BK$23), MAX($BK$3:$BK$23), AK37))), ABS($BK$3:$BK$23 - MEDIAN(MIN($BK$3:$BK$23), MAX($BK$3:$BK$23), AK37)), $BL$3:$BL$23, "Error", 0)</f>
        <v/>
      </c>
      <c r="AL66" s="30">
        <f>_xlfn.XLOOKUP(MIN(ABS($BK$3:$BK$23 - MEDIAN(MIN($BK$3:$BK$23), MAX($BK$3:$BK$23), AL37))), ABS($BK$3:$BK$23 - MEDIAN(MIN($BK$3:$BK$23), MAX($BK$3:$BK$23), AL37)), $BL$3:$BL$23, "Error", 0)</f>
        <v/>
      </c>
      <c r="AM66" s="30">
        <f>_xlfn.XLOOKUP(MIN(ABS($BK$3:$BK$23 - MEDIAN(MIN($BK$3:$BK$23), MAX($BK$3:$BK$23), AM37))), ABS($BK$3:$BK$23 - MEDIAN(MIN($BK$3:$BK$23), MAX($BK$3:$BK$23), AM37)), $BL$3:$BL$23, "Error", 0)</f>
        <v/>
      </c>
      <c r="AN66" s="30">
        <f>_xlfn.XLOOKUP(MIN(ABS($BK$3:$BK$23 - MEDIAN(MIN($BK$3:$BK$23), MAX($BK$3:$BK$23), AN37))), ABS($BK$3:$BK$23 - MEDIAN(MIN($BK$3:$BK$23), MAX($BK$3:$BK$23), AN37)), $BL$3:$BL$23, "Error", 0)</f>
        <v/>
      </c>
      <c r="AO66" s="30">
        <f>_xlfn.XLOOKUP(MIN(ABS($BK$3:$BK$23 - MEDIAN(MIN($BK$3:$BK$23), MAX($BK$3:$BK$23), AO37))), ABS($BK$3:$BK$23 - MEDIAN(MIN($BK$3:$BK$23), MAX($BK$3:$BK$23), AO37)), $BL$3:$BL$23, "Error", 0)</f>
        <v/>
      </c>
      <c r="AP66" s="30">
        <f>_xlfn.XLOOKUP(MIN(ABS($BK$3:$BK$23 - MEDIAN(MIN($BK$3:$BK$23), MAX($BK$3:$BK$23), AP37))), ABS($BK$3:$BK$23 - MEDIAN(MIN($BK$3:$BK$23), MAX($BK$3:$BK$23), AP37)), $BL$3:$BL$23, "Error", 0)</f>
        <v/>
      </c>
      <c r="AQ66" s="30">
        <f>_xlfn.XLOOKUP(MIN(ABS($BK$3:$BK$23 - MEDIAN(MIN($BK$3:$BK$23), MAX($BK$3:$BK$23), AQ37))), ABS($BK$3:$BK$23 - MEDIAN(MIN($BK$3:$BK$23), MAX($BK$3:$BK$23), AQ37)), $BL$3:$BL$23, "Error", 0)</f>
        <v/>
      </c>
      <c r="AR66" s="30">
        <f>_xlfn.XLOOKUP(MIN(ABS($BK$3:$BK$23 - MEDIAN(MIN($BK$3:$BK$23), MAX($BK$3:$BK$23), AR37))), ABS($BK$3:$BK$23 - MEDIAN(MIN($BK$3:$BK$23), MAX($BK$3:$BK$23), AR37)), $BL$3:$BL$23, "Error", 0)</f>
        <v/>
      </c>
      <c r="AS66" s="30">
        <f>_xlfn.XLOOKUP(MIN(ABS($BK$3:$BK$23 - MEDIAN(MIN($BK$3:$BK$23), MAX($BK$3:$BK$23), AS37))), ABS($BK$3:$BK$23 - MEDIAN(MIN($BK$3:$BK$23), MAX($BK$3:$BK$23), AS37)), $BL$3:$BL$23, "Error", 0)</f>
        <v/>
      </c>
      <c r="AT66" s="30">
        <f>_xlfn.XLOOKUP(MIN(ABS($BK$3:$BK$23 - MEDIAN(MIN($BK$3:$BK$23), MAX($BK$3:$BK$23), AT37))), ABS($BK$3:$BK$23 - MEDIAN(MIN($BK$3:$BK$23), MAX($BK$3:$BK$23), AT37)), $BL$3:$BL$23, "Error", 0)</f>
        <v/>
      </c>
      <c r="AU66" s="30">
        <f>_xlfn.XLOOKUP(MIN(ABS($BK$3:$BK$23 - MEDIAN(MIN($BK$3:$BK$23), MAX($BK$3:$BK$23), AU37))), ABS($BK$3:$BK$23 - MEDIAN(MIN($BK$3:$BK$23), MAX($BK$3:$BK$23), AU37)), $BL$3:$BL$23, "Error", 0)</f>
        <v/>
      </c>
      <c r="AV66" s="30">
        <f>_xlfn.XLOOKUP(MIN(ABS($BK$3:$BK$23 - MEDIAN(MIN($BK$3:$BK$23), MAX($BK$3:$BK$23), AV37))), ABS($BK$3:$BK$23 - MEDIAN(MIN($BK$3:$BK$23), MAX($BK$3:$BK$23), AV37)), $BL$3:$BL$23, "Error", 0)</f>
        <v/>
      </c>
      <c r="AW66" s="30">
        <f>_xlfn.XLOOKUP(MIN(ABS($BK$3:$BK$23 - MEDIAN(MIN($BK$3:$BK$23), MAX($BK$3:$BK$23), AW37))), ABS($BK$3:$BK$23 - MEDIAN(MIN($BK$3:$BK$23), MAX($BK$3:$BK$23), AW37)), $BL$3:$BL$23, "Error", 0)</f>
        <v/>
      </c>
      <c r="AX66" s="30">
        <f>_xlfn.XLOOKUP(MIN(ABS($BK$3:$BK$23 - MEDIAN(MIN($BK$3:$BK$23), MAX($BK$3:$BK$23), AX37))), ABS($BK$3:$BK$23 - MEDIAN(MIN($BK$3:$BK$23), MAX($BK$3:$BK$23), AX37)), $BL$3:$BL$23, "Error", 0)</f>
        <v/>
      </c>
      <c r="AY66" s="30">
        <f>_xlfn.XLOOKUP(MIN(ABS($BK$3:$BK$23 - MEDIAN(MIN($BK$3:$BK$23), MAX($BK$3:$BK$23), AY37))), ABS($BK$3:$BK$23 - MEDIAN(MIN($BK$3:$BK$23), MAX($BK$3:$BK$23), AY37)), $BL$3:$BL$23, "Error", 0)</f>
        <v/>
      </c>
      <c r="AZ66" s="30">
        <f>_xlfn.XLOOKUP(MIN(ABS($BK$3:$BK$23 - MEDIAN(MIN($BK$3:$BK$23), MAX($BK$3:$BK$23), AZ37))), ABS($BK$3:$BK$23 - MEDIAN(MIN($BK$3:$BK$23), MAX($BK$3:$BK$23), AZ37)), $BL$3:$BL$23, "Error", 0)</f>
        <v/>
      </c>
      <c r="BA66" s="30">
        <f>_xlfn.XLOOKUP(MIN(ABS($BK$3:$BK$23 - MEDIAN(MIN($BK$3:$BK$23), MAX($BK$3:$BK$23), BA37))), ABS($BK$3:$BK$23 - MEDIAN(MIN($BK$3:$BK$23), MAX($BK$3:$BK$23), BA37)), $BL$3:$BL$23, "Error", 0)</f>
        <v/>
      </c>
      <c r="BB66" s="30">
        <f>_xlfn.XLOOKUP(MIN(ABS($BK$3:$BK$23 - MEDIAN(MIN($BK$3:$BK$23), MAX($BK$3:$BK$23), BB37))), ABS($BK$3:$BK$23 - MEDIAN(MIN($BK$3:$BK$23), MAX($BK$3:$BK$23), BB37)), $BL$3:$BL$23, "Error", 0)</f>
        <v/>
      </c>
      <c r="BC66" s="30">
        <f>_xlfn.XLOOKUP(MIN(ABS($BK$3:$BK$23 - MEDIAN(MIN($BK$3:$BK$23), MAX($BK$3:$BK$23), BC37))), ABS($BK$3:$BK$23 - MEDIAN(MIN($BK$3:$BK$23), MAX($BK$3:$BK$23), BC37)), $BL$3:$BL$23, "Error", 0)</f>
        <v/>
      </c>
      <c r="BD66" s="30">
        <f>_xlfn.XLOOKUP(MIN(ABS($BK$3:$BK$23 - MEDIAN(MIN($BK$3:$BK$23), MAX($BK$3:$BK$23), BD37))), ABS($BK$3:$BK$23 - MEDIAN(MIN($BK$3:$BK$23), MAX($BK$3:$BK$23), BD37)), $BL$3:$BL$23, "Error", 0)</f>
        <v/>
      </c>
      <c r="BE66" s="30">
        <f>_xlfn.XLOOKUP(MIN(ABS($BK$3:$BK$23 - MEDIAN(MIN($BK$3:$BK$23), MAX($BK$3:$BK$23), BE37))), ABS($BK$3:$BK$23 - MEDIAN(MIN($BK$3:$BK$23), MAX($BK$3:$BK$23), BE37)), $BL$3:$BL$23, "Error", 0)</f>
        <v/>
      </c>
      <c r="BF66" s="30">
        <f>_xlfn.XLOOKUP(MIN(ABS($BK$3:$BK$23 - MEDIAN(MIN($BK$3:$BK$23), MAX($BK$3:$BK$23), BF37))), ABS($BK$3:$BK$23 - MEDIAN(MIN($BK$3:$BK$23), MAX($BK$3:$BK$23), BF37)), $BL$3:$BL$23, "Error", 0)</f>
        <v/>
      </c>
      <c r="BG66" s="30">
        <f>_xlfn.XLOOKUP(MIN(ABS($BK$3:$BK$23 - MEDIAN(MIN($BK$3:$BK$23), MAX($BK$3:$BK$23), BG37))), ABS($BK$3:$BK$23 - MEDIAN(MIN($BK$3:$BK$23), MAX($BK$3:$BK$23), BG37)), $BL$3:$BL$23, "Error", 0)</f>
        <v/>
      </c>
      <c r="BH66" s="30">
        <f>_xlfn.XLOOKUP(MIN(ABS($BK$3:$BK$23 - MEDIAN(MIN($BK$3:$BK$23), MAX($BK$3:$BK$23), BH37))), ABS($BK$3:$BK$23 - MEDIAN(MIN($BK$3:$BK$23), MAX($BK$3:$BK$23), BH37)), $BL$3:$BL$23, "Error", 0)</f>
        <v/>
      </c>
      <c r="BI66" s="30">
        <f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>_xlfn.XLOOKUP(MIN(ABS($BK$3:$BK$23 - MEDIAN(MIN($BK$3:$BK$23), MAX($BK$3:$BK$23), N38))), ABS($BK$3:$BK$23 - MEDIAN(MIN($BK$3:$BK$23), MAX($BK$3:$BK$23), N38)), $BL$3:$BL$23, "Error", 0)</f>
        <v/>
      </c>
      <c r="O67" s="30">
        <f>_xlfn.XLOOKUP(MIN(ABS($BK$3:$BK$23 - MEDIAN(MIN($BK$3:$BK$23), MAX($BK$3:$BK$23), O38))), ABS($BK$3:$BK$23 - MEDIAN(MIN($BK$3:$BK$23), MAX($BK$3:$BK$23), O38)), $BL$3:$BL$23, "Error", 0)</f>
        <v/>
      </c>
      <c r="P67" s="30">
        <f>_xlfn.XLOOKUP(MIN(ABS($BK$3:$BK$23 - MEDIAN(MIN($BK$3:$BK$23), MAX($BK$3:$BK$23), P38))), ABS($BK$3:$BK$23 - MEDIAN(MIN($BK$3:$BK$23), MAX($BK$3:$BK$23), P38)), $BL$3:$BL$23, "Error", 0)</f>
        <v/>
      </c>
      <c r="Q67" s="30">
        <f>_xlfn.XLOOKUP(MIN(ABS($BK$3:$BK$23 - MEDIAN(MIN($BK$3:$BK$23), MAX($BK$3:$BK$23), Q38))), ABS($BK$3:$BK$23 - MEDIAN(MIN($BK$3:$BK$23), MAX($BK$3:$BK$23), Q38)), $BL$3:$BL$23, "Error", 0)</f>
        <v/>
      </c>
      <c r="R67" s="30">
        <f>_xlfn.XLOOKUP(MIN(ABS($BK$3:$BK$23 - MEDIAN(MIN($BK$3:$BK$23), MAX($BK$3:$BK$23), R38))), ABS($BK$3:$BK$23 - MEDIAN(MIN($BK$3:$BK$23), MAX($BK$3:$BK$23), R38)), $BL$3:$BL$23, "Error", 0)</f>
        <v/>
      </c>
      <c r="S67" s="30">
        <f>_xlfn.XLOOKUP(MIN(ABS($BK$3:$BK$23 - MEDIAN(MIN($BK$3:$BK$23), MAX($BK$3:$BK$23), S38))), ABS($BK$3:$BK$23 - MEDIAN(MIN($BK$3:$BK$23), MAX($BK$3:$BK$23), S38)), $BL$3:$BL$23, "Error", 0)</f>
        <v/>
      </c>
      <c r="T67" s="30">
        <f>_xlfn.XLOOKUP(MIN(ABS($BK$3:$BK$23 - MEDIAN(MIN($BK$3:$BK$23), MAX($BK$3:$BK$23), T38))), ABS($BK$3:$BK$23 - MEDIAN(MIN($BK$3:$BK$23), MAX($BK$3:$BK$23), T38)), $BL$3:$BL$23, "Error", 0)</f>
        <v/>
      </c>
      <c r="U67" s="30">
        <f>_xlfn.XLOOKUP(MIN(ABS($BK$3:$BK$23 - MEDIAN(MIN($BK$3:$BK$23), MAX($BK$3:$BK$23), U38))), ABS($BK$3:$BK$23 - MEDIAN(MIN($BK$3:$BK$23), MAX($BK$3:$BK$23), U38)), $BL$3:$BL$23, "Error", 0)</f>
        <v/>
      </c>
      <c r="V67" s="30">
        <f>_xlfn.XLOOKUP(MIN(ABS($BK$3:$BK$23 - MEDIAN(MIN($BK$3:$BK$23), MAX($BK$3:$BK$23), V38))), ABS($BK$3:$BK$23 - MEDIAN(MIN($BK$3:$BK$23), MAX($BK$3:$BK$23), V38)), $BL$3:$BL$23, "Error", 0)</f>
        <v/>
      </c>
      <c r="W67" s="30">
        <f>_xlfn.XLOOKUP(MIN(ABS($BK$3:$BK$23 - MEDIAN(MIN($BK$3:$BK$23), MAX($BK$3:$BK$23), W38))), ABS($BK$3:$BK$23 - MEDIAN(MIN($BK$3:$BK$23), MAX($BK$3:$BK$23), W38)), $BL$3:$BL$23, "Error", 0)</f>
        <v/>
      </c>
      <c r="X67" s="30">
        <f>_xlfn.XLOOKUP(MIN(ABS($BK$3:$BK$23 - MEDIAN(MIN($BK$3:$BK$23), MAX($BK$3:$BK$23), X38))), ABS($BK$3:$BK$23 - MEDIAN(MIN($BK$3:$BK$23), MAX($BK$3:$BK$23), X38)), $BL$3:$BL$23, "Error", 0)</f>
        <v/>
      </c>
      <c r="Y67" s="30">
        <f>_xlfn.XLOOKUP(MIN(ABS($BK$3:$BK$23 - MEDIAN(MIN($BK$3:$BK$23), MAX($BK$3:$BK$23), Y38))), ABS($BK$3:$BK$23 - MEDIAN(MIN($BK$3:$BK$23), MAX($BK$3:$BK$23), Y38)), $BL$3:$BL$23, "Error", 0)</f>
        <v/>
      </c>
      <c r="Z67" s="30">
        <f>_xlfn.XLOOKUP(MIN(ABS($BK$3:$BK$23 - MEDIAN(MIN($BK$3:$BK$23), MAX($BK$3:$BK$23), Z38))), ABS($BK$3:$BK$23 - MEDIAN(MIN($BK$3:$BK$23), MAX($BK$3:$BK$23), Z38)), $BL$3:$BL$23, "Error", 0)</f>
        <v/>
      </c>
      <c r="AA67" s="30">
        <f>_xlfn.XLOOKUP(MIN(ABS($BK$3:$BK$23 - MEDIAN(MIN($BK$3:$BK$23), MAX($BK$3:$BK$23), AA38))), ABS($BK$3:$BK$23 - MEDIAN(MIN($BK$3:$BK$23), MAX($BK$3:$BK$23), AA38)), $BL$3:$BL$23, "Error", 0)</f>
        <v/>
      </c>
      <c r="AB67" s="30">
        <f>_xlfn.XLOOKUP(MIN(ABS($BK$3:$BK$23 - MEDIAN(MIN($BK$3:$BK$23), MAX($BK$3:$BK$23), AB38))), ABS($BK$3:$BK$23 - MEDIAN(MIN($BK$3:$BK$23), MAX($BK$3:$BK$23), AB38)), $BL$3:$BL$23, "Error", 0)</f>
        <v/>
      </c>
      <c r="AC67" s="30">
        <f>_xlfn.XLOOKUP(MIN(ABS($BK$3:$BK$23 - MEDIAN(MIN($BK$3:$BK$23), MAX($BK$3:$BK$23), AC38))), ABS($BK$3:$BK$23 - MEDIAN(MIN($BK$3:$BK$23), MAX($BK$3:$BK$23), AC38)), $BL$3:$BL$23, "Error", 0)</f>
        <v/>
      </c>
      <c r="AD67" s="30">
        <f>_xlfn.XLOOKUP(MIN(ABS($BK$3:$BK$23 - MEDIAN(MIN($BK$3:$BK$23), MAX($BK$3:$BK$23), AD38))), ABS($BK$3:$BK$23 - MEDIAN(MIN($BK$3:$BK$23), MAX($BK$3:$BK$23), AD38)), $BL$3:$BL$23, "Error", 0)</f>
        <v/>
      </c>
      <c r="AE67" s="30">
        <f>_xlfn.XLOOKUP(MIN(ABS($BK$3:$BK$23 - MEDIAN(MIN($BK$3:$BK$23), MAX($BK$3:$BK$23), AE38))), ABS($BK$3:$BK$23 - MEDIAN(MIN($BK$3:$BK$23), MAX($BK$3:$BK$23), AE38)), $BL$3:$BL$23, "Error", 0)</f>
        <v/>
      </c>
      <c r="AF67" s="30">
        <f>_xlfn.XLOOKUP(MIN(ABS($BK$3:$BK$23 - MEDIAN(MIN($BK$3:$BK$23), MAX($BK$3:$BK$23), AF38))), ABS($BK$3:$BK$23 - MEDIAN(MIN($BK$3:$BK$23), MAX($BK$3:$BK$23), AF38)), $BL$3:$BL$23, "Error", 0)</f>
        <v/>
      </c>
      <c r="AG67" s="30">
        <f>_xlfn.XLOOKUP(MIN(ABS($BK$3:$BK$23 - MEDIAN(MIN($BK$3:$BK$23), MAX($BK$3:$BK$23), AG38))), ABS($BK$3:$BK$23 - MEDIAN(MIN($BK$3:$BK$23), MAX($BK$3:$BK$23), AG38)), $BL$3:$BL$23, "Error", 0)</f>
        <v/>
      </c>
      <c r="AH67" s="30">
        <f>_xlfn.XLOOKUP(MIN(ABS($BK$3:$BK$23 - MEDIAN(MIN($BK$3:$BK$23), MAX($BK$3:$BK$23), AH38))), ABS($BK$3:$BK$23 - MEDIAN(MIN($BK$3:$BK$23), MAX($BK$3:$BK$23), AH38)), $BL$3:$BL$23, "Error", 0)</f>
        <v/>
      </c>
      <c r="AI67" s="30">
        <f>_xlfn.XLOOKUP(MIN(ABS($BK$3:$BK$23 - MEDIAN(MIN($BK$3:$BK$23), MAX($BK$3:$BK$23), AI38))), ABS($BK$3:$BK$23 - MEDIAN(MIN($BK$3:$BK$23), MAX($BK$3:$BK$23), AI38)), $BL$3:$BL$23, "Error", 0)</f>
        <v/>
      </c>
      <c r="AJ67" s="30">
        <f>_xlfn.XLOOKUP(MIN(ABS($BK$3:$BK$23 - MEDIAN(MIN($BK$3:$BK$23), MAX($BK$3:$BK$23), AJ38))), ABS($BK$3:$BK$23 - MEDIAN(MIN($BK$3:$BK$23), MAX($BK$3:$BK$23), AJ38)), $BL$3:$BL$23, "Error", 0)</f>
        <v/>
      </c>
      <c r="AK67" s="30">
        <f>_xlfn.XLOOKUP(MIN(ABS($BK$3:$BK$23 - MEDIAN(MIN($BK$3:$BK$23), MAX($BK$3:$BK$23), AK38))), ABS($BK$3:$BK$23 - MEDIAN(MIN($BK$3:$BK$23), MAX($BK$3:$BK$23), AK38)), $BL$3:$BL$23, "Error", 0)</f>
        <v/>
      </c>
      <c r="AL67" s="30">
        <f>_xlfn.XLOOKUP(MIN(ABS($BK$3:$BK$23 - MEDIAN(MIN($BK$3:$BK$23), MAX($BK$3:$BK$23), AL38))), ABS($BK$3:$BK$23 - MEDIAN(MIN($BK$3:$BK$23), MAX($BK$3:$BK$23), AL38)), $BL$3:$BL$23, "Error", 0)</f>
        <v/>
      </c>
      <c r="AM67" s="30">
        <f>_xlfn.XLOOKUP(MIN(ABS($BK$3:$BK$23 - MEDIAN(MIN($BK$3:$BK$23), MAX($BK$3:$BK$23), AM38))), ABS($BK$3:$BK$23 - MEDIAN(MIN($BK$3:$BK$23), MAX($BK$3:$BK$23), AM38)), $BL$3:$BL$23, "Error", 0)</f>
        <v/>
      </c>
      <c r="AN67" s="30">
        <f>_xlfn.XLOOKUP(MIN(ABS($BK$3:$BK$23 - MEDIAN(MIN($BK$3:$BK$23), MAX($BK$3:$BK$23), AN38))), ABS($BK$3:$BK$23 - MEDIAN(MIN($BK$3:$BK$23), MAX($BK$3:$BK$23), AN38)), $BL$3:$BL$23, "Error", 0)</f>
        <v/>
      </c>
      <c r="AO67" s="30">
        <f>_xlfn.XLOOKUP(MIN(ABS($BK$3:$BK$23 - MEDIAN(MIN($BK$3:$BK$23), MAX($BK$3:$BK$23), AO38))), ABS($BK$3:$BK$23 - MEDIAN(MIN($BK$3:$BK$23), MAX($BK$3:$BK$23), AO38)), $BL$3:$BL$23, "Error", 0)</f>
        <v/>
      </c>
      <c r="AP67" s="30">
        <f>_xlfn.XLOOKUP(MIN(ABS($BK$3:$BK$23 - MEDIAN(MIN($BK$3:$BK$23), MAX($BK$3:$BK$23), AP38))), ABS($BK$3:$BK$23 - MEDIAN(MIN($BK$3:$BK$23), MAX($BK$3:$BK$23), AP38)), $BL$3:$BL$23, "Error", 0)</f>
        <v/>
      </c>
      <c r="AQ67" s="30">
        <f>_xlfn.XLOOKUP(MIN(ABS($BK$3:$BK$23 - MEDIAN(MIN($BK$3:$BK$23), MAX($BK$3:$BK$23), AQ38))), ABS($BK$3:$BK$23 - MEDIAN(MIN($BK$3:$BK$23), MAX($BK$3:$BK$23), AQ38)), $BL$3:$BL$23, "Error", 0)</f>
        <v/>
      </c>
      <c r="AR67" s="30">
        <f>_xlfn.XLOOKUP(MIN(ABS($BK$3:$BK$23 - MEDIAN(MIN($BK$3:$BK$23), MAX($BK$3:$BK$23), AR38))), ABS($BK$3:$BK$23 - MEDIAN(MIN($BK$3:$BK$23), MAX($BK$3:$BK$23), AR38)), $BL$3:$BL$23, "Error", 0)</f>
        <v/>
      </c>
      <c r="AS67" s="30">
        <f>_xlfn.XLOOKUP(MIN(ABS($BK$3:$BK$23 - MEDIAN(MIN($BK$3:$BK$23), MAX($BK$3:$BK$23), AS38))), ABS($BK$3:$BK$23 - MEDIAN(MIN($BK$3:$BK$23), MAX($BK$3:$BK$23), AS38)), $BL$3:$BL$23, "Error", 0)</f>
        <v/>
      </c>
      <c r="AT67" s="30">
        <f>_xlfn.XLOOKUP(MIN(ABS($BK$3:$BK$23 - MEDIAN(MIN($BK$3:$BK$23), MAX($BK$3:$BK$23), AT38))), ABS($BK$3:$BK$23 - MEDIAN(MIN($BK$3:$BK$23), MAX($BK$3:$BK$23), AT38)), $BL$3:$BL$23, "Error", 0)</f>
        <v/>
      </c>
      <c r="AU67" s="30">
        <f>_xlfn.XLOOKUP(MIN(ABS($BK$3:$BK$23 - MEDIAN(MIN($BK$3:$BK$23), MAX($BK$3:$BK$23), AU38))), ABS($BK$3:$BK$23 - MEDIAN(MIN($BK$3:$BK$23), MAX($BK$3:$BK$23), AU38)), $BL$3:$BL$23, "Error", 0)</f>
        <v/>
      </c>
      <c r="AV67" s="30">
        <f>_xlfn.XLOOKUP(MIN(ABS($BK$3:$BK$23 - MEDIAN(MIN($BK$3:$BK$23), MAX($BK$3:$BK$23), AV38))), ABS($BK$3:$BK$23 - MEDIAN(MIN($BK$3:$BK$23), MAX($BK$3:$BK$23), AV38)), $BL$3:$BL$23, "Error", 0)</f>
        <v/>
      </c>
      <c r="AW67" s="30">
        <f>_xlfn.XLOOKUP(MIN(ABS($BK$3:$BK$23 - MEDIAN(MIN($BK$3:$BK$23), MAX($BK$3:$BK$23), AW38))), ABS($BK$3:$BK$23 - MEDIAN(MIN($BK$3:$BK$23), MAX($BK$3:$BK$23), AW38)), $BL$3:$BL$23, "Error", 0)</f>
        <v/>
      </c>
      <c r="AX67" s="30">
        <f>_xlfn.XLOOKUP(MIN(ABS($BK$3:$BK$23 - MEDIAN(MIN($BK$3:$BK$23), MAX($BK$3:$BK$23), AX38))), ABS($BK$3:$BK$23 - MEDIAN(MIN($BK$3:$BK$23), MAX($BK$3:$BK$23), AX38)), $BL$3:$BL$23, "Error", 0)</f>
        <v/>
      </c>
      <c r="AY67" s="30">
        <f>_xlfn.XLOOKUP(MIN(ABS($BK$3:$BK$23 - MEDIAN(MIN($BK$3:$BK$23), MAX($BK$3:$BK$23), AY38))), ABS($BK$3:$BK$23 - MEDIAN(MIN($BK$3:$BK$23), MAX($BK$3:$BK$23), AY38)), $BL$3:$BL$23, "Error", 0)</f>
        <v/>
      </c>
      <c r="AZ67" s="30">
        <f>_xlfn.XLOOKUP(MIN(ABS($BK$3:$BK$23 - MEDIAN(MIN($BK$3:$BK$23), MAX($BK$3:$BK$23), AZ38))), ABS($BK$3:$BK$23 - MEDIAN(MIN($BK$3:$BK$23), MAX($BK$3:$BK$23), AZ38)), $BL$3:$BL$23, "Error", 0)</f>
        <v/>
      </c>
      <c r="BA67" s="30">
        <f>_xlfn.XLOOKUP(MIN(ABS($BK$3:$BK$23 - MEDIAN(MIN($BK$3:$BK$23), MAX($BK$3:$BK$23), BA38))), ABS($BK$3:$BK$23 - MEDIAN(MIN($BK$3:$BK$23), MAX($BK$3:$BK$23), BA38)), $BL$3:$BL$23, "Error", 0)</f>
        <v/>
      </c>
      <c r="BB67" s="30">
        <f>_xlfn.XLOOKUP(MIN(ABS($BK$3:$BK$23 - MEDIAN(MIN($BK$3:$BK$23), MAX($BK$3:$BK$23), BB38))), ABS($BK$3:$BK$23 - MEDIAN(MIN($BK$3:$BK$23), MAX($BK$3:$BK$23), BB38)), $BL$3:$BL$23, "Error", 0)</f>
        <v/>
      </c>
      <c r="BC67" s="30">
        <f>_xlfn.XLOOKUP(MIN(ABS($BK$3:$BK$23 - MEDIAN(MIN($BK$3:$BK$23), MAX($BK$3:$BK$23), BC38))), ABS($BK$3:$BK$23 - MEDIAN(MIN($BK$3:$BK$23), MAX($BK$3:$BK$23), BC38)), $BL$3:$BL$23, "Error", 0)</f>
        <v/>
      </c>
      <c r="BD67" s="30">
        <f>_xlfn.XLOOKUP(MIN(ABS($BK$3:$BK$23 - MEDIAN(MIN($BK$3:$BK$23), MAX($BK$3:$BK$23), BD38))), ABS($BK$3:$BK$23 - MEDIAN(MIN($BK$3:$BK$23), MAX($BK$3:$BK$23), BD38)), $BL$3:$BL$23, "Error", 0)</f>
        <v/>
      </c>
      <c r="BE67" s="30">
        <f>_xlfn.XLOOKUP(MIN(ABS($BK$3:$BK$23 - MEDIAN(MIN($BK$3:$BK$23), MAX($BK$3:$BK$23), BE38))), ABS($BK$3:$BK$23 - MEDIAN(MIN($BK$3:$BK$23), MAX($BK$3:$BK$23), BE38)), $BL$3:$BL$23, "Error", 0)</f>
        <v/>
      </c>
      <c r="BF67" s="30">
        <f>_xlfn.XLOOKUP(MIN(ABS($BK$3:$BK$23 - MEDIAN(MIN($BK$3:$BK$23), MAX($BK$3:$BK$23), BF38))), ABS($BK$3:$BK$23 - MEDIAN(MIN($BK$3:$BK$23), MAX($BK$3:$BK$23), BF38)), $BL$3:$BL$23, "Error", 0)</f>
        <v/>
      </c>
      <c r="BG67" s="30">
        <f>_xlfn.XLOOKUP(MIN(ABS($BK$3:$BK$23 - MEDIAN(MIN($BK$3:$BK$23), MAX($BK$3:$BK$23), BG38))), ABS($BK$3:$BK$23 - MEDIAN(MIN($BK$3:$BK$23), MAX($BK$3:$BK$23), BG38)), $BL$3:$BL$23, "Error", 0)</f>
        <v/>
      </c>
      <c r="BH67" s="30">
        <f>_xlfn.XLOOKUP(MIN(ABS($BK$3:$BK$23 - MEDIAN(MIN($BK$3:$BK$23), MAX($BK$3:$BK$23), BH38))), ABS($BK$3:$BK$23 - MEDIAN(MIN($BK$3:$BK$23), MAX($BK$3:$BK$23), BH38)), $BL$3:$BL$23, "Error", 0)</f>
        <v/>
      </c>
      <c r="BI67" s="30">
        <f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>_xlfn.XLOOKUP(MIN(ABS($BK$3:$BK$23 - MEDIAN(MIN($BK$3:$BK$23), MAX($BK$3:$BK$23), N39))), ABS($BK$3:$BK$23 - MEDIAN(MIN($BK$3:$BK$23), MAX($BK$3:$BK$23), N39)), $BL$3:$BL$23, "Error", 0)</f>
        <v/>
      </c>
      <c r="O68" s="30">
        <f>_xlfn.XLOOKUP(MIN(ABS($BK$3:$BK$23 - MEDIAN(MIN($BK$3:$BK$23), MAX($BK$3:$BK$23), O39))), ABS($BK$3:$BK$23 - MEDIAN(MIN($BK$3:$BK$23), MAX($BK$3:$BK$23), O39)), $BL$3:$BL$23, "Error", 0)</f>
        <v/>
      </c>
      <c r="P68" s="30">
        <f>_xlfn.XLOOKUP(MIN(ABS($BK$3:$BK$23 - MEDIAN(MIN($BK$3:$BK$23), MAX($BK$3:$BK$23), P39))), ABS($BK$3:$BK$23 - MEDIAN(MIN($BK$3:$BK$23), MAX($BK$3:$BK$23), P39)), $BL$3:$BL$23, "Error", 0)</f>
        <v/>
      </c>
      <c r="Q68" s="30">
        <f>_xlfn.XLOOKUP(MIN(ABS($BK$3:$BK$23 - MEDIAN(MIN($BK$3:$BK$23), MAX($BK$3:$BK$23), Q39))), ABS($BK$3:$BK$23 - MEDIAN(MIN($BK$3:$BK$23), MAX($BK$3:$BK$23), Q39)), $BL$3:$BL$23, "Error", 0)</f>
        <v/>
      </c>
      <c r="R68" s="30">
        <f>_xlfn.XLOOKUP(MIN(ABS($BK$3:$BK$23 - MEDIAN(MIN($BK$3:$BK$23), MAX($BK$3:$BK$23), R39))), ABS($BK$3:$BK$23 - MEDIAN(MIN($BK$3:$BK$23), MAX($BK$3:$BK$23), R39)), $BL$3:$BL$23, "Error", 0)</f>
        <v/>
      </c>
      <c r="S68" s="30">
        <f>_xlfn.XLOOKUP(MIN(ABS($BK$3:$BK$23 - MEDIAN(MIN($BK$3:$BK$23), MAX($BK$3:$BK$23), S39))), ABS($BK$3:$BK$23 - MEDIAN(MIN($BK$3:$BK$23), MAX($BK$3:$BK$23), S39)), $BL$3:$BL$23, "Error", 0)</f>
        <v/>
      </c>
      <c r="T68" s="30">
        <f>_xlfn.XLOOKUP(MIN(ABS($BK$3:$BK$23 - MEDIAN(MIN($BK$3:$BK$23), MAX($BK$3:$BK$23), T39))), ABS($BK$3:$BK$23 - MEDIAN(MIN($BK$3:$BK$23), MAX($BK$3:$BK$23), T39)), $BL$3:$BL$23, "Error", 0)</f>
        <v/>
      </c>
      <c r="U68" s="30">
        <f>_xlfn.XLOOKUP(MIN(ABS($BK$3:$BK$23 - MEDIAN(MIN($BK$3:$BK$23), MAX($BK$3:$BK$23), U39))), ABS($BK$3:$BK$23 - MEDIAN(MIN($BK$3:$BK$23), MAX($BK$3:$BK$23), U39)), $BL$3:$BL$23, "Error", 0)</f>
        <v/>
      </c>
      <c r="V68" s="30">
        <f>_xlfn.XLOOKUP(MIN(ABS($BK$3:$BK$23 - MEDIAN(MIN($BK$3:$BK$23), MAX($BK$3:$BK$23), V39))), ABS($BK$3:$BK$23 - MEDIAN(MIN($BK$3:$BK$23), MAX($BK$3:$BK$23), V39)), $BL$3:$BL$23, "Error", 0)</f>
        <v/>
      </c>
      <c r="W68" s="30">
        <f>_xlfn.XLOOKUP(MIN(ABS($BK$3:$BK$23 - MEDIAN(MIN($BK$3:$BK$23), MAX($BK$3:$BK$23), W39))), ABS($BK$3:$BK$23 - MEDIAN(MIN($BK$3:$BK$23), MAX($BK$3:$BK$23), W39)), $BL$3:$BL$23, "Error", 0)</f>
        <v/>
      </c>
      <c r="X68" s="30">
        <f>_xlfn.XLOOKUP(MIN(ABS($BK$3:$BK$23 - MEDIAN(MIN($BK$3:$BK$23), MAX($BK$3:$BK$23), X39))), ABS($BK$3:$BK$23 - MEDIAN(MIN($BK$3:$BK$23), MAX($BK$3:$BK$23), X39)), $BL$3:$BL$23, "Error", 0)</f>
        <v/>
      </c>
      <c r="Y68" s="30">
        <f>_xlfn.XLOOKUP(MIN(ABS($BK$3:$BK$23 - MEDIAN(MIN($BK$3:$BK$23), MAX($BK$3:$BK$23), Y39))), ABS($BK$3:$BK$23 - MEDIAN(MIN($BK$3:$BK$23), MAX($BK$3:$BK$23), Y39)), $BL$3:$BL$23, "Error", 0)</f>
        <v/>
      </c>
      <c r="Z68" s="30">
        <f>_xlfn.XLOOKUP(MIN(ABS($BK$3:$BK$23 - MEDIAN(MIN($BK$3:$BK$23), MAX($BK$3:$BK$23), Z39))), ABS($BK$3:$BK$23 - MEDIAN(MIN($BK$3:$BK$23), MAX($BK$3:$BK$23), Z39)), $BL$3:$BL$23, "Error", 0)</f>
        <v/>
      </c>
      <c r="AA68" s="30">
        <f>_xlfn.XLOOKUP(MIN(ABS($BK$3:$BK$23 - MEDIAN(MIN($BK$3:$BK$23), MAX($BK$3:$BK$23), AA39))), ABS($BK$3:$BK$23 - MEDIAN(MIN($BK$3:$BK$23), MAX($BK$3:$BK$23), AA39)), $BL$3:$BL$23, "Error", 0)</f>
        <v/>
      </c>
      <c r="AB68" s="30">
        <f>_xlfn.XLOOKUP(MIN(ABS($BK$3:$BK$23 - MEDIAN(MIN($BK$3:$BK$23), MAX($BK$3:$BK$23), AB39))), ABS($BK$3:$BK$23 - MEDIAN(MIN($BK$3:$BK$23), MAX($BK$3:$BK$23), AB39)), $BL$3:$BL$23, "Error", 0)</f>
        <v/>
      </c>
      <c r="AC68" s="30">
        <f>_xlfn.XLOOKUP(MIN(ABS($BK$3:$BK$23 - MEDIAN(MIN($BK$3:$BK$23), MAX($BK$3:$BK$23), AC39))), ABS($BK$3:$BK$23 - MEDIAN(MIN($BK$3:$BK$23), MAX($BK$3:$BK$23), AC39)), $BL$3:$BL$23, "Error", 0)</f>
        <v/>
      </c>
      <c r="AD68" s="30">
        <f>_xlfn.XLOOKUP(MIN(ABS($BK$3:$BK$23 - MEDIAN(MIN($BK$3:$BK$23), MAX($BK$3:$BK$23), AD39))), ABS($BK$3:$BK$23 - MEDIAN(MIN($BK$3:$BK$23), MAX($BK$3:$BK$23), AD39)), $BL$3:$BL$23, "Error", 0)</f>
        <v/>
      </c>
      <c r="AE68" s="30">
        <f>_xlfn.XLOOKUP(MIN(ABS($BK$3:$BK$23 - MEDIAN(MIN($BK$3:$BK$23), MAX($BK$3:$BK$23), AE39))), ABS($BK$3:$BK$23 - MEDIAN(MIN($BK$3:$BK$23), MAX($BK$3:$BK$23), AE39)), $BL$3:$BL$23, "Error", 0)</f>
        <v/>
      </c>
      <c r="AF68" s="30">
        <f>_xlfn.XLOOKUP(MIN(ABS($BK$3:$BK$23 - MEDIAN(MIN($BK$3:$BK$23), MAX($BK$3:$BK$23), AF39))), ABS($BK$3:$BK$23 - MEDIAN(MIN($BK$3:$BK$23), MAX($BK$3:$BK$23), AF39)), $BL$3:$BL$23, "Error", 0)</f>
        <v/>
      </c>
      <c r="AG68" s="30">
        <f>_xlfn.XLOOKUP(MIN(ABS($BK$3:$BK$23 - MEDIAN(MIN($BK$3:$BK$23), MAX($BK$3:$BK$23), AG39))), ABS($BK$3:$BK$23 - MEDIAN(MIN($BK$3:$BK$23), MAX($BK$3:$BK$23), AG39)), $BL$3:$BL$23, "Error", 0)</f>
        <v/>
      </c>
      <c r="AH68" s="30">
        <f>_xlfn.XLOOKUP(MIN(ABS($BK$3:$BK$23 - MEDIAN(MIN($BK$3:$BK$23), MAX($BK$3:$BK$23), AH39))), ABS($BK$3:$BK$23 - MEDIAN(MIN($BK$3:$BK$23), MAX($BK$3:$BK$23), AH39)), $BL$3:$BL$23, "Error", 0)</f>
        <v/>
      </c>
      <c r="AI68" s="30">
        <f>_xlfn.XLOOKUP(MIN(ABS($BK$3:$BK$23 - MEDIAN(MIN($BK$3:$BK$23), MAX($BK$3:$BK$23), AI39))), ABS($BK$3:$BK$23 - MEDIAN(MIN($BK$3:$BK$23), MAX($BK$3:$BK$23), AI39)), $BL$3:$BL$23, "Error", 0)</f>
        <v/>
      </c>
      <c r="AJ68" s="30">
        <f>_xlfn.XLOOKUP(MIN(ABS($BK$3:$BK$23 - MEDIAN(MIN($BK$3:$BK$23), MAX($BK$3:$BK$23), AJ39))), ABS($BK$3:$BK$23 - MEDIAN(MIN($BK$3:$BK$23), MAX($BK$3:$BK$23), AJ39)), $BL$3:$BL$23, "Error", 0)</f>
        <v/>
      </c>
      <c r="AK68" s="30">
        <f>_xlfn.XLOOKUP(MIN(ABS($BK$3:$BK$23 - MEDIAN(MIN($BK$3:$BK$23), MAX($BK$3:$BK$23), AK39))), ABS($BK$3:$BK$23 - MEDIAN(MIN($BK$3:$BK$23), MAX($BK$3:$BK$23), AK39)), $BL$3:$BL$23, "Error", 0)</f>
        <v/>
      </c>
      <c r="AL68" s="30">
        <f>_xlfn.XLOOKUP(MIN(ABS($BK$3:$BK$23 - MEDIAN(MIN($BK$3:$BK$23), MAX($BK$3:$BK$23), AL39))), ABS($BK$3:$BK$23 - MEDIAN(MIN($BK$3:$BK$23), MAX($BK$3:$BK$23), AL39)), $BL$3:$BL$23, "Error", 0)</f>
        <v/>
      </c>
      <c r="AM68" s="30">
        <f>_xlfn.XLOOKUP(MIN(ABS($BK$3:$BK$23 - MEDIAN(MIN($BK$3:$BK$23), MAX($BK$3:$BK$23), AM39))), ABS($BK$3:$BK$23 - MEDIAN(MIN($BK$3:$BK$23), MAX($BK$3:$BK$23), AM39)), $BL$3:$BL$23, "Error", 0)</f>
        <v/>
      </c>
      <c r="AN68" s="30">
        <f>_xlfn.XLOOKUP(MIN(ABS($BK$3:$BK$23 - MEDIAN(MIN($BK$3:$BK$23), MAX($BK$3:$BK$23), AN39))), ABS($BK$3:$BK$23 - MEDIAN(MIN($BK$3:$BK$23), MAX($BK$3:$BK$23), AN39)), $BL$3:$BL$23, "Error", 0)</f>
        <v/>
      </c>
      <c r="AO68" s="30">
        <f>_xlfn.XLOOKUP(MIN(ABS($BK$3:$BK$23 - MEDIAN(MIN($BK$3:$BK$23), MAX($BK$3:$BK$23), AO39))), ABS($BK$3:$BK$23 - MEDIAN(MIN($BK$3:$BK$23), MAX($BK$3:$BK$23), AO39)), $BL$3:$BL$23, "Error", 0)</f>
        <v/>
      </c>
      <c r="AP68" s="30">
        <f>_xlfn.XLOOKUP(MIN(ABS($BK$3:$BK$23 - MEDIAN(MIN($BK$3:$BK$23), MAX($BK$3:$BK$23), AP39))), ABS($BK$3:$BK$23 - MEDIAN(MIN($BK$3:$BK$23), MAX($BK$3:$BK$23), AP39)), $BL$3:$BL$23, "Error", 0)</f>
        <v/>
      </c>
      <c r="AQ68" s="30">
        <f>_xlfn.XLOOKUP(MIN(ABS($BK$3:$BK$23 - MEDIAN(MIN($BK$3:$BK$23), MAX($BK$3:$BK$23), AQ39))), ABS($BK$3:$BK$23 - MEDIAN(MIN($BK$3:$BK$23), MAX($BK$3:$BK$23), AQ39)), $BL$3:$BL$23, "Error", 0)</f>
        <v/>
      </c>
      <c r="AR68" s="30">
        <f>_xlfn.XLOOKUP(MIN(ABS($BK$3:$BK$23 - MEDIAN(MIN($BK$3:$BK$23), MAX($BK$3:$BK$23), AR39))), ABS($BK$3:$BK$23 - MEDIAN(MIN($BK$3:$BK$23), MAX($BK$3:$BK$23), AR39)), $BL$3:$BL$23, "Error", 0)</f>
        <v/>
      </c>
      <c r="AS68" s="30">
        <f>_xlfn.XLOOKUP(MIN(ABS($BK$3:$BK$23 - MEDIAN(MIN($BK$3:$BK$23), MAX($BK$3:$BK$23), AS39))), ABS($BK$3:$BK$23 - MEDIAN(MIN($BK$3:$BK$23), MAX($BK$3:$BK$23), AS39)), $BL$3:$BL$23, "Error", 0)</f>
        <v/>
      </c>
      <c r="AT68" s="30">
        <f>_xlfn.XLOOKUP(MIN(ABS($BK$3:$BK$23 - MEDIAN(MIN($BK$3:$BK$23), MAX($BK$3:$BK$23), AT39))), ABS($BK$3:$BK$23 - MEDIAN(MIN($BK$3:$BK$23), MAX($BK$3:$BK$23), AT39)), $BL$3:$BL$23, "Error", 0)</f>
        <v/>
      </c>
      <c r="AU68" s="30">
        <f>_xlfn.XLOOKUP(MIN(ABS($BK$3:$BK$23 - MEDIAN(MIN($BK$3:$BK$23), MAX($BK$3:$BK$23), AU39))), ABS($BK$3:$BK$23 - MEDIAN(MIN($BK$3:$BK$23), MAX($BK$3:$BK$23), AU39)), $BL$3:$BL$23, "Error", 0)</f>
        <v/>
      </c>
      <c r="AV68" s="30">
        <f>_xlfn.XLOOKUP(MIN(ABS($BK$3:$BK$23 - MEDIAN(MIN($BK$3:$BK$23), MAX($BK$3:$BK$23), AV39))), ABS($BK$3:$BK$23 - MEDIAN(MIN($BK$3:$BK$23), MAX($BK$3:$BK$23), AV39)), $BL$3:$BL$23, "Error", 0)</f>
        <v/>
      </c>
      <c r="AW68" s="30">
        <f>_xlfn.XLOOKUP(MIN(ABS($BK$3:$BK$23 - MEDIAN(MIN($BK$3:$BK$23), MAX($BK$3:$BK$23), AW39))), ABS($BK$3:$BK$23 - MEDIAN(MIN($BK$3:$BK$23), MAX($BK$3:$BK$23), AW39)), $BL$3:$BL$23, "Error", 0)</f>
        <v/>
      </c>
      <c r="AX68" s="30">
        <f>_xlfn.XLOOKUP(MIN(ABS($BK$3:$BK$23 - MEDIAN(MIN($BK$3:$BK$23), MAX($BK$3:$BK$23), AX39))), ABS($BK$3:$BK$23 - MEDIAN(MIN($BK$3:$BK$23), MAX($BK$3:$BK$23), AX39)), $BL$3:$BL$23, "Error", 0)</f>
        <v/>
      </c>
      <c r="AY68" s="30">
        <f>_xlfn.XLOOKUP(MIN(ABS($BK$3:$BK$23 - MEDIAN(MIN($BK$3:$BK$23), MAX($BK$3:$BK$23), AY39))), ABS($BK$3:$BK$23 - MEDIAN(MIN($BK$3:$BK$23), MAX($BK$3:$BK$23), AY39)), $BL$3:$BL$23, "Error", 0)</f>
        <v/>
      </c>
      <c r="AZ68" s="30">
        <f>_xlfn.XLOOKUP(MIN(ABS($BK$3:$BK$23 - MEDIAN(MIN($BK$3:$BK$23), MAX($BK$3:$BK$23), AZ39))), ABS($BK$3:$BK$23 - MEDIAN(MIN($BK$3:$BK$23), MAX($BK$3:$BK$23), AZ39)), $BL$3:$BL$23, "Error", 0)</f>
        <v/>
      </c>
      <c r="BA68" s="30">
        <f>_xlfn.XLOOKUP(MIN(ABS($BK$3:$BK$23 - MEDIAN(MIN($BK$3:$BK$23), MAX($BK$3:$BK$23), BA39))), ABS($BK$3:$BK$23 - MEDIAN(MIN($BK$3:$BK$23), MAX($BK$3:$BK$23), BA39)), $BL$3:$BL$23, "Error", 0)</f>
        <v/>
      </c>
      <c r="BB68" s="30">
        <f>_xlfn.XLOOKUP(MIN(ABS($BK$3:$BK$23 - MEDIAN(MIN($BK$3:$BK$23), MAX($BK$3:$BK$23), BB39))), ABS($BK$3:$BK$23 - MEDIAN(MIN($BK$3:$BK$23), MAX($BK$3:$BK$23), BB39)), $BL$3:$BL$23, "Error", 0)</f>
        <v/>
      </c>
      <c r="BC68" s="30">
        <f>_xlfn.XLOOKUP(MIN(ABS($BK$3:$BK$23 - MEDIAN(MIN($BK$3:$BK$23), MAX($BK$3:$BK$23), BC39))), ABS($BK$3:$BK$23 - MEDIAN(MIN($BK$3:$BK$23), MAX($BK$3:$BK$23), BC39)), $BL$3:$BL$23, "Error", 0)</f>
        <v/>
      </c>
      <c r="BD68" s="30">
        <f>_xlfn.XLOOKUP(MIN(ABS($BK$3:$BK$23 - MEDIAN(MIN($BK$3:$BK$23), MAX($BK$3:$BK$23), BD39))), ABS($BK$3:$BK$23 - MEDIAN(MIN($BK$3:$BK$23), MAX($BK$3:$BK$23), BD39)), $BL$3:$BL$23, "Error", 0)</f>
        <v/>
      </c>
      <c r="BE68" s="30">
        <f>_xlfn.XLOOKUP(MIN(ABS($BK$3:$BK$23 - MEDIAN(MIN($BK$3:$BK$23), MAX($BK$3:$BK$23), BE39))), ABS($BK$3:$BK$23 - MEDIAN(MIN($BK$3:$BK$23), MAX($BK$3:$BK$23), BE39)), $BL$3:$BL$23, "Error", 0)</f>
        <v/>
      </c>
      <c r="BF68" s="30">
        <f>_xlfn.XLOOKUP(MIN(ABS($BK$3:$BK$23 - MEDIAN(MIN($BK$3:$BK$23), MAX($BK$3:$BK$23), BF39))), ABS($BK$3:$BK$23 - MEDIAN(MIN($BK$3:$BK$23), MAX($BK$3:$BK$23), BF39)), $BL$3:$BL$23, "Error", 0)</f>
        <v/>
      </c>
      <c r="BG68" s="30">
        <f>_xlfn.XLOOKUP(MIN(ABS($BK$3:$BK$23 - MEDIAN(MIN($BK$3:$BK$23), MAX($BK$3:$BK$23), BG39))), ABS($BK$3:$BK$23 - MEDIAN(MIN($BK$3:$BK$23), MAX($BK$3:$BK$23), BG39)), $BL$3:$BL$23, "Error", 0)</f>
        <v/>
      </c>
      <c r="BH68" s="30">
        <f>_xlfn.XLOOKUP(MIN(ABS($BK$3:$BK$23 - MEDIAN(MIN($BK$3:$BK$23), MAX($BK$3:$BK$23), BH39))), ABS($BK$3:$BK$23 - MEDIAN(MIN($BK$3:$BK$23), MAX($BK$3:$BK$23), BH39)), $BL$3:$BL$23, "Error", 0)</f>
        <v/>
      </c>
      <c r="BI68" s="30">
        <f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>_xlfn.XLOOKUP(MIN(ABS($BK$3:$BK$23 - MEDIAN(MIN($BK$3:$BK$23), MAX($BK$3:$BK$23), N40))), ABS($BK$3:$BK$23 - MEDIAN(MIN($BK$3:$BK$23), MAX($BK$3:$BK$23), N40)), $BL$3:$BL$23, "Error", 0)</f>
        <v/>
      </c>
      <c r="O69" s="30">
        <f>_xlfn.XLOOKUP(MIN(ABS($BK$3:$BK$23 - MEDIAN(MIN($BK$3:$BK$23), MAX($BK$3:$BK$23), O40))), ABS($BK$3:$BK$23 - MEDIAN(MIN($BK$3:$BK$23), MAX($BK$3:$BK$23), O40)), $BL$3:$BL$23, "Error", 0)</f>
        <v/>
      </c>
      <c r="P69" s="30">
        <f>_xlfn.XLOOKUP(MIN(ABS($BK$3:$BK$23 - MEDIAN(MIN($BK$3:$BK$23), MAX($BK$3:$BK$23), P40))), ABS($BK$3:$BK$23 - MEDIAN(MIN($BK$3:$BK$23), MAX($BK$3:$BK$23), P40)), $BL$3:$BL$23, "Error", 0)</f>
        <v/>
      </c>
      <c r="Q69" s="30">
        <f>_xlfn.XLOOKUP(MIN(ABS($BK$3:$BK$23 - MEDIAN(MIN($BK$3:$BK$23), MAX($BK$3:$BK$23), Q40))), ABS($BK$3:$BK$23 - MEDIAN(MIN($BK$3:$BK$23), MAX($BK$3:$BK$23), Q40)), $BL$3:$BL$23, "Error", 0)</f>
        <v/>
      </c>
      <c r="R69" s="30">
        <f>_xlfn.XLOOKUP(MIN(ABS($BK$3:$BK$23 - MEDIAN(MIN($BK$3:$BK$23), MAX($BK$3:$BK$23), R40))), ABS($BK$3:$BK$23 - MEDIAN(MIN($BK$3:$BK$23), MAX($BK$3:$BK$23), R40)), $BL$3:$BL$23, "Error", 0)</f>
        <v/>
      </c>
      <c r="S69" s="30">
        <f>_xlfn.XLOOKUP(MIN(ABS($BK$3:$BK$23 - MEDIAN(MIN($BK$3:$BK$23), MAX($BK$3:$BK$23), S40))), ABS($BK$3:$BK$23 - MEDIAN(MIN($BK$3:$BK$23), MAX($BK$3:$BK$23), S40)), $BL$3:$BL$23, "Error", 0)</f>
        <v/>
      </c>
      <c r="T69" s="30">
        <f>_xlfn.XLOOKUP(MIN(ABS($BK$3:$BK$23 - MEDIAN(MIN($BK$3:$BK$23), MAX($BK$3:$BK$23), T40))), ABS($BK$3:$BK$23 - MEDIAN(MIN($BK$3:$BK$23), MAX($BK$3:$BK$23), T40)), $BL$3:$BL$23, "Error", 0)</f>
        <v/>
      </c>
      <c r="U69" s="30">
        <f>_xlfn.XLOOKUP(MIN(ABS($BK$3:$BK$23 - MEDIAN(MIN($BK$3:$BK$23), MAX($BK$3:$BK$23), U40))), ABS($BK$3:$BK$23 - MEDIAN(MIN($BK$3:$BK$23), MAX($BK$3:$BK$23), U40)), $BL$3:$BL$23, "Error", 0)</f>
        <v/>
      </c>
      <c r="V69" s="30">
        <f>_xlfn.XLOOKUP(MIN(ABS($BK$3:$BK$23 - MEDIAN(MIN($BK$3:$BK$23), MAX($BK$3:$BK$23), V40))), ABS($BK$3:$BK$23 - MEDIAN(MIN($BK$3:$BK$23), MAX($BK$3:$BK$23), V40)), $BL$3:$BL$23, "Error", 0)</f>
        <v/>
      </c>
      <c r="W69" s="30">
        <f>_xlfn.XLOOKUP(MIN(ABS($BK$3:$BK$23 - MEDIAN(MIN($BK$3:$BK$23), MAX($BK$3:$BK$23), W40))), ABS($BK$3:$BK$23 - MEDIAN(MIN($BK$3:$BK$23), MAX($BK$3:$BK$23), W40)), $BL$3:$BL$23, "Error", 0)</f>
        <v/>
      </c>
      <c r="X69" s="30">
        <f>_xlfn.XLOOKUP(MIN(ABS($BK$3:$BK$23 - MEDIAN(MIN($BK$3:$BK$23), MAX($BK$3:$BK$23), X40))), ABS($BK$3:$BK$23 - MEDIAN(MIN($BK$3:$BK$23), MAX($BK$3:$BK$23), X40)), $BL$3:$BL$23, "Error", 0)</f>
        <v/>
      </c>
      <c r="Y69" s="30">
        <f>_xlfn.XLOOKUP(MIN(ABS($BK$3:$BK$23 - MEDIAN(MIN($BK$3:$BK$23), MAX($BK$3:$BK$23), Y40))), ABS($BK$3:$BK$23 - MEDIAN(MIN($BK$3:$BK$23), MAX($BK$3:$BK$23), Y40)), $BL$3:$BL$23, "Error", 0)</f>
        <v/>
      </c>
      <c r="Z69" s="30">
        <f>_xlfn.XLOOKUP(MIN(ABS($BK$3:$BK$23 - MEDIAN(MIN($BK$3:$BK$23), MAX($BK$3:$BK$23), Z40))), ABS($BK$3:$BK$23 - MEDIAN(MIN($BK$3:$BK$23), MAX($BK$3:$BK$23), Z40)), $BL$3:$BL$23, "Error", 0)</f>
        <v/>
      </c>
      <c r="AA69" s="30">
        <f>_xlfn.XLOOKUP(MIN(ABS($BK$3:$BK$23 - MEDIAN(MIN($BK$3:$BK$23), MAX($BK$3:$BK$23), AA40))), ABS($BK$3:$BK$23 - MEDIAN(MIN($BK$3:$BK$23), MAX($BK$3:$BK$23), AA40)), $BL$3:$BL$23, "Error", 0)</f>
        <v/>
      </c>
      <c r="AB69" s="30">
        <f>_xlfn.XLOOKUP(MIN(ABS($BK$3:$BK$23 - MEDIAN(MIN($BK$3:$BK$23), MAX($BK$3:$BK$23), AB40))), ABS($BK$3:$BK$23 - MEDIAN(MIN($BK$3:$BK$23), MAX($BK$3:$BK$23), AB40)), $BL$3:$BL$23, "Error", 0)</f>
        <v/>
      </c>
      <c r="AC69" s="30">
        <f>_xlfn.XLOOKUP(MIN(ABS($BK$3:$BK$23 - MEDIAN(MIN($BK$3:$BK$23), MAX($BK$3:$BK$23), AC40))), ABS($BK$3:$BK$23 - MEDIAN(MIN($BK$3:$BK$23), MAX($BK$3:$BK$23), AC40)), $BL$3:$BL$23, "Error", 0)</f>
        <v/>
      </c>
      <c r="AD69" s="30">
        <f>_xlfn.XLOOKUP(MIN(ABS($BK$3:$BK$23 - MEDIAN(MIN($BK$3:$BK$23), MAX($BK$3:$BK$23), AD40))), ABS($BK$3:$BK$23 - MEDIAN(MIN($BK$3:$BK$23), MAX($BK$3:$BK$23), AD40)), $BL$3:$BL$23, "Error", 0)</f>
        <v/>
      </c>
      <c r="AE69" s="30">
        <f>_xlfn.XLOOKUP(MIN(ABS($BK$3:$BK$23 - MEDIAN(MIN($BK$3:$BK$23), MAX($BK$3:$BK$23), AE40))), ABS($BK$3:$BK$23 - MEDIAN(MIN($BK$3:$BK$23), MAX($BK$3:$BK$23), AE40)), $BL$3:$BL$23, "Error", 0)</f>
        <v/>
      </c>
      <c r="AF69" s="30">
        <f>_xlfn.XLOOKUP(MIN(ABS($BK$3:$BK$23 - MEDIAN(MIN($BK$3:$BK$23), MAX($BK$3:$BK$23), AF40))), ABS($BK$3:$BK$23 - MEDIAN(MIN($BK$3:$BK$23), MAX($BK$3:$BK$23), AF40)), $BL$3:$BL$23, "Error", 0)</f>
        <v/>
      </c>
      <c r="AG69" s="30">
        <f>_xlfn.XLOOKUP(MIN(ABS($BK$3:$BK$23 - MEDIAN(MIN($BK$3:$BK$23), MAX($BK$3:$BK$23), AG40))), ABS($BK$3:$BK$23 - MEDIAN(MIN($BK$3:$BK$23), MAX($BK$3:$BK$23), AG40)), $BL$3:$BL$23, "Error", 0)</f>
        <v/>
      </c>
      <c r="AH69" s="30">
        <f>_xlfn.XLOOKUP(MIN(ABS($BK$3:$BK$23 - MEDIAN(MIN($BK$3:$BK$23), MAX($BK$3:$BK$23), AH40))), ABS($BK$3:$BK$23 - MEDIAN(MIN($BK$3:$BK$23), MAX($BK$3:$BK$23), AH40)), $BL$3:$BL$23, "Error", 0)</f>
        <v/>
      </c>
      <c r="AI69" s="30">
        <f>_xlfn.XLOOKUP(MIN(ABS($BK$3:$BK$23 - MEDIAN(MIN($BK$3:$BK$23), MAX($BK$3:$BK$23), AI40))), ABS($BK$3:$BK$23 - MEDIAN(MIN($BK$3:$BK$23), MAX($BK$3:$BK$23), AI40)), $BL$3:$BL$23, "Error", 0)</f>
        <v/>
      </c>
      <c r="AJ69" s="30">
        <f>_xlfn.XLOOKUP(MIN(ABS($BK$3:$BK$23 - MEDIAN(MIN($BK$3:$BK$23), MAX($BK$3:$BK$23), AJ40))), ABS($BK$3:$BK$23 - MEDIAN(MIN($BK$3:$BK$23), MAX($BK$3:$BK$23), AJ40)), $BL$3:$BL$23, "Error", 0)</f>
        <v/>
      </c>
      <c r="AK69" s="30">
        <f>_xlfn.XLOOKUP(MIN(ABS($BK$3:$BK$23 - MEDIAN(MIN($BK$3:$BK$23), MAX($BK$3:$BK$23), AK40))), ABS($BK$3:$BK$23 - MEDIAN(MIN($BK$3:$BK$23), MAX($BK$3:$BK$23), AK40)), $BL$3:$BL$23, "Error", 0)</f>
        <v/>
      </c>
      <c r="AL69" s="30">
        <f>_xlfn.XLOOKUP(MIN(ABS($BK$3:$BK$23 - MEDIAN(MIN($BK$3:$BK$23), MAX($BK$3:$BK$23), AL40))), ABS($BK$3:$BK$23 - MEDIAN(MIN($BK$3:$BK$23), MAX($BK$3:$BK$23), AL40)), $BL$3:$BL$23, "Error", 0)</f>
        <v/>
      </c>
      <c r="AM69" s="30">
        <f>_xlfn.XLOOKUP(MIN(ABS($BK$3:$BK$23 - MEDIAN(MIN($BK$3:$BK$23), MAX($BK$3:$BK$23), AM40))), ABS($BK$3:$BK$23 - MEDIAN(MIN($BK$3:$BK$23), MAX($BK$3:$BK$23), AM40)), $BL$3:$BL$23, "Error", 0)</f>
        <v/>
      </c>
      <c r="AN69" s="30">
        <f>_xlfn.XLOOKUP(MIN(ABS($BK$3:$BK$23 - MEDIAN(MIN($BK$3:$BK$23), MAX($BK$3:$BK$23), AN40))), ABS($BK$3:$BK$23 - MEDIAN(MIN($BK$3:$BK$23), MAX($BK$3:$BK$23), AN40)), $BL$3:$BL$23, "Error", 0)</f>
        <v/>
      </c>
      <c r="AO69" s="30">
        <f>_xlfn.XLOOKUP(MIN(ABS($BK$3:$BK$23 - MEDIAN(MIN($BK$3:$BK$23), MAX($BK$3:$BK$23), AO40))), ABS($BK$3:$BK$23 - MEDIAN(MIN($BK$3:$BK$23), MAX($BK$3:$BK$23), AO40)), $BL$3:$BL$23, "Error", 0)</f>
        <v/>
      </c>
      <c r="AP69" s="30">
        <f>_xlfn.XLOOKUP(MIN(ABS($BK$3:$BK$23 - MEDIAN(MIN($BK$3:$BK$23), MAX($BK$3:$BK$23), AP40))), ABS($BK$3:$BK$23 - MEDIAN(MIN($BK$3:$BK$23), MAX($BK$3:$BK$23), AP40)), $BL$3:$BL$23, "Error", 0)</f>
        <v/>
      </c>
      <c r="AQ69" s="30">
        <f>_xlfn.XLOOKUP(MIN(ABS($BK$3:$BK$23 - MEDIAN(MIN($BK$3:$BK$23), MAX($BK$3:$BK$23), AQ40))), ABS($BK$3:$BK$23 - MEDIAN(MIN($BK$3:$BK$23), MAX($BK$3:$BK$23), AQ40)), $BL$3:$BL$23, "Error", 0)</f>
        <v/>
      </c>
      <c r="AR69" s="30">
        <f>_xlfn.XLOOKUP(MIN(ABS($BK$3:$BK$23 - MEDIAN(MIN($BK$3:$BK$23), MAX($BK$3:$BK$23), AR40))), ABS($BK$3:$BK$23 - MEDIAN(MIN($BK$3:$BK$23), MAX($BK$3:$BK$23), AR40)), $BL$3:$BL$23, "Error", 0)</f>
        <v/>
      </c>
      <c r="AS69" s="30">
        <f>_xlfn.XLOOKUP(MIN(ABS($BK$3:$BK$23 - MEDIAN(MIN($BK$3:$BK$23), MAX($BK$3:$BK$23), AS40))), ABS($BK$3:$BK$23 - MEDIAN(MIN($BK$3:$BK$23), MAX($BK$3:$BK$23), AS40)), $BL$3:$BL$23, "Error", 0)</f>
        <v/>
      </c>
      <c r="AT69" s="30">
        <f>_xlfn.XLOOKUP(MIN(ABS($BK$3:$BK$23 - MEDIAN(MIN($BK$3:$BK$23), MAX($BK$3:$BK$23), AT40))), ABS($BK$3:$BK$23 - MEDIAN(MIN($BK$3:$BK$23), MAX($BK$3:$BK$23), AT40)), $BL$3:$BL$23, "Error", 0)</f>
        <v/>
      </c>
      <c r="AU69" s="30">
        <f>_xlfn.XLOOKUP(MIN(ABS($BK$3:$BK$23 - MEDIAN(MIN($BK$3:$BK$23), MAX($BK$3:$BK$23), AU40))), ABS($BK$3:$BK$23 - MEDIAN(MIN($BK$3:$BK$23), MAX($BK$3:$BK$23), AU40)), $BL$3:$BL$23, "Error", 0)</f>
        <v/>
      </c>
      <c r="AV69" s="30">
        <f>_xlfn.XLOOKUP(MIN(ABS($BK$3:$BK$23 - MEDIAN(MIN($BK$3:$BK$23), MAX($BK$3:$BK$23), AV40))), ABS($BK$3:$BK$23 - MEDIAN(MIN($BK$3:$BK$23), MAX($BK$3:$BK$23), AV40)), $BL$3:$BL$23, "Error", 0)</f>
        <v/>
      </c>
      <c r="AW69" s="30">
        <f>_xlfn.XLOOKUP(MIN(ABS($BK$3:$BK$23 - MEDIAN(MIN($BK$3:$BK$23), MAX($BK$3:$BK$23), AW40))), ABS($BK$3:$BK$23 - MEDIAN(MIN($BK$3:$BK$23), MAX($BK$3:$BK$23), AW40)), $BL$3:$BL$23, "Error", 0)</f>
        <v/>
      </c>
      <c r="AX69" s="30">
        <f>_xlfn.XLOOKUP(MIN(ABS($BK$3:$BK$23 - MEDIAN(MIN($BK$3:$BK$23), MAX($BK$3:$BK$23), AX40))), ABS($BK$3:$BK$23 - MEDIAN(MIN($BK$3:$BK$23), MAX($BK$3:$BK$23), AX40)), $BL$3:$BL$23, "Error", 0)</f>
        <v/>
      </c>
      <c r="AY69" s="30">
        <f>_xlfn.XLOOKUP(MIN(ABS($BK$3:$BK$23 - MEDIAN(MIN($BK$3:$BK$23), MAX($BK$3:$BK$23), AY40))), ABS($BK$3:$BK$23 - MEDIAN(MIN($BK$3:$BK$23), MAX($BK$3:$BK$23), AY40)), $BL$3:$BL$23, "Error", 0)</f>
        <v/>
      </c>
      <c r="AZ69" s="30">
        <f>_xlfn.XLOOKUP(MIN(ABS($BK$3:$BK$23 - MEDIAN(MIN($BK$3:$BK$23), MAX($BK$3:$BK$23), AZ40))), ABS($BK$3:$BK$23 - MEDIAN(MIN($BK$3:$BK$23), MAX($BK$3:$BK$23), AZ40)), $BL$3:$BL$23, "Error", 0)</f>
        <v/>
      </c>
      <c r="BA69" s="30">
        <f>_xlfn.XLOOKUP(MIN(ABS($BK$3:$BK$23 - MEDIAN(MIN($BK$3:$BK$23), MAX($BK$3:$BK$23), BA40))), ABS($BK$3:$BK$23 - MEDIAN(MIN($BK$3:$BK$23), MAX($BK$3:$BK$23), BA40)), $BL$3:$BL$23, "Error", 0)</f>
        <v/>
      </c>
      <c r="BB69" s="30">
        <f>_xlfn.XLOOKUP(MIN(ABS($BK$3:$BK$23 - MEDIAN(MIN($BK$3:$BK$23), MAX($BK$3:$BK$23), BB40))), ABS($BK$3:$BK$23 - MEDIAN(MIN($BK$3:$BK$23), MAX($BK$3:$BK$23), BB40)), $BL$3:$BL$23, "Error", 0)</f>
        <v/>
      </c>
      <c r="BC69" s="30">
        <f>_xlfn.XLOOKUP(MIN(ABS($BK$3:$BK$23 - MEDIAN(MIN($BK$3:$BK$23), MAX($BK$3:$BK$23), BC40))), ABS($BK$3:$BK$23 - MEDIAN(MIN($BK$3:$BK$23), MAX($BK$3:$BK$23), BC40)), $BL$3:$BL$23, "Error", 0)</f>
        <v/>
      </c>
      <c r="BD69" s="30">
        <f>_xlfn.XLOOKUP(MIN(ABS($BK$3:$BK$23 - MEDIAN(MIN($BK$3:$BK$23), MAX($BK$3:$BK$23), BD40))), ABS($BK$3:$BK$23 - MEDIAN(MIN($BK$3:$BK$23), MAX($BK$3:$BK$23), BD40)), $BL$3:$BL$23, "Error", 0)</f>
        <v/>
      </c>
      <c r="BE69" s="30">
        <f>_xlfn.XLOOKUP(MIN(ABS($BK$3:$BK$23 - MEDIAN(MIN($BK$3:$BK$23), MAX($BK$3:$BK$23), BE40))), ABS($BK$3:$BK$23 - MEDIAN(MIN($BK$3:$BK$23), MAX($BK$3:$BK$23), BE40)), $BL$3:$BL$23, "Error", 0)</f>
        <v/>
      </c>
      <c r="BF69" s="30">
        <f>_xlfn.XLOOKUP(MIN(ABS($BK$3:$BK$23 - MEDIAN(MIN($BK$3:$BK$23), MAX($BK$3:$BK$23), BF40))), ABS($BK$3:$BK$23 - MEDIAN(MIN($BK$3:$BK$23), MAX($BK$3:$BK$23), BF40)), $BL$3:$BL$23, "Error", 0)</f>
        <v/>
      </c>
      <c r="BG69" s="30">
        <f>_xlfn.XLOOKUP(MIN(ABS($BK$3:$BK$23 - MEDIAN(MIN($BK$3:$BK$23), MAX($BK$3:$BK$23), BG40))), ABS($BK$3:$BK$23 - MEDIAN(MIN($BK$3:$BK$23), MAX($BK$3:$BK$23), BG40)), $BL$3:$BL$23, "Error", 0)</f>
        <v/>
      </c>
      <c r="BH69" s="30">
        <f>_xlfn.XLOOKUP(MIN(ABS($BK$3:$BK$23 - MEDIAN(MIN($BK$3:$BK$23), MAX($BK$3:$BK$23), BH40))), ABS($BK$3:$BK$23 - MEDIAN(MIN($BK$3:$BK$23), MAX($BK$3:$BK$23), BH40)), $BL$3:$BL$23, "Error", 0)</f>
        <v/>
      </c>
      <c r="BI69" s="30">
        <f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>_xlfn.XLOOKUP(MIN(ABS($BK$3:$BK$23 - MEDIAN(MIN($BK$3:$BK$23), MAX($BK$3:$BK$23), N41))), ABS($BK$3:$BK$23 - MEDIAN(MIN($BK$3:$BK$23), MAX($BK$3:$BK$23), N41)), $BL$3:$BL$23, "Error", 0)</f>
        <v/>
      </c>
      <c r="O70" s="30">
        <f>_xlfn.XLOOKUP(MIN(ABS($BK$3:$BK$23 - MEDIAN(MIN($BK$3:$BK$23), MAX($BK$3:$BK$23), O41))), ABS($BK$3:$BK$23 - MEDIAN(MIN($BK$3:$BK$23), MAX($BK$3:$BK$23), O41)), $BL$3:$BL$23, "Error", 0)</f>
        <v/>
      </c>
      <c r="P70" s="30">
        <f>_xlfn.XLOOKUP(MIN(ABS($BK$3:$BK$23 - MEDIAN(MIN($BK$3:$BK$23), MAX($BK$3:$BK$23), P41))), ABS($BK$3:$BK$23 - MEDIAN(MIN($BK$3:$BK$23), MAX($BK$3:$BK$23), P41)), $BL$3:$BL$23, "Error", 0)</f>
        <v/>
      </c>
      <c r="Q70" s="30">
        <f>_xlfn.XLOOKUP(MIN(ABS($BK$3:$BK$23 - MEDIAN(MIN($BK$3:$BK$23), MAX($BK$3:$BK$23), Q41))), ABS($BK$3:$BK$23 - MEDIAN(MIN($BK$3:$BK$23), MAX($BK$3:$BK$23), Q41)), $BL$3:$BL$23, "Error", 0)</f>
        <v/>
      </c>
      <c r="R70" s="30">
        <f>_xlfn.XLOOKUP(MIN(ABS($BK$3:$BK$23 - MEDIAN(MIN($BK$3:$BK$23), MAX($BK$3:$BK$23), R41))), ABS($BK$3:$BK$23 - MEDIAN(MIN($BK$3:$BK$23), MAX($BK$3:$BK$23), R41)), $BL$3:$BL$23, "Error", 0)</f>
        <v/>
      </c>
      <c r="S70" s="30">
        <f>_xlfn.XLOOKUP(MIN(ABS($BK$3:$BK$23 - MEDIAN(MIN($BK$3:$BK$23), MAX($BK$3:$BK$23), S41))), ABS($BK$3:$BK$23 - MEDIAN(MIN($BK$3:$BK$23), MAX($BK$3:$BK$23), S41)), $BL$3:$BL$23, "Error", 0)</f>
        <v/>
      </c>
      <c r="T70" s="30">
        <f>_xlfn.XLOOKUP(MIN(ABS($BK$3:$BK$23 - MEDIAN(MIN($BK$3:$BK$23), MAX($BK$3:$BK$23), T41))), ABS($BK$3:$BK$23 - MEDIAN(MIN($BK$3:$BK$23), MAX($BK$3:$BK$23), T41)), $BL$3:$BL$23, "Error", 0)</f>
        <v/>
      </c>
      <c r="U70" s="30">
        <f>_xlfn.XLOOKUP(MIN(ABS($BK$3:$BK$23 - MEDIAN(MIN($BK$3:$BK$23), MAX($BK$3:$BK$23), U41))), ABS($BK$3:$BK$23 - MEDIAN(MIN($BK$3:$BK$23), MAX($BK$3:$BK$23), U41)), $BL$3:$BL$23, "Error", 0)</f>
        <v/>
      </c>
      <c r="V70" s="30">
        <f>_xlfn.XLOOKUP(MIN(ABS($BK$3:$BK$23 - MEDIAN(MIN($BK$3:$BK$23), MAX($BK$3:$BK$23), V41))), ABS($BK$3:$BK$23 - MEDIAN(MIN($BK$3:$BK$23), MAX($BK$3:$BK$23), V41)), $BL$3:$BL$23, "Error", 0)</f>
        <v/>
      </c>
      <c r="W70" s="30">
        <f>_xlfn.XLOOKUP(MIN(ABS($BK$3:$BK$23 - MEDIAN(MIN($BK$3:$BK$23), MAX($BK$3:$BK$23), W41))), ABS($BK$3:$BK$23 - MEDIAN(MIN($BK$3:$BK$23), MAX($BK$3:$BK$23), W41)), $BL$3:$BL$23, "Error", 0)</f>
        <v/>
      </c>
      <c r="X70" s="30">
        <f>_xlfn.XLOOKUP(MIN(ABS($BK$3:$BK$23 - MEDIAN(MIN($BK$3:$BK$23), MAX($BK$3:$BK$23), X41))), ABS($BK$3:$BK$23 - MEDIAN(MIN($BK$3:$BK$23), MAX($BK$3:$BK$23), X41)), $BL$3:$BL$23, "Error", 0)</f>
        <v/>
      </c>
      <c r="Y70" s="30">
        <f>_xlfn.XLOOKUP(MIN(ABS($BK$3:$BK$23 - MEDIAN(MIN($BK$3:$BK$23), MAX($BK$3:$BK$23), Y41))), ABS($BK$3:$BK$23 - MEDIAN(MIN($BK$3:$BK$23), MAX($BK$3:$BK$23), Y41)), $BL$3:$BL$23, "Error", 0)</f>
        <v/>
      </c>
      <c r="Z70" s="30">
        <f>_xlfn.XLOOKUP(MIN(ABS($BK$3:$BK$23 - MEDIAN(MIN($BK$3:$BK$23), MAX($BK$3:$BK$23), Z41))), ABS($BK$3:$BK$23 - MEDIAN(MIN($BK$3:$BK$23), MAX($BK$3:$BK$23), Z41)), $BL$3:$BL$23, "Error", 0)</f>
        <v/>
      </c>
      <c r="AA70" s="30">
        <f>_xlfn.XLOOKUP(MIN(ABS($BK$3:$BK$23 - MEDIAN(MIN($BK$3:$BK$23), MAX($BK$3:$BK$23), AA41))), ABS($BK$3:$BK$23 - MEDIAN(MIN($BK$3:$BK$23), MAX($BK$3:$BK$23), AA41)), $BL$3:$BL$23, "Error", 0)</f>
        <v/>
      </c>
      <c r="AB70" s="30">
        <f>_xlfn.XLOOKUP(MIN(ABS($BK$3:$BK$23 - MEDIAN(MIN($BK$3:$BK$23), MAX($BK$3:$BK$23), AB41))), ABS($BK$3:$BK$23 - MEDIAN(MIN($BK$3:$BK$23), MAX($BK$3:$BK$23), AB41)), $BL$3:$BL$23, "Error", 0)</f>
        <v/>
      </c>
      <c r="AC70" s="30">
        <f>_xlfn.XLOOKUP(MIN(ABS($BK$3:$BK$23 - MEDIAN(MIN($BK$3:$BK$23), MAX($BK$3:$BK$23), AC41))), ABS($BK$3:$BK$23 - MEDIAN(MIN($BK$3:$BK$23), MAX($BK$3:$BK$23), AC41)), $BL$3:$BL$23, "Error", 0)</f>
        <v/>
      </c>
      <c r="AD70" s="30">
        <f>_xlfn.XLOOKUP(MIN(ABS($BK$3:$BK$23 - MEDIAN(MIN($BK$3:$BK$23), MAX($BK$3:$BK$23), AD41))), ABS($BK$3:$BK$23 - MEDIAN(MIN($BK$3:$BK$23), MAX($BK$3:$BK$23), AD41)), $BL$3:$BL$23, "Error", 0)</f>
        <v/>
      </c>
      <c r="AE70" s="30">
        <f>_xlfn.XLOOKUP(MIN(ABS($BK$3:$BK$23 - MEDIAN(MIN($BK$3:$BK$23), MAX($BK$3:$BK$23), AE41))), ABS($BK$3:$BK$23 - MEDIAN(MIN($BK$3:$BK$23), MAX($BK$3:$BK$23), AE41)), $BL$3:$BL$23, "Error", 0)</f>
        <v/>
      </c>
      <c r="AF70" s="30">
        <f>_xlfn.XLOOKUP(MIN(ABS($BK$3:$BK$23 - MEDIAN(MIN($BK$3:$BK$23), MAX($BK$3:$BK$23), AF41))), ABS($BK$3:$BK$23 - MEDIAN(MIN($BK$3:$BK$23), MAX($BK$3:$BK$23), AF41)), $BL$3:$BL$23, "Error", 0)</f>
        <v/>
      </c>
      <c r="AG70" s="30">
        <f>_xlfn.XLOOKUP(MIN(ABS($BK$3:$BK$23 - MEDIAN(MIN($BK$3:$BK$23), MAX($BK$3:$BK$23), AG41))), ABS($BK$3:$BK$23 - MEDIAN(MIN($BK$3:$BK$23), MAX($BK$3:$BK$23), AG41)), $BL$3:$BL$23, "Error", 0)</f>
        <v/>
      </c>
      <c r="AH70" s="30">
        <f>_xlfn.XLOOKUP(MIN(ABS($BK$3:$BK$23 - MEDIAN(MIN($BK$3:$BK$23), MAX($BK$3:$BK$23), AH41))), ABS($BK$3:$BK$23 - MEDIAN(MIN($BK$3:$BK$23), MAX($BK$3:$BK$23), AH41)), $BL$3:$BL$23, "Error", 0)</f>
        <v/>
      </c>
      <c r="AI70" s="30">
        <f>_xlfn.XLOOKUP(MIN(ABS($BK$3:$BK$23 - MEDIAN(MIN($BK$3:$BK$23), MAX($BK$3:$BK$23), AI41))), ABS($BK$3:$BK$23 - MEDIAN(MIN($BK$3:$BK$23), MAX($BK$3:$BK$23), AI41)), $BL$3:$BL$23, "Error", 0)</f>
        <v/>
      </c>
      <c r="AJ70" s="30">
        <f>_xlfn.XLOOKUP(MIN(ABS($BK$3:$BK$23 - MEDIAN(MIN($BK$3:$BK$23), MAX($BK$3:$BK$23), AJ41))), ABS($BK$3:$BK$23 - MEDIAN(MIN($BK$3:$BK$23), MAX($BK$3:$BK$23), AJ41)), $BL$3:$BL$23, "Error", 0)</f>
        <v/>
      </c>
      <c r="AK70" s="30">
        <f>_xlfn.XLOOKUP(MIN(ABS($BK$3:$BK$23 - MEDIAN(MIN($BK$3:$BK$23), MAX($BK$3:$BK$23), AK41))), ABS($BK$3:$BK$23 - MEDIAN(MIN($BK$3:$BK$23), MAX($BK$3:$BK$23), AK41)), $BL$3:$BL$23, "Error", 0)</f>
        <v/>
      </c>
      <c r="AL70" s="30">
        <f>_xlfn.XLOOKUP(MIN(ABS($BK$3:$BK$23 - MEDIAN(MIN($BK$3:$BK$23), MAX($BK$3:$BK$23), AL41))), ABS($BK$3:$BK$23 - MEDIAN(MIN($BK$3:$BK$23), MAX($BK$3:$BK$23), AL41)), $BL$3:$BL$23, "Error", 0)</f>
        <v/>
      </c>
      <c r="AM70" s="30">
        <f>_xlfn.XLOOKUP(MIN(ABS($BK$3:$BK$23 - MEDIAN(MIN($BK$3:$BK$23), MAX($BK$3:$BK$23), AM41))), ABS($BK$3:$BK$23 - MEDIAN(MIN($BK$3:$BK$23), MAX($BK$3:$BK$23), AM41)), $BL$3:$BL$23, "Error", 0)</f>
        <v/>
      </c>
      <c r="AN70" s="30">
        <f>_xlfn.XLOOKUP(MIN(ABS($BK$3:$BK$23 - MEDIAN(MIN($BK$3:$BK$23), MAX($BK$3:$BK$23), AN41))), ABS($BK$3:$BK$23 - MEDIAN(MIN($BK$3:$BK$23), MAX($BK$3:$BK$23), AN41)), $BL$3:$BL$23, "Error", 0)</f>
        <v/>
      </c>
      <c r="AO70" s="30">
        <f>_xlfn.XLOOKUP(MIN(ABS($BK$3:$BK$23 - MEDIAN(MIN($BK$3:$BK$23), MAX($BK$3:$BK$23), AO41))), ABS($BK$3:$BK$23 - MEDIAN(MIN($BK$3:$BK$23), MAX($BK$3:$BK$23), AO41)), $BL$3:$BL$23, "Error", 0)</f>
        <v/>
      </c>
      <c r="AP70" s="30">
        <f>_xlfn.XLOOKUP(MIN(ABS($BK$3:$BK$23 - MEDIAN(MIN($BK$3:$BK$23), MAX($BK$3:$BK$23), AP41))), ABS($BK$3:$BK$23 - MEDIAN(MIN($BK$3:$BK$23), MAX($BK$3:$BK$23), AP41)), $BL$3:$BL$23, "Error", 0)</f>
        <v/>
      </c>
      <c r="AQ70" s="30">
        <f>_xlfn.XLOOKUP(MIN(ABS($BK$3:$BK$23 - MEDIAN(MIN($BK$3:$BK$23), MAX($BK$3:$BK$23), AQ41))), ABS($BK$3:$BK$23 - MEDIAN(MIN($BK$3:$BK$23), MAX($BK$3:$BK$23), AQ41)), $BL$3:$BL$23, "Error", 0)</f>
        <v/>
      </c>
      <c r="AR70" s="30">
        <f>_xlfn.XLOOKUP(MIN(ABS($BK$3:$BK$23 - MEDIAN(MIN($BK$3:$BK$23), MAX($BK$3:$BK$23), AR41))), ABS($BK$3:$BK$23 - MEDIAN(MIN($BK$3:$BK$23), MAX($BK$3:$BK$23), AR41)), $BL$3:$BL$23, "Error", 0)</f>
        <v/>
      </c>
      <c r="AS70" s="30">
        <f>_xlfn.XLOOKUP(MIN(ABS($BK$3:$BK$23 - MEDIAN(MIN($BK$3:$BK$23), MAX($BK$3:$BK$23), AS41))), ABS($BK$3:$BK$23 - MEDIAN(MIN($BK$3:$BK$23), MAX($BK$3:$BK$23), AS41)), $BL$3:$BL$23, "Error", 0)</f>
        <v/>
      </c>
      <c r="AT70" s="30">
        <f>_xlfn.XLOOKUP(MIN(ABS($BK$3:$BK$23 - MEDIAN(MIN($BK$3:$BK$23), MAX($BK$3:$BK$23), AT41))), ABS($BK$3:$BK$23 - MEDIAN(MIN($BK$3:$BK$23), MAX($BK$3:$BK$23), AT41)), $BL$3:$BL$23, "Error", 0)</f>
        <v/>
      </c>
      <c r="AU70" s="30">
        <f>_xlfn.XLOOKUP(MIN(ABS($BK$3:$BK$23 - MEDIAN(MIN($BK$3:$BK$23), MAX($BK$3:$BK$23), AU41))), ABS($BK$3:$BK$23 - MEDIAN(MIN($BK$3:$BK$23), MAX($BK$3:$BK$23), AU41)), $BL$3:$BL$23, "Error", 0)</f>
        <v/>
      </c>
      <c r="AV70" s="30">
        <f>_xlfn.XLOOKUP(MIN(ABS($BK$3:$BK$23 - MEDIAN(MIN($BK$3:$BK$23), MAX($BK$3:$BK$23), AV41))), ABS($BK$3:$BK$23 - MEDIAN(MIN($BK$3:$BK$23), MAX($BK$3:$BK$23), AV41)), $BL$3:$BL$23, "Error", 0)</f>
        <v/>
      </c>
      <c r="AW70" s="30">
        <f>_xlfn.XLOOKUP(MIN(ABS($BK$3:$BK$23 - MEDIAN(MIN($BK$3:$BK$23), MAX($BK$3:$BK$23), AW41))), ABS($BK$3:$BK$23 - MEDIAN(MIN($BK$3:$BK$23), MAX($BK$3:$BK$23), AW41)), $BL$3:$BL$23, "Error", 0)</f>
        <v/>
      </c>
      <c r="AX70" s="30">
        <f>_xlfn.XLOOKUP(MIN(ABS($BK$3:$BK$23 - MEDIAN(MIN($BK$3:$BK$23), MAX($BK$3:$BK$23), AX41))), ABS($BK$3:$BK$23 - MEDIAN(MIN($BK$3:$BK$23), MAX($BK$3:$BK$23), AX41)), $BL$3:$BL$23, "Error", 0)</f>
        <v/>
      </c>
      <c r="AY70" s="30">
        <f>_xlfn.XLOOKUP(MIN(ABS($BK$3:$BK$23 - MEDIAN(MIN($BK$3:$BK$23), MAX($BK$3:$BK$23), AY41))), ABS($BK$3:$BK$23 - MEDIAN(MIN($BK$3:$BK$23), MAX($BK$3:$BK$23), AY41)), $BL$3:$BL$23, "Error", 0)</f>
        <v/>
      </c>
      <c r="AZ70" s="30">
        <f>_xlfn.XLOOKUP(MIN(ABS($BK$3:$BK$23 - MEDIAN(MIN($BK$3:$BK$23), MAX($BK$3:$BK$23), AZ41))), ABS($BK$3:$BK$23 - MEDIAN(MIN($BK$3:$BK$23), MAX($BK$3:$BK$23), AZ41)), $BL$3:$BL$23, "Error", 0)</f>
        <v/>
      </c>
      <c r="BA70" s="30">
        <f>_xlfn.XLOOKUP(MIN(ABS($BK$3:$BK$23 - MEDIAN(MIN($BK$3:$BK$23), MAX($BK$3:$BK$23), BA41))), ABS($BK$3:$BK$23 - MEDIAN(MIN($BK$3:$BK$23), MAX($BK$3:$BK$23), BA41)), $BL$3:$BL$23, "Error", 0)</f>
        <v/>
      </c>
      <c r="BB70" s="30">
        <f>_xlfn.XLOOKUP(MIN(ABS($BK$3:$BK$23 - MEDIAN(MIN($BK$3:$BK$23), MAX($BK$3:$BK$23), BB41))), ABS($BK$3:$BK$23 - MEDIAN(MIN($BK$3:$BK$23), MAX($BK$3:$BK$23), BB41)), $BL$3:$BL$23, "Error", 0)</f>
        <v/>
      </c>
      <c r="BC70" s="30">
        <f>_xlfn.XLOOKUP(MIN(ABS($BK$3:$BK$23 - MEDIAN(MIN($BK$3:$BK$23), MAX($BK$3:$BK$23), BC41))), ABS($BK$3:$BK$23 - MEDIAN(MIN($BK$3:$BK$23), MAX($BK$3:$BK$23), BC41)), $BL$3:$BL$23, "Error", 0)</f>
        <v/>
      </c>
      <c r="BD70" s="30">
        <f>_xlfn.XLOOKUP(MIN(ABS($BK$3:$BK$23 - MEDIAN(MIN($BK$3:$BK$23), MAX($BK$3:$BK$23), BD41))), ABS($BK$3:$BK$23 - MEDIAN(MIN($BK$3:$BK$23), MAX($BK$3:$BK$23), BD41)), $BL$3:$BL$23, "Error", 0)</f>
        <v/>
      </c>
      <c r="BE70" s="30">
        <f>_xlfn.XLOOKUP(MIN(ABS($BK$3:$BK$23 - MEDIAN(MIN($BK$3:$BK$23), MAX($BK$3:$BK$23), BE41))), ABS($BK$3:$BK$23 - MEDIAN(MIN($BK$3:$BK$23), MAX($BK$3:$BK$23), BE41)), $BL$3:$BL$23, "Error", 0)</f>
        <v/>
      </c>
      <c r="BF70" s="30">
        <f>_xlfn.XLOOKUP(MIN(ABS($BK$3:$BK$23 - MEDIAN(MIN($BK$3:$BK$23), MAX($BK$3:$BK$23), BF41))), ABS($BK$3:$BK$23 - MEDIAN(MIN($BK$3:$BK$23), MAX($BK$3:$BK$23), BF41)), $BL$3:$BL$23, "Error", 0)</f>
        <v/>
      </c>
      <c r="BG70" s="30">
        <f>_xlfn.XLOOKUP(MIN(ABS($BK$3:$BK$23 - MEDIAN(MIN($BK$3:$BK$23), MAX($BK$3:$BK$23), BG41))), ABS($BK$3:$BK$23 - MEDIAN(MIN($BK$3:$BK$23), MAX($BK$3:$BK$23), BG41)), $BL$3:$BL$23, "Error", 0)</f>
        <v/>
      </c>
      <c r="BH70" s="30">
        <f>_xlfn.XLOOKUP(MIN(ABS($BK$3:$BK$23 - MEDIAN(MIN($BK$3:$BK$23), MAX($BK$3:$BK$23), BH41))), ABS($BK$3:$BK$23 - MEDIAN(MIN($BK$3:$BK$23), MAX($BK$3:$BK$23), BH41)), $BL$3:$BL$23, "Error", 0)</f>
        <v/>
      </c>
      <c r="BI70" s="30">
        <f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>_xlfn.XLOOKUP(MIN(ABS($BK$3:$BK$23 - MEDIAN(MIN($BK$3:$BK$23), MAX($BK$3:$BK$23), N42))), ABS($BK$3:$BK$23 - MEDIAN(MIN($BK$3:$BK$23), MAX($BK$3:$BK$23), N42)), $BL$3:$BL$23, "Error", 0)</f>
        <v/>
      </c>
      <c r="O71" s="30">
        <f>_xlfn.XLOOKUP(MIN(ABS($BK$3:$BK$23 - MEDIAN(MIN($BK$3:$BK$23), MAX($BK$3:$BK$23), O42))), ABS($BK$3:$BK$23 - MEDIAN(MIN($BK$3:$BK$23), MAX($BK$3:$BK$23), O42)), $BL$3:$BL$23, "Error", 0)</f>
        <v/>
      </c>
      <c r="P71" s="30">
        <f>_xlfn.XLOOKUP(MIN(ABS($BK$3:$BK$23 - MEDIAN(MIN($BK$3:$BK$23), MAX($BK$3:$BK$23), P42))), ABS($BK$3:$BK$23 - MEDIAN(MIN($BK$3:$BK$23), MAX($BK$3:$BK$23), P42)), $BL$3:$BL$23, "Error", 0)</f>
        <v/>
      </c>
      <c r="Q71" s="30">
        <f>_xlfn.XLOOKUP(MIN(ABS($BK$3:$BK$23 - MEDIAN(MIN($BK$3:$BK$23), MAX($BK$3:$BK$23), Q42))), ABS($BK$3:$BK$23 - MEDIAN(MIN($BK$3:$BK$23), MAX($BK$3:$BK$23), Q42)), $BL$3:$BL$23, "Error", 0)</f>
        <v/>
      </c>
      <c r="R71" s="30">
        <f>_xlfn.XLOOKUP(MIN(ABS($BK$3:$BK$23 - MEDIAN(MIN($BK$3:$BK$23), MAX($BK$3:$BK$23), R42))), ABS($BK$3:$BK$23 - MEDIAN(MIN($BK$3:$BK$23), MAX($BK$3:$BK$23), R42)), $BL$3:$BL$23, "Error", 0)</f>
        <v/>
      </c>
      <c r="S71" s="30">
        <f>_xlfn.XLOOKUP(MIN(ABS($BK$3:$BK$23 - MEDIAN(MIN($BK$3:$BK$23), MAX($BK$3:$BK$23), S42))), ABS($BK$3:$BK$23 - MEDIAN(MIN($BK$3:$BK$23), MAX($BK$3:$BK$23), S42)), $BL$3:$BL$23, "Error", 0)</f>
        <v/>
      </c>
      <c r="T71" s="30">
        <f>_xlfn.XLOOKUP(MIN(ABS($BK$3:$BK$23 - MEDIAN(MIN($BK$3:$BK$23), MAX($BK$3:$BK$23), T42))), ABS($BK$3:$BK$23 - MEDIAN(MIN($BK$3:$BK$23), MAX($BK$3:$BK$23), T42)), $BL$3:$BL$23, "Error", 0)</f>
        <v/>
      </c>
      <c r="U71" s="30">
        <f>_xlfn.XLOOKUP(MIN(ABS($BK$3:$BK$23 - MEDIAN(MIN($BK$3:$BK$23), MAX($BK$3:$BK$23), U42))), ABS($BK$3:$BK$23 - MEDIAN(MIN($BK$3:$BK$23), MAX($BK$3:$BK$23), U42)), $BL$3:$BL$23, "Error", 0)</f>
        <v/>
      </c>
      <c r="V71" s="30">
        <f>_xlfn.XLOOKUP(MIN(ABS($BK$3:$BK$23 - MEDIAN(MIN($BK$3:$BK$23), MAX($BK$3:$BK$23), V42))), ABS($BK$3:$BK$23 - MEDIAN(MIN($BK$3:$BK$23), MAX($BK$3:$BK$23), V42)), $BL$3:$BL$23, "Error", 0)</f>
        <v/>
      </c>
      <c r="W71" s="30">
        <f>_xlfn.XLOOKUP(MIN(ABS($BK$3:$BK$23 - MEDIAN(MIN($BK$3:$BK$23), MAX($BK$3:$BK$23), W42))), ABS($BK$3:$BK$23 - MEDIAN(MIN($BK$3:$BK$23), MAX($BK$3:$BK$23), W42)), $BL$3:$BL$23, "Error", 0)</f>
        <v/>
      </c>
      <c r="X71" s="30">
        <f>_xlfn.XLOOKUP(MIN(ABS($BK$3:$BK$23 - MEDIAN(MIN($BK$3:$BK$23), MAX($BK$3:$BK$23), X42))), ABS($BK$3:$BK$23 - MEDIAN(MIN($BK$3:$BK$23), MAX($BK$3:$BK$23), X42)), $BL$3:$BL$23, "Error", 0)</f>
        <v/>
      </c>
      <c r="Y71" s="30">
        <f>_xlfn.XLOOKUP(MIN(ABS($BK$3:$BK$23 - MEDIAN(MIN($BK$3:$BK$23), MAX($BK$3:$BK$23), Y42))), ABS($BK$3:$BK$23 - MEDIAN(MIN($BK$3:$BK$23), MAX($BK$3:$BK$23), Y42)), $BL$3:$BL$23, "Error", 0)</f>
        <v/>
      </c>
      <c r="Z71" s="30">
        <f>_xlfn.XLOOKUP(MIN(ABS($BK$3:$BK$23 - MEDIAN(MIN($BK$3:$BK$23), MAX($BK$3:$BK$23), Z42))), ABS($BK$3:$BK$23 - MEDIAN(MIN($BK$3:$BK$23), MAX($BK$3:$BK$23), Z42)), $BL$3:$BL$23, "Error", 0)</f>
        <v/>
      </c>
      <c r="AA71" s="30">
        <f>_xlfn.XLOOKUP(MIN(ABS($BK$3:$BK$23 - MEDIAN(MIN($BK$3:$BK$23), MAX($BK$3:$BK$23), AA42))), ABS($BK$3:$BK$23 - MEDIAN(MIN($BK$3:$BK$23), MAX($BK$3:$BK$23), AA42)), $BL$3:$BL$23, "Error", 0)</f>
        <v/>
      </c>
      <c r="AB71" s="30">
        <f>_xlfn.XLOOKUP(MIN(ABS($BK$3:$BK$23 - MEDIAN(MIN($BK$3:$BK$23), MAX($BK$3:$BK$23), AB42))), ABS($BK$3:$BK$23 - MEDIAN(MIN($BK$3:$BK$23), MAX($BK$3:$BK$23), AB42)), $BL$3:$BL$23, "Error", 0)</f>
        <v/>
      </c>
      <c r="AC71" s="30">
        <f>_xlfn.XLOOKUP(MIN(ABS($BK$3:$BK$23 - MEDIAN(MIN($BK$3:$BK$23), MAX($BK$3:$BK$23), AC42))), ABS($BK$3:$BK$23 - MEDIAN(MIN($BK$3:$BK$23), MAX($BK$3:$BK$23), AC42)), $BL$3:$BL$23, "Error", 0)</f>
        <v/>
      </c>
      <c r="AD71" s="30">
        <f>_xlfn.XLOOKUP(MIN(ABS($BK$3:$BK$23 - MEDIAN(MIN($BK$3:$BK$23), MAX($BK$3:$BK$23), AD42))), ABS($BK$3:$BK$23 - MEDIAN(MIN($BK$3:$BK$23), MAX($BK$3:$BK$23), AD42)), $BL$3:$BL$23, "Error", 0)</f>
        <v/>
      </c>
      <c r="AE71" s="30">
        <f>_xlfn.XLOOKUP(MIN(ABS($BK$3:$BK$23 - MEDIAN(MIN($BK$3:$BK$23), MAX($BK$3:$BK$23), AE42))), ABS($BK$3:$BK$23 - MEDIAN(MIN($BK$3:$BK$23), MAX($BK$3:$BK$23), AE42)), $BL$3:$BL$23, "Error", 0)</f>
        <v/>
      </c>
      <c r="AF71" s="30">
        <f>_xlfn.XLOOKUP(MIN(ABS($BK$3:$BK$23 - MEDIAN(MIN($BK$3:$BK$23), MAX($BK$3:$BK$23), AF42))), ABS($BK$3:$BK$23 - MEDIAN(MIN($BK$3:$BK$23), MAX($BK$3:$BK$23), AF42)), $BL$3:$BL$23, "Error", 0)</f>
        <v/>
      </c>
      <c r="AG71" s="30">
        <f>_xlfn.XLOOKUP(MIN(ABS($BK$3:$BK$23 - MEDIAN(MIN($BK$3:$BK$23), MAX($BK$3:$BK$23), AG42))), ABS($BK$3:$BK$23 - MEDIAN(MIN($BK$3:$BK$23), MAX($BK$3:$BK$23), AG42)), $BL$3:$BL$23, "Error", 0)</f>
        <v/>
      </c>
      <c r="AH71" s="30">
        <f>_xlfn.XLOOKUP(MIN(ABS($BK$3:$BK$23 - MEDIAN(MIN($BK$3:$BK$23), MAX($BK$3:$BK$23), AH42))), ABS($BK$3:$BK$23 - MEDIAN(MIN($BK$3:$BK$23), MAX($BK$3:$BK$23), AH42)), $BL$3:$BL$23, "Error", 0)</f>
        <v/>
      </c>
      <c r="AI71" s="30">
        <f>_xlfn.XLOOKUP(MIN(ABS($BK$3:$BK$23 - MEDIAN(MIN($BK$3:$BK$23), MAX($BK$3:$BK$23), AI42))), ABS($BK$3:$BK$23 - MEDIAN(MIN($BK$3:$BK$23), MAX($BK$3:$BK$23), AI42)), $BL$3:$BL$23, "Error", 0)</f>
        <v/>
      </c>
      <c r="AJ71" s="30">
        <f>_xlfn.XLOOKUP(MIN(ABS($BK$3:$BK$23 - MEDIAN(MIN($BK$3:$BK$23), MAX($BK$3:$BK$23), AJ42))), ABS($BK$3:$BK$23 - MEDIAN(MIN($BK$3:$BK$23), MAX($BK$3:$BK$23), AJ42)), $BL$3:$BL$23, "Error", 0)</f>
        <v/>
      </c>
      <c r="AK71" s="30">
        <f>_xlfn.XLOOKUP(MIN(ABS($BK$3:$BK$23 - MEDIAN(MIN($BK$3:$BK$23), MAX($BK$3:$BK$23), AK42))), ABS($BK$3:$BK$23 - MEDIAN(MIN($BK$3:$BK$23), MAX($BK$3:$BK$23), AK42)), $BL$3:$BL$23, "Error", 0)</f>
        <v/>
      </c>
      <c r="AL71" s="30">
        <f>_xlfn.XLOOKUP(MIN(ABS($BK$3:$BK$23 - MEDIAN(MIN($BK$3:$BK$23), MAX($BK$3:$BK$23), AL42))), ABS($BK$3:$BK$23 - MEDIAN(MIN($BK$3:$BK$23), MAX($BK$3:$BK$23), AL42)), $BL$3:$BL$23, "Error", 0)</f>
        <v/>
      </c>
      <c r="AM71" s="30">
        <f>_xlfn.XLOOKUP(MIN(ABS($BK$3:$BK$23 - MEDIAN(MIN($BK$3:$BK$23), MAX($BK$3:$BK$23), AM42))), ABS($BK$3:$BK$23 - MEDIAN(MIN($BK$3:$BK$23), MAX($BK$3:$BK$23), AM42)), $BL$3:$BL$23, "Error", 0)</f>
        <v/>
      </c>
      <c r="AN71" s="30">
        <f>_xlfn.XLOOKUP(MIN(ABS($BK$3:$BK$23 - MEDIAN(MIN($BK$3:$BK$23), MAX($BK$3:$BK$23), AN42))), ABS($BK$3:$BK$23 - MEDIAN(MIN($BK$3:$BK$23), MAX($BK$3:$BK$23), AN42)), $BL$3:$BL$23, "Error", 0)</f>
        <v/>
      </c>
      <c r="AO71" s="30">
        <f>_xlfn.XLOOKUP(MIN(ABS($BK$3:$BK$23 - MEDIAN(MIN($BK$3:$BK$23), MAX($BK$3:$BK$23), AO42))), ABS($BK$3:$BK$23 - MEDIAN(MIN($BK$3:$BK$23), MAX($BK$3:$BK$23), AO42)), $BL$3:$BL$23, "Error", 0)</f>
        <v/>
      </c>
      <c r="AP71" s="30">
        <f>_xlfn.XLOOKUP(MIN(ABS($BK$3:$BK$23 - MEDIAN(MIN($BK$3:$BK$23), MAX($BK$3:$BK$23), AP42))), ABS($BK$3:$BK$23 - MEDIAN(MIN($BK$3:$BK$23), MAX($BK$3:$BK$23), AP42)), $BL$3:$BL$23, "Error", 0)</f>
        <v/>
      </c>
      <c r="AQ71" s="30">
        <f>_xlfn.XLOOKUP(MIN(ABS($BK$3:$BK$23 - MEDIAN(MIN($BK$3:$BK$23), MAX($BK$3:$BK$23), AQ42))), ABS($BK$3:$BK$23 - MEDIAN(MIN($BK$3:$BK$23), MAX($BK$3:$BK$23), AQ42)), $BL$3:$BL$23, "Error", 0)</f>
        <v/>
      </c>
      <c r="AR71" s="30">
        <f>_xlfn.XLOOKUP(MIN(ABS($BK$3:$BK$23 - MEDIAN(MIN($BK$3:$BK$23), MAX($BK$3:$BK$23), AR42))), ABS($BK$3:$BK$23 - MEDIAN(MIN($BK$3:$BK$23), MAX($BK$3:$BK$23), AR42)), $BL$3:$BL$23, "Error", 0)</f>
        <v/>
      </c>
      <c r="AS71" s="30">
        <f>_xlfn.XLOOKUP(MIN(ABS($BK$3:$BK$23 - MEDIAN(MIN($BK$3:$BK$23), MAX($BK$3:$BK$23), AS42))), ABS($BK$3:$BK$23 - MEDIAN(MIN($BK$3:$BK$23), MAX($BK$3:$BK$23), AS42)), $BL$3:$BL$23, "Error", 0)</f>
        <v/>
      </c>
      <c r="AT71" s="30">
        <f>_xlfn.XLOOKUP(MIN(ABS($BK$3:$BK$23 - MEDIAN(MIN($BK$3:$BK$23), MAX($BK$3:$BK$23), AT42))), ABS($BK$3:$BK$23 - MEDIAN(MIN($BK$3:$BK$23), MAX($BK$3:$BK$23), AT42)), $BL$3:$BL$23, "Error", 0)</f>
        <v/>
      </c>
      <c r="AU71" s="30">
        <f>_xlfn.XLOOKUP(MIN(ABS($BK$3:$BK$23 - MEDIAN(MIN($BK$3:$BK$23), MAX($BK$3:$BK$23), AU42))), ABS($BK$3:$BK$23 - MEDIAN(MIN($BK$3:$BK$23), MAX($BK$3:$BK$23), AU42)), $BL$3:$BL$23, "Error", 0)</f>
        <v/>
      </c>
      <c r="AV71" s="30">
        <f>_xlfn.XLOOKUP(MIN(ABS($BK$3:$BK$23 - MEDIAN(MIN($BK$3:$BK$23), MAX($BK$3:$BK$23), AV42))), ABS($BK$3:$BK$23 - MEDIAN(MIN($BK$3:$BK$23), MAX($BK$3:$BK$23), AV42)), $BL$3:$BL$23, "Error", 0)</f>
        <v/>
      </c>
      <c r="AW71" s="30">
        <f>_xlfn.XLOOKUP(MIN(ABS($BK$3:$BK$23 - MEDIAN(MIN($BK$3:$BK$23), MAX($BK$3:$BK$23), AW42))), ABS($BK$3:$BK$23 - MEDIAN(MIN($BK$3:$BK$23), MAX($BK$3:$BK$23), AW42)), $BL$3:$BL$23, "Error", 0)</f>
        <v/>
      </c>
      <c r="AX71" s="30">
        <f>_xlfn.XLOOKUP(MIN(ABS($BK$3:$BK$23 - MEDIAN(MIN($BK$3:$BK$23), MAX($BK$3:$BK$23), AX42))), ABS($BK$3:$BK$23 - MEDIAN(MIN($BK$3:$BK$23), MAX($BK$3:$BK$23), AX42)), $BL$3:$BL$23, "Error", 0)</f>
        <v/>
      </c>
      <c r="AY71" s="30">
        <f>_xlfn.XLOOKUP(MIN(ABS($BK$3:$BK$23 - MEDIAN(MIN($BK$3:$BK$23), MAX($BK$3:$BK$23), AY42))), ABS($BK$3:$BK$23 - MEDIAN(MIN($BK$3:$BK$23), MAX($BK$3:$BK$23), AY42)), $BL$3:$BL$23, "Error", 0)</f>
        <v/>
      </c>
      <c r="AZ71" s="30">
        <f>_xlfn.XLOOKUP(MIN(ABS($BK$3:$BK$23 - MEDIAN(MIN($BK$3:$BK$23), MAX($BK$3:$BK$23), AZ42))), ABS($BK$3:$BK$23 - MEDIAN(MIN($BK$3:$BK$23), MAX($BK$3:$BK$23), AZ42)), $BL$3:$BL$23, "Error", 0)</f>
        <v/>
      </c>
      <c r="BA71" s="30">
        <f>_xlfn.XLOOKUP(MIN(ABS($BK$3:$BK$23 - MEDIAN(MIN($BK$3:$BK$23), MAX($BK$3:$BK$23), BA42))), ABS($BK$3:$BK$23 - MEDIAN(MIN($BK$3:$BK$23), MAX($BK$3:$BK$23), BA42)), $BL$3:$BL$23, "Error", 0)</f>
        <v/>
      </c>
      <c r="BB71" s="30">
        <f>_xlfn.XLOOKUP(MIN(ABS($BK$3:$BK$23 - MEDIAN(MIN($BK$3:$BK$23), MAX($BK$3:$BK$23), BB42))), ABS($BK$3:$BK$23 - MEDIAN(MIN($BK$3:$BK$23), MAX($BK$3:$BK$23), BB42)), $BL$3:$BL$23, "Error", 0)</f>
        <v/>
      </c>
      <c r="BC71" s="30">
        <f>_xlfn.XLOOKUP(MIN(ABS($BK$3:$BK$23 - MEDIAN(MIN($BK$3:$BK$23), MAX($BK$3:$BK$23), BC42))), ABS($BK$3:$BK$23 - MEDIAN(MIN($BK$3:$BK$23), MAX($BK$3:$BK$23), BC42)), $BL$3:$BL$23, "Error", 0)</f>
        <v/>
      </c>
      <c r="BD71" s="30">
        <f>_xlfn.XLOOKUP(MIN(ABS($BK$3:$BK$23 - MEDIAN(MIN($BK$3:$BK$23), MAX($BK$3:$BK$23), BD42))), ABS($BK$3:$BK$23 - MEDIAN(MIN($BK$3:$BK$23), MAX($BK$3:$BK$23), BD42)), $BL$3:$BL$23, "Error", 0)</f>
        <v/>
      </c>
      <c r="BE71" s="30">
        <f>_xlfn.XLOOKUP(MIN(ABS($BK$3:$BK$23 - MEDIAN(MIN($BK$3:$BK$23), MAX($BK$3:$BK$23), BE42))), ABS($BK$3:$BK$23 - MEDIAN(MIN($BK$3:$BK$23), MAX($BK$3:$BK$23), BE42)), $BL$3:$BL$23, "Error", 0)</f>
        <v/>
      </c>
      <c r="BF71" s="30">
        <f>_xlfn.XLOOKUP(MIN(ABS($BK$3:$BK$23 - MEDIAN(MIN($BK$3:$BK$23), MAX($BK$3:$BK$23), BF42))), ABS($BK$3:$BK$23 - MEDIAN(MIN($BK$3:$BK$23), MAX($BK$3:$BK$23), BF42)), $BL$3:$BL$23, "Error", 0)</f>
        <v/>
      </c>
      <c r="BG71" s="30">
        <f>_xlfn.XLOOKUP(MIN(ABS($BK$3:$BK$23 - MEDIAN(MIN($BK$3:$BK$23), MAX($BK$3:$BK$23), BG42))), ABS($BK$3:$BK$23 - MEDIAN(MIN($BK$3:$BK$23), MAX($BK$3:$BK$23), BG42)), $BL$3:$BL$23, "Error", 0)</f>
        <v/>
      </c>
      <c r="BH71" s="30">
        <f>_xlfn.XLOOKUP(MIN(ABS($BK$3:$BK$23 - MEDIAN(MIN($BK$3:$BK$23), MAX($BK$3:$BK$23), BH42))), ABS($BK$3:$BK$23 - MEDIAN(MIN($BK$3:$BK$23), MAX($BK$3:$BK$23), BH42)), $BL$3:$BL$23, "Error", 0)</f>
        <v/>
      </c>
      <c r="BI71" s="30">
        <f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>_xlfn.XLOOKUP(MIN(ABS($BK$3:$BK$23 - MEDIAN(MIN($BK$3:$BK$23), MAX($BK$3:$BK$23), N43))), ABS($BK$3:$BK$23 - MEDIAN(MIN($BK$3:$BK$23), MAX($BK$3:$BK$23), N43)), $BL$3:$BL$23, "Error", 0)</f>
        <v/>
      </c>
      <c r="O72" s="30">
        <f>_xlfn.XLOOKUP(MIN(ABS($BK$3:$BK$23 - MEDIAN(MIN($BK$3:$BK$23), MAX($BK$3:$BK$23), O43))), ABS($BK$3:$BK$23 - MEDIAN(MIN($BK$3:$BK$23), MAX($BK$3:$BK$23), O43)), $BL$3:$BL$23, "Error", 0)</f>
        <v/>
      </c>
      <c r="P72" s="30">
        <f>_xlfn.XLOOKUP(MIN(ABS($BK$3:$BK$23 - MEDIAN(MIN($BK$3:$BK$23), MAX($BK$3:$BK$23), P43))), ABS($BK$3:$BK$23 - MEDIAN(MIN($BK$3:$BK$23), MAX($BK$3:$BK$23), P43)), $BL$3:$BL$23, "Error", 0)</f>
        <v/>
      </c>
      <c r="Q72" s="30">
        <f>_xlfn.XLOOKUP(MIN(ABS($BK$3:$BK$23 - MEDIAN(MIN($BK$3:$BK$23), MAX($BK$3:$BK$23), Q43))), ABS($BK$3:$BK$23 - MEDIAN(MIN($BK$3:$BK$23), MAX($BK$3:$BK$23), Q43)), $BL$3:$BL$23, "Error", 0)</f>
        <v/>
      </c>
      <c r="R72" s="30">
        <f>_xlfn.XLOOKUP(MIN(ABS($BK$3:$BK$23 - MEDIAN(MIN($BK$3:$BK$23), MAX($BK$3:$BK$23), R43))), ABS($BK$3:$BK$23 - MEDIAN(MIN($BK$3:$BK$23), MAX($BK$3:$BK$23), R43)), $BL$3:$BL$23, "Error", 0)</f>
        <v/>
      </c>
      <c r="S72" s="30">
        <f>_xlfn.XLOOKUP(MIN(ABS($BK$3:$BK$23 - MEDIAN(MIN($BK$3:$BK$23), MAX($BK$3:$BK$23), S43))), ABS($BK$3:$BK$23 - MEDIAN(MIN($BK$3:$BK$23), MAX($BK$3:$BK$23), S43)), $BL$3:$BL$23, "Error", 0)</f>
        <v/>
      </c>
      <c r="T72" s="30">
        <f>_xlfn.XLOOKUP(MIN(ABS($BK$3:$BK$23 - MEDIAN(MIN($BK$3:$BK$23), MAX($BK$3:$BK$23), T43))), ABS($BK$3:$BK$23 - MEDIAN(MIN($BK$3:$BK$23), MAX($BK$3:$BK$23), T43)), $BL$3:$BL$23, "Error", 0)</f>
        <v/>
      </c>
      <c r="U72" s="30">
        <f>_xlfn.XLOOKUP(MIN(ABS($BK$3:$BK$23 - MEDIAN(MIN($BK$3:$BK$23), MAX($BK$3:$BK$23), U43))), ABS($BK$3:$BK$23 - MEDIAN(MIN($BK$3:$BK$23), MAX($BK$3:$BK$23), U43)), $BL$3:$BL$23, "Error", 0)</f>
        <v/>
      </c>
      <c r="V72" s="30">
        <f>_xlfn.XLOOKUP(MIN(ABS($BK$3:$BK$23 - MEDIAN(MIN($BK$3:$BK$23), MAX($BK$3:$BK$23), V43))), ABS($BK$3:$BK$23 - MEDIAN(MIN($BK$3:$BK$23), MAX($BK$3:$BK$23), V43)), $BL$3:$BL$23, "Error", 0)</f>
        <v/>
      </c>
      <c r="W72" s="30">
        <f>_xlfn.XLOOKUP(MIN(ABS($BK$3:$BK$23 - MEDIAN(MIN($BK$3:$BK$23), MAX($BK$3:$BK$23), W43))), ABS($BK$3:$BK$23 - MEDIAN(MIN($BK$3:$BK$23), MAX($BK$3:$BK$23), W43)), $BL$3:$BL$23, "Error", 0)</f>
        <v/>
      </c>
      <c r="X72" s="30">
        <f>_xlfn.XLOOKUP(MIN(ABS($BK$3:$BK$23 - MEDIAN(MIN($BK$3:$BK$23), MAX($BK$3:$BK$23), X43))), ABS($BK$3:$BK$23 - MEDIAN(MIN($BK$3:$BK$23), MAX($BK$3:$BK$23), X43)), $BL$3:$BL$23, "Error", 0)</f>
        <v/>
      </c>
      <c r="Y72" s="30">
        <f>_xlfn.XLOOKUP(MIN(ABS($BK$3:$BK$23 - MEDIAN(MIN($BK$3:$BK$23), MAX($BK$3:$BK$23), Y43))), ABS($BK$3:$BK$23 - MEDIAN(MIN($BK$3:$BK$23), MAX($BK$3:$BK$23), Y43)), $BL$3:$BL$23, "Error", 0)</f>
        <v/>
      </c>
      <c r="Z72" s="30">
        <f>_xlfn.XLOOKUP(MIN(ABS($BK$3:$BK$23 - MEDIAN(MIN($BK$3:$BK$23), MAX($BK$3:$BK$23), Z43))), ABS($BK$3:$BK$23 - MEDIAN(MIN($BK$3:$BK$23), MAX($BK$3:$BK$23), Z43)), $BL$3:$BL$23, "Error", 0)</f>
        <v/>
      </c>
      <c r="AA72" s="30">
        <f>_xlfn.XLOOKUP(MIN(ABS($BK$3:$BK$23 - MEDIAN(MIN($BK$3:$BK$23), MAX($BK$3:$BK$23), AA43))), ABS($BK$3:$BK$23 - MEDIAN(MIN($BK$3:$BK$23), MAX($BK$3:$BK$23), AA43)), $BL$3:$BL$23, "Error", 0)</f>
        <v/>
      </c>
      <c r="AB72" s="30">
        <f>_xlfn.XLOOKUP(MIN(ABS($BK$3:$BK$23 - MEDIAN(MIN($BK$3:$BK$23), MAX($BK$3:$BK$23), AB43))), ABS($BK$3:$BK$23 - MEDIAN(MIN($BK$3:$BK$23), MAX($BK$3:$BK$23), AB43)), $BL$3:$BL$23, "Error", 0)</f>
        <v/>
      </c>
      <c r="AC72" s="30">
        <f>_xlfn.XLOOKUP(MIN(ABS($BK$3:$BK$23 - MEDIAN(MIN($BK$3:$BK$23), MAX($BK$3:$BK$23), AC43))), ABS($BK$3:$BK$23 - MEDIAN(MIN($BK$3:$BK$23), MAX($BK$3:$BK$23), AC43)), $BL$3:$BL$23, "Error", 0)</f>
        <v/>
      </c>
      <c r="AD72" s="30">
        <f>_xlfn.XLOOKUP(MIN(ABS($BK$3:$BK$23 - MEDIAN(MIN($BK$3:$BK$23), MAX($BK$3:$BK$23), AD43))), ABS($BK$3:$BK$23 - MEDIAN(MIN($BK$3:$BK$23), MAX($BK$3:$BK$23), AD43)), $BL$3:$BL$23, "Error", 0)</f>
        <v/>
      </c>
      <c r="AE72" s="30">
        <f>_xlfn.XLOOKUP(MIN(ABS($BK$3:$BK$23 - MEDIAN(MIN($BK$3:$BK$23), MAX($BK$3:$BK$23), AE43))), ABS($BK$3:$BK$23 - MEDIAN(MIN($BK$3:$BK$23), MAX($BK$3:$BK$23), AE43)), $BL$3:$BL$23, "Error", 0)</f>
        <v/>
      </c>
      <c r="AF72" s="30">
        <f>_xlfn.XLOOKUP(MIN(ABS($BK$3:$BK$23 - MEDIAN(MIN($BK$3:$BK$23), MAX($BK$3:$BK$23), AF43))), ABS($BK$3:$BK$23 - MEDIAN(MIN($BK$3:$BK$23), MAX($BK$3:$BK$23), AF43)), $BL$3:$BL$23, "Error", 0)</f>
        <v/>
      </c>
      <c r="AG72" s="30">
        <f>_xlfn.XLOOKUP(MIN(ABS($BK$3:$BK$23 - MEDIAN(MIN($BK$3:$BK$23), MAX($BK$3:$BK$23), AG43))), ABS($BK$3:$BK$23 - MEDIAN(MIN($BK$3:$BK$23), MAX($BK$3:$BK$23), AG43)), $BL$3:$BL$23, "Error", 0)</f>
        <v/>
      </c>
      <c r="AH72" s="30">
        <f>_xlfn.XLOOKUP(MIN(ABS($BK$3:$BK$23 - MEDIAN(MIN($BK$3:$BK$23), MAX($BK$3:$BK$23), AH43))), ABS($BK$3:$BK$23 - MEDIAN(MIN($BK$3:$BK$23), MAX($BK$3:$BK$23), AH43)), $BL$3:$BL$23, "Error", 0)</f>
        <v/>
      </c>
      <c r="AI72" s="30">
        <f>_xlfn.XLOOKUP(MIN(ABS($BK$3:$BK$23 - MEDIAN(MIN($BK$3:$BK$23), MAX($BK$3:$BK$23), AI43))), ABS($BK$3:$BK$23 - MEDIAN(MIN($BK$3:$BK$23), MAX($BK$3:$BK$23), AI43)), $BL$3:$BL$23, "Error", 0)</f>
        <v/>
      </c>
      <c r="AJ72" s="30">
        <f>_xlfn.XLOOKUP(MIN(ABS($BK$3:$BK$23 - MEDIAN(MIN($BK$3:$BK$23), MAX($BK$3:$BK$23), AJ43))), ABS($BK$3:$BK$23 - MEDIAN(MIN($BK$3:$BK$23), MAX($BK$3:$BK$23), AJ43)), $BL$3:$BL$23, "Error", 0)</f>
        <v/>
      </c>
      <c r="AK72" s="30">
        <f>_xlfn.XLOOKUP(MIN(ABS($BK$3:$BK$23 - MEDIAN(MIN($BK$3:$BK$23), MAX($BK$3:$BK$23), AK43))), ABS($BK$3:$BK$23 - MEDIAN(MIN($BK$3:$BK$23), MAX($BK$3:$BK$23), AK43)), $BL$3:$BL$23, "Error", 0)</f>
        <v/>
      </c>
      <c r="AL72" s="30">
        <f>_xlfn.XLOOKUP(MIN(ABS($BK$3:$BK$23 - MEDIAN(MIN($BK$3:$BK$23), MAX($BK$3:$BK$23), AL43))), ABS($BK$3:$BK$23 - MEDIAN(MIN($BK$3:$BK$23), MAX($BK$3:$BK$23), AL43)), $BL$3:$BL$23, "Error", 0)</f>
        <v/>
      </c>
      <c r="AM72" s="30">
        <f>_xlfn.XLOOKUP(MIN(ABS($BK$3:$BK$23 - MEDIAN(MIN($BK$3:$BK$23), MAX($BK$3:$BK$23), AM43))), ABS($BK$3:$BK$23 - MEDIAN(MIN($BK$3:$BK$23), MAX($BK$3:$BK$23), AM43)), $BL$3:$BL$23, "Error", 0)</f>
        <v/>
      </c>
      <c r="AN72" s="30">
        <f>_xlfn.XLOOKUP(MIN(ABS($BK$3:$BK$23 - MEDIAN(MIN($BK$3:$BK$23), MAX($BK$3:$BK$23), AN43))), ABS($BK$3:$BK$23 - MEDIAN(MIN($BK$3:$BK$23), MAX($BK$3:$BK$23), AN43)), $BL$3:$BL$23, "Error", 0)</f>
        <v/>
      </c>
      <c r="AO72" s="30">
        <f>_xlfn.XLOOKUP(MIN(ABS($BK$3:$BK$23 - MEDIAN(MIN($BK$3:$BK$23), MAX($BK$3:$BK$23), AO43))), ABS($BK$3:$BK$23 - MEDIAN(MIN($BK$3:$BK$23), MAX($BK$3:$BK$23), AO43)), $BL$3:$BL$23, "Error", 0)</f>
        <v/>
      </c>
      <c r="AP72" s="30">
        <f>_xlfn.XLOOKUP(MIN(ABS($BK$3:$BK$23 - MEDIAN(MIN($BK$3:$BK$23), MAX($BK$3:$BK$23), AP43))), ABS($BK$3:$BK$23 - MEDIAN(MIN($BK$3:$BK$23), MAX($BK$3:$BK$23), AP43)), $BL$3:$BL$23, "Error", 0)</f>
        <v/>
      </c>
      <c r="AQ72" s="30">
        <f>_xlfn.XLOOKUP(MIN(ABS($BK$3:$BK$23 - MEDIAN(MIN($BK$3:$BK$23), MAX($BK$3:$BK$23), AQ43))), ABS($BK$3:$BK$23 - MEDIAN(MIN($BK$3:$BK$23), MAX($BK$3:$BK$23), AQ43)), $BL$3:$BL$23, "Error", 0)</f>
        <v/>
      </c>
      <c r="AR72" s="30">
        <f>_xlfn.XLOOKUP(MIN(ABS($BK$3:$BK$23 - MEDIAN(MIN($BK$3:$BK$23), MAX($BK$3:$BK$23), AR43))), ABS($BK$3:$BK$23 - MEDIAN(MIN($BK$3:$BK$23), MAX($BK$3:$BK$23), AR43)), $BL$3:$BL$23, "Error", 0)</f>
        <v/>
      </c>
      <c r="AS72" s="30">
        <f>_xlfn.XLOOKUP(MIN(ABS($BK$3:$BK$23 - MEDIAN(MIN($BK$3:$BK$23), MAX($BK$3:$BK$23), AS43))), ABS($BK$3:$BK$23 - MEDIAN(MIN($BK$3:$BK$23), MAX($BK$3:$BK$23), AS43)), $BL$3:$BL$23, "Error", 0)</f>
        <v/>
      </c>
      <c r="AT72" s="30">
        <f>_xlfn.XLOOKUP(MIN(ABS($BK$3:$BK$23 - MEDIAN(MIN($BK$3:$BK$23), MAX($BK$3:$BK$23), AT43))), ABS($BK$3:$BK$23 - MEDIAN(MIN($BK$3:$BK$23), MAX($BK$3:$BK$23), AT43)), $BL$3:$BL$23, "Error", 0)</f>
        <v/>
      </c>
      <c r="AU72" s="30">
        <f>_xlfn.XLOOKUP(MIN(ABS($BK$3:$BK$23 - MEDIAN(MIN($BK$3:$BK$23), MAX($BK$3:$BK$23), AU43))), ABS($BK$3:$BK$23 - MEDIAN(MIN($BK$3:$BK$23), MAX($BK$3:$BK$23), AU43)), $BL$3:$BL$23, "Error", 0)</f>
        <v/>
      </c>
      <c r="AV72" s="30">
        <f>_xlfn.XLOOKUP(MIN(ABS($BK$3:$BK$23 - MEDIAN(MIN($BK$3:$BK$23), MAX($BK$3:$BK$23), AV43))), ABS($BK$3:$BK$23 - MEDIAN(MIN($BK$3:$BK$23), MAX($BK$3:$BK$23), AV43)), $BL$3:$BL$23, "Error", 0)</f>
        <v/>
      </c>
      <c r="AW72" s="30">
        <f>_xlfn.XLOOKUP(MIN(ABS($BK$3:$BK$23 - MEDIAN(MIN($BK$3:$BK$23), MAX($BK$3:$BK$23), AW43))), ABS($BK$3:$BK$23 - MEDIAN(MIN($BK$3:$BK$23), MAX($BK$3:$BK$23), AW43)), $BL$3:$BL$23, "Error", 0)</f>
        <v/>
      </c>
      <c r="AX72" s="30">
        <f>_xlfn.XLOOKUP(MIN(ABS($BK$3:$BK$23 - MEDIAN(MIN($BK$3:$BK$23), MAX($BK$3:$BK$23), AX43))), ABS($BK$3:$BK$23 - MEDIAN(MIN($BK$3:$BK$23), MAX($BK$3:$BK$23), AX43)), $BL$3:$BL$23, "Error", 0)</f>
        <v/>
      </c>
      <c r="AY72" s="30">
        <f>_xlfn.XLOOKUP(MIN(ABS($BK$3:$BK$23 - MEDIAN(MIN($BK$3:$BK$23), MAX($BK$3:$BK$23), AY43))), ABS($BK$3:$BK$23 - MEDIAN(MIN($BK$3:$BK$23), MAX($BK$3:$BK$23), AY43)), $BL$3:$BL$23, "Error", 0)</f>
        <v/>
      </c>
      <c r="AZ72" s="30">
        <f>_xlfn.XLOOKUP(MIN(ABS($BK$3:$BK$23 - MEDIAN(MIN($BK$3:$BK$23), MAX($BK$3:$BK$23), AZ43))), ABS($BK$3:$BK$23 - MEDIAN(MIN($BK$3:$BK$23), MAX($BK$3:$BK$23), AZ43)), $BL$3:$BL$23, "Error", 0)</f>
        <v/>
      </c>
      <c r="BA72" s="30">
        <f>_xlfn.XLOOKUP(MIN(ABS($BK$3:$BK$23 - MEDIAN(MIN($BK$3:$BK$23), MAX($BK$3:$BK$23), BA43))), ABS($BK$3:$BK$23 - MEDIAN(MIN($BK$3:$BK$23), MAX($BK$3:$BK$23), BA43)), $BL$3:$BL$23, "Error", 0)</f>
        <v/>
      </c>
      <c r="BB72" s="30">
        <f>_xlfn.XLOOKUP(MIN(ABS($BK$3:$BK$23 - MEDIAN(MIN($BK$3:$BK$23), MAX($BK$3:$BK$23), BB43))), ABS($BK$3:$BK$23 - MEDIAN(MIN($BK$3:$BK$23), MAX($BK$3:$BK$23), BB43)), $BL$3:$BL$23, "Error", 0)</f>
        <v/>
      </c>
      <c r="BC72" s="30">
        <f>_xlfn.XLOOKUP(MIN(ABS($BK$3:$BK$23 - MEDIAN(MIN($BK$3:$BK$23), MAX($BK$3:$BK$23), BC43))), ABS($BK$3:$BK$23 - MEDIAN(MIN($BK$3:$BK$23), MAX($BK$3:$BK$23), BC43)), $BL$3:$BL$23, "Error", 0)</f>
        <v/>
      </c>
      <c r="BD72" s="30">
        <f>_xlfn.XLOOKUP(MIN(ABS($BK$3:$BK$23 - MEDIAN(MIN($BK$3:$BK$23), MAX($BK$3:$BK$23), BD43))), ABS($BK$3:$BK$23 - MEDIAN(MIN($BK$3:$BK$23), MAX($BK$3:$BK$23), BD43)), $BL$3:$BL$23, "Error", 0)</f>
        <v/>
      </c>
      <c r="BE72" s="30">
        <f>_xlfn.XLOOKUP(MIN(ABS($BK$3:$BK$23 - MEDIAN(MIN($BK$3:$BK$23), MAX($BK$3:$BK$23), BE43))), ABS($BK$3:$BK$23 - MEDIAN(MIN($BK$3:$BK$23), MAX($BK$3:$BK$23), BE43)), $BL$3:$BL$23, "Error", 0)</f>
        <v/>
      </c>
      <c r="BF72" s="30">
        <f>_xlfn.XLOOKUP(MIN(ABS($BK$3:$BK$23 - MEDIAN(MIN($BK$3:$BK$23), MAX($BK$3:$BK$23), BF43))), ABS($BK$3:$BK$23 - MEDIAN(MIN($BK$3:$BK$23), MAX($BK$3:$BK$23), BF43)), $BL$3:$BL$23, "Error", 0)</f>
        <v/>
      </c>
      <c r="BG72" s="30">
        <f>_xlfn.XLOOKUP(MIN(ABS($BK$3:$BK$23 - MEDIAN(MIN($BK$3:$BK$23), MAX($BK$3:$BK$23), BG43))), ABS($BK$3:$BK$23 - MEDIAN(MIN($BK$3:$BK$23), MAX($BK$3:$BK$23), BG43)), $BL$3:$BL$23, "Error", 0)</f>
        <v/>
      </c>
      <c r="BH72" s="30">
        <f>_xlfn.XLOOKUP(MIN(ABS($BK$3:$BK$23 - MEDIAN(MIN($BK$3:$BK$23), MAX($BK$3:$BK$23), BH43))), ABS($BK$3:$BK$23 - MEDIAN(MIN($BK$3:$BK$23), MAX($BK$3:$BK$23), BH43)), $BL$3:$BL$23, "Error", 0)</f>
        <v/>
      </c>
      <c r="BI72" s="30">
        <f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>_xlfn.XLOOKUP(MIN(ABS($BK$3:$BK$23 - MEDIAN(MIN($BK$3:$BK$23), MAX($BK$3:$BK$23), N44))), ABS($BK$3:$BK$23 - MEDIAN(MIN($BK$3:$BK$23), MAX($BK$3:$BK$23), N44)), $BL$3:$BL$23, "Error", 0)</f>
        <v/>
      </c>
      <c r="O73" s="30">
        <f>_xlfn.XLOOKUP(MIN(ABS($BK$3:$BK$23 - MEDIAN(MIN($BK$3:$BK$23), MAX($BK$3:$BK$23), O44))), ABS($BK$3:$BK$23 - MEDIAN(MIN($BK$3:$BK$23), MAX($BK$3:$BK$23), O44)), $BL$3:$BL$23, "Error", 0)</f>
        <v/>
      </c>
      <c r="P73" s="30">
        <f>_xlfn.XLOOKUP(MIN(ABS($BK$3:$BK$23 - MEDIAN(MIN($BK$3:$BK$23), MAX($BK$3:$BK$23), P44))), ABS($BK$3:$BK$23 - MEDIAN(MIN($BK$3:$BK$23), MAX($BK$3:$BK$23), P44)), $BL$3:$BL$23, "Error", 0)</f>
        <v/>
      </c>
      <c r="Q73" s="30">
        <f>_xlfn.XLOOKUP(MIN(ABS($BK$3:$BK$23 - MEDIAN(MIN($BK$3:$BK$23), MAX($BK$3:$BK$23), Q44))), ABS($BK$3:$BK$23 - MEDIAN(MIN($BK$3:$BK$23), MAX($BK$3:$BK$23), Q44)), $BL$3:$BL$23, "Error", 0)</f>
        <v/>
      </c>
      <c r="R73" s="30">
        <f>_xlfn.XLOOKUP(MIN(ABS($BK$3:$BK$23 - MEDIAN(MIN($BK$3:$BK$23), MAX($BK$3:$BK$23), R44))), ABS($BK$3:$BK$23 - MEDIAN(MIN($BK$3:$BK$23), MAX($BK$3:$BK$23), R44)), $BL$3:$BL$23, "Error", 0)</f>
        <v/>
      </c>
      <c r="S73" s="30">
        <f>_xlfn.XLOOKUP(MIN(ABS($BK$3:$BK$23 - MEDIAN(MIN($BK$3:$BK$23), MAX($BK$3:$BK$23), S44))), ABS($BK$3:$BK$23 - MEDIAN(MIN($BK$3:$BK$23), MAX($BK$3:$BK$23), S44)), $BL$3:$BL$23, "Error", 0)</f>
        <v/>
      </c>
      <c r="T73" s="30">
        <f>_xlfn.XLOOKUP(MIN(ABS($BK$3:$BK$23 - MEDIAN(MIN($BK$3:$BK$23), MAX($BK$3:$BK$23), T44))), ABS($BK$3:$BK$23 - MEDIAN(MIN($BK$3:$BK$23), MAX($BK$3:$BK$23), T44)), $BL$3:$BL$23, "Error", 0)</f>
        <v/>
      </c>
      <c r="U73" s="30">
        <f>_xlfn.XLOOKUP(MIN(ABS($BK$3:$BK$23 - MEDIAN(MIN($BK$3:$BK$23), MAX($BK$3:$BK$23), U44))), ABS($BK$3:$BK$23 - MEDIAN(MIN($BK$3:$BK$23), MAX($BK$3:$BK$23), U44)), $BL$3:$BL$23, "Error", 0)</f>
        <v/>
      </c>
      <c r="V73" s="30">
        <f>_xlfn.XLOOKUP(MIN(ABS($BK$3:$BK$23 - MEDIAN(MIN($BK$3:$BK$23), MAX($BK$3:$BK$23), V44))), ABS($BK$3:$BK$23 - MEDIAN(MIN($BK$3:$BK$23), MAX($BK$3:$BK$23), V44)), $BL$3:$BL$23, "Error", 0)</f>
        <v/>
      </c>
      <c r="W73" s="30">
        <f>_xlfn.XLOOKUP(MIN(ABS($BK$3:$BK$23 - MEDIAN(MIN($BK$3:$BK$23), MAX($BK$3:$BK$23), W44))), ABS($BK$3:$BK$23 - MEDIAN(MIN($BK$3:$BK$23), MAX($BK$3:$BK$23), W44)), $BL$3:$BL$23, "Error", 0)</f>
        <v/>
      </c>
      <c r="X73" s="30">
        <f>_xlfn.XLOOKUP(MIN(ABS($BK$3:$BK$23 - MEDIAN(MIN($BK$3:$BK$23), MAX($BK$3:$BK$23), X44))), ABS($BK$3:$BK$23 - MEDIAN(MIN($BK$3:$BK$23), MAX($BK$3:$BK$23), X44)), $BL$3:$BL$23, "Error", 0)</f>
        <v/>
      </c>
      <c r="Y73" s="30">
        <f>_xlfn.XLOOKUP(MIN(ABS($BK$3:$BK$23 - MEDIAN(MIN($BK$3:$BK$23), MAX($BK$3:$BK$23), Y44))), ABS($BK$3:$BK$23 - MEDIAN(MIN($BK$3:$BK$23), MAX($BK$3:$BK$23), Y44)), $BL$3:$BL$23, "Error", 0)</f>
        <v/>
      </c>
      <c r="Z73" s="30">
        <f>_xlfn.XLOOKUP(MIN(ABS($BK$3:$BK$23 - MEDIAN(MIN($BK$3:$BK$23), MAX($BK$3:$BK$23), Z44))), ABS($BK$3:$BK$23 - MEDIAN(MIN($BK$3:$BK$23), MAX($BK$3:$BK$23), Z44)), $BL$3:$BL$23, "Error", 0)</f>
        <v/>
      </c>
      <c r="AA73" s="30">
        <f>_xlfn.XLOOKUP(MIN(ABS($BK$3:$BK$23 - MEDIAN(MIN($BK$3:$BK$23), MAX($BK$3:$BK$23), AA44))), ABS($BK$3:$BK$23 - MEDIAN(MIN($BK$3:$BK$23), MAX($BK$3:$BK$23), AA44)), $BL$3:$BL$23, "Error", 0)</f>
        <v/>
      </c>
      <c r="AB73" s="30">
        <f>_xlfn.XLOOKUP(MIN(ABS($BK$3:$BK$23 - MEDIAN(MIN($BK$3:$BK$23), MAX($BK$3:$BK$23), AB44))), ABS($BK$3:$BK$23 - MEDIAN(MIN($BK$3:$BK$23), MAX($BK$3:$BK$23), AB44)), $BL$3:$BL$23, "Error", 0)</f>
        <v/>
      </c>
      <c r="AC73" s="30">
        <f>_xlfn.XLOOKUP(MIN(ABS($BK$3:$BK$23 - MEDIAN(MIN($BK$3:$BK$23), MAX($BK$3:$BK$23), AC44))), ABS($BK$3:$BK$23 - MEDIAN(MIN($BK$3:$BK$23), MAX($BK$3:$BK$23), AC44)), $BL$3:$BL$23, "Error", 0)</f>
        <v/>
      </c>
      <c r="AD73" s="30">
        <f>_xlfn.XLOOKUP(MIN(ABS($BK$3:$BK$23 - MEDIAN(MIN($BK$3:$BK$23), MAX($BK$3:$BK$23), AD44))), ABS($BK$3:$BK$23 - MEDIAN(MIN($BK$3:$BK$23), MAX($BK$3:$BK$23), AD44)), $BL$3:$BL$23, "Error", 0)</f>
        <v/>
      </c>
      <c r="AE73" s="30">
        <f>_xlfn.XLOOKUP(MIN(ABS($BK$3:$BK$23 - MEDIAN(MIN($BK$3:$BK$23), MAX($BK$3:$BK$23), AE44))), ABS($BK$3:$BK$23 - MEDIAN(MIN($BK$3:$BK$23), MAX($BK$3:$BK$23), AE44)), $BL$3:$BL$23, "Error", 0)</f>
        <v/>
      </c>
      <c r="AF73" s="30">
        <f>_xlfn.XLOOKUP(MIN(ABS($BK$3:$BK$23 - MEDIAN(MIN($BK$3:$BK$23), MAX($BK$3:$BK$23), AF44))), ABS($BK$3:$BK$23 - MEDIAN(MIN($BK$3:$BK$23), MAX($BK$3:$BK$23), AF44)), $BL$3:$BL$23, "Error", 0)</f>
        <v/>
      </c>
      <c r="AG73" s="30">
        <f>_xlfn.XLOOKUP(MIN(ABS($BK$3:$BK$23 - MEDIAN(MIN($BK$3:$BK$23), MAX($BK$3:$BK$23), AG44))), ABS($BK$3:$BK$23 - MEDIAN(MIN($BK$3:$BK$23), MAX($BK$3:$BK$23), AG44)), $BL$3:$BL$23, "Error", 0)</f>
        <v/>
      </c>
      <c r="AH73" s="30">
        <f>_xlfn.XLOOKUP(MIN(ABS($BK$3:$BK$23 - MEDIAN(MIN($BK$3:$BK$23), MAX($BK$3:$BK$23), AH44))), ABS($BK$3:$BK$23 - MEDIAN(MIN($BK$3:$BK$23), MAX($BK$3:$BK$23), AH44)), $BL$3:$BL$23, "Error", 0)</f>
        <v/>
      </c>
      <c r="AI73" s="30">
        <f>_xlfn.XLOOKUP(MIN(ABS($BK$3:$BK$23 - MEDIAN(MIN($BK$3:$BK$23), MAX($BK$3:$BK$23), AI44))), ABS($BK$3:$BK$23 - MEDIAN(MIN($BK$3:$BK$23), MAX($BK$3:$BK$23), AI44)), $BL$3:$BL$23, "Error", 0)</f>
        <v/>
      </c>
      <c r="AJ73" s="30">
        <f>_xlfn.XLOOKUP(MIN(ABS($BK$3:$BK$23 - MEDIAN(MIN($BK$3:$BK$23), MAX($BK$3:$BK$23), AJ44))), ABS($BK$3:$BK$23 - MEDIAN(MIN($BK$3:$BK$23), MAX($BK$3:$BK$23), AJ44)), $BL$3:$BL$23, "Error", 0)</f>
        <v/>
      </c>
      <c r="AK73" s="30">
        <f>_xlfn.XLOOKUP(MIN(ABS($BK$3:$BK$23 - MEDIAN(MIN($BK$3:$BK$23), MAX($BK$3:$BK$23), AK44))), ABS($BK$3:$BK$23 - MEDIAN(MIN($BK$3:$BK$23), MAX($BK$3:$BK$23), AK44)), $BL$3:$BL$23, "Error", 0)</f>
        <v/>
      </c>
      <c r="AL73" s="30">
        <f>_xlfn.XLOOKUP(MIN(ABS($BK$3:$BK$23 - MEDIAN(MIN($BK$3:$BK$23), MAX($BK$3:$BK$23), AL44))), ABS($BK$3:$BK$23 - MEDIAN(MIN($BK$3:$BK$23), MAX($BK$3:$BK$23), AL44)), $BL$3:$BL$23, "Error", 0)</f>
        <v/>
      </c>
      <c r="AM73" s="30">
        <f>_xlfn.XLOOKUP(MIN(ABS($BK$3:$BK$23 - MEDIAN(MIN($BK$3:$BK$23), MAX($BK$3:$BK$23), AM44))), ABS($BK$3:$BK$23 - MEDIAN(MIN($BK$3:$BK$23), MAX($BK$3:$BK$23), AM44)), $BL$3:$BL$23, "Error", 0)</f>
        <v/>
      </c>
      <c r="AN73" s="30">
        <f>_xlfn.XLOOKUP(MIN(ABS($BK$3:$BK$23 - MEDIAN(MIN($BK$3:$BK$23), MAX($BK$3:$BK$23), AN44))), ABS($BK$3:$BK$23 - MEDIAN(MIN($BK$3:$BK$23), MAX($BK$3:$BK$23), AN44)), $BL$3:$BL$23, "Error", 0)</f>
        <v/>
      </c>
      <c r="AO73" s="30">
        <f>_xlfn.XLOOKUP(MIN(ABS($BK$3:$BK$23 - MEDIAN(MIN($BK$3:$BK$23), MAX($BK$3:$BK$23), AO44))), ABS($BK$3:$BK$23 - MEDIAN(MIN($BK$3:$BK$23), MAX($BK$3:$BK$23), AO44)), $BL$3:$BL$23, "Error", 0)</f>
        <v/>
      </c>
      <c r="AP73" s="30">
        <f>_xlfn.XLOOKUP(MIN(ABS($BK$3:$BK$23 - MEDIAN(MIN($BK$3:$BK$23), MAX($BK$3:$BK$23), AP44))), ABS($BK$3:$BK$23 - MEDIAN(MIN($BK$3:$BK$23), MAX($BK$3:$BK$23), AP44)), $BL$3:$BL$23, "Error", 0)</f>
        <v/>
      </c>
      <c r="AQ73" s="30">
        <f>_xlfn.XLOOKUP(MIN(ABS($BK$3:$BK$23 - MEDIAN(MIN($BK$3:$BK$23), MAX($BK$3:$BK$23), AQ44))), ABS($BK$3:$BK$23 - MEDIAN(MIN($BK$3:$BK$23), MAX($BK$3:$BK$23), AQ44)), $BL$3:$BL$23, "Error", 0)</f>
        <v/>
      </c>
      <c r="AR73" s="30">
        <f>_xlfn.XLOOKUP(MIN(ABS($BK$3:$BK$23 - MEDIAN(MIN($BK$3:$BK$23), MAX($BK$3:$BK$23), AR44))), ABS($BK$3:$BK$23 - MEDIAN(MIN($BK$3:$BK$23), MAX($BK$3:$BK$23), AR44)), $BL$3:$BL$23, "Error", 0)</f>
        <v/>
      </c>
      <c r="AS73" s="30">
        <f>_xlfn.XLOOKUP(MIN(ABS($BK$3:$BK$23 - MEDIAN(MIN($BK$3:$BK$23), MAX($BK$3:$BK$23), AS44))), ABS($BK$3:$BK$23 - MEDIAN(MIN($BK$3:$BK$23), MAX($BK$3:$BK$23), AS44)), $BL$3:$BL$23, "Error", 0)</f>
        <v/>
      </c>
      <c r="AT73" s="30">
        <f>_xlfn.XLOOKUP(MIN(ABS($BK$3:$BK$23 - MEDIAN(MIN($BK$3:$BK$23), MAX($BK$3:$BK$23), AT44))), ABS($BK$3:$BK$23 - MEDIAN(MIN($BK$3:$BK$23), MAX($BK$3:$BK$23), AT44)), $BL$3:$BL$23, "Error", 0)</f>
        <v/>
      </c>
      <c r="AU73" s="30">
        <f>_xlfn.XLOOKUP(MIN(ABS($BK$3:$BK$23 - MEDIAN(MIN($BK$3:$BK$23), MAX($BK$3:$BK$23), AU44))), ABS($BK$3:$BK$23 - MEDIAN(MIN($BK$3:$BK$23), MAX($BK$3:$BK$23), AU44)), $BL$3:$BL$23, "Error", 0)</f>
        <v/>
      </c>
      <c r="AV73" s="30">
        <f>_xlfn.XLOOKUP(MIN(ABS($BK$3:$BK$23 - MEDIAN(MIN($BK$3:$BK$23), MAX($BK$3:$BK$23), AV44))), ABS($BK$3:$BK$23 - MEDIAN(MIN($BK$3:$BK$23), MAX($BK$3:$BK$23), AV44)), $BL$3:$BL$23, "Error", 0)</f>
        <v/>
      </c>
      <c r="AW73" s="30">
        <f>_xlfn.XLOOKUP(MIN(ABS($BK$3:$BK$23 - MEDIAN(MIN($BK$3:$BK$23), MAX($BK$3:$BK$23), AW44))), ABS($BK$3:$BK$23 - MEDIAN(MIN($BK$3:$BK$23), MAX($BK$3:$BK$23), AW44)), $BL$3:$BL$23, "Error", 0)</f>
        <v/>
      </c>
      <c r="AX73" s="30">
        <f>_xlfn.XLOOKUP(MIN(ABS($BK$3:$BK$23 - MEDIAN(MIN($BK$3:$BK$23), MAX($BK$3:$BK$23), AX44))), ABS($BK$3:$BK$23 - MEDIAN(MIN($BK$3:$BK$23), MAX($BK$3:$BK$23), AX44)), $BL$3:$BL$23, "Error", 0)</f>
        <v/>
      </c>
      <c r="AY73" s="30">
        <f>_xlfn.XLOOKUP(MIN(ABS($BK$3:$BK$23 - MEDIAN(MIN($BK$3:$BK$23), MAX($BK$3:$BK$23), AY44))), ABS($BK$3:$BK$23 - MEDIAN(MIN($BK$3:$BK$23), MAX($BK$3:$BK$23), AY44)), $BL$3:$BL$23, "Error", 0)</f>
        <v/>
      </c>
      <c r="AZ73" s="30">
        <f>_xlfn.XLOOKUP(MIN(ABS($BK$3:$BK$23 - MEDIAN(MIN($BK$3:$BK$23), MAX($BK$3:$BK$23), AZ44))), ABS($BK$3:$BK$23 - MEDIAN(MIN($BK$3:$BK$23), MAX($BK$3:$BK$23), AZ44)), $BL$3:$BL$23, "Error", 0)</f>
        <v/>
      </c>
      <c r="BA73" s="30">
        <f>_xlfn.XLOOKUP(MIN(ABS($BK$3:$BK$23 - MEDIAN(MIN($BK$3:$BK$23), MAX($BK$3:$BK$23), BA44))), ABS($BK$3:$BK$23 - MEDIAN(MIN($BK$3:$BK$23), MAX($BK$3:$BK$23), BA44)), $BL$3:$BL$23, "Error", 0)</f>
        <v/>
      </c>
      <c r="BB73" s="30">
        <f>_xlfn.XLOOKUP(MIN(ABS($BK$3:$BK$23 - MEDIAN(MIN($BK$3:$BK$23), MAX($BK$3:$BK$23), BB44))), ABS($BK$3:$BK$23 - MEDIAN(MIN($BK$3:$BK$23), MAX($BK$3:$BK$23), BB44)), $BL$3:$BL$23, "Error", 0)</f>
        <v/>
      </c>
      <c r="BC73" s="30">
        <f>_xlfn.XLOOKUP(MIN(ABS($BK$3:$BK$23 - MEDIAN(MIN($BK$3:$BK$23), MAX($BK$3:$BK$23), BC44))), ABS($BK$3:$BK$23 - MEDIAN(MIN($BK$3:$BK$23), MAX($BK$3:$BK$23), BC44)), $BL$3:$BL$23, "Error", 0)</f>
        <v/>
      </c>
      <c r="BD73" s="30">
        <f>_xlfn.XLOOKUP(MIN(ABS($BK$3:$BK$23 - MEDIAN(MIN($BK$3:$BK$23), MAX($BK$3:$BK$23), BD44))), ABS($BK$3:$BK$23 - MEDIAN(MIN($BK$3:$BK$23), MAX($BK$3:$BK$23), BD44)), $BL$3:$BL$23, "Error", 0)</f>
        <v/>
      </c>
      <c r="BE73" s="30">
        <f>_xlfn.XLOOKUP(MIN(ABS($BK$3:$BK$23 - MEDIAN(MIN($BK$3:$BK$23), MAX($BK$3:$BK$23), BE44))), ABS($BK$3:$BK$23 - MEDIAN(MIN($BK$3:$BK$23), MAX($BK$3:$BK$23), BE44)), $BL$3:$BL$23, "Error", 0)</f>
        <v/>
      </c>
      <c r="BF73" s="30">
        <f>_xlfn.XLOOKUP(MIN(ABS($BK$3:$BK$23 - MEDIAN(MIN($BK$3:$BK$23), MAX($BK$3:$BK$23), BF44))), ABS($BK$3:$BK$23 - MEDIAN(MIN($BK$3:$BK$23), MAX($BK$3:$BK$23), BF44)), $BL$3:$BL$23, "Error", 0)</f>
        <v/>
      </c>
      <c r="BG73" s="30">
        <f>_xlfn.XLOOKUP(MIN(ABS($BK$3:$BK$23 - MEDIAN(MIN($BK$3:$BK$23), MAX($BK$3:$BK$23), BG44))), ABS($BK$3:$BK$23 - MEDIAN(MIN($BK$3:$BK$23), MAX($BK$3:$BK$23), BG44)), $BL$3:$BL$23, "Error", 0)</f>
        <v/>
      </c>
      <c r="BH73" s="30">
        <f>_xlfn.XLOOKUP(MIN(ABS($BK$3:$BK$23 - MEDIAN(MIN($BK$3:$BK$23), MAX($BK$3:$BK$23), BH44))), ABS($BK$3:$BK$23 - MEDIAN(MIN($BK$3:$BK$23), MAX($BK$3:$BK$23), BH44)), $BL$3:$BL$23, "Error", 0)</f>
        <v/>
      </c>
      <c r="BI73" s="30">
        <f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>_xlfn.XLOOKUP(MIN(ABS($BK$3:$BK$23 - MEDIAN(MIN($BK$3:$BK$23), MAX($BK$3:$BK$23), N45))), ABS($BK$3:$BK$23 - MEDIAN(MIN($BK$3:$BK$23), MAX($BK$3:$BK$23), N45)), $BL$3:$BL$23, "Error", 0)</f>
        <v/>
      </c>
      <c r="O74" s="30">
        <f>_xlfn.XLOOKUP(MIN(ABS($BK$3:$BK$23 - MEDIAN(MIN($BK$3:$BK$23), MAX($BK$3:$BK$23), O45))), ABS($BK$3:$BK$23 - MEDIAN(MIN($BK$3:$BK$23), MAX($BK$3:$BK$23), O45)), $BL$3:$BL$23, "Error", 0)</f>
        <v/>
      </c>
      <c r="P74" s="30">
        <f>_xlfn.XLOOKUP(MIN(ABS($BK$3:$BK$23 - MEDIAN(MIN($BK$3:$BK$23), MAX($BK$3:$BK$23), P45))), ABS($BK$3:$BK$23 - MEDIAN(MIN($BK$3:$BK$23), MAX($BK$3:$BK$23), P45)), $BL$3:$BL$23, "Error", 0)</f>
        <v/>
      </c>
      <c r="Q74" s="30">
        <f>_xlfn.XLOOKUP(MIN(ABS($BK$3:$BK$23 - MEDIAN(MIN($BK$3:$BK$23), MAX($BK$3:$BK$23), Q45))), ABS($BK$3:$BK$23 - MEDIAN(MIN($BK$3:$BK$23), MAX($BK$3:$BK$23), Q45)), $BL$3:$BL$23, "Error", 0)</f>
        <v/>
      </c>
      <c r="R74" s="30">
        <f>_xlfn.XLOOKUP(MIN(ABS($BK$3:$BK$23 - MEDIAN(MIN($BK$3:$BK$23), MAX($BK$3:$BK$23), R45))), ABS($BK$3:$BK$23 - MEDIAN(MIN($BK$3:$BK$23), MAX($BK$3:$BK$23), R45)), $BL$3:$BL$23, "Error", 0)</f>
        <v/>
      </c>
      <c r="S74" s="30">
        <f>_xlfn.XLOOKUP(MIN(ABS($BK$3:$BK$23 - MEDIAN(MIN($BK$3:$BK$23), MAX($BK$3:$BK$23), S45))), ABS($BK$3:$BK$23 - MEDIAN(MIN($BK$3:$BK$23), MAX($BK$3:$BK$23), S45)), $BL$3:$BL$23, "Error", 0)</f>
        <v/>
      </c>
      <c r="T74" s="30">
        <f>_xlfn.XLOOKUP(MIN(ABS($BK$3:$BK$23 - MEDIAN(MIN($BK$3:$BK$23), MAX($BK$3:$BK$23), T45))), ABS($BK$3:$BK$23 - MEDIAN(MIN($BK$3:$BK$23), MAX($BK$3:$BK$23), T45)), $BL$3:$BL$23, "Error", 0)</f>
        <v/>
      </c>
      <c r="U74" s="30">
        <f>_xlfn.XLOOKUP(MIN(ABS($BK$3:$BK$23 - MEDIAN(MIN($BK$3:$BK$23), MAX($BK$3:$BK$23), U45))), ABS($BK$3:$BK$23 - MEDIAN(MIN($BK$3:$BK$23), MAX($BK$3:$BK$23), U45)), $BL$3:$BL$23, "Error", 0)</f>
        <v/>
      </c>
      <c r="V74" s="30">
        <f>_xlfn.XLOOKUP(MIN(ABS($BK$3:$BK$23 - MEDIAN(MIN($BK$3:$BK$23), MAX($BK$3:$BK$23), V45))), ABS($BK$3:$BK$23 - MEDIAN(MIN($BK$3:$BK$23), MAX($BK$3:$BK$23), V45)), $BL$3:$BL$23, "Error", 0)</f>
        <v/>
      </c>
      <c r="W74" s="30">
        <f>_xlfn.XLOOKUP(MIN(ABS($BK$3:$BK$23 - MEDIAN(MIN($BK$3:$BK$23), MAX($BK$3:$BK$23), W45))), ABS($BK$3:$BK$23 - MEDIAN(MIN($BK$3:$BK$23), MAX($BK$3:$BK$23), W45)), $BL$3:$BL$23, "Error", 0)</f>
        <v/>
      </c>
      <c r="X74" s="30">
        <f>_xlfn.XLOOKUP(MIN(ABS($BK$3:$BK$23 - MEDIAN(MIN($BK$3:$BK$23), MAX($BK$3:$BK$23), X45))), ABS($BK$3:$BK$23 - MEDIAN(MIN($BK$3:$BK$23), MAX($BK$3:$BK$23), X45)), $BL$3:$BL$23, "Error", 0)</f>
        <v/>
      </c>
      <c r="Y74" s="30">
        <f>_xlfn.XLOOKUP(MIN(ABS($BK$3:$BK$23 - MEDIAN(MIN($BK$3:$BK$23), MAX($BK$3:$BK$23), Y45))), ABS($BK$3:$BK$23 - MEDIAN(MIN($BK$3:$BK$23), MAX($BK$3:$BK$23), Y45)), $BL$3:$BL$23, "Error", 0)</f>
        <v/>
      </c>
      <c r="Z74" s="30">
        <f>_xlfn.XLOOKUP(MIN(ABS($BK$3:$BK$23 - MEDIAN(MIN($BK$3:$BK$23), MAX($BK$3:$BK$23), Z45))), ABS($BK$3:$BK$23 - MEDIAN(MIN($BK$3:$BK$23), MAX($BK$3:$BK$23), Z45)), $BL$3:$BL$23, "Error", 0)</f>
        <v/>
      </c>
      <c r="AA74" s="30">
        <f>_xlfn.XLOOKUP(MIN(ABS($BK$3:$BK$23 - MEDIAN(MIN($BK$3:$BK$23), MAX($BK$3:$BK$23), AA45))), ABS($BK$3:$BK$23 - MEDIAN(MIN($BK$3:$BK$23), MAX($BK$3:$BK$23), AA45)), $BL$3:$BL$23, "Error", 0)</f>
        <v/>
      </c>
      <c r="AB74" s="30">
        <f>_xlfn.XLOOKUP(MIN(ABS($BK$3:$BK$23 - MEDIAN(MIN($BK$3:$BK$23), MAX($BK$3:$BK$23), AB45))), ABS($BK$3:$BK$23 - MEDIAN(MIN($BK$3:$BK$23), MAX($BK$3:$BK$23), AB45)), $BL$3:$BL$23, "Error", 0)</f>
        <v/>
      </c>
      <c r="AC74" s="30">
        <f>_xlfn.XLOOKUP(MIN(ABS($BK$3:$BK$23 - MEDIAN(MIN($BK$3:$BK$23), MAX($BK$3:$BK$23), AC45))), ABS($BK$3:$BK$23 - MEDIAN(MIN($BK$3:$BK$23), MAX($BK$3:$BK$23), AC45)), $BL$3:$BL$23, "Error", 0)</f>
        <v/>
      </c>
      <c r="AD74" s="30">
        <f>_xlfn.XLOOKUP(MIN(ABS($BK$3:$BK$23 - MEDIAN(MIN($BK$3:$BK$23), MAX($BK$3:$BK$23), AD45))), ABS($BK$3:$BK$23 - MEDIAN(MIN($BK$3:$BK$23), MAX($BK$3:$BK$23), AD45)), $BL$3:$BL$23, "Error", 0)</f>
        <v/>
      </c>
      <c r="AE74" s="30">
        <f>_xlfn.XLOOKUP(MIN(ABS($BK$3:$BK$23 - MEDIAN(MIN($BK$3:$BK$23), MAX($BK$3:$BK$23), AE45))), ABS($BK$3:$BK$23 - MEDIAN(MIN($BK$3:$BK$23), MAX($BK$3:$BK$23), AE45)), $BL$3:$BL$23, "Error", 0)</f>
        <v/>
      </c>
      <c r="AF74" s="30">
        <f>_xlfn.XLOOKUP(MIN(ABS($BK$3:$BK$23 - MEDIAN(MIN($BK$3:$BK$23), MAX($BK$3:$BK$23), AF45))), ABS($BK$3:$BK$23 - MEDIAN(MIN($BK$3:$BK$23), MAX($BK$3:$BK$23), AF45)), $BL$3:$BL$23, "Error", 0)</f>
        <v/>
      </c>
      <c r="AG74" s="30">
        <f>_xlfn.XLOOKUP(MIN(ABS($BK$3:$BK$23 - MEDIAN(MIN($BK$3:$BK$23), MAX($BK$3:$BK$23), AG45))), ABS($BK$3:$BK$23 - MEDIAN(MIN($BK$3:$BK$23), MAX($BK$3:$BK$23), AG45)), $BL$3:$BL$23, "Error", 0)</f>
        <v/>
      </c>
      <c r="AH74" s="30">
        <f>_xlfn.XLOOKUP(MIN(ABS($BK$3:$BK$23 - MEDIAN(MIN($BK$3:$BK$23), MAX($BK$3:$BK$23), AH45))), ABS($BK$3:$BK$23 - MEDIAN(MIN($BK$3:$BK$23), MAX($BK$3:$BK$23), AH45)), $BL$3:$BL$23, "Error", 0)</f>
        <v/>
      </c>
      <c r="AI74" s="30">
        <f>_xlfn.XLOOKUP(MIN(ABS($BK$3:$BK$23 - MEDIAN(MIN($BK$3:$BK$23), MAX($BK$3:$BK$23), AI45))), ABS($BK$3:$BK$23 - MEDIAN(MIN($BK$3:$BK$23), MAX($BK$3:$BK$23), AI45)), $BL$3:$BL$23, "Error", 0)</f>
        <v/>
      </c>
      <c r="AJ74" s="30">
        <f>_xlfn.XLOOKUP(MIN(ABS($BK$3:$BK$23 - MEDIAN(MIN($BK$3:$BK$23), MAX($BK$3:$BK$23), AJ45))), ABS($BK$3:$BK$23 - MEDIAN(MIN($BK$3:$BK$23), MAX($BK$3:$BK$23), AJ45)), $BL$3:$BL$23, "Error", 0)</f>
        <v/>
      </c>
      <c r="AK74" s="30">
        <f>_xlfn.XLOOKUP(MIN(ABS($BK$3:$BK$23 - MEDIAN(MIN($BK$3:$BK$23), MAX($BK$3:$BK$23), AK45))), ABS($BK$3:$BK$23 - MEDIAN(MIN($BK$3:$BK$23), MAX($BK$3:$BK$23), AK45)), $BL$3:$BL$23, "Error", 0)</f>
        <v/>
      </c>
      <c r="AL74" s="30">
        <f>_xlfn.XLOOKUP(MIN(ABS($BK$3:$BK$23 - MEDIAN(MIN($BK$3:$BK$23), MAX($BK$3:$BK$23), AL45))), ABS($BK$3:$BK$23 - MEDIAN(MIN($BK$3:$BK$23), MAX($BK$3:$BK$23), AL45)), $BL$3:$BL$23, "Error", 0)</f>
        <v/>
      </c>
      <c r="AM74" s="30">
        <f>_xlfn.XLOOKUP(MIN(ABS($BK$3:$BK$23 - MEDIAN(MIN($BK$3:$BK$23), MAX($BK$3:$BK$23), AM45))), ABS($BK$3:$BK$23 - MEDIAN(MIN($BK$3:$BK$23), MAX($BK$3:$BK$23), AM45)), $BL$3:$BL$23, "Error", 0)</f>
        <v/>
      </c>
      <c r="AN74" s="30">
        <f>_xlfn.XLOOKUP(MIN(ABS($BK$3:$BK$23 - MEDIAN(MIN($BK$3:$BK$23), MAX($BK$3:$BK$23), AN45))), ABS($BK$3:$BK$23 - MEDIAN(MIN($BK$3:$BK$23), MAX($BK$3:$BK$23), AN45)), $BL$3:$BL$23, "Error", 0)</f>
        <v/>
      </c>
      <c r="AO74" s="30">
        <f>_xlfn.XLOOKUP(MIN(ABS($BK$3:$BK$23 - MEDIAN(MIN($BK$3:$BK$23), MAX($BK$3:$BK$23), AO45))), ABS($BK$3:$BK$23 - MEDIAN(MIN($BK$3:$BK$23), MAX($BK$3:$BK$23), AO45)), $BL$3:$BL$23, "Error", 0)</f>
        <v/>
      </c>
      <c r="AP74" s="30">
        <f>_xlfn.XLOOKUP(MIN(ABS($BK$3:$BK$23 - MEDIAN(MIN($BK$3:$BK$23), MAX($BK$3:$BK$23), AP45))), ABS($BK$3:$BK$23 - MEDIAN(MIN($BK$3:$BK$23), MAX($BK$3:$BK$23), AP45)), $BL$3:$BL$23, "Error", 0)</f>
        <v/>
      </c>
      <c r="AQ74" s="30">
        <f>_xlfn.XLOOKUP(MIN(ABS($BK$3:$BK$23 - MEDIAN(MIN($BK$3:$BK$23), MAX($BK$3:$BK$23), AQ45))), ABS($BK$3:$BK$23 - MEDIAN(MIN($BK$3:$BK$23), MAX($BK$3:$BK$23), AQ45)), $BL$3:$BL$23, "Error", 0)</f>
        <v/>
      </c>
      <c r="AR74" s="30">
        <f>_xlfn.XLOOKUP(MIN(ABS($BK$3:$BK$23 - MEDIAN(MIN($BK$3:$BK$23), MAX($BK$3:$BK$23), AR45))), ABS($BK$3:$BK$23 - MEDIAN(MIN($BK$3:$BK$23), MAX($BK$3:$BK$23), AR45)), $BL$3:$BL$23, "Error", 0)</f>
        <v/>
      </c>
      <c r="AS74" s="30">
        <f>_xlfn.XLOOKUP(MIN(ABS($BK$3:$BK$23 - MEDIAN(MIN($BK$3:$BK$23), MAX($BK$3:$BK$23), AS45))), ABS($BK$3:$BK$23 - MEDIAN(MIN($BK$3:$BK$23), MAX($BK$3:$BK$23), AS45)), $BL$3:$BL$23, "Error", 0)</f>
        <v/>
      </c>
      <c r="AT74" s="30">
        <f>_xlfn.XLOOKUP(MIN(ABS($BK$3:$BK$23 - MEDIAN(MIN($BK$3:$BK$23), MAX($BK$3:$BK$23), AT45))), ABS($BK$3:$BK$23 - MEDIAN(MIN($BK$3:$BK$23), MAX($BK$3:$BK$23), AT45)), $BL$3:$BL$23, "Error", 0)</f>
        <v/>
      </c>
      <c r="AU74" s="30">
        <f>_xlfn.XLOOKUP(MIN(ABS($BK$3:$BK$23 - MEDIAN(MIN($BK$3:$BK$23), MAX($BK$3:$BK$23), AU45))), ABS($BK$3:$BK$23 - MEDIAN(MIN($BK$3:$BK$23), MAX($BK$3:$BK$23), AU45)), $BL$3:$BL$23, "Error", 0)</f>
        <v/>
      </c>
      <c r="AV74" s="30">
        <f>_xlfn.XLOOKUP(MIN(ABS($BK$3:$BK$23 - MEDIAN(MIN($BK$3:$BK$23), MAX($BK$3:$BK$23), AV45))), ABS($BK$3:$BK$23 - MEDIAN(MIN($BK$3:$BK$23), MAX($BK$3:$BK$23), AV45)), $BL$3:$BL$23, "Error", 0)</f>
        <v/>
      </c>
      <c r="AW74" s="30">
        <f>_xlfn.XLOOKUP(MIN(ABS($BK$3:$BK$23 - MEDIAN(MIN($BK$3:$BK$23), MAX($BK$3:$BK$23), AW45))), ABS($BK$3:$BK$23 - MEDIAN(MIN($BK$3:$BK$23), MAX($BK$3:$BK$23), AW45)), $BL$3:$BL$23, "Error", 0)</f>
        <v/>
      </c>
      <c r="AX74" s="30">
        <f>_xlfn.XLOOKUP(MIN(ABS($BK$3:$BK$23 - MEDIAN(MIN($BK$3:$BK$23), MAX($BK$3:$BK$23), AX45))), ABS($BK$3:$BK$23 - MEDIAN(MIN($BK$3:$BK$23), MAX($BK$3:$BK$23), AX45)), $BL$3:$BL$23, "Error", 0)</f>
        <v/>
      </c>
      <c r="AY74" s="30">
        <f>_xlfn.XLOOKUP(MIN(ABS($BK$3:$BK$23 - MEDIAN(MIN($BK$3:$BK$23), MAX($BK$3:$BK$23), AY45))), ABS($BK$3:$BK$23 - MEDIAN(MIN($BK$3:$BK$23), MAX($BK$3:$BK$23), AY45)), $BL$3:$BL$23, "Error", 0)</f>
        <v/>
      </c>
      <c r="AZ74" s="30">
        <f>_xlfn.XLOOKUP(MIN(ABS($BK$3:$BK$23 - MEDIAN(MIN($BK$3:$BK$23), MAX($BK$3:$BK$23), AZ45))), ABS($BK$3:$BK$23 - MEDIAN(MIN($BK$3:$BK$23), MAX($BK$3:$BK$23), AZ45)), $BL$3:$BL$23, "Error", 0)</f>
        <v/>
      </c>
      <c r="BA74" s="30">
        <f>_xlfn.XLOOKUP(MIN(ABS($BK$3:$BK$23 - MEDIAN(MIN($BK$3:$BK$23), MAX($BK$3:$BK$23), BA45))), ABS($BK$3:$BK$23 - MEDIAN(MIN($BK$3:$BK$23), MAX($BK$3:$BK$23), BA45)), $BL$3:$BL$23, "Error", 0)</f>
        <v/>
      </c>
      <c r="BB74" s="30">
        <f>_xlfn.XLOOKUP(MIN(ABS($BK$3:$BK$23 - MEDIAN(MIN($BK$3:$BK$23), MAX($BK$3:$BK$23), BB45))), ABS($BK$3:$BK$23 - MEDIAN(MIN($BK$3:$BK$23), MAX($BK$3:$BK$23), BB45)), $BL$3:$BL$23, "Error", 0)</f>
        <v/>
      </c>
      <c r="BC74" s="30">
        <f>_xlfn.XLOOKUP(MIN(ABS($BK$3:$BK$23 - MEDIAN(MIN($BK$3:$BK$23), MAX($BK$3:$BK$23), BC45))), ABS($BK$3:$BK$23 - MEDIAN(MIN($BK$3:$BK$23), MAX($BK$3:$BK$23), BC45)), $BL$3:$BL$23, "Error", 0)</f>
        <v/>
      </c>
      <c r="BD74" s="30">
        <f>_xlfn.XLOOKUP(MIN(ABS($BK$3:$BK$23 - MEDIAN(MIN($BK$3:$BK$23), MAX($BK$3:$BK$23), BD45))), ABS($BK$3:$BK$23 - MEDIAN(MIN($BK$3:$BK$23), MAX($BK$3:$BK$23), BD45)), $BL$3:$BL$23, "Error", 0)</f>
        <v/>
      </c>
      <c r="BE74" s="30">
        <f>_xlfn.XLOOKUP(MIN(ABS($BK$3:$BK$23 - MEDIAN(MIN($BK$3:$BK$23), MAX($BK$3:$BK$23), BE45))), ABS($BK$3:$BK$23 - MEDIAN(MIN($BK$3:$BK$23), MAX($BK$3:$BK$23), BE45)), $BL$3:$BL$23, "Error", 0)</f>
        <v/>
      </c>
      <c r="BF74" s="30">
        <f>_xlfn.XLOOKUP(MIN(ABS($BK$3:$BK$23 - MEDIAN(MIN($BK$3:$BK$23), MAX($BK$3:$BK$23), BF45))), ABS($BK$3:$BK$23 - MEDIAN(MIN($BK$3:$BK$23), MAX($BK$3:$BK$23), BF45)), $BL$3:$BL$23, "Error", 0)</f>
        <v/>
      </c>
      <c r="BG74" s="30">
        <f>_xlfn.XLOOKUP(MIN(ABS($BK$3:$BK$23 - MEDIAN(MIN($BK$3:$BK$23), MAX($BK$3:$BK$23), BG45))), ABS($BK$3:$BK$23 - MEDIAN(MIN($BK$3:$BK$23), MAX($BK$3:$BK$23), BG45)), $BL$3:$BL$23, "Error", 0)</f>
        <v/>
      </c>
      <c r="BH74" s="30">
        <f>_xlfn.XLOOKUP(MIN(ABS($BK$3:$BK$23 - MEDIAN(MIN($BK$3:$BK$23), MAX($BK$3:$BK$23), BH45))), ABS($BK$3:$BK$23 - MEDIAN(MIN($BK$3:$BK$23), MAX($BK$3:$BK$23), BH45)), $BL$3:$BL$23, "Error", 0)</f>
        <v/>
      </c>
      <c r="BI74" s="30">
        <f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>_xlfn.XLOOKUP(MIN(ABS($BK$3:$BK$23 - MEDIAN(MIN($BK$3:$BK$23), MAX($BK$3:$BK$23), N46))), ABS($BK$3:$BK$23 - MEDIAN(MIN($BK$3:$BK$23), MAX($BK$3:$BK$23), N46)), $BL$3:$BL$23, "Error", 0)</f>
        <v/>
      </c>
      <c r="O75" s="30">
        <f>_xlfn.XLOOKUP(MIN(ABS($BK$3:$BK$23 - MEDIAN(MIN($BK$3:$BK$23), MAX($BK$3:$BK$23), O46))), ABS($BK$3:$BK$23 - MEDIAN(MIN($BK$3:$BK$23), MAX($BK$3:$BK$23), O46)), $BL$3:$BL$23, "Error", 0)</f>
        <v/>
      </c>
      <c r="P75" s="30">
        <f>_xlfn.XLOOKUP(MIN(ABS($BK$3:$BK$23 - MEDIAN(MIN($BK$3:$BK$23), MAX($BK$3:$BK$23), P46))), ABS($BK$3:$BK$23 - MEDIAN(MIN($BK$3:$BK$23), MAX($BK$3:$BK$23), P46)), $BL$3:$BL$23, "Error", 0)</f>
        <v/>
      </c>
      <c r="Q75" s="30">
        <f>_xlfn.XLOOKUP(MIN(ABS($BK$3:$BK$23 - MEDIAN(MIN($BK$3:$BK$23), MAX($BK$3:$BK$23), Q46))), ABS($BK$3:$BK$23 - MEDIAN(MIN($BK$3:$BK$23), MAX($BK$3:$BK$23), Q46)), $BL$3:$BL$23, "Error", 0)</f>
        <v/>
      </c>
      <c r="R75" s="30">
        <f>_xlfn.XLOOKUP(MIN(ABS($BK$3:$BK$23 - MEDIAN(MIN($BK$3:$BK$23), MAX($BK$3:$BK$23), R46))), ABS($BK$3:$BK$23 - MEDIAN(MIN($BK$3:$BK$23), MAX($BK$3:$BK$23), R46)), $BL$3:$BL$23, "Error", 0)</f>
        <v/>
      </c>
      <c r="S75" s="30">
        <f>_xlfn.XLOOKUP(MIN(ABS($BK$3:$BK$23 - MEDIAN(MIN($BK$3:$BK$23), MAX($BK$3:$BK$23), S46))), ABS($BK$3:$BK$23 - MEDIAN(MIN($BK$3:$BK$23), MAX($BK$3:$BK$23), S46)), $BL$3:$BL$23, "Error", 0)</f>
        <v/>
      </c>
      <c r="T75" s="30">
        <f>_xlfn.XLOOKUP(MIN(ABS($BK$3:$BK$23 - MEDIAN(MIN($BK$3:$BK$23), MAX($BK$3:$BK$23), T46))), ABS($BK$3:$BK$23 - MEDIAN(MIN($BK$3:$BK$23), MAX($BK$3:$BK$23), T46)), $BL$3:$BL$23, "Error", 0)</f>
        <v/>
      </c>
      <c r="U75" s="30">
        <f>_xlfn.XLOOKUP(MIN(ABS($BK$3:$BK$23 - MEDIAN(MIN($BK$3:$BK$23), MAX($BK$3:$BK$23), U46))), ABS($BK$3:$BK$23 - MEDIAN(MIN($BK$3:$BK$23), MAX($BK$3:$BK$23), U46)), $BL$3:$BL$23, "Error", 0)</f>
        <v/>
      </c>
      <c r="V75" s="30">
        <f>_xlfn.XLOOKUP(MIN(ABS($BK$3:$BK$23 - MEDIAN(MIN($BK$3:$BK$23), MAX($BK$3:$BK$23), V46))), ABS($BK$3:$BK$23 - MEDIAN(MIN($BK$3:$BK$23), MAX($BK$3:$BK$23), V46)), $BL$3:$BL$23, "Error", 0)</f>
        <v/>
      </c>
      <c r="W75" s="30">
        <f>_xlfn.XLOOKUP(MIN(ABS($BK$3:$BK$23 - MEDIAN(MIN($BK$3:$BK$23), MAX($BK$3:$BK$23), W46))), ABS($BK$3:$BK$23 - MEDIAN(MIN($BK$3:$BK$23), MAX($BK$3:$BK$23), W46)), $BL$3:$BL$23, "Error", 0)</f>
        <v/>
      </c>
      <c r="X75" s="30">
        <f>_xlfn.XLOOKUP(MIN(ABS($BK$3:$BK$23 - MEDIAN(MIN($BK$3:$BK$23), MAX($BK$3:$BK$23), X46))), ABS($BK$3:$BK$23 - MEDIAN(MIN($BK$3:$BK$23), MAX($BK$3:$BK$23), X46)), $BL$3:$BL$23, "Error", 0)</f>
        <v/>
      </c>
      <c r="Y75" s="30">
        <f>_xlfn.XLOOKUP(MIN(ABS($BK$3:$BK$23 - MEDIAN(MIN($BK$3:$BK$23), MAX($BK$3:$BK$23), Y46))), ABS($BK$3:$BK$23 - MEDIAN(MIN($BK$3:$BK$23), MAX($BK$3:$BK$23), Y46)), $BL$3:$BL$23, "Error", 0)</f>
        <v/>
      </c>
      <c r="Z75" s="30">
        <f>_xlfn.XLOOKUP(MIN(ABS($BK$3:$BK$23 - MEDIAN(MIN($BK$3:$BK$23), MAX($BK$3:$BK$23), Z46))), ABS($BK$3:$BK$23 - MEDIAN(MIN($BK$3:$BK$23), MAX($BK$3:$BK$23), Z46)), $BL$3:$BL$23, "Error", 0)</f>
        <v/>
      </c>
      <c r="AA75" s="30">
        <f>_xlfn.XLOOKUP(MIN(ABS($BK$3:$BK$23 - MEDIAN(MIN($BK$3:$BK$23), MAX($BK$3:$BK$23), AA46))), ABS($BK$3:$BK$23 - MEDIAN(MIN($BK$3:$BK$23), MAX($BK$3:$BK$23), AA46)), $BL$3:$BL$23, "Error", 0)</f>
        <v/>
      </c>
      <c r="AB75" s="30">
        <f>_xlfn.XLOOKUP(MIN(ABS($BK$3:$BK$23 - MEDIAN(MIN($BK$3:$BK$23), MAX($BK$3:$BK$23), AB46))), ABS($BK$3:$BK$23 - MEDIAN(MIN($BK$3:$BK$23), MAX($BK$3:$BK$23), AB46)), $BL$3:$BL$23, "Error", 0)</f>
        <v/>
      </c>
      <c r="AC75" s="30">
        <f>_xlfn.XLOOKUP(MIN(ABS($BK$3:$BK$23 - MEDIAN(MIN($BK$3:$BK$23), MAX($BK$3:$BK$23), AC46))), ABS($BK$3:$BK$23 - MEDIAN(MIN($BK$3:$BK$23), MAX($BK$3:$BK$23), AC46)), $BL$3:$BL$23, "Error", 0)</f>
        <v/>
      </c>
      <c r="AD75" s="30">
        <f>_xlfn.XLOOKUP(MIN(ABS($BK$3:$BK$23 - MEDIAN(MIN($BK$3:$BK$23), MAX($BK$3:$BK$23), AD46))), ABS($BK$3:$BK$23 - MEDIAN(MIN($BK$3:$BK$23), MAX($BK$3:$BK$23), AD46)), $BL$3:$BL$23, "Error", 0)</f>
        <v/>
      </c>
      <c r="AE75" s="30">
        <f>_xlfn.XLOOKUP(MIN(ABS($BK$3:$BK$23 - MEDIAN(MIN($BK$3:$BK$23), MAX($BK$3:$BK$23), AE46))), ABS($BK$3:$BK$23 - MEDIAN(MIN($BK$3:$BK$23), MAX($BK$3:$BK$23), AE46)), $BL$3:$BL$23, "Error", 0)</f>
        <v/>
      </c>
      <c r="AF75" s="30">
        <f>_xlfn.XLOOKUP(MIN(ABS($BK$3:$BK$23 - MEDIAN(MIN($BK$3:$BK$23), MAX($BK$3:$BK$23), AF46))), ABS($BK$3:$BK$23 - MEDIAN(MIN($BK$3:$BK$23), MAX($BK$3:$BK$23), AF46)), $BL$3:$BL$23, "Error", 0)</f>
        <v/>
      </c>
      <c r="AG75" s="30">
        <f>_xlfn.XLOOKUP(MIN(ABS($BK$3:$BK$23 - MEDIAN(MIN($BK$3:$BK$23), MAX($BK$3:$BK$23), AG46))), ABS($BK$3:$BK$23 - MEDIAN(MIN($BK$3:$BK$23), MAX($BK$3:$BK$23), AG46)), $BL$3:$BL$23, "Error", 0)</f>
        <v/>
      </c>
      <c r="AH75" s="30">
        <f>_xlfn.XLOOKUP(MIN(ABS($BK$3:$BK$23 - MEDIAN(MIN($BK$3:$BK$23), MAX($BK$3:$BK$23), AH46))), ABS($BK$3:$BK$23 - MEDIAN(MIN($BK$3:$BK$23), MAX($BK$3:$BK$23), AH46)), $BL$3:$BL$23, "Error", 0)</f>
        <v/>
      </c>
      <c r="AI75" s="30">
        <f>_xlfn.XLOOKUP(MIN(ABS($BK$3:$BK$23 - MEDIAN(MIN($BK$3:$BK$23), MAX($BK$3:$BK$23), AI46))), ABS($BK$3:$BK$23 - MEDIAN(MIN($BK$3:$BK$23), MAX($BK$3:$BK$23), AI46)), $BL$3:$BL$23, "Error", 0)</f>
        <v/>
      </c>
      <c r="AJ75" s="30">
        <f>_xlfn.XLOOKUP(MIN(ABS($BK$3:$BK$23 - MEDIAN(MIN($BK$3:$BK$23), MAX($BK$3:$BK$23), AJ46))), ABS($BK$3:$BK$23 - MEDIAN(MIN($BK$3:$BK$23), MAX($BK$3:$BK$23), AJ46)), $BL$3:$BL$23, "Error", 0)</f>
        <v/>
      </c>
      <c r="AK75" s="30">
        <f>_xlfn.XLOOKUP(MIN(ABS($BK$3:$BK$23 - MEDIAN(MIN($BK$3:$BK$23), MAX($BK$3:$BK$23), AK46))), ABS($BK$3:$BK$23 - MEDIAN(MIN($BK$3:$BK$23), MAX($BK$3:$BK$23), AK46)), $BL$3:$BL$23, "Error", 0)</f>
        <v/>
      </c>
      <c r="AL75" s="30">
        <f>_xlfn.XLOOKUP(MIN(ABS($BK$3:$BK$23 - MEDIAN(MIN($BK$3:$BK$23), MAX($BK$3:$BK$23), AL46))), ABS($BK$3:$BK$23 - MEDIAN(MIN($BK$3:$BK$23), MAX($BK$3:$BK$23), AL46)), $BL$3:$BL$23, "Error", 0)</f>
        <v/>
      </c>
      <c r="AM75" s="30">
        <f>_xlfn.XLOOKUP(MIN(ABS($BK$3:$BK$23 - MEDIAN(MIN($BK$3:$BK$23), MAX($BK$3:$BK$23), AM46))), ABS($BK$3:$BK$23 - MEDIAN(MIN($BK$3:$BK$23), MAX($BK$3:$BK$23), AM46)), $BL$3:$BL$23, "Error", 0)</f>
        <v/>
      </c>
      <c r="AN75" s="30">
        <f>_xlfn.XLOOKUP(MIN(ABS($BK$3:$BK$23 - MEDIAN(MIN($BK$3:$BK$23), MAX($BK$3:$BK$23), AN46))), ABS($BK$3:$BK$23 - MEDIAN(MIN($BK$3:$BK$23), MAX($BK$3:$BK$23), AN46)), $BL$3:$BL$23, "Error", 0)</f>
        <v/>
      </c>
      <c r="AO75" s="30">
        <f>_xlfn.XLOOKUP(MIN(ABS($BK$3:$BK$23 - MEDIAN(MIN($BK$3:$BK$23), MAX($BK$3:$BK$23), AO46))), ABS($BK$3:$BK$23 - MEDIAN(MIN($BK$3:$BK$23), MAX($BK$3:$BK$23), AO46)), $BL$3:$BL$23, "Error", 0)</f>
        <v/>
      </c>
      <c r="AP75" s="30">
        <f>_xlfn.XLOOKUP(MIN(ABS($BK$3:$BK$23 - MEDIAN(MIN($BK$3:$BK$23), MAX($BK$3:$BK$23), AP46))), ABS($BK$3:$BK$23 - MEDIAN(MIN($BK$3:$BK$23), MAX($BK$3:$BK$23), AP46)), $BL$3:$BL$23, "Error", 0)</f>
        <v/>
      </c>
      <c r="AQ75" s="30">
        <f>_xlfn.XLOOKUP(MIN(ABS($BK$3:$BK$23 - MEDIAN(MIN($BK$3:$BK$23), MAX($BK$3:$BK$23), AQ46))), ABS($BK$3:$BK$23 - MEDIAN(MIN($BK$3:$BK$23), MAX($BK$3:$BK$23), AQ46)), $BL$3:$BL$23, "Error", 0)</f>
        <v/>
      </c>
      <c r="AR75" s="30">
        <f>_xlfn.XLOOKUP(MIN(ABS($BK$3:$BK$23 - MEDIAN(MIN($BK$3:$BK$23), MAX($BK$3:$BK$23), AR46))), ABS($BK$3:$BK$23 - MEDIAN(MIN($BK$3:$BK$23), MAX($BK$3:$BK$23), AR46)), $BL$3:$BL$23, "Error", 0)</f>
        <v/>
      </c>
      <c r="AS75" s="30">
        <f>_xlfn.XLOOKUP(MIN(ABS($BK$3:$BK$23 - MEDIAN(MIN($BK$3:$BK$23), MAX($BK$3:$BK$23), AS46))), ABS($BK$3:$BK$23 - MEDIAN(MIN($BK$3:$BK$23), MAX($BK$3:$BK$23), AS46)), $BL$3:$BL$23, "Error", 0)</f>
        <v/>
      </c>
      <c r="AT75" s="30">
        <f>_xlfn.XLOOKUP(MIN(ABS($BK$3:$BK$23 - MEDIAN(MIN($BK$3:$BK$23), MAX($BK$3:$BK$23), AT46))), ABS($BK$3:$BK$23 - MEDIAN(MIN($BK$3:$BK$23), MAX($BK$3:$BK$23), AT46)), $BL$3:$BL$23, "Error", 0)</f>
        <v/>
      </c>
      <c r="AU75" s="30">
        <f>_xlfn.XLOOKUP(MIN(ABS($BK$3:$BK$23 - MEDIAN(MIN($BK$3:$BK$23), MAX($BK$3:$BK$23), AU46))), ABS($BK$3:$BK$23 - MEDIAN(MIN($BK$3:$BK$23), MAX($BK$3:$BK$23), AU46)), $BL$3:$BL$23, "Error", 0)</f>
        <v/>
      </c>
      <c r="AV75" s="30">
        <f>_xlfn.XLOOKUP(MIN(ABS($BK$3:$BK$23 - MEDIAN(MIN($BK$3:$BK$23), MAX($BK$3:$BK$23), AV46))), ABS($BK$3:$BK$23 - MEDIAN(MIN($BK$3:$BK$23), MAX($BK$3:$BK$23), AV46)), $BL$3:$BL$23, "Error", 0)</f>
        <v/>
      </c>
      <c r="AW75" s="30">
        <f>_xlfn.XLOOKUP(MIN(ABS($BK$3:$BK$23 - MEDIAN(MIN($BK$3:$BK$23), MAX($BK$3:$BK$23), AW46))), ABS($BK$3:$BK$23 - MEDIAN(MIN($BK$3:$BK$23), MAX($BK$3:$BK$23), AW46)), $BL$3:$BL$23, "Error", 0)</f>
        <v/>
      </c>
      <c r="AX75" s="30">
        <f>_xlfn.XLOOKUP(MIN(ABS($BK$3:$BK$23 - MEDIAN(MIN($BK$3:$BK$23), MAX($BK$3:$BK$23), AX46))), ABS($BK$3:$BK$23 - MEDIAN(MIN($BK$3:$BK$23), MAX($BK$3:$BK$23), AX46)), $BL$3:$BL$23, "Error", 0)</f>
        <v/>
      </c>
      <c r="AY75" s="30">
        <f>_xlfn.XLOOKUP(MIN(ABS($BK$3:$BK$23 - MEDIAN(MIN($BK$3:$BK$23), MAX($BK$3:$BK$23), AY46))), ABS($BK$3:$BK$23 - MEDIAN(MIN($BK$3:$BK$23), MAX($BK$3:$BK$23), AY46)), $BL$3:$BL$23, "Error", 0)</f>
        <v/>
      </c>
      <c r="AZ75" s="30">
        <f>_xlfn.XLOOKUP(MIN(ABS($BK$3:$BK$23 - MEDIAN(MIN($BK$3:$BK$23), MAX($BK$3:$BK$23), AZ46))), ABS($BK$3:$BK$23 - MEDIAN(MIN($BK$3:$BK$23), MAX($BK$3:$BK$23), AZ46)), $BL$3:$BL$23, "Error", 0)</f>
        <v/>
      </c>
      <c r="BA75" s="30">
        <f>_xlfn.XLOOKUP(MIN(ABS($BK$3:$BK$23 - MEDIAN(MIN($BK$3:$BK$23), MAX($BK$3:$BK$23), BA46))), ABS($BK$3:$BK$23 - MEDIAN(MIN($BK$3:$BK$23), MAX($BK$3:$BK$23), BA46)), $BL$3:$BL$23, "Error", 0)</f>
        <v/>
      </c>
      <c r="BB75" s="30">
        <f>_xlfn.XLOOKUP(MIN(ABS($BK$3:$BK$23 - MEDIAN(MIN($BK$3:$BK$23), MAX($BK$3:$BK$23), BB46))), ABS($BK$3:$BK$23 - MEDIAN(MIN($BK$3:$BK$23), MAX($BK$3:$BK$23), BB46)), $BL$3:$BL$23, "Error", 0)</f>
        <v/>
      </c>
      <c r="BC75" s="30">
        <f>_xlfn.XLOOKUP(MIN(ABS($BK$3:$BK$23 - MEDIAN(MIN($BK$3:$BK$23), MAX($BK$3:$BK$23), BC46))), ABS($BK$3:$BK$23 - MEDIAN(MIN($BK$3:$BK$23), MAX($BK$3:$BK$23), BC46)), $BL$3:$BL$23, "Error", 0)</f>
        <v/>
      </c>
      <c r="BD75" s="30">
        <f>_xlfn.XLOOKUP(MIN(ABS($BK$3:$BK$23 - MEDIAN(MIN($BK$3:$BK$23), MAX($BK$3:$BK$23), BD46))), ABS($BK$3:$BK$23 - MEDIAN(MIN($BK$3:$BK$23), MAX($BK$3:$BK$23), BD46)), $BL$3:$BL$23, "Error", 0)</f>
        <v/>
      </c>
      <c r="BE75" s="30">
        <f>_xlfn.XLOOKUP(MIN(ABS($BK$3:$BK$23 - MEDIAN(MIN($BK$3:$BK$23), MAX($BK$3:$BK$23), BE46))), ABS($BK$3:$BK$23 - MEDIAN(MIN($BK$3:$BK$23), MAX($BK$3:$BK$23), BE46)), $BL$3:$BL$23, "Error", 0)</f>
        <v/>
      </c>
      <c r="BF75" s="30">
        <f>_xlfn.XLOOKUP(MIN(ABS($BK$3:$BK$23 - MEDIAN(MIN($BK$3:$BK$23), MAX($BK$3:$BK$23), BF46))), ABS($BK$3:$BK$23 - MEDIAN(MIN($BK$3:$BK$23), MAX($BK$3:$BK$23), BF46)), $BL$3:$BL$23, "Error", 0)</f>
        <v/>
      </c>
      <c r="BG75" s="30">
        <f>_xlfn.XLOOKUP(MIN(ABS($BK$3:$BK$23 - MEDIAN(MIN($BK$3:$BK$23), MAX($BK$3:$BK$23), BG46))), ABS($BK$3:$BK$23 - MEDIAN(MIN($BK$3:$BK$23), MAX($BK$3:$BK$23), BG46)), $BL$3:$BL$23, "Error", 0)</f>
        <v/>
      </c>
      <c r="BH75" s="30">
        <f>_xlfn.XLOOKUP(MIN(ABS($BK$3:$BK$23 - MEDIAN(MIN($BK$3:$BK$23), MAX($BK$3:$BK$23), BH46))), ABS($BK$3:$BK$23 - MEDIAN(MIN($BK$3:$BK$23), MAX($BK$3:$BK$23), BH46)), $BL$3:$BL$23, "Error", 0)</f>
        <v/>
      </c>
      <c r="BI75" s="30">
        <f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>_xlfn.XLOOKUP(MIN(ABS($BK$3:$BK$23 - MEDIAN(MIN($BK$3:$BK$23), MAX($BK$3:$BK$23), N47))), ABS($BK$3:$BK$23 - MEDIAN(MIN($BK$3:$BK$23), MAX($BK$3:$BK$23), N47)), $BL$3:$BL$23, "Error", 0)</f>
        <v/>
      </c>
      <c r="O76" s="30">
        <f>_xlfn.XLOOKUP(MIN(ABS($BK$3:$BK$23 - MEDIAN(MIN($BK$3:$BK$23), MAX($BK$3:$BK$23), O47))), ABS($BK$3:$BK$23 - MEDIAN(MIN($BK$3:$BK$23), MAX($BK$3:$BK$23), O47)), $BL$3:$BL$23, "Error", 0)</f>
        <v/>
      </c>
      <c r="P76" s="30">
        <f>_xlfn.XLOOKUP(MIN(ABS($BK$3:$BK$23 - MEDIAN(MIN($BK$3:$BK$23), MAX($BK$3:$BK$23), P47))), ABS($BK$3:$BK$23 - MEDIAN(MIN($BK$3:$BK$23), MAX($BK$3:$BK$23), P47)), $BL$3:$BL$23, "Error", 0)</f>
        <v/>
      </c>
      <c r="Q76" s="30">
        <f>_xlfn.XLOOKUP(MIN(ABS($BK$3:$BK$23 - MEDIAN(MIN($BK$3:$BK$23), MAX($BK$3:$BK$23), Q47))), ABS($BK$3:$BK$23 - MEDIAN(MIN($BK$3:$BK$23), MAX($BK$3:$BK$23), Q47)), $BL$3:$BL$23, "Error", 0)</f>
        <v/>
      </c>
      <c r="R76" s="30">
        <f>_xlfn.XLOOKUP(MIN(ABS($BK$3:$BK$23 - MEDIAN(MIN($BK$3:$BK$23), MAX($BK$3:$BK$23), R47))), ABS($BK$3:$BK$23 - MEDIAN(MIN($BK$3:$BK$23), MAX($BK$3:$BK$23), R47)), $BL$3:$BL$23, "Error", 0)</f>
        <v/>
      </c>
      <c r="S76" s="30">
        <f>_xlfn.XLOOKUP(MIN(ABS($BK$3:$BK$23 - MEDIAN(MIN($BK$3:$BK$23), MAX($BK$3:$BK$23), S47))), ABS($BK$3:$BK$23 - MEDIAN(MIN($BK$3:$BK$23), MAX($BK$3:$BK$23), S47)), $BL$3:$BL$23, "Error", 0)</f>
        <v/>
      </c>
      <c r="T76" s="30">
        <f>_xlfn.XLOOKUP(MIN(ABS($BK$3:$BK$23 - MEDIAN(MIN($BK$3:$BK$23), MAX($BK$3:$BK$23), T47))), ABS($BK$3:$BK$23 - MEDIAN(MIN($BK$3:$BK$23), MAX($BK$3:$BK$23), T47)), $BL$3:$BL$23, "Error", 0)</f>
        <v/>
      </c>
      <c r="U76" s="30">
        <f>_xlfn.XLOOKUP(MIN(ABS($BK$3:$BK$23 - MEDIAN(MIN($BK$3:$BK$23), MAX($BK$3:$BK$23), U47))), ABS($BK$3:$BK$23 - MEDIAN(MIN($BK$3:$BK$23), MAX($BK$3:$BK$23), U47)), $BL$3:$BL$23, "Error", 0)</f>
        <v/>
      </c>
      <c r="V76" s="30">
        <f>_xlfn.XLOOKUP(MIN(ABS($BK$3:$BK$23 - MEDIAN(MIN($BK$3:$BK$23), MAX($BK$3:$BK$23), V47))), ABS($BK$3:$BK$23 - MEDIAN(MIN($BK$3:$BK$23), MAX($BK$3:$BK$23), V47)), $BL$3:$BL$23, "Error", 0)</f>
        <v/>
      </c>
      <c r="W76" s="30">
        <f>_xlfn.XLOOKUP(MIN(ABS($BK$3:$BK$23 - MEDIAN(MIN($BK$3:$BK$23), MAX($BK$3:$BK$23), W47))), ABS($BK$3:$BK$23 - MEDIAN(MIN($BK$3:$BK$23), MAX($BK$3:$BK$23), W47)), $BL$3:$BL$23, "Error", 0)</f>
        <v/>
      </c>
      <c r="X76" s="30">
        <f>_xlfn.XLOOKUP(MIN(ABS($BK$3:$BK$23 - MEDIAN(MIN($BK$3:$BK$23), MAX($BK$3:$BK$23), X47))), ABS($BK$3:$BK$23 - MEDIAN(MIN($BK$3:$BK$23), MAX($BK$3:$BK$23), X47)), $BL$3:$BL$23, "Error", 0)</f>
        <v/>
      </c>
      <c r="Y76" s="30">
        <f>_xlfn.XLOOKUP(MIN(ABS($BK$3:$BK$23 - MEDIAN(MIN($BK$3:$BK$23), MAX($BK$3:$BK$23), Y47))), ABS($BK$3:$BK$23 - MEDIAN(MIN($BK$3:$BK$23), MAX($BK$3:$BK$23), Y47)), $BL$3:$BL$23, "Error", 0)</f>
        <v/>
      </c>
      <c r="Z76" s="30">
        <f>_xlfn.XLOOKUP(MIN(ABS($BK$3:$BK$23 - MEDIAN(MIN($BK$3:$BK$23), MAX($BK$3:$BK$23), Z47))), ABS($BK$3:$BK$23 - MEDIAN(MIN($BK$3:$BK$23), MAX($BK$3:$BK$23), Z47)), $BL$3:$BL$23, "Error", 0)</f>
        <v/>
      </c>
      <c r="AA76" s="30">
        <f>_xlfn.XLOOKUP(MIN(ABS($BK$3:$BK$23 - MEDIAN(MIN($BK$3:$BK$23), MAX($BK$3:$BK$23), AA47))), ABS($BK$3:$BK$23 - MEDIAN(MIN($BK$3:$BK$23), MAX($BK$3:$BK$23), AA47)), $BL$3:$BL$23, "Error", 0)</f>
        <v/>
      </c>
      <c r="AB76" s="30">
        <f>_xlfn.XLOOKUP(MIN(ABS($BK$3:$BK$23 - MEDIAN(MIN($BK$3:$BK$23), MAX($BK$3:$BK$23), AB47))), ABS($BK$3:$BK$23 - MEDIAN(MIN($BK$3:$BK$23), MAX($BK$3:$BK$23), AB47)), $BL$3:$BL$23, "Error", 0)</f>
        <v/>
      </c>
      <c r="AC76" s="30">
        <f>_xlfn.XLOOKUP(MIN(ABS($BK$3:$BK$23 - MEDIAN(MIN($BK$3:$BK$23), MAX($BK$3:$BK$23), AC47))), ABS($BK$3:$BK$23 - MEDIAN(MIN($BK$3:$BK$23), MAX($BK$3:$BK$23), AC47)), $BL$3:$BL$23, "Error", 0)</f>
        <v/>
      </c>
      <c r="AD76" s="30">
        <f>_xlfn.XLOOKUP(MIN(ABS($BK$3:$BK$23 - MEDIAN(MIN($BK$3:$BK$23), MAX($BK$3:$BK$23), AD47))), ABS($BK$3:$BK$23 - MEDIAN(MIN($BK$3:$BK$23), MAX($BK$3:$BK$23), AD47)), $BL$3:$BL$23, "Error", 0)</f>
        <v/>
      </c>
      <c r="AE76" s="30">
        <f>_xlfn.XLOOKUP(MIN(ABS($BK$3:$BK$23 - MEDIAN(MIN($BK$3:$BK$23), MAX($BK$3:$BK$23), AE47))), ABS($BK$3:$BK$23 - MEDIAN(MIN($BK$3:$BK$23), MAX($BK$3:$BK$23), AE47)), $BL$3:$BL$23, "Error", 0)</f>
        <v/>
      </c>
      <c r="AF76" s="30">
        <f>_xlfn.XLOOKUP(MIN(ABS($BK$3:$BK$23 - MEDIAN(MIN($BK$3:$BK$23), MAX($BK$3:$BK$23), AF47))), ABS($BK$3:$BK$23 - MEDIAN(MIN($BK$3:$BK$23), MAX($BK$3:$BK$23), AF47)), $BL$3:$BL$23, "Error", 0)</f>
        <v/>
      </c>
      <c r="AG76" s="30">
        <f>_xlfn.XLOOKUP(MIN(ABS($BK$3:$BK$23 - MEDIAN(MIN($BK$3:$BK$23), MAX($BK$3:$BK$23), AG47))), ABS($BK$3:$BK$23 - MEDIAN(MIN($BK$3:$BK$23), MAX($BK$3:$BK$23), AG47)), $BL$3:$BL$23, "Error", 0)</f>
        <v/>
      </c>
      <c r="AH76" s="30">
        <f>_xlfn.XLOOKUP(MIN(ABS($BK$3:$BK$23 - MEDIAN(MIN($BK$3:$BK$23), MAX($BK$3:$BK$23), AH47))), ABS($BK$3:$BK$23 - MEDIAN(MIN($BK$3:$BK$23), MAX($BK$3:$BK$23), AH47)), $BL$3:$BL$23, "Error", 0)</f>
        <v/>
      </c>
      <c r="AI76" s="30">
        <f>_xlfn.XLOOKUP(MIN(ABS($BK$3:$BK$23 - MEDIAN(MIN($BK$3:$BK$23), MAX($BK$3:$BK$23), AI47))), ABS($BK$3:$BK$23 - MEDIAN(MIN($BK$3:$BK$23), MAX($BK$3:$BK$23), AI47)), $BL$3:$BL$23, "Error", 0)</f>
        <v/>
      </c>
      <c r="AJ76" s="30">
        <f>_xlfn.XLOOKUP(MIN(ABS($BK$3:$BK$23 - MEDIAN(MIN($BK$3:$BK$23), MAX($BK$3:$BK$23), AJ47))), ABS($BK$3:$BK$23 - MEDIAN(MIN($BK$3:$BK$23), MAX($BK$3:$BK$23), AJ47)), $BL$3:$BL$23, "Error", 0)</f>
        <v/>
      </c>
      <c r="AK76" s="30">
        <f>_xlfn.XLOOKUP(MIN(ABS($BK$3:$BK$23 - MEDIAN(MIN($BK$3:$BK$23), MAX($BK$3:$BK$23), AK47))), ABS($BK$3:$BK$23 - MEDIAN(MIN($BK$3:$BK$23), MAX($BK$3:$BK$23), AK47)), $BL$3:$BL$23, "Error", 0)</f>
        <v/>
      </c>
      <c r="AL76" s="30">
        <f>_xlfn.XLOOKUP(MIN(ABS($BK$3:$BK$23 - MEDIAN(MIN($BK$3:$BK$23), MAX($BK$3:$BK$23), AL47))), ABS($BK$3:$BK$23 - MEDIAN(MIN($BK$3:$BK$23), MAX($BK$3:$BK$23), AL47)), $BL$3:$BL$23, "Error", 0)</f>
        <v/>
      </c>
      <c r="AM76" s="30">
        <f>_xlfn.XLOOKUP(MIN(ABS($BK$3:$BK$23 - MEDIAN(MIN($BK$3:$BK$23), MAX($BK$3:$BK$23), AM47))), ABS($BK$3:$BK$23 - MEDIAN(MIN($BK$3:$BK$23), MAX($BK$3:$BK$23), AM47)), $BL$3:$BL$23, "Error", 0)</f>
        <v/>
      </c>
      <c r="AN76" s="30">
        <f>_xlfn.XLOOKUP(MIN(ABS($BK$3:$BK$23 - MEDIAN(MIN($BK$3:$BK$23), MAX($BK$3:$BK$23), AN47))), ABS($BK$3:$BK$23 - MEDIAN(MIN($BK$3:$BK$23), MAX($BK$3:$BK$23), AN47)), $BL$3:$BL$23, "Error", 0)</f>
        <v/>
      </c>
      <c r="AO76" s="30">
        <f>_xlfn.XLOOKUP(MIN(ABS($BK$3:$BK$23 - MEDIAN(MIN($BK$3:$BK$23), MAX($BK$3:$BK$23), AO47))), ABS($BK$3:$BK$23 - MEDIAN(MIN($BK$3:$BK$23), MAX($BK$3:$BK$23), AO47)), $BL$3:$BL$23, "Error", 0)</f>
        <v/>
      </c>
      <c r="AP76" s="30">
        <f>_xlfn.XLOOKUP(MIN(ABS($BK$3:$BK$23 - MEDIAN(MIN($BK$3:$BK$23), MAX($BK$3:$BK$23), AP47))), ABS($BK$3:$BK$23 - MEDIAN(MIN($BK$3:$BK$23), MAX($BK$3:$BK$23), AP47)), $BL$3:$BL$23, "Error", 0)</f>
        <v/>
      </c>
      <c r="AQ76" s="30">
        <f>_xlfn.XLOOKUP(MIN(ABS($BK$3:$BK$23 - MEDIAN(MIN($BK$3:$BK$23), MAX($BK$3:$BK$23), AQ47))), ABS($BK$3:$BK$23 - MEDIAN(MIN($BK$3:$BK$23), MAX($BK$3:$BK$23), AQ47)), $BL$3:$BL$23, "Error", 0)</f>
        <v/>
      </c>
      <c r="AR76" s="30">
        <f>_xlfn.XLOOKUP(MIN(ABS($BK$3:$BK$23 - MEDIAN(MIN($BK$3:$BK$23), MAX($BK$3:$BK$23), AR47))), ABS($BK$3:$BK$23 - MEDIAN(MIN($BK$3:$BK$23), MAX($BK$3:$BK$23), AR47)), $BL$3:$BL$23, "Error", 0)</f>
        <v/>
      </c>
      <c r="AS76" s="30">
        <f>_xlfn.XLOOKUP(MIN(ABS($BK$3:$BK$23 - MEDIAN(MIN($BK$3:$BK$23), MAX($BK$3:$BK$23), AS47))), ABS($BK$3:$BK$23 - MEDIAN(MIN($BK$3:$BK$23), MAX($BK$3:$BK$23), AS47)), $BL$3:$BL$23, "Error", 0)</f>
        <v/>
      </c>
      <c r="AT76" s="30">
        <f>_xlfn.XLOOKUP(MIN(ABS($BK$3:$BK$23 - MEDIAN(MIN($BK$3:$BK$23), MAX($BK$3:$BK$23), AT47))), ABS($BK$3:$BK$23 - MEDIAN(MIN($BK$3:$BK$23), MAX($BK$3:$BK$23), AT47)), $BL$3:$BL$23, "Error", 0)</f>
        <v/>
      </c>
      <c r="AU76" s="30">
        <f>_xlfn.XLOOKUP(MIN(ABS($BK$3:$BK$23 - MEDIAN(MIN($BK$3:$BK$23), MAX($BK$3:$BK$23), AU47))), ABS($BK$3:$BK$23 - MEDIAN(MIN($BK$3:$BK$23), MAX($BK$3:$BK$23), AU47)), $BL$3:$BL$23, "Error", 0)</f>
        <v/>
      </c>
      <c r="AV76" s="30">
        <f>_xlfn.XLOOKUP(MIN(ABS($BK$3:$BK$23 - MEDIAN(MIN($BK$3:$BK$23), MAX($BK$3:$BK$23), AV47))), ABS($BK$3:$BK$23 - MEDIAN(MIN($BK$3:$BK$23), MAX($BK$3:$BK$23), AV47)), $BL$3:$BL$23, "Error", 0)</f>
        <v/>
      </c>
      <c r="AW76" s="30">
        <f>_xlfn.XLOOKUP(MIN(ABS($BK$3:$BK$23 - MEDIAN(MIN($BK$3:$BK$23), MAX($BK$3:$BK$23), AW47))), ABS($BK$3:$BK$23 - MEDIAN(MIN($BK$3:$BK$23), MAX($BK$3:$BK$23), AW47)), $BL$3:$BL$23, "Error", 0)</f>
        <v/>
      </c>
      <c r="AX76" s="30">
        <f>_xlfn.XLOOKUP(MIN(ABS($BK$3:$BK$23 - MEDIAN(MIN($BK$3:$BK$23), MAX($BK$3:$BK$23), AX47))), ABS($BK$3:$BK$23 - MEDIAN(MIN($BK$3:$BK$23), MAX($BK$3:$BK$23), AX47)), $BL$3:$BL$23, "Error", 0)</f>
        <v/>
      </c>
      <c r="AY76" s="30">
        <f>_xlfn.XLOOKUP(MIN(ABS($BK$3:$BK$23 - MEDIAN(MIN($BK$3:$BK$23), MAX($BK$3:$BK$23), AY47))), ABS($BK$3:$BK$23 - MEDIAN(MIN($BK$3:$BK$23), MAX($BK$3:$BK$23), AY47)), $BL$3:$BL$23, "Error", 0)</f>
        <v/>
      </c>
      <c r="AZ76" s="30">
        <f>_xlfn.XLOOKUP(MIN(ABS($BK$3:$BK$23 - MEDIAN(MIN($BK$3:$BK$23), MAX($BK$3:$BK$23), AZ47))), ABS($BK$3:$BK$23 - MEDIAN(MIN($BK$3:$BK$23), MAX($BK$3:$BK$23), AZ47)), $BL$3:$BL$23, "Error", 0)</f>
        <v/>
      </c>
      <c r="BA76" s="30">
        <f>_xlfn.XLOOKUP(MIN(ABS($BK$3:$BK$23 - MEDIAN(MIN($BK$3:$BK$23), MAX($BK$3:$BK$23), BA47))), ABS($BK$3:$BK$23 - MEDIAN(MIN($BK$3:$BK$23), MAX($BK$3:$BK$23), BA47)), $BL$3:$BL$23, "Error", 0)</f>
        <v/>
      </c>
      <c r="BB76" s="30">
        <f>_xlfn.XLOOKUP(MIN(ABS($BK$3:$BK$23 - MEDIAN(MIN($BK$3:$BK$23), MAX($BK$3:$BK$23), BB47))), ABS($BK$3:$BK$23 - MEDIAN(MIN($BK$3:$BK$23), MAX($BK$3:$BK$23), BB47)), $BL$3:$BL$23, "Error", 0)</f>
        <v/>
      </c>
      <c r="BC76" s="30">
        <f>_xlfn.XLOOKUP(MIN(ABS($BK$3:$BK$23 - MEDIAN(MIN($BK$3:$BK$23), MAX($BK$3:$BK$23), BC47))), ABS($BK$3:$BK$23 - MEDIAN(MIN($BK$3:$BK$23), MAX($BK$3:$BK$23), BC47)), $BL$3:$BL$23, "Error", 0)</f>
        <v/>
      </c>
      <c r="BD76" s="30">
        <f>_xlfn.XLOOKUP(MIN(ABS($BK$3:$BK$23 - MEDIAN(MIN($BK$3:$BK$23), MAX($BK$3:$BK$23), BD47))), ABS($BK$3:$BK$23 - MEDIAN(MIN($BK$3:$BK$23), MAX($BK$3:$BK$23), BD47)), $BL$3:$BL$23, "Error", 0)</f>
        <v/>
      </c>
      <c r="BE76" s="30">
        <f>_xlfn.XLOOKUP(MIN(ABS($BK$3:$BK$23 - MEDIAN(MIN($BK$3:$BK$23), MAX($BK$3:$BK$23), BE47))), ABS($BK$3:$BK$23 - MEDIAN(MIN($BK$3:$BK$23), MAX($BK$3:$BK$23), BE47)), $BL$3:$BL$23, "Error", 0)</f>
        <v/>
      </c>
      <c r="BF76" s="30">
        <f>_xlfn.XLOOKUP(MIN(ABS($BK$3:$BK$23 - MEDIAN(MIN($BK$3:$BK$23), MAX($BK$3:$BK$23), BF47))), ABS($BK$3:$BK$23 - MEDIAN(MIN($BK$3:$BK$23), MAX($BK$3:$BK$23), BF47)), $BL$3:$BL$23, "Error", 0)</f>
        <v/>
      </c>
      <c r="BG76" s="30">
        <f>_xlfn.XLOOKUP(MIN(ABS($BK$3:$BK$23 - MEDIAN(MIN($BK$3:$BK$23), MAX($BK$3:$BK$23), BG47))), ABS($BK$3:$BK$23 - MEDIAN(MIN($BK$3:$BK$23), MAX($BK$3:$BK$23), BG47)), $BL$3:$BL$23, "Error", 0)</f>
        <v/>
      </c>
      <c r="BH76" s="30">
        <f>_xlfn.XLOOKUP(MIN(ABS($BK$3:$BK$23 - MEDIAN(MIN($BK$3:$BK$23), MAX($BK$3:$BK$23), BH47))), ABS($BK$3:$BK$23 - MEDIAN(MIN($BK$3:$BK$23), MAX($BK$3:$BK$23), BH47)), $BL$3:$BL$23, "Error", 0)</f>
        <v/>
      </c>
      <c r="BI76" s="30">
        <f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>_xlfn.XLOOKUP(MIN(ABS($BK$3:$BK$23 - MEDIAN(MIN($BK$3:$BK$23), MAX($BK$3:$BK$23), N48))), ABS($BK$3:$BK$23 - MEDIAN(MIN($BK$3:$BK$23), MAX($BK$3:$BK$23), N48)), $BL$3:$BL$23, "Error", 0)</f>
        <v/>
      </c>
      <c r="O77" s="30">
        <f>_xlfn.XLOOKUP(MIN(ABS($BK$3:$BK$23 - MEDIAN(MIN($BK$3:$BK$23), MAX($BK$3:$BK$23), O48))), ABS($BK$3:$BK$23 - MEDIAN(MIN($BK$3:$BK$23), MAX($BK$3:$BK$23), O48)), $BL$3:$BL$23, "Error", 0)</f>
        <v/>
      </c>
      <c r="P77" s="30">
        <f>_xlfn.XLOOKUP(MIN(ABS($BK$3:$BK$23 - MEDIAN(MIN($BK$3:$BK$23), MAX($BK$3:$BK$23), P48))), ABS($BK$3:$BK$23 - MEDIAN(MIN($BK$3:$BK$23), MAX($BK$3:$BK$23), P48)), $BL$3:$BL$23, "Error", 0)</f>
        <v/>
      </c>
      <c r="Q77" s="30">
        <f>_xlfn.XLOOKUP(MIN(ABS($BK$3:$BK$23 - MEDIAN(MIN($BK$3:$BK$23), MAX($BK$3:$BK$23), Q48))), ABS($BK$3:$BK$23 - MEDIAN(MIN($BK$3:$BK$23), MAX($BK$3:$BK$23), Q48)), $BL$3:$BL$23, "Error", 0)</f>
        <v/>
      </c>
      <c r="R77" s="30">
        <f>_xlfn.XLOOKUP(MIN(ABS($BK$3:$BK$23 - MEDIAN(MIN($BK$3:$BK$23), MAX($BK$3:$BK$23), R48))), ABS($BK$3:$BK$23 - MEDIAN(MIN($BK$3:$BK$23), MAX($BK$3:$BK$23), R48)), $BL$3:$BL$23, "Error", 0)</f>
        <v/>
      </c>
      <c r="S77" s="30">
        <f>_xlfn.XLOOKUP(MIN(ABS($BK$3:$BK$23 - MEDIAN(MIN($BK$3:$BK$23), MAX($BK$3:$BK$23), S48))), ABS($BK$3:$BK$23 - MEDIAN(MIN($BK$3:$BK$23), MAX($BK$3:$BK$23), S48)), $BL$3:$BL$23, "Error", 0)</f>
        <v/>
      </c>
      <c r="T77" s="30">
        <f>_xlfn.XLOOKUP(MIN(ABS($BK$3:$BK$23 - MEDIAN(MIN($BK$3:$BK$23), MAX($BK$3:$BK$23), T48))), ABS($BK$3:$BK$23 - MEDIAN(MIN($BK$3:$BK$23), MAX($BK$3:$BK$23), T48)), $BL$3:$BL$23, "Error", 0)</f>
        <v/>
      </c>
      <c r="U77" s="30">
        <f>_xlfn.XLOOKUP(MIN(ABS($BK$3:$BK$23 - MEDIAN(MIN($BK$3:$BK$23), MAX($BK$3:$BK$23), U48))), ABS($BK$3:$BK$23 - MEDIAN(MIN($BK$3:$BK$23), MAX($BK$3:$BK$23), U48)), $BL$3:$BL$23, "Error", 0)</f>
        <v/>
      </c>
      <c r="V77" s="30">
        <f>_xlfn.XLOOKUP(MIN(ABS($BK$3:$BK$23 - MEDIAN(MIN($BK$3:$BK$23), MAX($BK$3:$BK$23), V48))), ABS($BK$3:$BK$23 - MEDIAN(MIN($BK$3:$BK$23), MAX($BK$3:$BK$23), V48)), $BL$3:$BL$23, "Error", 0)</f>
        <v/>
      </c>
      <c r="W77" s="30">
        <f>_xlfn.XLOOKUP(MIN(ABS($BK$3:$BK$23 - MEDIAN(MIN($BK$3:$BK$23), MAX($BK$3:$BK$23), W48))), ABS($BK$3:$BK$23 - MEDIAN(MIN($BK$3:$BK$23), MAX($BK$3:$BK$23), W48)), $BL$3:$BL$23, "Error", 0)</f>
        <v/>
      </c>
      <c r="X77" s="30">
        <f>_xlfn.XLOOKUP(MIN(ABS($BK$3:$BK$23 - MEDIAN(MIN($BK$3:$BK$23), MAX($BK$3:$BK$23), X48))), ABS($BK$3:$BK$23 - MEDIAN(MIN($BK$3:$BK$23), MAX($BK$3:$BK$23), X48)), $BL$3:$BL$23, "Error", 0)</f>
        <v/>
      </c>
      <c r="Y77" s="30">
        <f>_xlfn.XLOOKUP(MIN(ABS($BK$3:$BK$23 - MEDIAN(MIN($BK$3:$BK$23), MAX($BK$3:$BK$23), Y48))), ABS($BK$3:$BK$23 - MEDIAN(MIN($BK$3:$BK$23), MAX($BK$3:$BK$23), Y48)), $BL$3:$BL$23, "Error", 0)</f>
        <v/>
      </c>
      <c r="Z77" s="30">
        <f>_xlfn.XLOOKUP(MIN(ABS($BK$3:$BK$23 - MEDIAN(MIN($BK$3:$BK$23), MAX($BK$3:$BK$23), Z48))), ABS($BK$3:$BK$23 - MEDIAN(MIN($BK$3:$BK$23), MAX($BK$3:$BK$23), Z48)), $BL$3:$BL$23, "Error", 0)</f>
        <v/>
      </c>
      <c r="AA77" s="30">
        <f>_xlfn.XLOOKUP(MIN(ABS($BK$3:$BK$23 - MEDIAN(MIN($BK$3:$BK$23), MAX($BK$3:$BK$23), AA48))), ABS($BK$3:$BK$23 - MEDIAN(MIN($BK$3:$BK$23), MAX($BK$3:$BK$23), AA48)), $BL$3:$BL$23, "Error", 0)</f>
        <v/>
      </c>
      <c r="AB77" s="30">
        <f>_xlfn.XLOOKUP(MIN(ABS($BK$3:$BK$23 - MEDIAN(MIN($BK$3:$BK$23), MAX($BK$3:$BK$23), AB48))), ABS($BK$3:$BK$23 - MEDIAN(MIN($BK$3:$BK$23), MAX($BK$3:$BK$23), AB48)), $BL$3:$BL$23, "Error", 0)</f>
        <v/>
      </c>
      <c r="AC77" s="30">
        <f>_xlfn.XLOOKUP(MIN(ABS($BK$3:$BK$23 - MEDIAN(MIN($BK$3:$BK$23), MAX($BK$3:$BK$23), AC48))), ABS($BK$3:$BK$23 - MEDIAN(MIN($BK$3:$BK$23), MAX($BK$3:$BK$23), AC48)), $BL$3:$BL$23, "Error", 0)</f>
        <v/>
      </c>
      <c r="AD77" s="30">
        <f>_xlfn.XLOOKUP(MIN(ABS($BK$3:$BK$23 - MEDIAN(MIN($BK$3:$BK$23), MAX($BK$3:$BK$23), AD48))), ABS($BK$3:$BK$23 - MEDIAN(MIN($BK$3:$BK$23), MAX($BK$3:$BK$23), AD48)), $BL$3:$BL$23, "Error", 0)</f>
        <v/>
      </c>
      <c r="AE77" s="30">
        <f>_xlfn.XLOOKUP(MIN(ABS($BK$3:$BK$23 - MEDIAN(MIN($BK$3:$BK$23), MAX($BK$3:$BK$23), AE48))), ABS($BK$3:$BK$23 - MEDIAN(MIN($BK$3:$BK$23), MAX($BK$3:$BK$23), AE48)), $BL$3:$BL$23, "Error", 0)</f>
        <v/>
      </c>
      <c r="AF77" s="30">
        <f>_xlfn.XLOOKUP(MIN(ABS($BK$3:$BK$23 - MEDIAN(MIN($BK$3:$BK$23), MAX($BK$3:$BK$23), AF48))), ABS($BK$3:$BK$23 - MEDIAN(MIN($BK$3:$BK$23), MAX($BK$3:$BK$23), AF48)), $BL$3:$BL$23, "Error", 0)</f>
        <v/>
      </c>
      <c r="AG77" s="30">
        <f>_xlfn.XLOOKUP(MIN(ABS($BK$3:$BK$23 - MEDIAN(MIN($BK$3:$BK$23), MAX($BK$3:$BK$23), AG48))), ABS($BK$3:$BK$23 - MEDIAN(MIN($BK$3:$BK$23), MAX($BK$3:$BK$23), AG48)), $BL$3:$BL$23, "Error", 0)</f>
        <v/>
      </c>
      <c r="AH77" s="30">
        <f>_xlfn.XLOOKUP(MIN(ABS($BK$3:$BK$23 - MEDIAN(MIN($BK$3:$BK$23), MAX($BK$3:$BK$23), AH48))), ABS($BK$3:$BK$23 - MEDIAN(MIN($BK$3:$BK$23), MAX($BK$3:$BK$23), AH48)), $BL$3:$BL$23, "Error", 0)</f>
        <v/>
      </c>
      <c r="AI77" s="30">
        <f>_xlfn.XLOOKUP(MIN(ABS($BK$3:$BK$23 - MEDIAN(MIN($BK$3:$BK$23), MAX($BK$3:$BK$23), AI48))), ABS($BK$3:$BK$23 - MEDIAN(MIN($BK$3:$BK$23), MAX($BK$3:$BK$23), AI48)), $BL$3:$BL$23, "Error", 0)</f>
        <v/>
      </c>
      <c r="AJ77" s="30">
        <f>_xlfn.XLOOKUP(MIN(ABS($BK$3:$BK$23 - MEDIAN(MIN($BK$3:$BK$23), MAX($BK$3:$BK$23), AJ48))), ABS($BK$3:$BK$23 - MEDIAN(MIN($BK$3:$BK$23), MAX($BK$3:$BK$23), AJ48)), $BL$3:$BL$23, "Error", 0)</f>
        <v/>
      </c>
      <c r="AK77" s="30">
        <f>_xlfn.XLOOKUP(MIN(ABS($BK$3:$BK$23 - MEDIAN(MIN($BK$3:$BK$23), MAX($BK$3:$BK$23), AK48))), ABS($BK$3:$BK$23 - MEDIAN(MIN($BK$3:$BK$23), MAX($BK$3:$BK$23), AK48)), $BL$3:$BL$23, "Error", 0)</f>
        <v/>
      </c>
      <c r="AL77" s="30">
        <f>_xlfn.XLOOKUP(MIN(ABS($BK$3:$BK$23 - MEDIAN(MIN($BK$3:$BK$23), MAX($BK$3:$BK$23), AL48))), ABS($BK$3:$BK$23 - MEDIAN(MIN($BK$3:$BK$23), MAX($BK$3:$BK$23), AL48)), $BL$3:$BL$23, "Error", 0)</f>
        <v/>
      </c>
      <c r="AM77" s="30">
        <f>_xlfn.XLOOKUP(MIN(ABS($BK$3:$BK$23 - MEDIAN(MIN($BK$3:$BK$23), MAX($BK$3:$BK$23), AM48))), ABS($BK$3:$BK$23 - MEDIAN(MIN($BK$3:$BK$23), MAX($BK$3:$BK$23), AM48)), $BL$3:$BL$23, "Error", 0)</f>
        <v/>
      </c>
      <c r="AN77" s="30">
        <f>_xlfn.XLOOKUP(MIN(ABS($BK$3:$BK$23 - MEDIAN(MIN($BK$3:$BK$23), MAX($BK$3:$BK$23), AN48))), ABS($BK$3:$BK$23 - MEDIAN(MIN($BK$3:$BK$23), MAX($BK$3:$BK$23), AN48)), $BL$3:$BL$23, "Error", 0)</f>
        <v/>
      </c>
      <c r="AO77" s="30">
        <f>_xlfn.XLOOKUP(MIN(ABS($BK$3:$BK$23 - MEDIAN(MIN($BK$3:$BK$23), MAX($BK$3:$BK$23), AO48))), ABS($BK$3:$BK$23 - MEDIAN(MIN($BK$3:$BK$23), MAX($BK$3:$BK$23), AO48)), $BL$3:$BL$23, "Error", 0)</f>
        <v/>
      </c>
      <c r="AP77" s="30">
        <f>_xlfn.XLOOKUP(MIN(ABS($BK$3:$BK$23 - MEDIAN(MIN($BK$3:$BK$23), MAX($BK$3:$BK$23), AP48))), ABS($BK$3:$BK$23 - MEDIAN(MIN($BK$3:$BK$23), MAX($BK$3:$BK$23), AP48)), $BL$3:$BL$23, "Error", 0)</f>
        <v/>
      </c>
      <c r="AQ77" s="30">
        <f>_xlfn.XLOOKUP(MIN(ABS($BK$3:$BK$23 - MEDIAN(MIN($BK$3:$BK$23), MAX($BK$3:$BK$23), AQ48))), ABS($BK$3:$BK$23 - MEDIAN(MIN($BK$3:$BK$23), MAX($BK$3:$BK$23), AQ48)), $BL$3:$BL$23, "Error", 0)</f>
        <v/>
      </c>
      <c r="AR77" s="30">
        <f>_xlfn.XLOOKUP(MIN(ABS($BK$3:$BK$23 - MEDIAN(MIN($BK$3:$BK$23), MAX($BK$3:$BK$23), AR48))), ABS($BK$3:$BK$23 - MEDIAN(MIN($BK$3:$BK$23), MAX($BK$3:$BK$23), AR48)), $BL$3:$BL$23, "Error", 0)</f>
        <v/>
      </c>
      <c r="AS77" s="30">
        <f>_xlfn.XLOOKUP(MIN(ABS($BK$3:$BK$23 - MEDIAN(MIN($BK$3:$BK$23), MAX($BK$3:$BK$23), AS48))), ABS($BK$3:$BK$23 - MEDIAN(MIN($BK$3:$BK$23), MAX($BK$3:$BK$23), AS48)), $BL$3:$BL$23, "Error", 0)</f>
        <v/>
      </c>
      <c r="AT77" s="30">
        <f>_xlfn.XLOOKUP(MIN(ABS($BK$3:$BK$23 - MEDIAN(MIN($BK$3:$BK$23), MAX($BK$3:$BK$23), AT48))), ABS($BK$3:$BK$23 - MEDIAN(MIN($BK$3:$BK$23), MAX($BK$3:$BK$23), AT48)), $BL$3:$BL$23, "Error", 0)</f>
        <v/>
      </c>
      <c r="AU77" s="30">
        <f>_xlfn.XLOOKUP(MIN(ABS($BK$3:$BK$23 - MEDIAN(MIN($BK$3:$BK$23), MAX($BK$3:$BK$23), AU48))), ABS($BK$3:$BK$23 - MEDIAN(MIN($BK$3:$BK$23), MAX($BK$3:$BK$23), AU48)), $BL$3:$BL$23, "Error", 0)</f>
        <v/>
      </c>
      <c r="AV77" s="30">
        <f>_xlfn.XLOOKUP(MIN(ABS($BK$3:$BK$23 - MEDIAN(MIN($BK$3:$BK$23), MAX($BK$3:$BK$23), AV48))), ABS($BK$3:$BK$23 - MEDIAN(MIN($BK$3:$BK$23), MAX($BK$3:$BK$23), AV48)), $BL$3:$BL$23, "Error", 0)</f>
        <v/>
      </c>
      <c r="AW77" s="30">
        <f>_xlfn.XLOOKUP(MIN(ABS($BK$3:$BK$23 - MEDIAN(MIN($BK$3:$BK$23), MAX($BK$3:$BK$23), AW48))), ABS($BK$3:$BK$23 - MEDIAN(MIN($BK$3:$BK$23), MAX($BK$3:$BK$23), AW48)), $BL$3:$BL$23, "Error", 0)</f>
        <v/>
      </c>
      <c r="AX77" s="30">
        <f>_xlfn.XLOOKUP(MIN(ABS($BK$3:$BK$23 - MEDIAN(MIN($BK$3:$BK$23), MAX($BK$3:$BK$23), AX48))), ABS($BK$3:$BK$23 - MEDIAN(MIN($BK$3:$BK$23), MAX($BK$3:$BK$23), AX48)), $BL$3:$BL$23, "Error", 0)</f>
        <v/>
      </c>
      <c r="AY77" s="30">
        <f>_xlfn.XLOOKUP(MIN(ABS($BK$3:$BK$23 - MEDIAN(MIN($BK$3:$BK$23), MAX($BK$3:$BK$23), AY48))), ABS($BK$3:$BK$23 - MEDIAN(MIN($BK$3:$BK$23), MAX($BK$3:$BK$23), AY48)), $BL$3:$BL$23, "Error", 0)</f>
        <v/>
      </c>
      <c r="AZ77" s="30">
        <f>_xlfn.XLOOKUP(MIN(ABS($BK$3:$BK$23 - MEDIAN(MIN($BK$3:$BK$23), MAX($BK$3:$BK$23), AZ48))), ABS($BK$3:$BK$23 - MEDIAN(MIN($BK$3:$BK$23), MAX($BK$3:$BK$23), AZ48)), $BL$3:$BL$23, "Error", 0)</f>
        <v/>
      </c>
      <c r="BA77" s="30">
        <f>_xlfn.XLOOKUP(MIN(ABS($BK$3:$BK$23 - MEDIAN(MIN($BK$3:$BK$23), MAX($BK$3:$BK$23), BA48))), ABS($BK$3:$BK$23 - MEDIAN(MIN($BK$3:$BK$23), MAX($BK$3:$BK$23), BA48)), $BL$3:$BL$23, "Error", 0)</f>
        <v/>
      </c>
      <c r="BB77" s="30">
        <f>_xlfn.XLOOKUP(MIN(ABS($BK$3:$BK$23 - MEDIAN(MIN($BK$3:$BK$23), MAX($BK$3:$BK$23), BB48))), ABS($BK$3:$BK$23 - MEDIAN(MIN($BK$3:$BK$23), MAX($BK$3:$BK$23), BB48)), $BL$3:$BL$23, "Error", 0)</f>
        <v/>
      </c>
      <c r="BC77" s="30">
        <f>_xlfn.XLOOKUP(MIN(ABS($BK$3:$BK$23 - MEDIAN(MIN($BK$3:$BK$23), MAX($BK$3:$BK$23), BC48))), ABS($BK$3:$BK$23 - MEDIAN(MIN($BK$3:$BK$23), MAX($BK$3:$BK$23), BC48)), $BL$3:$BL$23, "Error", 0)</f>
        <v/>
      </c>
      <c r="BD77" s="30">
        <f>_xlfn.XLOOKUP(MIN(ABS($BK$3:$BK$23 - MEDIAN(MIN($BK$3:$BK$23), MAX($BK$3:$BK$23), BD48))), ABS($BK$3:$BK$23 - MEDIAN(MIN($BK$3:$BK$23), MAX($BK$3:$BK$23), BD48)), $BL$3:$BL$23, "Error", 0)</f>
        <v/>
      </c>
      <c r="BE77" s="30">
        <f>_xlfn.XLOOKUP(MIN(ABS($BK$3:$BK$23 - MEDIAN(MIN($BK$3:$BK$23), MAX($BK$3:$BK$23), BE48))), ABS($BK$3:$BK$23 - MEDIAN(MIN($BK$3:$BK$23), MAX($BK$3:$BK$23), BE48)), $BL$3:$BL$23, "Error", 0)</f>
        <v/>
      </c>
      <c r="BF77" s="30">
        <f>_xlfn.XLOOKUP(MIN(ABS($BK$3:$BK$23 - MEDIAN(MIN($BK$3:$BK$23), MAX($BK$3:$BK$23), BF48))), ABS($BK$3:$BK$23 - MEDIAN(MIN($BK$3:$BK$23), MAX($BK$3:$BK$23), BF48)), $BL$3:$BL$23, "Error", 0)</f>
        <v/>
      </c>
      <c r="BG77" s="30">
        <f>_xlfn.XLOOKUP(MIN(ABS($BK$3:$BK$23 - MEDIAN(MIN($BK$3:$BK$23), MAX($BK$3:$BK$23), BG48))), ABS($BK$3:$BK$23 - MEDIAN(MIN($BK$3:$BK$23), MAX($BK$3:$BK$23), BG48)), $BL$3:$BL$23, "Error", 0)</f>
        <v/>
      </c>
      <c r="BH77" s="30">
        <f>_xlfn.XLOOKUP(MIN(ABS($BK$3:$BK$23 - MEDIAN(MIN($BK$3:$BK$23), MAX($BK$3:$BK$23), BH48))), ABS($BK$3:$BK$23 - MEDIAN(MIN($BK$3:$BK$23), MAX($BK$3:$BK$23), BH48)), $BL$3:$BL$23, "Error", 0)</f>
        <v/>
      </c>
      <c r="BI77" s="30">
        <f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>_xlfn.XLOOKUP(MIN(ABS($BK$3:$BK$23 - MEDIAN(MIN($BK$3:$BK$23), MAX($BK$3:$BK$23), N49))), ABS($BK$3:$BK$23 - MEDIAN(MIN($BK$3:$BK$23), MAX($BK$3:$BK$23), N49)), $BL$3:$BL$23, "Error", 0)</f>
        <v/>
      </c>
      <c r="O78" s="30">
        <f>_xlfn.XLOOKUP(MIN(ABS($BK$3:$BK$23 - MEDIAN(MIN($BK$3:$BK$23), MAX($BK$3:$BK$23), O49))), ABS($BK$3:$BK$23 - MEDIAN(MIN($BK$3:$BK$23), MAX($BK$3:$BK$23), O49)), $BL$3:$BL$23, "Error", 0)</f>
        <v/>
      </c>
      <c r="P78" s="30">
        <f>_xlfn.XLOOKUP(MIN(ABS($BK$3:$BK$23 - MEDIAN(MIN($BK$3:$BK$23), MAX($BK$3:$BK$23), P49))), ABS($BK$3:$BK$23 - MEDIAN(MIN($BK$3:$BK$23), MAX($BK$3:$BK$23), P49)), $BL$3:$BL$23, "Error", 0)</f>
        <v/>
      </c>
      <c r="Q78" s="30">
        <f>_xlfn.XLOOKUP(MIN(ABS($BK$3:$BK$23 - MEDIAN(MIN($BK$3:$BK$23), MAX($BK$3:$BK$23), Q49))), ABS($BK$3:$BK$23 - MEDIAN(MIN($BK$3:$BK$23), MAX($BK$3:$BK$23), Q49)), $BL$3:$BL$23, "Error", 0)</f>
        <v/>
      </c>
      <c r="R78" s="30">
        <f>_xlfn.XLOOKUP(MIN(ABS($BK$3:$BK$23 - MEDIAN(MIN($BK$3:$BK$23), MAX($BK$3:$BK$23), R49))), ABS($BK$3:$BK$23 - MEDIAN(MIN($BK$3:$BK$23), MAX($BK$3:$BK$23), R49)), $BL$3:$BL$23, "Error", 0)</f>
        <v/>
      </c>
      <c r="S78" s="30">
        <f>_xlfn.XLOOKUP(MIN(ABS($BK$3:$BK$23 - MEDIAN(MIN($BK$3:$BK$23), MAX($BK$3:$BK$23), S49))), ABS($BK$3:$BK$23 - MEDIAN(MIN($BK$3:$BK$23), MAX($BK$3:$BK$23), S49)), $BL$3:$BL$23, "Error", 0)</f>
        <v/>
      </c>
      <c r="T78" s="30">
        <f>_xlfn.XLOOKUP(MIN(ABS($BK$3:$BK$23 - MEDIAN(MIN($BK$3:$BK$23), MAX($BK$3:$BK$23), T49))), ABS($BK$3:$BK$23 - MEDIAN(MIN($BK$3:$BK$23), MAX($BK$3:$BK$23), T49)), $BL$3:$BL$23, "Error", 0)</f>
        <v/>
      </c>
      <c r="U78" s="30">
        <f>_xlfn.XLOOKUP(MIN(ABS($BK$3:$BK$23 - MEDIAN(MIN($BK$3:$BK$23), MAX($BK$3:$BK$23), U49))), ABS($BK$3:$BK$23 - MEDIAN(MIN($BK$3:$BK$23), MAX($BK$3:$BK$23), U49)), $BL$3:$BL$23, "Error", 0)</f>
        <v/>
      </c>
      <c r="V78" s="30">
        <f>_xlfn.XLOOKUP(MIN(ABS($BK$3:$BK$23 - MEDIAN(MIN($BK$3:$BK$23), MAX($BK$3:$BK$23), V49))), ABS($BK$3:$BK$23 - MEDIAN(MIN($BK$3:$BK$23), MAX($BK$3:$BK$23), V49)), $BL$3:$BL$23, "Error", 0)</f>
        <v/>
      </c>
      <c r="W78" s="30">
        <f>_xlfn.XLOOKUP(MIN(ABS($BK$3:$BK$23 - MEDIAN(MIN($BK$3:$BK$23), MAX($BK$3:$BK$23), W49))), ABS($BK$3:$BK$23 - MEDIAN(MIN($BK$3:$BK$23), MAX($BK$3:$BK$23), W49)), $BL$3:$BL$23, "Error", 0)</f>
        <v/>
      </c>
      <c r="X78" s="30">
        <f>_xlfn.XLOOKUP(MIN(ABS($BK$3:$BK$23 - MEDIAN(MIN($BK$3:$BK$23), MAX($BK$3:$BK$23), X49))), ABS($BK$3:$BK$23 - MEDIAN(MIN($BK$3:$BK$23), MAX($BK$3:$BK$23), X49)), $BL$3:$BL$23, "Error", 0)</f>
        <v/>
      </c>
      <c r="Y78" s="30">
        <f>_xlfn.XLOOKUP(MIN(ABS($BK$3:$BK$23 - MEDIAN(MIN($BK$3:$BK$23), MAX($BK$3:$BK$23), Y49))), ABS($BK$3:$BK$23 - MEDIAN(MIN($BK$3:$BK$23), MAX($BK$3:$BK$23), Y49)), $BL$3:$BL$23, "Error", 0)</f>
        <v/>
      </c>
      <c r="Z78" s="30">
        <f>_xlfn.XLOOKUP(MIN(ABS($BK$3:$BK$23 - MEDIAN(MIN($BK$3:$BK$23), MAX($BK$3:$BK$23), Z49))), ABS($BK$3:$BK$23 - MEDIAN(MIN($BK$3:$BK$23), MAX($BK$3:$BK$23), Z49)), $BL$3:$BL$23, "Error", 0)</f>
        <v/>
      </c>
      <c r="AA78" s="30">
        <f>_xlfn.XLOOKUP(MIN(ABS($BK$3:$BK$23 - MEDIAN(MIN($BK$3:$BK$23), MAX($BK$3:$BK$23), AA49))), ABS($BK$3:$BK$23 - MEDIAN(MIN($BK$3:$BK$23), MAX($BK$3:$BK$23), AA49)), $BL$3:$BL$23, "Error", 0)</f>
        <v/>
      </c>
      <c r="AB78" s="30">
        <f>_xlfn.XLOOKUP(MIN(ABS($BK$3:$BK$23 - MEDIAN(MIN($BK$3:$BK$23), MAX($BK$3:$BK$23), AB49))), ABS($BK$3:$BK$23 - MEDIAN(MIN($BK$3:$BK$23), MAX($BK$3:$BK$23), AB49)), $BL$3:$BL$23, "Error", 0)</f>
        <v/>
      </c>
      <c r="AC78" s="30">
        <f>_xlfn.XLOOKUP(MIN(ABS($BK$3:$BK$23 - MEDIAN(MIN($BK$3:$BK$23), MAX($BK$3:$BK$23), AC49))), ABS($BK$3:$BK$23 - MEDIAN(MIN($BK$3:$BK$23), MAX($BK$3:$BK$23), AC49)), $BL$3:$BL$23, "Error", 0)</f>
        <v/>
      </c>
      <c r="AD78" s="30">
        <f>_xlfn.XLOOKUP(MIN(ABS($BK$3:$BK$23 - MEDIAN(MIN($BK$3:$BK$23), MAX($BK$3:$BK$23), AD49))), ABS($BK$3:$BK$23 - MEDIAN(MIN($BK$3:$BK$23), MAX($BK$3:$BK$23), AD49)), $BL$3:$BL$23, "Error", 0)</f>
        <v/>
      </c>
      <c r="AE78" s="30">
        <f>_xlfn.XLOOKUP(MIN(ABS($BK$3:$BK$23 - MEDIAN(MIN($BK$3:$BK$23), MAX($BK$3:$BK$23), AE49))), ABS($BK$3:$BK$23 - MEDIAN(MIN($BK$3:$BK$23), MAX($BK$3:$BK$23), AE49)), $BL$3:$BL$23, "Error", 0)</f>
        <v/>
      </c>
      <c r="AF78" s="30">
        <f>_xlfn.XLOOKUP(MIN(ABS($BK$3:$BK$23 - MEDIAN(MIN($BK$3:$BK$23), MAX($BK$3:$BK$23), AF49))), ABS($BK$3:$BK$23 - MEDIAN(MIN($BK$3:$BK$23), MAX($BK$3:$BK$23), AF49)), $BL$3:$BL$23, "Error", 0)</f>
        <v/>
      </c>
      <c r="AG78" s="30">
        <f>_xlfn.XLOOKUP(MIN(ABS($BK$3:$BK$23 - MEDIAN(MIN($BK$3:$BK$23), MAX($BK$3:$BK$23), AG49))), ABS($BK$3:$BK$23 - MEDIAN(MIN($BK$3:$BK$23), MAX($BK$3:$BK$23), AG49)), $BL$3:$BL$23, "Error", 0)</f>
        <v/>
      </c>
      <c r="AH78" s="30">
        <f>_xlfn.XLOOKUP(MIN(ABS($BK$3:$BK$23 - MEDIAN(MIN($BK$3:$BK$23), MAX($BK$3:$BK$23), AH49))), ABS($BK$3:$BK$23 - MEDIAN(MIN($BK$3:$BK$23), MAX($BK$3:$BK$23), AH49)), $BL$3:$BL$23, "Error", 0)</f>
        <v/>
      </c>
      <c r="AI78" s="30">
        <f>_xlfn.XLOOKUP(MIN(ABS($BK$3:$BK$23 - MEDIAN(MIN($BK$3:$BK$23), MAX($BK$3:$BK$23), AI49))), ABS($BK$3:$BK$23 - MEDIAN(MIN($BK$3:$BK$23), MAX($BK$3:$BK$23), AI49)), $BL$3:$BL$23, "Error", 0)</f>
        <v/>
      </c>
      <c r="AJ78" s="30">
        <f>_xlfn.XLOOKUP(MIN(ABS($BK$3:$BK$23 - MEDIAN(MIN($BK$3:$BK$23), MAX($BK$3:$BK$23), AJ49))), ABS($BK$3:$BK$23 - MEDIAN(MIN($BK$3:$BK$23), MAX($BK$3:$BK$23), AJ49)), $BL$3:$BL$23, "Error", 0)</f>
        <v/>
      </c>
      <c r="AK78" s="30">
        <f>_xlfn.XLOOKUP(MIN(ABS($BK$3:$BK$23 - MEDIAN(MIN($BK$3:$BK$23), MAX($BK$3:$BK$23), AK49))), ABS($BK$3:$BK$23 - MEDIAN(MIN($BK$3:$BK$23), MAX($BK$3:$BK$23), AK49)), $BL$3:$BL$23, "Error", 0)</f>
        <v/>
      </c>
      <c r="AL78" s="30">
        <f>_xlfn.XLOOKUP(MIN(ABS($BK$3:$BK$23 - MEDIAN(MIN($BK$3:$BK$23), MAX($BK$3:$BK$23), AL49))), ABS($BK$3:$BK$23 - MEDIAN(MIN($BK$3:$BK$23), MAX($BK$3:$BK$23), AL49)), $BL$3:$BL$23, "Error", 0)</f>
        <v/>
      </c>
      <c r="AM78" s="30">
        <f>_xlfn.XLOOKUP(MIN(ABS($BK$3:$BK$23 - MEDIAN(MIN($BK$3:$BK$23), MAX($BK$3:$BK$23), AM49))), ABS($BK$3:$BK$23 - MEDIAN(MIN($BK$3:$BK$23), MAX($BK$3:$BK$23), AM49)), $BL$3:$BL$23, "Error", 0)</f>
        <v/>
      </c>
      <c r="AN78" s="30">
        <f>_xlfn.XLOOKUP(MIN(ABS($BK$3:$BK$23 - MEDIAN(MIN($BK$3:$BK$23), MAX($BK$3:$BK$23), AN49))), ABS($BK$3:$BK$23 - MEDIAN(MIN($BK$3:$BK$23), MAX($BK$3:$BK$23), AN49)), $BL$3:$BL$23, "Error", 0)</f>
        <v/>
      </c>
      <c r="AO78" s="30">
        <f>_xlfn.XLOOKUP(MIN(ABS($BK$3:$BK$23 - MEDIAN(MIN($BK$3:$BK$23), MAX($BK$3:$BK$23), AO49))), ABS($BK$3:$BK$23 - MEDIAN(MIN($BK$3:$BK$23), MAX($BK$3:$BK$23), AO49)), $BL$3:$BL$23, "Error", 0)</f>
        <v/>
      </c>
      <c r="AP78" s="30">
        <f>_xlfn.XLOOKUP(MIN(ABS($BK$3:$BK$23 - MEDIAN(MIN($BK$3:$BK$23), MAX($BK$3:$BK$23), AP49))), ABS($BK$3:$BK$23 - MEDIAN(MIN($BK$3:$BK$23), MAX($BK$3:$BK$23), AP49)), $BL$3:$BL$23, "Error", 0)</f>
        <v/>
      </c>
      <c r="AQ78" s="30">
        <f>_xlfn.XLOOKUP(MIN(ABS($BK$3:$BK$23 - MEDIAN(MIN($BK$3:$BK$23), MAX($BK$3:$BK$23), AQ49))), ABS($BK$3:$BK$23 - MEDIAN(MIN($BK$3:$BK$23), MAX($BK$3:$BK$23), AQ49)), $BL$3:$BL$23, "Error", 0)</f>
        <v/>
      </c>
      <c r="AR78" s="30">
        <f>_xlfn.XLOOKUP(MIN(ABS($BK$3:$BK$23 - MEDIAN(MIN($BK$3:$BK$23), MAX($BK$3:$BK$23), AR49))), ABS($BK$3:$BK$23 - MEDIAN(MIN($BK$3:$BK$23), MAX($BK$3:$BK$23), AR49)), $BL$3:$BL$23, "Error", 0)</f>
        <v/>
      </c>
      <c r="AS78" s="30">
        <f>_xlfn.XLOOKUP(MIN(ABS($BK$3:$BK$23 - MEDIAN(MIN($BK$3:$BK$23), MAX($BK$3:$BK$23), AS49))), ABS($BK$3:$BK$23 - MEDIAN(MIN($BK$3:$BK$23), MAX($BK$3:$BK$23), AS49)), $BL$3:$BL$23, "Error", 0)</f>
        <v/>
      </c>
      <c r="AT78" s="30">
        <f>_xlfn.XLOOKUP(MIN(ABS($BK$3:$BK$23 - MEDIAN(MIN($BK$3:$BK$23), MAX($BK$3:$BK$23), AT49))), ABS($BK$3:$BK$23 - MEDIAN(MIN($BK$3:$BK$23), MAX($BK$3:$BK$23), AT49)), $BL$3:$BL$23, "Error", 0)</f>
        <v/>
      </c>
      <c r="AU78" s="30">
        <f>_xlfn.XLOOKUP(MIN(ABS($BK$3:$BK$23 - MEDIAN(MIN($BK$3:$BK$23), MAX($BK$3:$BK$23), AU49))), ABS($BK$3:$BK$23 - MEDIAN(MIN($BK$3:$BK$23), MAX($BK$3:$BK$23), AU49)), $BL$3:$BL$23, "Error", 0)</f>
        <v/>
      </c>
      <c r="AV78" s="30">
        <f>_xlfn.XLOOKUP(MIN(ABS($BK$3:$BK$23 - MEDIAN(MIN($BK$3:$BK$23), MAX($BK$3:$BK$23), AV49))), ABS($BK$3:$BK$23 - MEDIAN(MIN($BK$3:$BK$23), MAX($BK$3:$BK$23), AV49)), $BL$3:$BL$23, "Error", 0)</f>
        <v/>
      </c>
      <c r="AW78" s="30">
        <f>_xlfn.XLOOKUP(MIN(ABS($BK$3:$BK$23 - MEDIAN(MIN($BK$3:$BK$23), MAX($BK$3:$BK$23), AW49))), ABS($BK$3:$BK$23 - MEDIAN(MIN($BK$3:$BK$23), MAX($BK$3:$BK$23), AW49)), $BL$3:$BL$23, "Error", 0)</f>
        <v/>
      </c>
      <c r="AX78" s="30">
        <f>_xlfn.XLOOKUP(MIN(ABS($BK$3:$BK$23 - MEDIAN(MIN($BK$3:$BK$23), MAX($BK$3:$BK$23), AX49))), ABS($BK$3:$BK$23 - MEDIAN(MIN($BK$3:$BK$23), MAX($BK$3:$BK$23), AX49)), $BL$3:$BL$23, "Error", 0)</f>
        <v/>
      </c>
      <c r="AY78" s="30">
        <f>_xlfn.XLOOKUP(MIN(ABS($BK$3:$BK$23 - MEDIAN(MIN($BK$3:$BK$23), MAX($BK$3:$BK$23), AY49))), ABS($BK$3:$BK$23 - MEDIAN(MIN($BK$3:$BK$23), MAX($BK$3:$BK$23), AY49)), $BL$3:$BL$23, "Error", 0)</f>
        <v/>
      </c>
      <c r="AZ78" s="30">
        <f>_xlfn.XLOOKUP(MIN(ABS($BK$3:$BK$23 - MEDIAN(MIN($BK$3:$BK$23), MAX($BK$3:$BK$23), AZ49))), ABS($BK$3:$BK$23 - MEDIAN(MIN($BK$3:$BK$23), MAX($BK$3:$BK$23), AZ49)), $BL$3:$BL$23, "Error", 0)</f>
        <v/>
      </c>
      <c r="BA78" s="30">
        <f>_xlfn.XLOOKUP(MIN(ABS($BK$3:$BK$23 - MEDIAN(MIN($BK$3:$BK$23), MAX($BK$3:$BK$23), BA49))), ABS($BK$3:$BK$23 - MEDIAN(MIN($BK$3:$BK$23), MAX($BK$3:$BK$23), BA49)), $BL$3:$BL$23, "Error", 0)</f>
        <v/>
      </c>
      <c r="BB78" s="30">
        <f>_xlfn.XLOOKUP(MIN(ABS($BK$3:$BK$23 - MEDIAN(MIN($BK$3:$BK$23), MAX($BK$3:$BK$23), BB49))), ABS($BK$3:$BK$23 - MEDIAN(MIN($BK$3:$BK$23), MAX($BK$3:$BK$23), BB49)), $BL$3:$BL$23, "Error", 0)</f>
        <v/>
      </c>
      <c r="BC78" s="30">
        <f>_xlfn.XLOOKUP(MIN(ABS($BK$3:$BK$23 - MEDIAN(MIN($BK$3:$BK$23), MAX($BK$3:$BK$23), BC49))), ABS($BK$3:$BK$23 - MEDIAN(MIN($BK$3:$BK$23), MAX($BK$3:$BK$23), BC49)), $BL$3:$BL$23, "Error", 0)</f>
        <v/>
      </c>
      <c r="BD78" s="30">
        <f>_xlfn.XLOOKUP(MIN(ABS($BK$3:$BK$23 - MEDIAN(MIN($BK$3:$BK$23), MAX($BK$3:$BK$23), BD49))), ABS($BK$3:$BK$23 - MEDIAN(MIN($BK$3:$BK$23), MAX($BK$3:$BK$23), BD49)), $BL$3:$BL$23, "Error", 0)</f>
        <v/>
      </c>
      <c r="BE78" s="30">
        <f>_xlfn.XLOOKUP(MIN(ABS($BK$3:$BK$23 - MEDIAN(MIN($BK$3:$BK$23), MAX($BK$3:$BK$23), BE49))), ABS($BK$3:$BK$23 - MEDIAN(MIN($BK$3:$BK$23), MAX($BK$3:$BK$23), BE49)), $BL$3:$BL$23, "Error", 0)</f>
        <v/>
      </c>
      <c r="BF78" s="30">
        <f>_xlfn.XLOOKUP(MIN(ABS($BK$3:$BK$23 - MEDIAN(MIN($BK$3:$BK$23), MAX($BK$3:$BK$23), BF49))), ABS($BK$3:$BK$23 - MEDIAN(MIN($BK$3:$BK$23), MAX($BK$3:$BK$23), BF49)), $BL$3:$BL$23, "Error", 0)</f>
        <v/>
      </c>
      <c r="BG78" s="30">
        <f>_xlfn.XLOOKUP(MIN(ABS($BK$3:$BK$23 - MEDIAN(MIN($BK$3:$BK$23), MAX($BK$3:$BK$23), BG49))), ABS($BK$3:$BK$23 - MEDIAN(MIN($BK$3:$BK$23), MAX($BK$3:$BK$23), BG49)), $BL$3:$BL$23, "Error", 0)</f>
        <v/>
      </c>
      <c r="BH78" s="30">
        <f>_xlfn.XLOOKUP(MIN(ABS($BK$3:$BK$23 - MEDIAN(MIN($BK$3:$BK$23), MAX($BK$3:$BK$23), BH49))), ABS($BK$3:$BK$23 - MEDIAN(MIN($BK$3:$BK$23), MAX($BK$3:$BK$23), BH49)), $BL$3:$BL$23, "Error", 0)</f>
        <v/>
      </c>
      <c r="BI78" s="30">
        <f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>_xlfn.XLOOKUP(MIN(ABS($BK$3:$BK$23 - MEDIAN(MIN($BK$3:$BK$23), MAX($BK$3:$BK$23), N50))), ABS($BK$3:$BK$23 - MEDIAN(MIN($BK$3:$BK$23), MAX($BK$3:$BK$23), N50)), $BL$3:$BL$23, "Error", 0)</f>
        <v/>
      </c>
      <c r="O79" s="30">
        <f>_xlfn.XLOOKUP(MIN(ABS($BK$3:$BK$23 - MEDIAN(MIN($BK$3:$BK$23), MAX($BK$3:$BK$23), O50))), ABS($BK$3:$BK$23 - MEDIAN(MIN($BK$3:$BK$23), MAX($BK$3:$BK$23), O50)), $BL$3:$BL$23, "Error", 0)</f>
        <v/>
      </c>
      <c r="P79" s="30">
        <f>_xlfn.XLOOKUP(MIN(ABS($BK$3:$BK$23 - MEDIAN(MIN($BK$3:$BK$23), MAX($BK$3:$BK$23), P50))), ABS($BK$3:$BK$23 - MEDIAN(MIN($BK$3:$BK$23), MAX($BK$3:$BK$23), P50)), $BL$3:$BL$23, "Error", 0)</f>
        <v/>
      </c>
      <c r="Q79" s="30">
        <f>_xlfn.XLOOKUP(MIN(ABS($BK$3:$BK$23 - MEDIAN(MIN($BK$3:$BK$23), MAX($BK$3:$BK$23), Q50))), ABS($BK$3:$BK$23 - MEDIAN(MIN($BK$3:$BK$23), MAX($BK$3:$BK$23), Q50)), $BL$3:$BL$23, "Error", 0)</f>
        <v/>
      </c>
      <c r="R79" s="30">
        <f>_xlfn.XLOOKUP(MIN(ABS($BK$3:$BK$23 - MEDIAN(MIN($BK$3:$BK$23), MAX($BK$3:$BK$23), R50))), ABS($BK$3:$BK$23 - MEDIAN(MIN($BK$3:$BK$23), MAX($BK$3:$BK$23), R50)), $BL$3:$BL$23, "Error", 0)</f>
        <v/>
      </c>
      <c r="S79" s="30">
        <f>_xlfn.XLOOKUP(MIN(ABS($BK$3:$BK$23 - MEDIAN(MIN($BK$3:$BK$23), MAX($BK$3:$BK$23), S50))), ABS($BK$3:$BK$23 - MEDIAN(MIN($BK$3:$BK$23), MAX($BK$3:$BK$23), S50)), $BL$3:$BL$23, "Error", 0)</f>
        <v/>
      </c>
      <c r="T79" s="30">
        <f>_xlfn.XLOOKUP(MIN(ABS($BK$3:$BK$23 - MEDIAN(MIN($BK$3:$BK$23), MAX($BK$3:$BK$23), T50))), ABS($BK$3:$BK$23 - MEDIAN(MIN($BK$3:$BK$23), MAX($BK$3:$BK$23), T50)), $BL$3:$BL$23, "Error", 0)</f>
        <v/>
      </c>
      <c r="U79" s="30">
        <f>_xlfn.XLOOKUP(MIN(ABS($BK$3:$BK$23 - MEDIAN(MIN($BK$3:$BK$23), MAX($BK$3:$BK$23), U50))), ABS($BK$3:$BK$23 - MEDIAN(MIN($BK$3:$BK$23), MAX($BK$3:$BK$23), U50)), $BL$3:$BL$23, "Error", 0)</f>
        <v/>
      </c>
      <c r="V79" s="30">
        <f>_xlfn.XLOOKUP(MIN(ABS($BK$3:$BK$23 - MEDIAN(MIN($BK$3:$BK$23), MAX($BK$3:$BK$23), V50))), ABS($BK$3:$BK$23 - MEDIAN(MIN($BK$3:$BK$23), MAX($BK$3:$BK$23), V50)), $BL$3:$BL$23, "Error", 0)</f>
        <v/>
      </c>
      <c r="W79" s="30">
        <f>_xlfn.XLOOKUP(MIN(ABS($BK$3:$BK$23 - MEDIAN(MIN($BK$3:$BK$23), MAX($BK$3:$BK$23), W50))), ABS($BK$3:$BK$23 - MEDIAN(MIN($BK$3:$BK$23), MAX($BK$3:$BK$23), W50)), $BL$3:$BL$23, "Error", 0)</f>
        <v/>
      </c>
      <c r="X79" s="30">
        <f>_xlfn.XLOOKUP(MIN(ABS($BK$3:$BK$23 - MEDIAN(MIN($BK$3:$BK$23), MAX($BK$3:$BK$23), X50))), ABS($BK$3:$BK$23 - MEDIAN(MIN($BK$3:$BK$23), MAX($BK$3:$BK$23), X50)), $BL$3:$BL$23, "Error", 0)</f>
        <v/>
      </c>
      <c r="Y79" s="30">
        <f>_xlfn.XLOOKUP(MIN(ABS($BK$3:$BK$23 - MEDIAN(MIN($BK$3:$BK$23), MAX($BK$3:$BK$23), Y50))), ABS($BK$3:$BK$23 - MEDIAN(MIN($BK$3:$BK$23), MAX($BK$3:$BK$23), Y50)), $BL$3:$BL$23, "Error", 0)</f>
        <v/>
      </c>
      <c r="Z79" s="30">
        <f>_xlfn.XLOOKUP(MIN(ABS($BK$3:$BK$23 - MEDIAN(MIN($BK$3:$BK$23), MAX($BK$3:$BK$23), Z50))), ABS($BK$3:$BK$23 - MEDIAN(MIN($BK$3:$BK$23), MAX($BK$3:$BK$23), Z50)), $BL$3:$BL$23, "Error", 0)</f>
        <v/>
      </c>
      <c r="AA79" s="30">
        <f>_xlfn.XLOOKUP(MIN(ABS($BK$3:$BK$23 - MEDIAN(MIN($BK$3:$BK$23), MAX($BK$3:$BK$23), AA50))), ABS($BK$3:$BK$23 - MEDIAN(MIN($BK$3:$BK$23), MAX($BK$3:$BK$23), AA50)), $BL$3:$BL$23, "Error", 0)</f>
        <v/>
      </c>
      <c r="AB79" s="30">
        <f>_xlfn.XLOOKUP(MIN(ABS($BK$3:$BK$23 - MEDIAN(MIN($BK$3:$BK$23), MAX($BK$3:$BK$23), AB50))), ABS($BK$3:$BK$23 - MEDIAN(MIN($BK$3:$BK$23), MAX($BK$3:$BK$23), AB50)), $BL$3:$BL$23, "Error", 0)</f>
        <v/>
      </c>
      <c r="AC79" s="30">
        <f>_xlfn.XLOOKUP(MIN(ABS($BK$3:$BK$23 - MEDIAN(MIN($BK$3:$BK$23), MAX($BK$3:$BK$23), AC50))), ABS($BK$3:$BK$23 - MEDIAN(MIN($BK$3:$BK$23), MAX($BK$3:$BK$23), AC50)), $BL$3:$BL$23, "Error", 0)</f>
        <v/>
      </c>
      <c r="AD79" s="30">
        <f>_xlfn.XLOOKUP(MIN(ABS($BK$3:$BK$23 - MEDIAN(MIN($BK$3:$BK$23), MAX($BK$3:$BK$23), AD50))), ABS($BK$3:$BK$23 - MEDIAN(MIN($BK$3:$BK$23), MAX($BK$3:$BK$23), AD50)), $BL$3:$BL$23, "Error", 0)</f>
        <v/>
      </c>
      <c r="AE79" s="30">
        <f>_xlfn.XLOOKUP(MIN(ABS($BK$3:$BK$23 - MEDIAN(MIN($BK$3:$BK$23), MAX($BK$3:$BK$23), AE50))), ABS($BK$3:$BK$23 - MEDIAN(MIN($BK$3:$BK$23), MAX($BK$3:$BK$23), AE50)), $BL$3:$BL$23, "Error", 0)</f>
        <v/>
      </c>
      <c r="AF79" s="30">
        <f>_xlfn.XLOOKUP(MIN(ABS($BK$3:$BK$23 - MEDIAN(MIN($BK$3:$BK$23), MAX($BK$3:$BK$23), AF50))), ABS($BK$3:$BK$23 - MEDIAN(MIN($BK$3:$BK$23), MAX($BK$3:$BK$23), AF50)), $BL$3:$BL$23, "Error", 0)</f>
        <v/>
      </c>
      <c r="AG79" s="30">
        <f>_xlfn.XLOOKUP(MIN(ABS($BK$3:$BK$23 - MEDIAN(MIN($BK$3:$BK$23), MAX($BK$3:$BK$23), AG50))), ABS($BK$3:$BK$23 - MEDIAN(MIN($BK$3:$BK$23), MAX($BK$3:$BK$23), AG50)), $BL$3:$BL$23, "Error", 0)</f>
        <v/>
      </c>
      <c r="AH79" s="30">
        <f>_xlfn.XLOOKUP(MIN(ABS($BK$3:$BK$23 - MEDIAN(MIN($BK$3:$BK$23), MAX($BK$3:$BK$23), AH50))), ABS($BK$3:$BK$23 - MEDIAN(MIN($BK$3:$BK$23), MAX($BK$3:$BK$23), AH50)), $BL$3:$BL$23, "Error", 0)</f>
        <v/>
      </c>
      <c r="AI79" s="30">
        <f>_xlfn.XLOOKUP(MIN(ABS($BK$3:$BK$23 - MEDIAN(MIN($BK$3:$BK$23), MAX($BK$3:$BK$23), AI50))), ABS($BK$3:$BK$23 - MEDIAN(MIN($BK$3:$BK$23), MAX($BK$3:$BK$23), AI50)), $BL$3:$BL$23, "Error", 0)</f>
        <v/>
      </c>
      <c r="AJ79" s="30">
        <f>_xlfn.XLOOKUP(MIN(ABS($BK$3:$BK$23 - MEDIAN(MIN($BK$3:$BK$23), MAX($BK$3:$BK$23), AJ50))), ABS($BK$3:$BK$23 - MEDIAN(MIN($BK$3:$BK$23), MAX($BK$3:$BK$23), AJ50)), $BL$3:$BL$23, "Error", 0)</f>
        <v/>
      </c>
      <c r="AK79" s="30">
        <f>_xlfn.XLOOKUP(MIN(ABS($BK$3:$BK$23 - MEDIAN(MIN($BK$3:$BK$23), MAX($BK$3:$BK$23), AK50))), ABS($BK$3:$BK$23 - MEDIAN(MIN($BK$3:$BK$23), MAX($BK$3:$BK$23), AK50)), $BL$3:$BL$23, "Error", 0)</f>
        <v/>
      </c>
      <c r="AL79" s="30">
        <f>_xlfn.XLOOKUP(MIN(ABS($BK$3:$BK$23 - MEDIAN(MIN($BK$3:$BK$23), MAX($BK$3:$BK$23), AL50))), ABS($BK$3:$BK$23 - MEDIAN(MIN($BK$3:$BK$23), MAX($BK$3:$BK$23), AL50)), $BL$3:$BL$23, "Error", 0)</f>
        <v/>
      </c>
      <c r="AM79" s="30">
        <f>_xlfn.XLOOKUP(MIN(ABS($BK$3:$BK$23 - MEDIAN(MIN($BK$3:$BK$23), MAX($BK$3:$BK$23), AM50))), ABS($BK$3:$BK$23 - MEDIAN(MIN($BK$3:$BK$23), MAX($BK$3:$BK$23), AM50)), $BL$3:$BL$23, "Error", 0)</f>
        <v/>
      </c>
      <c r="AN79" s="30">
        <f>_xlfn.XLOOKUP(MIN(ABS($BK$3:$BK$23 - MEDIAN(MIN($BK$3:$BK$23), MAX($BK$3:$BK$23), AN50))), ABS($BK$3:$BK$23 - MEDIAN(MIN($BK$3:$BK$23), MAX($BK$3:$BK$23), AN50)), $BL$3:$BL$23, "Error", 0)</f>
        <v/>
      </c>
      <c r="AO79" s="30">
        <f>_xlfn.XLOOKUP(MIN(ABS($BK$3:$BK$23 - MEDIAN(MIN($BK$3:$BK$23), MAX($BK$3:$BK$23), AO50))), ABS($BK$3:$BK$23 - MEDIAN(MIN($BK$3:$BK$23), MAX($BK$3:$BK$23), AO50)), $BL$3:$BL$23, "Error", 0)</f>
        <v/>
      </c>
      <c r="AP79" s="30">
        <f>_xlfn.XLOOKUP(MIN(ABS($BK$3:$BK$23 - MEDIAN(MIN($BK$3:$BK$23), MAX($BK$3:$BK$23), AP50))), ABS($BK$3:$BK$23 - MEDIAN(MIN($BK$3:$BK$23), MAX($BK$3:$BK$23), AP50)), $BL$3:$BL$23, "Error", 0)</f>
        <v/>
      </c>
      <c r="AQ79" s="30">
        <f>_xlfn.XLOOKUP(MIN(ABS($BK$3:$BK$23 - MEDIAN(MIN($BK$3:$BK$23), MAX($BK$3:$BK$23), AQ50))), ABS($BK$3:$BK$23 - MEDIAN(MIN($BK$3:$BK$23), MAX($BK$3:$BK$23), AQ50)), $BL$3:$BL$23, "Error", 0)</f>
        <v/>
      </c>
      <c r="AR79" s="30">
        <f>_xlfn.XLOOKUP(MIN(ABS($BK$3:$BK$23 - MEDIAN(MIN($BK$3:$BK$23), MAX($BK$3:$BK$23), AR50))), ABS($BK$3:$BK$23 - MEDIAN(MIN($BK$3:$BK$23), MAX($BK$3:$BK$23), AR50)), $BL$3:$BL$23, "Error", 0)</f>
        <v/>
      </c>
      <c r="AS79" s="30">
        <f>_xlfn.XLOOKUP(MIN(ABS($BK$3:$BK$23 - MEDIAN(MIN($BK$3:$BK$23), MAX($BK$3:$BK$23), AS50))), ABS($BK$3:$BK$23 - MEDIAN(MIN($BK$3:$BK$23), MAX($BK$3:$BK$23), AS50)), $BL$3:$BL$23, "Error", 0)</f>
        <v/>
      </c>
      <c r="AT79" s="30">
        <f>_xlfn.XLOOKUP(MIN(ABS($BK$3:$BK$23 - MEDIAN(MIN($BK$3:$BK$23), MAX($BK$3:$BK$23), AT50))), ABS($BK$3:$BK$23 - MEDIAN(MIN($BK$3:$BK$23), MAX($BK$3:$BK$23), AT50)), $BL$3:$BL$23, "Error", 0)</f>
        <v/>
      </c>
      <c r="AU79" s="30">
        <f>_xlfn.XLOOKUP(MIN(ABS($BK$3:$BK$23 - MEDIAN(MIN($BK$3:$BK$23), MAX($BK$3:$BK$23), AU50))), ABS($BK$3:$BK$23 - MEDIAN(MIN($BK$3:$BK$23), MAX($BK$3:$BK$23), AU50)), $BL$3:$BL$23, "Error", 0)</f>
        <v/>
      </c>
      <c r="AV79" s="30">
        <f>_xlfn.XLOOKUP(MIN(ABS($BK$3:$BK$23 - MEDIAN(MIN($BK$3:$BK$23), MAX($BK$3:$BK$23), AV50))), ABS($BK$3:$BK$23 - MEDIAN(MIN($BK$3:$BK$23), MAX($BK$3:$BK$23), AV50)), $BL$3:$BL$23, "Error", 0)</f>
        <v/>
      </c>
      <c r="AW79" s="30">
        <f>_xlfn.XLOOKUP(MIN(ABS($BK$3:$BK$23 - MEDIAN(MIN($BK$3:$BK$23), MAX($BK$3:$BK$23), AW50))), ABS($BK$3:$BK$23 - MEDIAN(MIN($BK$3:$BK$23), MAX($BK$3:$BK$23), AW50)), $BL$3:$BL$23, "Error", 0)</f>
        <v/>
      </c>
      <c r="AX79" s="30">
        <f>_xlfn.XLOOKUP(MIN(ABS($BK$3:$BK$23 - MEDIAN(MIN($BK$3:$BK$23), MAX($BK$3:$BK$23), AX50))), ABS($BK$3:$BK$23 - MEDIAN(MIN($BK$3:$BK$23), MAX($BK$3:$BK$23), AX50)), $BL$3:$BL$23, "Error", 0)</f>
        <v/>
      </c>
      <c r="AY79" s="30">
        <f>_xlfn.XLOOKUP(MIN(ABS($BK$3:$BK$23 - MEDIAN(MIN($BK$3:$BK$23), MAX($BK$3:$BK$23), AY50))), ABS($BK$3:$BK$23 - MEDIAN(MIN($BK$3:$BK$23), MAX($BK$3:$BK$23), AY50)), $BL$3:$BL$23, "Error", 0)</f>
        <v/>
      </c>
      <c r="AZ79" s="30">
        <f>_xlfn.XLOOKUP(MIN(ABS($BK$3:$BK$23 - MEDIAN(MIN($BK$3:$BK$23), MAX($BK$3:$BK$23), AZ50))), ABS($BK$3:$BK$23 - MEDIAN(MIN($BK$3:$BK$23), MAX($BK$3:$BK$23), AZ50)), $BL$3:$BL$23, "Error", 0)</f>
        <v/>
      </c>
      <c r="BA79" s="30">
        <f>_xlfn.XLOOKUP(MIN(ABS($BK$3:$BK$23 - MEDIAN(MIN($BK$3:$BK$23), MAX($BK$3:$BK$23), BA50))), ABS($BK$3:$BK$23 - MEDIAN(MIN($BK$3:$BK$23), MAX($BK$3:$BK$23), BA50)), $BL$3:$BL$23, "Error", 0)</f>
        <v/>
      </c>
      <c r="BB79" s="30">
        <f>_xlfn.XLOOKUP(MIN(ABS($BK$3:$BK$23 - MEDIAN(MIN($BK$3:$BK$23), MAX($BK$3:$BK$23), BB50))), ABS($BK$3:$BK$23 - MEDIAN(MIN($BK$3:$BK$23), MAX($BK$3:$BK$23), BB50)), $BL$3:$BL$23, "Error", 0)</f>
        <v/>
      </c>
      <c r="BC79" s="30">
        <f>_xlfn.XLOOKUP(MIN(ABS($BK$3:$BK$23 - MEDIAN(MIN($BK$3:$BK$23), MAX($BK$3:$BK$23), BC50))), ABS($BK$3:$BK$23 - MEDIAN(MIN($BK$3:$BK$23), MAX($BK$3:$BK$23), BC50)), $BL$3:$BL$23, "Error", 0)</f>
        <v/>
      </c>
      <c r="BD79" s="30">
        <f>_xlfn.XLOOKUP(MIN(ABS($BK$3:$BK$23 - MEDIAN(MIN($BK$3:$BK$23), MAX($BK$3:$BK$23), BD50))), ABS($BK$3:$BK$23 - MEDIAN(MIN($BK$3:$BK$23), MAX($BK$3:$BK$23), BD50)), $BL$3:$BL$23, "Error", 0)</f>
        <v/>
      </c>
      <c r="BE79" s="30">
        <f>_xlfn.XLOOKUP(MIN(ABS($BK$3:$BK$23 - MEDIAN(MIN($BK$3:$BK$23), MAX($BK$3:$BK$23), BE50))), ABS($BK$3:$BK$23 - MEDIAN(MIN($BK$3:$BK$23), MAX($BK$3:$BK$23), BE50)), $BL$3:$BL$23, "Error", 0)</f>
        <v/>
      </c>
      <c r="BF79" s="30">
        <f>_xlfn.XLOOKUP(MIN(ABS($BK$3:$BK$23 - MEDIAN(MIN($BK$3:$BK$23), MAX($BK$3:$BK$23), BF50))), ABS($BK$3:$BK$23 - MEDIAN(MIN($BK$3:$BK$23), MAX($BK$3:$BK$23), BF50)), $BL$3:$BL$23, "Error", 0)</f>
        <v/>
      </c>
      <c r="BG79" s="30">
        <f>_xlfn.XLOOKUP(MIN(ABS($BK$3:$BK$23 - MEDIAN(MIN($BK$3:$BK$23), MAX($BK$3:$BK$23), BG50))), ABS($BK$3:$BK$23 - MEDIAN(MIN($BK$3:$BK$23), MAX($BK$3:$BK$23), BG50)), $BL$3:$BL$23, "Error", 0)</f>
        <v/>
      </c>
      <c r="BH79" s="30">
        <f>_xlfn.XLOOKUP(MIN(ABS($BK$3:$BK$23 - MEDIAN(MIN($BK$3:$BK$23), MAX($BK$3:$BK$23), BH50))), ABS($BK$3:$BK$23 - MEDIAN(MIN($BK$3:$BK$23), MAX($BK$3:$BK$23), BH50)), $BL$3:$BL$23, "Error", 0)</f>
        <v/>
      </c>
      <c r="BI79" s="30">
        <f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>_xlfn.XLOOKUP(MIN(ABS($BK$3:$BK$23 - MEDIAN(MIN($BK$3:$BK$23), MAX($BK$3:$BK$23), N51))), ABS($BK$3:$BK$23 - MEDIAN(MIN($BK$3:$BK$23), MAX($BK$3:$BK$23), N51)), $BL$3:$BL$23, "Error", 0)</f>
        <v/>
      </c>
      <c r="O80" s="30">
        <f>_xlfn.XLOOKUP(MIN(ABS($BK$3:$BK$23 - MEDIAN(MIN($BK$3:$BK$23), MAX($BK$3:$BK$23), O51))), ABS($BK$3:$BK$23 - MEDIAN(MIN($BK$3:$BK$23), MAX($BK$3:$BK$23), O51)), $BL$3:$BL$23, "Error", 0)</f>
        <v/>
      </c>
      <c r="P80" s="30">
        <f>_xlfn.XLOOKUP(MIN(ABS($BK$3:$BK$23 - MEDIAN(MIN($BK$3:$BK$23), MAX($BK$3:$BK$23), P51))), ABS($BK$3:$BK$23 - MEDIAN(MIN($BK$3:$BK$23), MAX($BK$3:$BK$23), P51)), $BL$3:$BL$23, "Error", 0)</f>
        <v/>
      </c>
      <c r="Q80" s="30">
        <f>_xlfn.XLOOKUP(MIN(ABS($BK$3:$BK$23 - MEDIAN(MIN($BK$3:$BK$23), MAX($BK$3:$BK$23), Q51))), ABS($BK$3:$BK$23 - MEDIAN(MIN($BK$3:$BK$23), MAX($BK$3:$BK$23), Q51)), $BL$3:$BL$23, "Error", 0)</f>
        <v/>
      </c>
      <c r="R80" s="30">
        <f>_xlfn.XLOOKUP(MIN(ABS($BK$3:$BK$23 - MEDIAN(MIN($BK$3:$BK$23), MAX($BK$3:$BK$23), R51))), ABS($BK$3:$BK$23 - MEDIAN(MIN($BK$3:$BK$23), MAX($BK$3:$BK$23), R51)), $BL$3:$BL$23, "Error", 0)</f>
        <v/>
      </c>
      <c r="S80" s="30">
        <f>_xlfn.XLOOKUP(MIN(ABS($BK$3:$BK$23 - MEDIAN(MIN($BK$3:$BK$23), MAX($BK$3:$BK$23), S51))), ABS($BK$3:$BK$23 - MEDIAN(MIN($BK$3:$BK$23), MAX($BK$3:$BK$23), S51)), $BL$3:$BL$23, "Error", 0)</f>
        <v/>
      </c>
      <c r="T80" s="30">
        <f>_xlfn.XLOOKUP(MIN(ABS($BK$3:$BK$23 - MEDIAN(MIN($BK$3:$BK$23), MAX($BK$3:$BK$23), T51))), ABS($BK$3:$BK$23 - MEDIAN(MIN($BK$3:$BK$23), MAX($BK$3:$BK$23), T51)), $BL$3:$BL$23, "Error", 0)</f>
        <v/>
      </c>
      <c r="U80" s="30">
        <f>_xlfn.XLOOKUP(MIN(ABS($BK$3:$BK$23 - MEDIAN(MIN($BK$3:$BK$23), MAX($BK$3:$BK$23), U51))), ABS($BK$3:$BK$23 - MEDIAN(MIN($BK$3:$BK$23), MAX($BK$3:$BK$23), U51)), $BL$3:$BL$23, "Error", 0)</f>
        <v/>
      </c>
      <c r="V80" s="30">
        <f>_xlfn.XLOOKUP(MIN(ABS($BK$3:$BK$23 - MEDIAN(MIN($BK$3:$BK$23), MAX($BK$3:$BK$23), V51))), ABS($BK$3:$BK$23 - MEDIAN(MIN($BK$3:$BK$23), MAX($BK$3:$BK$23), V51)), $BL$3:$BL$23, "Error", 0)</f>
        <v/>
      </c>
      <c r="W80" s="30">
        <f>_xlfn.XLOOKUP(MIN(ABS($BK$3:$BK$23 - MEDIAN(MIN($BK$3:$BK$23), MAX($BK$3:$BK$23), W51))), ABS($BK$3:$BK$23 - MEDIAN(MIN($BK$3:$BK$23), MAX($BK$3:$BK$23), W51)), $BL$3:$BL$23, "Error", 0)</f>
        <v/>
      </c>
      <c r="X80" s="30">
        <f>_xlfn.XLOOKUP(MIN(ABS($BK$3:$BK$23 - MEDIAN(MIN($BK$3:$BK$23), MAX($BK$3:$BK$23), X51))), ABS($BK$3:$BK$23 - MEDIAN(MIN($BK$3:$BK$23), MAX($BK$3:$BK$23), X51)), $BL$3:$BL$23, "Error", 0)</f>
        <v/>
      </c>
      <c r="Y80" s="30">
        <f>_xlfn.XLOOKUP(MIN(ABS($BK$3:$BK$23 - MEDIAN(MIN($BK$3:$BK$23), MAX($BK$3:$BK$23), Y51))), ABS($BK$3:$BK$23 - MEDIAN(MIN($BK$3:$BK$23), MAX($BK$3:$BK$23), Y51)), $BL$3:$BL$23, "Error", 0)</f>
        <v/>
      </c>
      <c r="Z80" s="30">
        <f>_xlfn.XLOOKUP(MIN(ABS($BK$3:$BK$23 - MEDIAN(MIN($BK$3:$BK$23), MAX($BK$3:$BK$23), Z51))), ABS($BK$3:$BK$23 - MEDIAN(MIN($BK$3:$BK$23), MAX($BK$3:$BK$23), Z51)), $BL$3:$BL$23, "Error", 0)</f>
        <v/>
      </c>
      <c r="AA80" s="30">
        <f>_xlfn.XLOOKUP(MIN(ABS($BK$3:$BK$23 - MEDIAN(MIN($BK$3:$BK$23), MAX($BK$3:$BK$23), AA51))), ABS($BK$3:$BK$23 - MEDIAN(MIN($BK$3:$BK$23), MAX($BK$3:$BK$23), AA51)), $BL$3:$BL$23, "Error", 0)</f>
        <v/>
      </c>
      <c r="AB80" s="30">
        <f>_xlfn.XLOOKUP(MIN(ABS($BK$3:$BK$23 - MEDIAN(MIN($BK$3:$BK$23), MAX($BK$3:$BK$23), AB51))), ABS($BK$3:$BK$23 - MEDIAN(MIN($BK$3:$BK$23), MAX($BK$3:$BK$23), AB51)), $BL$3:$BL$23, "Error", 0)</f>
        <v/>
      </c>
      <c r="AC80" s="30">
        <f>_xlfn.XLOOKUP(MIN(ABS($BK$3:$BK$23 - MEDIAN(MIN($BK$3:$BK$23), MAX($BK$3:$BK$23), AC51))), ABS($BK$3:$BK$23 - MEDIAN(MIN($BK$3:$BK$23), MAX($BK$3:$BK$23), AC51)), $BL$3:$BL$23, "Error", 0)</f>
        <v/>
      </c>
      <c r="AD80" s="30">
        <f>_xlfn.XLOOKUP(MIN(ABS($BK$3:$BK$23 - MEDIAN(MIN($BK$3:$BK$23), MAX($BK$3:$BK$23), AD51))), ABS($BK$3:$BK$23 - MEDIAN(MIN($BK$3:$BK$23), MAX($BK$3:$BK$23), AD51)), $BL$3:$BL$23, "Error", 0)</f>
        <v/>
      </c>
      <c r="AE80" s="30">
        <f>_xlfn.XLOOKUP(MIN(ABS($BK$3:$BK$23 - MEDIAN(MIN($BK$3:$BK$23), MAX($BK$3:$BK$23), AE51))), ABS($BK$3:$BK$23 - MEDIAN(MIN($BK$3:$BK$23), MAX($BK$3:$BK$23), AE51)), $BL$3:$BL$23, "Error", 0)</f>
        <v/>
      </c>
      <c r="AF80" s="30">
        <f>_xlfn.XLOOKUP(MIN(ABS($BK$3:$BK$23 - MEDIAN(MIN($BK$3:$BK$23), MAX($BK$3:$BK$23), AF51))), ABS($BK$3:$BK$23 - MEDIAN(MIN($BK$3:$BK$23), MAX($BK$3:$BK$23), AF51)), $BL$3:$BL$23, "Error", 0)</f>
        <v/>
      </c>
      <c r="AG80" s="30">
        <f>_xlfn.XLOOKUP(MIN(ABS($BK$3:$BK$23 - MEDIAN(MIN($BK$3:$BK$23), MAX($BK$3:$BK$23), AG51))), ABS($BK$3:$BK$23 - MEDIAN(MIN($BK$3:$BK$23), MAX($BK$3:$BK$23), AG51)), $BL$3:$BL$23, "Error", 0)</f>
        <v/>
      </c>
      <c r="AH80" s="30">
        <f>_xlfn.XLOOKUP(MIN(ABS($BK$3:$BK$23 - MEDIAN(MIN($BK$3:$BK$23), MAX($BK$3:$BK$23), AH51))), ABS($BK$3:$BK$23 - MEDIAN(MIN($BK$3:$BK$23), MAX($BK$3:$BK$23), AH51)), $BL$3:$BL$23, "Error", 0)</f>
        <v/>
      </c>
      <c r="AI80" s="30">
        <f>_xlfn.XLOOKUP(MIN(ABS($BK$3:$BK$23 - MEDIAN(MIN($BK$3:$BK$23), MAX($BK$3:$BK$23), AI51))), ABS($BK$3:$BK$23 - MEDIAN(MIN($BK$3:$BK$23), MAX($BK$3:$BK$23), AI51)), $BL$3:$BL$23, "Error", 0)</f>
        <v/>
      </c>
      <c r="AJ80" s="30">
        <f>_xlfn.XLOOKUP(MIN(ABS($BK$3:$BK$23 - MEDIAN(MIN($BK$3:$BK$23), MAX($BK$3:$BK$23), AJ51))), ABS($BK$3:$BK$23 - MEDIAN(MIN($BK$3:$BK$23), MAX($BK$3:$BK$23), AJ51)), $BL$3:$BL$23, "Error", 0)</f>
        <v/>
      </c>
      <c r="AK80" s="30">
        <f>_xlfn.XLOOKUP(MIN(ABS($BK$3:$BK$23 - MEDIAN(MIN($BK$3:$BK$23), MAX($BK$3:$BK$23), AK51))), ABS($BK$3:$BK$23 - MEDIAN(MIN($BK$3:$BK$23), MAX($BK$3:$BK$23), AK51)), $BL$3:$BL$23, "Error", 0)</f>
        <v/>
      </c>
      <c r="AL80" s="30">
        <f>_xlfn.XLOOKUP(MIN(ABS($BK$3:$BK$23 - MEDIAN(MIN($BK$3:$BK$23), MAX($BK$3:$BK$23), AL51))), ABS($BK$3:$BK$23 - MEDIAN(MIN($BK$3:$BK$23), MAX($BK$3:$BK$23), AL51)), $BL$3:$BL$23, "Error", 0)</f>
        <v/>
      </c>
      <c r="AM80" s="30">
        <f>_xlfn.XLOOKUP(MIN(ABS($BK$3:$BK$23 - MEDIAN(MIN($BK$3:$BK$23), MAX($BK$3:$BK$23), AM51))), ABS($BK$3:$BK$23 - MEDIAN(MIN($BK$3:$BK$23), MAX($BK$3:$BK$23), AM51)), $BL$3:$BL$23, "Error", 0)</f>
        <v/>
      </c>
      <c r="AN80" s="30">
        <f>_xlfn.XLOOKUP(MIN(ABS($BK$3:$BK$23 - MEDIAN(MIN($BK$3:$BK$23), MAX($BK$3:$BK$23), AN51))), ABS($BK$3:$BK$23 - MEDIAN(MIN($BK$3:$BK$23), MAX($BK$3:$BK$23), AN51)), $BL$3:$BL$23, "Error", 0)</f>
        <v/>
      </c>
      <c r="AO80" s="30">
        <f>_xlfn.XLOOKUP(MIN(ABS($BK$3:$BK$23 - MEDIAN(MIN($BK$3:$BK$23), MAX($BK$3:$BK$23), AO51))), ABS($BK$3:$BK$23 - MEDIAN(MIN($BK$3:$BK$23), MAX($BK$3:$BK$23), AO51)), $BL$3:$BL$23, "Error", 0)</f>
        <v/>
      </c>
      <c r="AP80" s="30">
        <f>_xlfn.XLOOKUP(MIN(ABS($BK$3:$BK$23 - MEDIAN(MIN($BK$3:$BK$23), MAX($BK$3:$BK$23), AP51))), ABS($BK$3:$BK$23 - MEDIAN(MIN($BK$3:$BK$23), MAX($BK$3:$BK$23), AP51)), $BL$3:$BL$23, "Error", 0)</f>
        <v/>
      </c>
      <c r="AQ80" s="30">
        <f>_xlfn.XLOOKUP(MIN(ABS($BK$3:$BK$23 - MEDIAN(MIN($BK$3:$BK$23), MAX($BK$3:$BK$23), AQ51))), ABS($BK$3:$BK$23 - MEDIAN(MIN($BK$3:$BK$23), MAX($BK$3:$BK$23), AQ51)), $BL$3:$BL$23, "Error", 0)</f>
        <v/>
      </c>
      <c r="AR80" s="30">
        <f>_xlfn.XLOOKUP(MIN(ABS($BK$3:$BK$23 - MEDIAN(MIN($BK$3:$BK$23), MAX($BK$3:$BK$23), AR51))), ABS($BK$3:$BK$23 - MEDIAN(MIN($BK$3:$BK$23), MAX($BK$3:$BK$23), AR51)), $BL$3:$BL$23, "Error", 0)</f>
        <v/>
      </c>
      <c r="AS80" s="30">
        <f>_xlfn.XLOOKUP(MIN(ABS($BK$3:$BK$23 - MEDIAN(MIN($BK$3:$BK$23), MAX($BK$3:$BK$23), AS51))), ABS($BK$3:$BK$23 - MEDIAN(MIN($BK$3:$BK$23), MAX($BK$3:$BK$23), AS51)), $BL$3:$BL$23, "Error", 0)</f>
        <v/>
      </c>
      <c r="AT80" s="30">
        <f>_xlfn.XLOOKUP(MIN(ABS($BK$3:$BK$23 - MEDIAN(MIN($BK$3:$BK$23), MAX($BK$3:$BK$23), AT51))), ABS($BK$3:$BK$23 - MEDIAN(MIN($BK$3:$BK$23), MAX($BK$3:$BK$23), AT51)), $BL$3:$BL$23, "Error", 0)</f>
        <v/>
      </c>
      <c r="AU80" s="30">
        <f>_xlfn.XLOOKUP(MIN(ABS($BK$3:$BK$23 - MEDIAN(MIN($BK$3:$BK$23), MAX($BK$3:$BK$23), AU51))), ABS($BK$3:$BK$23 - MEDIAN(MIN($BK$3:$BK$23), MAX($BK$3:$BK$23), AU51)), $BL$3:$BL$23, "Error", 0)</f>
        <v/>
      </c>
      <c r="AV80" s="30">
        <f>_xlfn.XLOOKUP(MIN(ABS($BK$3:$BK$23 - MEDIAN(MIN($BK$3:$BK$23), MAX($BK$3:$BK$23), AV51))), ABS($BK$3:$BK$23 - MEDIAN(MIN($BK$3:$BK$23), MAX($BK$3:$BK$23), AV51)), $BL$3:$BL$23, "Error", 0)</f>
        <v/>
      </c>
      <c r="AW80" s="30">
        <f>_xlfn.XLOOKUP(MIN(ABS($BK$3:$BK$23 - MEDIAN(MIN($BK$3:$BK$23), MAX($BK$3:$BK$23), AW51))), ABS($BK$3:$BK$23 - MEDIAN(MIN($BK$3:$BK$23), MAX($BK$3:$BK$23), AW51)), $BL$3:$BL$23, "Error", 0)</f>
        <v/>
      </c>
      <c r="AX80" s="30">
        <f>_xlfn.XLOOKUP(MIN(ABS($BK$3:$BK$23 - MEDIAN(MIN($BK$3:$BK$23), MAX($BK$3:$BK$23), AX51))), ABS($BK$3:$BK$23 - MEDIAN(MIN($BK$3:$BK$23), MAX($BK$3:$BK$23), AX51)), $BL$3:$BL$23, "Error", 0)</f>
        <v/>
      </c>
      <c r="AY80" s="30">
        <f>_xlfn.XLOOKUP(MIN(ABS($BK$3:$BK$23 - MEDIAN(MIN($BK$3:$BK$23), MAX($BK$3:$BK$23), AY51))), ABS($BK$3:$BK$23 - MEDIAN(MIN($BK$3:$BK$23), MAX($BK$3:$BK$23), AY51)), $BL$3:$BL$23, "Error", 0)</f>
        <v/>
      </c>
      <c r="AZ80" s="30">
        <f>_xlfn.XLOOKUP(MIN(ABS($BK$3:$BK$23 - MEDIAN(MIN($BK$3:$BK$23), MAX($BK$3:$BK$23), AZ51))), ABS($BK$3:$BK$23 - MEDIAN(MIN($BK$3:$BK$23), MAX($BK$3:$BK$23), AZ51)), $BL$3:$BL$23, "Error", 0)</f>
        <v/>
      </c>
      <c r="BA80" s="30">
        <f>_xlfn.XLOOKUP(MIN(ABS($BK$3:$BK$23 - MEDIAN(MIN($BK$3:$BK$23), MAX($BK$3:$BK$23), BA51))), ABS($BK$3:$BK$23 - MEDIAN(MIN($BK$3:$BK$23), MAX($BK$3:$BK$23), BA51)), $BL$3:$BL$23, "Error", 0)</f>
        <v/>
      </c>
      <c r="BB80" s="30">
        <f>_xlfn.XLOOKUP(MIN(ABS($BK$3:$BK$23 - MEDIAN(MIN($BK$3:$BK$23), MAX($BK$3:$BK$23), BB51))), ABS($BK$3:$BK$23 - MEDIAN(MIN($BK$3:$BK$23), MAX($BK$3:$BK$23), BB51)), $BL$3:$BL$23, "Error", 0)</f>
        <v/>
      </c>
      <c r="BC80" s="30">
        <f>_xlfn.XLOOKUP(MIN(ABS($BK$3:$BK$23 - MEDIAN(MIN($BK$3:$BK$23), MAX($BK$3:$BK$23), BC51))), ABS($BK$3:$BK$23 - MEDIAN(MIN($BK$3:$BK$23), MAX($BK$3:$BK$23), BC51)), $BL$3:$BL$23, "Error", 0)</f>
        <v/>
      </c>
      <c r="BD80" s="30">
        <f>_xlfn.XLOOKUP(MIN(ABS($BK$3:$BK$23 - MEDIAN(MIN($BK$3:$BK$23), MAX($BK$3:$BK$23), BD51))), ABS($BK$3:$BK$23 - MEDIAN(MIN($BK$3:$BK$23), MAX($BK$3:$BK$23), BD51)), $BL$3:$BL$23, "Error", 0)</f>
        <v/>
      </c>
      <c r="BE80" s="30">
        <f>_xlfn.XLOOKUP(MIN(ABS($BK$3:$BK$23 - MEDIAN(MIN($BK$3:$BK$23), MAX($BK$3:$BK$23), BE51))), ABS($BK$3:$BK$23 - MEDIAN(MIN($BK$3:$BK$23), MAX($BK$3:$BK$23), BE51)), $BL$3:$BL$23, "Error", 0)</f>
        <v/>
      </c>
      <c r="BF80" s="30">
        <f>_xlfn.XLOOKUP(MIN(ABS($BK$3:$BK$23 - MEDIAN(MIN($BK$3:$BK$23), MAX($BK$3:$BK$23), BF51))), ABS($BK$3:$BK$23 - MEDIAN(MIN($BK$3:$BK$23), MAX($BK$3:$BK$23), BF51)), $BL$3:$BL$23, "Error", 0)</f>
        <v/>
      </c>
      <c r="BG80" s="30">
        <f>_xlfn.XLOOKUP(MIN(ABS($BK$3:$BK$23 - MEDIAN(MIN($BK$3:$BK$23), MAX($BK$3:$BK$23), BG51))), ABS($BK$3:$BK$23 - MEDIAN(MIN($BK$3:$BK$23), MAX($BK$3:$BK$23), BG51)), $BL$3:$BL$23, "Error", 0)</f>
        <v/>
      </c>
      <c r="BH80" s="30">
        <f>_xlfn.XLOOKUP(MIN(ABS($BK$3:$BK$23 - MEDIAN(MIN($BK$3:$BK$23), MAX($BK$3:$BK$23), BH51))), ABS($BK$3:$BK$23 - MEDIAN(MIN($BK$3:$BK$23), MAX($BK$3:$BK$23), BH51)), $BL$3:$BL$23, "Error", 0)</f>
        <v/>
      </c>
      <c r="BI80" s="30">
        <f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>_xlfn.XLOOKUP(MIN(ABS($BK$3:$BK$23 - MEDIAN(MIN($BK$3:$BK$23), MAX($BK$3:$BK$23), N52))), ABS($BK$3:$BK$23 - MEDIAN(MIN($BK$3:$BK$23), MAX($BK$3:$BK$23), N52)), $BL$3:$BL$23, "Error", 0)</f>
        <v/>
      </c>
      <c r="O81" s="30">
        <f>_xlfn.XLOOKUP(MIN(ABS($BK$3:$BK$23 - MEDIAN(MIN($BK$3:$BK$23), MAX($BK$3:$BK$23), O52))), ABS($BK$3:$BK$23 - MEDIAN(MIN($BK$3:$BK$23), MAX($BK$3:$BK$23), O52)), $BL$3:$BL$23, "Error", 0)</f>
        <v/>
      </c>
      <c r="P81" s="30">
        <f>_xlfn.XLOOKUP(MIN(ABS($BK$3:$BK$23 - MEDIAN(MIN($BK$3:$BK$23), MAX($BK$3:$BK$23), P52))), ABS($BK$3:$BK$23 - MEDIAN(MIN($BK$3:$BK$23), MAX($BK$3:$BK$23), P52)), $BL$3:$BL$23, "Error", 0)</f>
        <v/>
      </c>
      <c r="Q81" s="30">
        <f>_xlfn.XLOOKUP(MIN(ABS($BK$3:$BK$23 - MEDIAN(MIN($BK$3:$BK$23), MAX($BK$3:$BK$23), Q52))), ABS($BK$3:$BK$23 - MEDIAN(MIN($BK$3:$BK$23), MAX($BK$3:$BK$23), Q52)), $BL$3:$BL$23, "Error", 0)</f>
        <v/>
      </c>
      <c r="R81" s="30">
        <f>_xlfn.XLOOKUP(MIN(ABS($BK$3:$BK$23 - MEDIAN(MIN($BK$3:$BK$23), MAX($BK$3:$BK$23), R52))), ABS($BK$3:$BK$23 - MEDIAN(MIN($BK$3:$BK$23), MAX($BK$3:$BK$23), R52)), $BL$3:$BL$23, "Error", 0)</f>
        <v/>
      </c>
      <c r="S81" s="30">
        <f>_xlfn.XLOOKUP(MIN(ABS($BK$3:$BK$23 - MEDIAN(MIN($BK$3:$BK$23), MAX($BK$3:$BK$23), S52))), ABS($BK$3:$BK$23 - MEDIAN(MIN($BK$3:$BK$23), MAX($BK$3:$BK$23), S52)), $BL$3:$BL$23, "Error", 0)</f>
        <v/>
      </c>
      <c r="T81" s="30">
        <f>_xlfn.XLOOKUP(MIN(ABS($BK$3:$BK$23 - MEDIAN(MIN($BK$3:$BK$23), MAX($BK$3:$BK$23), T52))), ABS($BK$3:$BK$23 - MEDIAN(MIN($BK$3:$BK$23), MAX($BK$3:$BK$23), T52)), $BL$3:$BL$23, "Error", 0)</f>
        <v/>
      </c>
      <c r="U81" s="30">
        <f>_xlfn.XLOOKUP(MIN(ABS($BK$3:$BK$23 - MEDIAN(MIN($BK$3:$BK$23), MAX($BK$3:$BK$23), U52))), ABS($BK$3:$BK$23 - MEDIAN(MIN($BK$3:$BK$23), MAX($BK$3:$BK$23), U52)), $BL$3:$BL$23, "Error", 0)</f>
        <v/>
      </c>
      <c r="V81" s="30">
        <f>_xlfn.XLOOKUP(MIN(ABS($BK$3:$BK$23 - MEDIAN(MIN($BK$3:$BK$23), MAX($BK$3:$BK$23), V52))), ABS($BK$3:$BK$23 - MEDIAN(MIN($BK$3:$BK$23), MAX($BK$3:$BK$23), V52)), $BL$3:$BL$23, "Error", 0)</f>
        <v/>
      </c>
      <c r="W81" s="30">
        <f>_xlfn.XLOOKUP(MIN(ABS($BK$3:$BK$23 - MEDIAN(MIN($BK$3:$BK$23), MAX($BK$3:$BK$23), W52))), ABS($BK$3:$BK$23 - MEDIAN(MIN($BK$3:$BK$23), MAX($BK$3:$BK$23), W52)), $BL$3:$BL$23, "Error", 0)</f>
        <v/>
      </c>
      <c r="X81" s="30">
        <f>_xlfn.XLOOKUP(MIN(ABS($BK$3:$BK$23 - MEDIAN(MIN($BK$3:$BK$23), MAX($BK$3:$BK$23), X52))), ABS($BK$3:$BK$23 - MEDIAN(MIN($BK$3:$BK$23), MAX($BK$3:$BK$23), X52)), $BL$3:$BL$23, "Error", 0)</f>
        <v/>
      </c>
      <c r="Y81" s="30">
        <f>_xlfn.XLOOKUP(MIN(ABS($BK$3:$BK$23 - MEDIAN(MIN($BK$3:$BK$23), MAX($BK$3:$BK$23), Y52))), ABS($BK$3:$BK$23 - MEDIAN(MIN($BK$3:$BK$23), MAX($BK$3:$BK$23), Y52)), $BL$3:$BL$23, "Error", 0)</f>
        <v/>
      </c>
      <c r="Z81" s="30">
        <f>_xlfn.XLOOKUP(MIN(ABS($BK$3:$BK$23 - MEDIAN(MIN($BK$3:$BK$23), MAX($BK$3:$BK$23), Z52))), ABS($BK$3:$BK$23 - MEDIAN(MIN($BK$3:$BK$23), MAX($BK$3:$BK$23), Z52)), $BL$3:$BL$23, "Error", 0)</f>
        <v/>
      </c>
      <c r="AA81" s="30">
        <f>_xlfn.XLOOKUP(MIN(ABS($BK$3:$BK$23 - MEDIAN(MIN($BK$3:$BK$23), MAX($BK$3:$BK$23), AA52))), ABS($BK$3:$BK$23 - MEDIAN(MIN($BK$3:$BK$23), MAX($BK$3:$BK$23), AA52)), $BL$3:$BL$23, "Error", 0)</f>
        <v/>
      </c>
      <c r="AB81" s="30">
        <f>_xlfn.XLOOKUP(MIN(ABS($BK$3:$BK$23 - MEDIAN(MIN($BK$3:$BK$23), MAX($BK$3:$BK$23), AB52))), ABS($BK$3:$BK$23 - MEDIAN(MIN($BK$3:$BK$23), MAX($BK$3:$BK$23), AB52)), $BL$3:$BL$23, "Error", 0)</f>
        <v/>
      </c>
      <c r="AC81" s="30">
        <f>_xlfn.XLOOKUP(MIN(ABS($BK$3:$BK$23 - MEDIAN(MIN($BK$3:$BK$23), MAX($BK$3:$BK$23), AC52))), ABS($BK$3:$BK$23 - MEDIAN(MIN($BK$3:$BK$23), MAX($BK$3:$BK$23), AC52)), $BL$3:$BL$23, "Error", 0)</f>
        <v/>
      </c>
      <c r="AD81" s="30">
        <f>_xlfn.XLOOKUP(MIN(ABS($BK$3:$BK$23 - MEDIAN(MIN($BK$3:$BK$23), MAX($BK$3:$BK$23), AD52))), ABS($BK$3:$BK$23 - MEDIAN(MIN($BK$3:$BK$23), MAX($BK$3:$BK$23), AD52)), $BL$3:$BL$23, "Error", 0)</f>
        <v/>
      </c>
      <c r="AE81" s="30">
        <f>_xlfn.XLOOKUP(MIN(ABS($BK$3:$BK$23 - MEDIAN(MIN($BK$3:$BK$23), MAX($BK$3:$BK$23), AE52))), ABS($BK$3:$BK$23 - MEDIAN(MIN($BK$3:$BK$23), MAX($BK$3:$BK$23), AE52)), $BL$3:$BL$23, "Error", 0)</f>
        <v/>
      </c>
      <c r="AF81" s="30">
        <f>_xlfn.XLOOKUP(MIN(ABS($BK$3:$BK$23 - MEDIAN(MIN($BK$3:$BK$23), MAX($BK$3:$BK$23), AF52))), ABS($BK$3:$BK$23 - MEDIAN(MIN($BK$3:$BK$23), MAX($BK$3:$BK$23), AF52)), $BL$3:$BL$23, "Error", 0)</f>
        <v/>
      </c>
      <c r="AG81" s="30">
        <f>_xlfn.XLOOKUP(MIN(ABS($BK$3:$BK$23 - MEDIAN(MIN($BK$3:$BK$23), MAX($BK$3:$BK$23), AG52))), ABS($BK$3:$BK$23 - MEDIAN(MIN($BK$3:$BK$23), MAX($BK$3:$BK$23), AG52)), $BL$3:$BL$23, "Error", 0)</f>
        <v/>
      </c>
      <c r="AH81" s="30">
        <f>_xlfn.XLOOKUP(MIN(ABS($BK$3:$BK$23 - MEDIAN(MIN($BK$3:$BK$23), MAX($BK$3:$BK$23), AH52))), ABS($BK$3:$BK$23 - MEDIAN(MIN($BK$3:$BK$23), MAX($BK$3:$BK$23), AH52)), $BL$3:$BL$23, "Error", 0)</f>
        <v/>
      </c>
      <c r="AI81" s="30">
        <f>_xlfn.XLOOKUP(MIN(ABS($BK$3:$BK$23 - MEDIAN(MIN($BK$3:$BK$23), MAX($BK$3:$BK$23), AI52))), ABS($BK$3:$BK$23 - MEDIAN(MIN($BK$3:$BK$23), MAX($BK$3:$BK$23), AI52)), $BL$3:$BL$23, "Error", 0)</f>
        <v/>
      </c>
      <c r="AJ81" s="30">
        <f>_xlfn.XLOOKUP(MIN(ABS($BK$3:$BK$23 - MEDIAN(MIN($BK$3:$BK$23), MAX($BK$3:$BK$23), AJ52))), ABS($BK$3:$BK$23 - MEDIAN(MIN($BK$3:$BK$23), MAX($BK$3:$BK$23), AJ52)), $BL$3:$BL$23, "Error", 0)</f>
        <v/>
      </c>
      <c r="AK81" s="30">
        <f>_xlfn.XLOOKUP(MIN(ABS($BK$3:$BK$23 - MEDIAN(MIN($BK$3:$BK$23), MAX($BK$3:$BK$23), AK52))), ABS($BK$3:$BK$23 - MEDIAN(MIN($BK$3:$BK$23), MAX($BK$3:$BK$23), AK52)), $BL$3:$BL$23, "Error", 0)</f>
        <v/>
      </c>
      <c r="AL81" s="30">
        <f>_xlfn.XLOOKUP(MIN(ABS($BK$3:$BK$23 - MEDIAN(MIN($BK$3:$BK$23), MAX($BK$3:$BK$23), AL52))), ABS($BK$3:$BK$23 - MEDIAN(MIN($BK$3:$BK$23), MAX($BK$3:$BK$23), AL52)), $BL$3:$BL$23, "Error", 0)</f>
        <v/>
      </c>
      <c r="AM81" s="30">
        <f>_xlfn.XLOOKUP(MIN(ABS($BK$3:$BK$23 - MEDIAN(MIN($BK$3:$BK$23), MAX($BK$3:$BK$23), AM52))), ABS($BK$3:$BK$23 - MEDIAN(MIN($BK$3:$BK$23), MAX($BK$3:$BK$23), AM52)), $BL$3:$BL$23, "Error", 0)</f>
        <v/>
      </c>
      <c r="AN81" s="30">
        <f>_xlfn.XLOOKUP(MIN(ABS($BK$3:$BK$23 - MEDIAN(MIN($BK$3:$BK$23), MAX($BK$3:$BK$23), AN52))), ABS($BK$3:$BK$23 - MEDIAN(MIN($BK$3:$BK$23), MAX($BK$3:$BK$23), AN52)), $BL$3:$BL$23, "Error", 0)</f>
        <v/>
      </c>
      <c r="AO81" s="30">
        <f>_xlfn.XLOOKUP(MIN(ABS($BK$3:$BK$23 - MEDIAN(MIN($BK$3:$BK$23), MAX($BK$3:$BK$23), AO52))), ABS($BK$3:$BK$23 - MEDIAN(MIN($BK$3:$BK$23), MAX($BK$3:$BK$23), AO52)), $BL$3:$BL$23, "Error", 0)</f>
        <v/>
      </c>
      <c r="AP81" s="30">
        <f>_xlfn.XLOOKUP(MIN(ABS($BK$3:$BK$23 - MEDIAN(MIN($BK$3:$BK$23), MAX($BK$3:$BK$23), AP52))), ABS($BK$3:$BK$23 - MEDIAN(MIN($BK$3:$BK$23), MAX($BK$3:$BK$23), AP52)), $BL$3:$BL$23, "Error", 0)</f>
        <v/>
      </c>
      <c r="AQ81" s="30">
        <f>_xlfn.XLOOKUP(MIN(ABS($BK$3:$BK$23 - MEDIAN(MIN($BK$3:$BK$23), MAX($BK$3:$BK$23), AQ52))), ABS($BK$3:$BK$23 - MEDIAN(MIN($BK$3:$BK$23), MAX($BK$3:$BK$23), AQ52)), $BL$3:$BL$23, "Error", 0)</f>
        <v/>
      </c>
      <c r="AR81" s="30">
        <f>_xlfn.XLOOKUP(MIN(ABS($BK$3:$BK$23 - MEDIAN(MIN($BK$3:$BK$23), MAX($BK$3:$BK$23), AR52))), ABS($BK$3:$BK$23 - MEDIAN(MIN($BK$3:$BK$23), MAX($BK$3:$BK$23), AR52)), $BL$3:$BL$23, "Error", 0)</f>
        <v/>
      </c>
      <c r="AS81" s="30">
        <f>_xlfn.XLOOKUP(MIN(ABS($BK$3:$BK$23 - MEDIAN(MIN($BK$3:$BK$23), MAX($BK$3:$BK$23), AS52))), ABS($BK$3:$BK$23 - MEDIAN(MIN($BK$3:$BK$23), MAX($BK$3:$BK$23), AS52)), $BL$3:$BL$23, "Error", 0)</f>
        <v/>
      </c>
      <c r="AT81" s="30">
        <f>_xlfn.XLOOKUP(MIN(ABS($BK$3:$BK$23 - MEDIAN(MIN($BK$3:$BK$23), MAX($BK$3:$BK$23), AT52))), ABS($BK$3:$BK$23 - MEDIAN(MIN($BK$3:$BK$23), MAX($BK$3:$BK$23), AT52)), $BL$3:$BL$23, "Error", 0)</f>
        <v/>
      </c>
      <c r="AU81" s="30">
        <f>_xlfn.XLOOKUP(MIN(ABS($BK$3:$BK$23 - MEDIAN(MIN($BK$3:$BK$23), MAX($BK$3:$BK$23), AU52))), ABS($BK$3:$BK$23 - MEDIAN(MIN($BK$3:$BK$23), MAX($BK$3:$BK$23), AU52)), $BL$3:$BL$23, "Error", 0)</f>
        <v/>
      </c>
      <c r="AV81" s="30">
        <f>_xlfn.XLOOKUP(MIN(ABS($BK$3:$BK$23 - MEDIAN(MIN($BK$3:$BK$23), MAX($BK$3:$BK$23), AV52))), ABS($BK$3:$BK$23 - MEDIAN(MIN($BK$3:$BK$23), MAX($BK$3:$BK$23), AV52)), $BL$3:$BL$23, "Error", 0)</f>
        <v/>
      </c>
      <c r="AW81" s="30">
        <f>_xlfn.XLOOKUP(MIN(ABS($BK$3:$BK$23 - MEDIAN(MIN($BK$3:$BK$23), MAX($BK$3:$BK$23), AW52))), ABS($BK$3:$BK$23 - MEDIAN(MIN($BK$3:$BK$23), MAX($BK$3:$BK$23), AW52)), $BL$3:$BL$23, "Error", 0)</f>
        <v/>
      </c>
      <c r="AX81" s="30">
        <f>_xlfn.XLOOKUP(MIN(ABS($BK$3:$BK$23 - MEDIAN(MIN($BK$3:$BK$23), MAX($BK$3:$BK$23), AX52))), ABS($BK$3:$BK$23 - MEDIAN(MIN($BK$3:$BK$23), MAX($BK$3:$BK$23), AX52)), $BL$3:$BL$23, "Error", 0)</f>
        <v/>
      </c>
      <c r="AY81" s="30">
        <f>_xlfn.XLOOKUP(MIN(ABS($BK$3:$BK$23 - MEDIAN(MIN($BK$3:$BK$23), MAX($BK$3:$BK$23), AY52))), ABS($BK$3:$BK$23 - MEDIAN(MIN($BK$3:$BK$23), MAX($BK$3:$BK$23), AY52)), $BL$3:$BL$23, "Error", 0)</f>
        <v/>
      </c>
      <c r="AZ81" s="30">
        <f>_xlfn.XLOOKUP(MIN(ABS($BK$3:$BK$23 - MEDIAN(MIN($BK$3:$BK$23), MAX($BK$3:$BK$23), AZ52))), ABS($BK$3:$BK$23 - MEDIAN(MIN($BK$3:$BK$23), MAX($BK$3:$BK$23), AZ52)), $BL$3:$BL$23, "Error", 0)</f>
        <v/>
      </c>
      <c r="BA81" s="30">
        <f>_xlfn.XLOOKUP(MIN(ABS($BK$3:$BK$23 - MEDIAN(MIN($BK$3:$BK$23), MAX($BK$3:$BK$23), BA52))), ABS($BK$3:$BK$23 - MEDIAN(MIN($BK$3:$BK$23), MAX($BK$3:$BK$23), BA52)), $BL$3:$BL$23, "Error", 0)</f>
        <v/>
      </c>
      <c r="BB81" s="30">
        <f>_xlfn.XLOOKUP(MIN(ABS($BK$3:$BK$23 - MEDIAN(MIN($BK$3:$BK$23), MAX($BK$3:$BK$23), BB52))), ABS($BK$3:$BK$23 - MEDIAN(MIN($BK$3:$BK$23), MAX($BK$3:$BK$23), BB52)), $BL$3:$BL$23, "Error", 0)</f>
        <v/>
      </c>
      <c r="BC81" s="30">
        <f>_xlfn.XLOOKUP(MIN(ABS($BK$3:$BK$23 - MEDIAN(MIN($BK$3:$BK$23), MAX($BK$3:$BK$23), BC52))), ABS($BK$3:$BK$23 - MEDIAN(MIN($BK$3:$BK$23), MAX($BK$3:$BK$23), BC52)), $BL$3:$BL$23, "Error", 0)</f>
        <v/>
      </c>
      <c r="BD81" s="30">
        <f>_xlfn.XLOOKUP(MIN(ABS($BK$3:$BK$23 - MEDIAN(MIN($BK$3:$BK$23), MAX($BK$3:$BK$23), BD52))), ABS($BK$3:$BK$23 - MEDIAN(MIN($BK$3:$BK$23), MAX($BK$3:$BK$23), BD52)), $BL$3:$BL$23, "Error", 0)</f>
        <v/>
      </c>
      <c r="BE81" s="30">
        <f>_xlfn.XLOOKUP(MIN(ABS($BK$3:$BK$23 - MEDIAN(MIN($BK$3:$BK$23), MAX($BK$3:$BK$23), BE52))), ABS($BK$3:$BK$23 - MEDIAN(MIN($BK$3:$BK$23), MAX($BK$3:$BK$23), BE52)), $BL$3:$BL$23, "Error", 0)</f>
        <v/>
      </c>
      <c r="BF81" s="30">
        <f>_xlfn.XLOOKUP(MIN(ABS($BK$3:$BK$23 - MEDIAN(MIN($BK$3:$BK$23), MAX($BK$3:$BK$23), BF52))), ABS($BK$3:$BK$23 - MEDIAN(MIN($BK$3:$BK$23), MAX($BK$3:$BK$23), BF52)), $BL$3:$BL$23, "Error", 0)</f>
        <v/>
      </c>
      <c r="BG81" s="30">
        <f>_xlfn.XLOOKUP(MIN(ABS($BK$3:$BK$23 - MEDIAN(MIN($BK$3:$BK$23), MAX($BK$3:$BK$23), BG52))), ABS($BK$3:$BK$23 - MEDIAN(MIN($BK$3:$BK$23), MAX($BK$3:$BK$23), BG52)), $BL$3:$BL$23, "Error", 0)</f>
        <v/>
      </c>
      <c r="BH81" s="30">
        <f>_xlfn.XLOOKUP(MIN(ABS($BK$3:$BK$23 - MEDIAN(MIN($BK$3:$BK$23), MAX($BK$3:$BK$23), BH52))), ABS($BK$3:$BK$23 - MEDIAN(MIN($BK$3:$BK$23), MAX($BK$3:$BK$23), BH52)), $BL$3:$BL$23, "Error", 0)</f>
        <v/>
      </c>
      <c r="BI81" s="30">
        <f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>CHF JPY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>_xlfn.XLOOKUP(MIN(ABS($BK$3:$BK$23 - MEDIAN(MIN($BK$3:$BK$23), MAX($BK$3:$BK$23), N53))), ABS($BK$3:$BK$23 - MEDIAN(MIN($BK$3:$BK$23), MAX($BK$3:$BK$23), N53)), $BL$3:$BL$23, "Error", 0)</f>
        <v/>
      </c>
      <c r="O82" s="30">
        <f>_xlfn.XLOOKUP(MIN(ABS($BK$3:$BK$23 - MEDIAN(MIN($BK$3:$BK$23), MAX($BK$3:$BK$23), O53))), ABS($BK$3:$BK$23 - MEDIAN(MIN($BK$3:$BK$23), MAX($BK$3:$BK$23), O53)), $BL$3:$BL$23, "Error", 0)</f>
        <v/>
      </c>
      <c r="P82" s="30">
        <f>_xlfn.XLOOKUP(MIN(ABS($BK$3:$BK$23 - MEDIAN(MIN($BK$3:$BK$23), MAX($BK$3:$BK$23), P53))), ABS($BK$3:$BK$23 - MEDIAN(MIN($BK$3:$BK$23), MAX($BK$3:$BK$23), P53)), $BL$3:$BL$23, "Error", 0)</f>
        <v/>
      </c>
      <c r="Q82" s="30">
        <f>_xlfn.XLOOKUP(MIN(ABS($BK$3:$BK$23 - MEDIAN(MIN($BK$3:$BK$23), MAX($BK$3:$BK$23), Q53))), ABS($BK$3:$BK$23 - MEDIAN(MIN($BK$3:$BK$23), MAX($BK$3:$BK$23), Q53)), $BL$3:$BL$23, "Error", 0)</f>
        <v/>
      </c>
      <c r="R82" s="30">
        <f>_xlfn.XLOOKUP(MIN(ABS($BK$3:$BK$23 - MEDIAN(MIN($BK$3:$BK$23), MAX($BK$3:$BK$23), R53))), ABS($BK$3:$BK$23 - MEDIAN(MIN($BK$3:$BK$23), MAX($BK$3:$BK$23), R53)), $BL$3:$BL$23, "Error", 0)</f>
        <v/>
      </c>
      <c r="S82" s="30">
        <f>_xlfn.XLOOKUP(MIN(ABS($BK$3:$BK$23 - MEDIAN(MIN($BK$3:$BK$23), MAX($BK$3:$BK$23), S53))), ABS($BK$3:$BK$23 - MEDIAN(MIN($BK$3:$BK$23), MAX($BK$3:$BK$23), S53)), $BL$3:$BL$23, "Error", 0)</f>
        <v/>
      </c>
      <c r="T82" s="30">
        <f>_xlfn.XLOOKUP(MIN(ABS($BK$3:$BK$23 - MEDIAN(MIN($BK$3:$BK$23), MAX($BK$3:$BK$23), T53))), ABS($BK$3:$BK$23 - MEDIAN(MIN($BK$3:$BK$23), MAX($BK$3:$BK$23), T53)), $BL$3:$BL$23, "Error", 0)</f>
        <v/>
      </c>
      <c r="U82" s="30">
        <f>_xlfn.XLOOKUP(MIN(ABS($BK$3:$BK$23 - MEDIAN(MIN($BK$3:$BK$23), MAX($BK$3:$BK$23), U53))), ABS($BK$3:$BK$23 - MEDIAN(MIN($BK$3:$BK$23), MAX($BK$3:$BK$23), U53)), $BL$3:$BL$23, "Error", 0)</f>
        <v/>
      </c>
      <c r="V82" s="30">
        <f>_xlfn.XLOOKUP(MIN(ABS($BK$3:$BK$23 - MEDIAN(MIN($BK$3:$BK$23), MAX($BK$3:$BK$23), V53))), ABS($BK$3:$BK$23 - MEDIAN(MIN($BK$3:$BK$23), MAX($BK$3:$BK$23), V53)), $BL$3:$BL$23, "Error", 0)</f>
        <v/>
      </c>
      <c r="W82" s="30">
        <f>_xlfn.XLOOKUP(MIN(ABS($BK$3:$BK$23 - MEDIAN(MIN($BK$3:$BK$23), MAX($BK$3:$BK$23), W53))), ABS($BK$3:$BK$23 - MEDIAN(MIN($BK$3:$BK$23), MAX($BK$3:$BK$23), W53)), $BL$3:$BL$23, "Error", 0)</f>
        <v/>
      </c>
      <c r="X82" s="30">
        <f>_xlfn.XLOOKUP(MIN(ABS($BK$3:$BK$23 - MEDIAN(MIN($BK$3:$BK$23), MAX($BK$3:$BK$23), X53))), ABS($BK$3:$BK$23 - MEDIAN(MIN($BK$3:$BK$23), MAX($BK$3:$BK$23), X53)), $BL$3:$BL$23, "Error", 0)</f>
        <v/>
      </c>
      <c r="Y82" s="30">
        <f>_xlfn.XLOOKUP(MIN(ABS($BK$3:$BK$23 - MEDIAN(MIN($BK$3:$BK$23), MAX($BK$3:$BK$23), Y53))), ABS($BK$3:$BK$23 - MEDIAN(MIN($BK$3:$BK$23), MAX($BK$3:$BK$23), Y53)), $BL$3:$BL$23, "Error", 0)</f>
        <v/>
      </c>
      <c r="Z82" s="30">
        <f>_xlfn.XLOOKUP(MIN(ABS($BK$3:$BK$23 - MEDIAN(MIN($BK$3:$BK$23), MAX($BK$3:$BK$23), Z53))), ABS($BK$3:$BK$23 - MEDIAN(MIN($BK$3:$BK$23), MAX($BK$3:$BK$23), Z53)), $BL$3:$BL$23, "Error", 0)</f>
        <v/>
      </c>
      <c r="AA82" s="30">
        <f>_xlfn.XLOOKUP(MIN(ABS($BK$3:$BK$23 - MEDIAN(MIN($BK$3:$BK$23), MAX($BK$3:$BK$23), AA53))), ABS($BK$3:$BK$23 - MEDIAN(MIN($BK$3:$BK$23), MAX($BK$3:$BK$23), AA53)), $BL$3:$BL$23, "Error", 0)</f>
        <v/>
      </c>
      <c r="AB82" s="30">
        <f>_xlfn.XLOOKUP(MIN(ABS($BK$3:$BK$23 - MEDIAN(MIN($BK$3:$BK$23), MAX($BK$3:$BK$23), AB53))), ABS($BK$3:$BK$23 - MEDIAN(MIN($BK$3:$BK$23), MAX($BK$3:$BK$23), AB53)), $BL$3:$BL$23, "Error", 0)</f>
        <v/>
      </c>
      <c r="AC82" s="30">
        <f>_xlfn.XLOOKUP(MIN(ABS($BK$3:$BK$23 - MEDIAN(MIN($BK$3:$BK$23), MAX($BK$3:$BK$23), AC53))), ABS($BK$3:$BK$23 - MEDIAN(MIN($BK$3:$BK$23), MAX($BK$3:$BK$23), AC53)), $BL$3:$BL$23, "Error", 0)</f>
        <v/>
      </c>
      <c r="AD82" s="30">
        <f>_xlfn.XLOOKUP(MIN(ABS($BK$3:$BK$23 - MEDIAN(MIN($BK$3:$BK$23), MAX($BK$3:$BK$23), AD53))), ABS($BK$3:$BK$23 - MEDIAN(MIN($BK$3:$BK$23), MAX($BK$3:$BK$23), AD53)), $BL$3:$BL$23, "Error", 0)</f>
        <v/>
      </c>
      <c r="AE82" s="30">
        <f>_xlfn.XLOOKUP(MIN(ABS($BK$3:$BK$23 - MEDIAN(MIN($BK$3:$BK$23), MAX($BK$3:$BK$23), AE53))), ABS($BK$3:$BK$23 - MEDIAN(MIN($BK$3:$BK$23), MAX($BK$3:$BK$23), AE53)), $BL$3:$BL$23, "Error", 0)</f>
        <v/>
      </c>
      <c r="AF82" s="30">
        <f>_xlfn.XLOOKUP(MIN(ABS($BK$3:$BK$23 - MEDIAN(MIN($BK$3:$BK$23), MAX($BK$3:$BK$23), AF53))), ABS($BK$3:$BK$23 - MEDIAN(MIN($BK$3:$BK$23), MAX($BK$3:$BK$23), AF53)), $BL$3:$BL$23, "Error", 0)</f>
        <v/>
      </c>
      <c r="AG82" s="30">
        <f>_xlfn.XLOOKUP(MIN(ABS($BK$3:$BK$23 - MEDIAN(MIN($BK$3:$BK$23), MAX($BK$3:$BK$23), AG53))), ABS($BK$3:$BK$23 - MEDIAN(MIN($BK$3:$BK$23), MAX($BK$3:$BK$23), AG53)), $BL$3:$BL$23, "Error", 0)</f>
        <v/>
      </c>
      <c r="AH82" s="30">
        <f>_xlfn.XLOOKUP(MIN(ABS($BK$3:$BK$23 - MEDIAN(MIN($BK$3:$BK$23), MAX($BK$3:$BK$23), AH53))), ABS($BK$3:$BK$23 - MEDIAN(MIN($BK$3:$BK$23), MAX($BK$3:$BK$23), AH53)), $BL$3:$BL$23, "Error", 0)</f>
        <v/>
      </c>
      <c r="AI82" s="30">
        <f>_xlfn.XLOOKUP(MIN(ABS($BK$3:$BK$23 - MEDIAN(MIN($BK$3:$BK$23), MAX($BK$3:$BK$23), AI53))), ABS($BK$3:$BK$23 - MEDIAN(MIN($BK$3:$BK$23), MAX($BK$3:$BK$23), AI53)), $BL$3:$BL$23, "Error", 0)</f>
        <v/>
      </c>
      <c r="AJ82" s="30">
        <f>_xlfn.XLOOKUP(MIN(ABS($BK$3:$BK$23 - MEDIAN(MIN($BK$3:$BK$23), MAX($BK$3:$BK$23), AJ53))), ABS($BK$3:$BK$23 - MEDIAN(MIN($BK$3:$BK$23), MAX($BK$3:$BK$23), AJ53)), $BL$3:$BL$23, "Error", 0)</f>
        <v/>
      </c>
      <c r="AK82" s="30">
        <f>_xlfn.XLOOKUP(MIN(ABS($BK$3:$BK$23 - MEDIAN(MIN($BK$3:$BK$23), MAX($BK$3:$BK$23), AK53))), ABS($BK$3:$BK$23 - MEDIAN(MIN($BK$3:$BK$23), MAX($BK$3:$BK$23), AK53)), $BL$3:$BL$23, "Error", 0)</f>
        <v/>
      </c>
      <c r="AL82" s="30">
        <f>_xlfn.XLOOKUP(MIN(ABS($BK$3:$BK$23 - MEDIAN(MIN($BK$3:$BK$23), MAX($BK$3:$BK$23), AL53))), ABS($BK$3:$BK$23 - MEDIAN(MIN($BK$3:$BK$23), MAX($BK$3:$BK$23), AL53)), $BL$3:$BL$23, "Error", 0)</f>
        <v/>
      </c>
      <c r="AM82" s="30">
        <f>_xlfn.XLOOKUP(MIN(ABS($BK$3:$BK$23 - MEDIAN(MIN($BK$3:$BK$23), MAX($BK$3:$BK$23), AM53))), ABS($BK$3:$BK$23 - MEDIAN(MIN($BK$3:$BK$23), MAX($BK$3:$BK$23), AM53)), $BL$3:$BL$23, "Error", 0)</f>
        <v/>
      </c>
      <c r="AN82" s="30">
        <f>_xlfn.XLOOKUP(MIN(ABS($BK$3:$BK$23 - MEDIAN(MIN($BK$3:$BK$23), MAX($BK$3:$BK$23), AN53))), ABS($BK$3:$BK$23 - MEDIAN(MIN($BK$3:$BK$23), MAX($BK$3:$BK$23), AN53)), $BL$3:$BL$23, "Error", 0)</f>
        <v/>
      </c>
      <c r="AO82" s="30">
        <f>_xlfn.XLOOKUP(MIN(ABS($BK$3:$BK$23 - MEDIAN(MIN($BK$3:$BK$23), MAX($BK$3:$BK$23), AO53))), ABS($BK$3:$BK$23 - MEDIAN(MIN($BK$3:$BK$23), MAX($BK$3:$BK$23), AO53)), $BL$3:$BL$23, "Error", 0)</f>
        <v/>
      </c>
      <c r="AP82" s="30">
        <f>_xlfn.XLOOKUP(MIN(ABS($BK$3:$BK$23 - MEDIAN(MIN($BK$3:$BK$23), MAX($BK$3:$BK$23), AP53))), ABS($BK$3:$BK$23 - MEDIAN(MIN($BK$3:$BK$23), MAX($BK$3:$BK$23), AP53)), $BL$3:$BL$23, "Error", 0)</f>
        <v/>
      </c>
      <c r="AQ82" s="30">
        <f>_xlfn.XLOOKUP(MIN(ABS($BK$3:$BK$23 - MEDIAN(MIN($BK$3:$BK$23), MAX($BK$3:$BK$23), AQ53))), ABS($BK$3:$BK$23 - MEDIAN(MIN($BK$3:$BK$23), MAX($BK$3:$BK$23), AQ53)), $BL$3:$BL$23, "Error", 0)</f>
        <v/>
      </c>
      <c r="AR82" s="30">
        <f>_xlfn.XLOOKUP(MIN(ABS($BK$3:$BK$23 - MEDIAN(MIN($BK$3:$BK$23), MAX($BK$3:$BK$23), AR53))), ABS($BK$3:$BK$23 - MEDIAN(MIN($BK$3:$BK$23), MAX($BK$3:$BK$23), AR53)), $BL$3:$BL$23, "Error", 0)</f>
        <v/>
      </c>
      <c r="AS82" s="30">
        <f>_xlfn.XLOOKUP(MIN(ABS($BK$3:$BK$23 - MEDIAN(MIN($BK$3:$BK$23), MAX($BK$3:$BK$23), AS53))), ABS($BK$3:$BK$23 - MEDIAN(MIN($BK$3:$BK$23), MAX($BK$3:$BK$23), AS53)), $BL$3:$BL$23, "Error", 0)</f>
        <v/>
      </c>
      <c r="AT82" s="30">
        <f>_xlfn.XLOOKUP(MIN(ABS($BK$3:$BK$23 - MEDIAN(MIN($BK$3:$BK$23), MAX($BK$3:$BK$23), AT53))), ABS($BK$3:$BK$23 - MEDIAN(MIN($BK$3:$BK$23), MAX($BK$3:$BK$23), AT53)), $BL$3:$BL$23, "Error", 0)</f>
        <v/>
      </c>
      <c r="AU82" s="30">
        <f>_xlfn.XLOOKUP(MIN(ABS($BK$3:$BK$23 - MEDIAN(MIN($BK$3:$BK$23), MAX($BK$3:$BK$23), AU53))), ABS($BK$3:$BK$23 - MEDIAN(MIN($BK$3:$BK$23), MAX($BK$3:$BK$23), AU53)), $BL$3:$BL$23, "Error", 0)</f>
        <v/>
      </c>
      <c r="AV82" s="30">
        <f>_xlfn.XLOOKUP(MIN(ABS($BK$3:$BK$23 - MEDIAN(MIN($BK$3:$BK$23), MAX($BK$3:$BK$23), AV53))), ABS($BK$3:$BK$23 - MEDIAN(MIN($BK$3:$BK$23), MAX($BK$3:$BK$23), AV53)), $BL$3:$BL$23, "Error", 0)</f>
        <v/>
      </c>
      <c r="AW82" s="30">
        <f>_xlfn.XLOOKUP(MIN(ABS($BK$3:$BK$23 - MEDIAN(MIN($BK$3:$BK$23), MAX($BK$3:$BK$23), AW53))), ABS($BK$3:$BK$23 - MEDIAN(MIN($BK$3:$BK$23), MAX($BK$3:$BK$23), AW53)), $BL$3:$BL$23, "Error", 0)</f>
        <v/>
      </c>
      <c r="AX82" s="30">
        <f>_xlfn.XLOOKUP(MIN(ABS($BK$3:$BK$23 - MEDIAN(MIN($BK$3:$BK$23), MAX($BK$3:$BK$23), AX53))), ABS($BK$3:$BK$23 - MEDIAN(MIN($BK$3:$BK$23), MAX($BK$3:$BK$23), AX53)), $BL$3:$BL$23, "Error", 0)</f>
        <v/>
      </c>
      <c r="AY82" s="30">
        <f>_xlfn.XLOOKUP(MIN(ABS($BK$3:$BK$23 - MEDIAN(MIN($BK$3:$BK$23), MAX($BK$3:$BK$23), AY53))), ABS($BK$3:$BK$23 - MEDIAN(MIN($BK$3:$BK$23), MAX($BK$3:$BK$23), AY53)), $BL$3:$BL$23, "Error", 0)</f>
        <v/>
      </c>
      <c r="AZ82" s="30">
        <f>_xlfn.XLOOKUP(MIN(ABS($BK$3:$BK$23 - MEDIAN(MIN($BK$3:$BK$23), MAX($BK$3:$BK$23), AZ53))), ABS($BK$3:$BK$23 - MEDIAN(MIN($BK$3:$BK$23), MAX($BK$3:$BK$23), AZ53)), $BL$3:$BL$23, "Error", 0)</f>
        <v/>
      </c>
      <c r="BA82" s="30">
        <f>_xlfn.XLOOKUP(MIN(ABS($BK$3:$BK$23 - MEDIAN(MIN($BK$3:$BK$23), MAX($BK$3:$BK$23), BA53))), ABS($BK$3:$BK$23 - MEDIAN(MIN($BK$3:$BK$23), MAX($BK$3:$BK$23), BA53)), $BL$3:$BL$23, "Error", 0)</f>
        <v/>
      </c>
      <c r="BB82" s="30">
        <f>_xlfn.XLOOKUP(MIN(ABS($BK$3:$BK$23 - MEDIAN(MIN($BK$3:$BK$23), MAX($BK$3:$BK$23), BB53))), ABS($BK$3:$BK$23 - MEDIAN(MIN($BK$3:$BK$23), MAX($BK$3:$BK$23), BB53)), $BL$3:$BL$23, "Error", 0)</f>
        <v/>
      </c>
      <c r="BC82" s="30">
        <f>_xlfn.XLOOKUP(MIN(ABS($BK$3:$BK$23 - MEDIAN(MIN($BK$3:$BK$23), MAX($BK$3:$BK$23), BC53))), ABS($BK$3:$BK$23 - MEDIAN(MIN($BK$3:$BK$23), MAX($BK$3:$BK$23), BC53)), $BL$3:$BL$23, "Error", 0)</f>
        <v/>
      </c>
      <c r="BD82" s="30">
        <f>_xlfn.XLOOKUP(MIN(ABS($BK$3:$BK$23 - MEDIAN(MIN($BK$3:$BK$23), MAX($BK$3:$BK$23), BD53))), ABS($BK$3:$BK$23 - MEDIAN(MIN($BK$3:$BK$23), MAX($BK$3:$BK$23), BD53)), $BL$3:$BL$23, "Error", 0)</f>
        <v/>
      </c>
      <c r="BE82" s="30">
        <f>_xlfn.XLOOKUP(MIN(ABS($BK$3:$BK$23 - MEDIAN(MIN($BK$3:$BK$23), MAX($BK$3:$BK$23), BE53))), ABS($BK$3:$BK$23 - MEDIAN(MIN($BK$3:$BK$23), MAX($BK$3:$BK$23), BE53)), $BL$3:$BL$23, "Error", 0)</f>
        <v/>
      </c>
      <c r="BF82" s="30">
        <f>_xlfn.XLOOKUP(MIN(ABS($BK$3:$BK$23 - MEDIAN(MIN($BK$3:$BK$23), MAX($BK$3:$BK$23), BF53))), ABS($BK$3:$BK$23 - MEDIAN(MIN($BK$3:$BK$23), MAX($BK$3:$BK$23), BF53)), $BL$3:$BL$23, "Error", 0)</f>
        <v/>
      </c>
      <c r="BG82" s="30">
        <f>_xlfn.XLOOKUP(MIN(ABS($BK$3:$BK$23 - MEDIAN(MIN($BK$3:$BK$23), MAX($BK$3:$BK$23), BG53))), ABS($BK$3:$BK$23 - MEDIAN(MIN($BK$3:$BK$23), MAX($BK$3:$BK$23), BG53)), $BL$3:$BL$23, "Error", 0)</f>
        <v/>
      </c>
      <c r="BH82" s="30">
        <f>_xlfn.XLOOKUP(MIN(ABS($BK$3:$BK$23 - MEDIAN(MIN($BK$3:$BK$23), MAX($BK$3:$BK$23), BH53))), ABS($BK$3:$BK$23 - MEDIAN(MIN($BK$3:$BK$23), MAX($BK$3:$BK$23), BH53)), $BL$3:$BL$23, "Error", 0)</f>
        <v/>
      </c>
      <c r="BI82" s="30">
        <f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>_xlfn.XLOOKUP(MIN(ABS($BK$3:$BK$23 - MEDIAN(MIN($BK$3:$BK$23), MAX($BK$3:$BK$23), N54))), ABS($BK$3:$BK$23 - MEDIAN(MIN($BK$3:$BK$23), MAX($BK$3:$BK$23), N54)), $BL$3:$BL$23, "Error", 0)</f>
        <v/>
      </c>
      <c r="O83" s="30">
        <f>_xlfn.XLOOKUP(MIN(ABS($BK$3:$BK$23 - MEDIAN(MIN($BK$3:$BK$23), MAX($BK$3:$BK$23), O54))), ABS($BK$3:$BK$23 - MEDIAN(MIN($BK$3:$BK$23), MAX($BK$3:$BK$23), O54)), $BL$3:$BL$23, "Error", 0)</f>
        <v/>
      </c>
      <c r="P83" s="30">
        <f>_xlfn.XLOOKUP(MIN(ABS($BK$3:$BK$23 - MEDIAN(MIN($BK$3:$BK$23), MAX($BK$3:$BK$23), P54))), ABS($BK$3:$BK$23 - MEDIAN(MIN($BK$3:$BK$23), MAX($BK$3:$BK$23), P54)), $BL$3:$BL$23, "Error", 0)</f>
        <v/>
      </c>
      <c r="Q83" s="30">
        <f>_xlfn.XLOOKUP(MIN(ABS($BK$3:$BK$23 - MEDIAN(MIN($BK$3:$BK$23), MAX($BK$3:$BK$23), Q54))), ABS($BK$3:$BK$23 - MEDIAN(MIN($BK$3:$BK$23), MAX($BK$3:$BK$23), Q54)), $BL$3:$BL$23, "Error", 0)</f>
        <v/>
      </c>
      <c r="R83" s="30">
        <f>_xlfn.XLOOKUP(MIN(ABS($BK$3:$BK$23 - MEDIAN(MIN($BK$3:$BK$23), MAX($BK$3:$BK$23), R54))), ABS($BK$3:$BK$23 - MEDIAN(MIN($BK$3:$BK$23), MAX($BK$3:$BK$23), R54)), $BL$3:$BL$23, "Error", 0)</f>
        <v/>
      </c>
      <c r="S83" s="30">
        <f>_xlfn.XLOOKUP(MIN(ABS($BK$3:$BK$23 - MEDIAN(MIN($BK$3:$BK$23), MAX($BK$3:$BK$23), S54))), ABS($BK$3:$BK$23 - MEDIAN(MIN($BK$3:$BK$23), MAX($BK$3:$BK$23), S54)), $BL$3:$BL$23, "Error", 0)</f>
        <v/>
      </c>
      <c r="T83" s="30">
        <f>_xlfn.XLOOKUP(MIN(ABS($BK$3:$BK$23 - MEDIAN(MIN($BK$3:$BK$23), MAX($BK$3:$BK$23), T54))), ABS($BK$3:$BK$23 - MEDIAN(MIN($BK$3:$BK$23), MAX($BK$3:$BK$23), T54)), $BL$3:$BL$23, "Error", 0)</f>
        <v/>
      </c>
      <c r="U83" s="30">
        <f>_xlfn.XLOOKUP(MIN(ABS($BK$3:$BK$23 - MEDIAN(MIN($BK$3:$BK$23), MAX($BK$3:$BK$23), U54))), ABS($BK$3:$BK$23 - MEDIAN(MIN($BK$3:$BK$23), MAX($BK$3:$BK$23), U54)), $BL$3:$BL$23, "Error", 0)</f>
        <v/>
      </c>
      <c r="V83" s="30">
        <f>_xlfn.XLOOKUP(MIN(ABS($BK$3:$BK$23 - MEDIAN(MIN($BK$3:$BK$23), MAX($BK$3:$BK$23), V54))), ABS($BK$3:$BK$23 - MEDIAN(MIN($BK$3:$BK$23), MAX($BK$3:$BK$23), V54)), $BL$3:$BL$23, "Error", 0)</f>
        <v/>
      </c>
      <c r="W83" s="30">
        <f>_xlfn.XLOOKUP(MIN(ABS($BK$3:$BK$23 - MEDIAN(MIN($BK$3:$BK$23), MAX($BK$3:$BK$23), W54))), ABS($BK$3:$BK$23 - MEDIAN(MIN($BK$3:$BK$23), MAX($BK$3:$BK$23), W54)), $BL$3:$BL$23, "Error", 0)</f>
        <v/>
      </c>
      <c r="X83" s="30">
        <f>_xlfn.XLOOKUP(MIN(ABS($BK$3:$BK$23 - MEDIAN(MIN($BK$3:$BK$23), MAX($BK$3:$BK$23), X54))), ABS($BK$3:$BK$23 - MEDIAN(MIN($BK$3:$BK$23), MAX($BK$3:$BK$23), X54)), $BL$3:$BL$23, "Error", 0)</f>
        <v/>
      </c>
      <c r="Y83" s="30">
        <f>_xlfn.XLOOKUP(MIN(ABS($BK$3:$BK$23 - MEDIAN(MIN($BK$3:$BK$23), MAX($BK$3:$BK$23), Y54))), ABS($BK$3:$BK$23 - MEDIAN(MIN($BK$3:$BK$23), MAX($BK$3:$BK$23), Y54)), $BL$3:$BL$23, "Error", 0)</f>
        <v/>
      </c>
      <c r="Z83" s="30">
        <f>_xlfn.XLOOKUP(MIN(ABS($BK$3:$BK$23 - MEDIAN(MIN($BK$3:$BK$23), MAX($BK$3:$BK$23), Z54))), ABS($BK$3:$BK$23 - MEDIAN(MIN($BK$3:$BK$23), MAX($BK$3:$BK$23), Z54)), $BL$3:$BL$23, "Error", 0)</f>
        <v/>
      </c>
      <c r="AA83" s="30">
        <f>_xlfn.XLOOKUP(MIN(ABS($BK$3:$BK$23 - MEDIAN(MIN($BK$3:$BK$23), MAX($BK$3:$BK$23), AA54))), ABS($BK$3:$BK$23 - MEDIAN(MIN($BK$3:$BK$23), MAX($BK$3:$BK$23), AA54)), $BL$3:$BL$23, "Error", 0)</f>
        <v/>
      </c>
      <c r="AB83" s="30">
        <f>_xlfn.XLOOKUP(MIN(ABS($BK$3:$BK$23 - MEDIAN(MIN($BK$3:$BK$23), MAX($BK$3:$BK$23), AB54))), ABS($BK$3:$BK$23 - MEDIAN(MIN($BK$3:$BK$23), MAX($BK$3:$BK$23), AB54)), $BL$3:$BL$23, "Error", 0)</f>
        <v/>
      </c>
      <c r="AC83" s="30">
        <f>_xlfn.XLOOKUP(MIN(ABS($BK$3:$BK$23 - MEDIAN(MIN($BK$3:$BK$23), MAX($BK$3:$BK$23), AC54))), ABS($BK$3:$BK$23 - MEDIAN(MIN($BK$3:$BK$23), MAX($BK$3:$BK$23), AC54)), $BL$3:$BL$23, "Error", 0)</f>
        <v/>
      </c>
      <c r="AD83" s="30">
        <f>_xlfn.XLOOKUP(MIN(ABS($BK$3:$BK$23 - MEDIAN(MIN($BK$3:$BK$23), MAX($BK$3:$BK$23), AD54))), ABS($BK$3:$BK$23 - MEDIAN(MIN($BK$3:$BK$23), MAX($BK$3:$BK$23), AD54)), $BL$3:$BL$23, "Error", 0)</f>
        <v/>
      </c>
      <c r="AE83" s="30">
        <f>_xlfn.XLOOKUP(MIN(ABS($BK$3:$BK$23 - MEDIAN(MIN($BK$3:$BK$23), MAX($BK$3:$BK$23), AE54))), ABS($BK$3:$BK$23 - MEDIAN(MIN($BK$3:$BK$23), MAX($BK$3:$BK$23), AE54)), $BL$3:$BL$23, "Error", 0)</f>
        <v/>
      </c>
      <c r="AF83" s="30">
        <f>_xlfn.XLOOKUP(MIN(ABS($BK$3:$BK$23 - MEDIAN(MIN($BK$3:$BK$23), MAX($BK$3:$BK$23), AF54))), ABS($BK$3:$BK$23 - MEDIAN(MIN($BK$3:$BK$23), MAX($BK$3:$BK$23), AF54)), $BL$3:$BL$23, "Error", 0)</f>
        <v/>
      </c>
      <c r="AG83" s="30">
        <f>_xlfn.XLOOKUP(MIN(ABS($BK$3:$BK$23 - MEDIAN(MIN($BK$3:$BK$23), MAX($BK$3:$BK$23), AG54))), ABS($BK$3:$BK$23 - MEDIAN(MIN($BK$3:$BK$23), MAX($BK$3:$BK$23), AG54)), $BL$3:$BL$23, "Error", 0)</f>
        <v/>
      </c>
      <c r="AH83" s="30">
        <f>_xlfn.XLOOKUP(MIN(ABS($BK$3:$BK$23 - MEDIAN(MIN($BK$3:$BK$23), MAX($BK$3:$BK$23), AH54))), ABS($BK$3:$BK$23 - MEDIAN(MIN($BK$3:$BK$23), MAX($BK$3:$BK$23), AH54)), $BL$3:$BL$23, "Error", 0)</f>
        <v/>
      </c>
      <c r="AI83" s="30">
        <f>_xlfn.XLOOKUP(MIN(ABS($BK$3:$BK$23 - MEDIAN(MIN($BK$3:$BK$23), MAX($BK$3:$BK$23), AI54))), ABS($BK$3:$BK$23 - MEDIAN(MIN($BK$3:$BK$23), MAX($BK$3:$BK$23), AI54)), $BL$3:$BL$23, "Error", 0)</f>
        <v/>
      </c>
      <c r="AJ83" s="30">
        <f>_xlfn.XLOOKUP(MIN(ABS($BK$3:$BK$23 - MEDIAN(MIN($BK$3:$BK$23), MAX($BK$3:$BK$23), AJ54))), ABS($BK$3:$BK$23 - MEDIAN(MIN($BK$3:$BK$23), MAX($BK$3:$BK$23), AJ54)), $BL$3:$BL$23, "Error", 0)</f>
        <v/>
      </c>
      <c r="AK83" s="30">
        <f>_xlfn.XLOOKUP(MIN(ABS($BK$3:$BK$23 - MEDIAN(MIN($BK$3:$BK$23), MAX($BK$3:$BK$23), AK54))), ABS($BK$3:$BK$23 - MEDIAN(MIN($BK$3:$BK$23), MAX($BK$3:$BK$23), AK54)), $BL$3:$BL$23, "Error", 0)</f>
        <v/>
      </c>
      <c r="AL83" s="30">
        <f>_xlfn.XLOOKUP(MIN(ABS($BK$3:$BK$23 - MEDIAN(MIN($BK$3:$BK$23), MAX($BK$3:$BK$23), AL54))), ABS($BK$3:$BK$23 - MEDIAN(MIN($BK$3:$BK$23), MAX($BK$3:$BK$23), AL54)), $BL$3:$BL$23, "Error", 0)</f>
        <v/>
      </c>
      <c r="AM83" s="30">
        <f>_xlfn.XLOOKUP(MIN(ABS($BK$3:$BK$23 - MEDIAN(MIN($BK$3:$BK$23), MAX($BK$3:$BK$23), AM54))), ABS($BK$3:$BK$23 - MEDIAN(MIN($BK$3:$BK$23), MAX($BK$3:$BK$23), AM54)), $BL$3:$BL$23, "Error", 0)</f>
        <v/>
      </c>
      <c r="AN83" s="30">
        <f>_xlfn.XLOOKUP(MIN(ABS($BK$3:$BK$23 - MEDIAN(MIN($BK$3:$BK$23), MAX($BK$3:$BK$23), AN54))), ABS($BK$3:$BK$23 - MEDIAN(MIN($BK$3:$BK$23), MAX($BK$3:$BK$23), AN54)), $BL$3:$BL$23, "Error", 0)</f>
        <v/>
      </c>
      <c r="AO83" s="30">
        <f>_xlfn.XLOOKUP(MIN(ABS($BK$3:$BK$23 - MEDIAN(MIN($BK$3:$BK$23), MAX($BK$3:$BK$23), AO54))), ABS($BK$3:$BK$23 - MEDIAN(MIN($BK$3:$BK$23), MAX($BK$3:$BK$23), AO54)), $BL$3:$BL$23, "Error", 0)</f>
        <v/>
      </c>
      <c r="AP83" s="30">
        <f>_xlfn.XLOOKUP(MIN(ABS($BK$3:$BK$23 - MEDIAN(MIN($BK$3:$BK$23), MAX($BK$3:$BK$23), AP54))), ABS($BK$3:$BK$23 - MEDIAN(MIN($BK$3:$BK$23), MAX($BK$3:$BK$23), AP54)), $BL$3:$BL$23, "Error", 0)</f>
        <v/>
      </c>
      <c r="AQ83" s="30">
        <f>_xlfn.XLOOKUP(MIN(ABS($BK$3:$BK$23 - MEDIAN(MIN($BK$3:$BK$23), MAX($BK$3:$BK$23), AQ54))), ABS($BK$3:$BK$23 - MEDIAN(MIN($BK$3:$BK$23), MAX($BK$3:$BK$23), AQ54)), $BL$3:$BL$23, "Error", 0)</f>
        <v/>
      </c>
      <c r="AR83" s="30">
        <f>_xlfn.XLOOKUP(MIN(ABS($BK$3:$BK$23 - MEDIAN(MIN($BK$3:$BK$23), MAX($BK$3:$BK$23), AR54))), ABS($BK$3:$BK$23 - MEDIAN(MIN($BK$3:$BK$23), MAX($BK$3:$BK$23), AR54)), $BL$3:$BL$23, "Error", 0)</f>
        <v/>
      </c>
      <c r="AS83" s="30">
        <f>_xlfn.XLOOKUP(MIN(ABS($BK$3:$BK$23 - MEDIAN(MIN($BK$3:$BK$23), MAX($BK$3:$BK$23), AS54))), ABS($BK$3:$BK$23 - MEDIAN(MIN($BK$3:$BK$23), MAX($BK$3:$BK$23), AS54)), $BL$3:$BL$23, "Error", 0)</f>
        <v/>
      </c>
      <c r="AT83" s="30">
        <f>_xlfn.XLOOKUP(MIN(ABS($BK$3:$BK$23 - MEDIAN(MIN($BK$3:$BK$23), MAX($BK$3:$BK$23), AT54))), ABS($BK$3:$BK$23 - MEDIAN(MIN($BK$3:$BK$23), MAX($BK$3:$BK$23), AT54)), $BL$3:$BL$23, "Error", 0)</f>
        <v/>
      </c>
      <c r="AU83" s="30">
        <f>_xlfn.XLOOKUP(MIN(ABS($BK$3:$BK$23 - MEDIAN(MIN($BK$3:$BK$23), MAX($BK$3:$BK$23), AU54))), ABS($BK$3:$BK$23 - MEDIAN(MIN($BK$3:$BK$23), MAX($BK$3:$BK$23), AU54)), $BL$3:$BL$23, "Error", 0)</f>
        <v/>
      </c>
      <c r="AV83" s="30">
        <f>_xlfn.XLOOKUP(MIN(ABS($BK$3:$BK$23 - MEDIAN(MIN($BK$3:$BK$23), MAX($BK$3:$BK$23), AV54))), ABS($BK$3:$BK$23 - MEDIAN(MIN($BK$3:$BK$23), MAX($BK$3:$BK$23), AV54)), $BL$3:$BL$23, "Error", 0)</f>
        <v/>
      </c>
      <c r="AW83" s="30">
        <f>_xlfn.XLOOKUP(MIN(ABS($BK$3:$BK$23 - MEDIAN(MIN($BK$3:$BK$23), MAX($BK$3:$BK$23), AW54))), ABS($BK$3:$BK$23 - MEDIAN(MIN($BK$3:$BK$23), MAX($BK$3:$BK$23), AW54)), $BL$3:$BL$23, "Error", 0)</f>
        <v/>
      </c>
      <c r="AX83" s="30">
        <f>_xlfn.XLOOKUP(MIN(ABS($BK$3:$BK$23 - MEDIAN(MIN($BK$3:$BK$23), MAX($BK$3:$BK$23), AX54))), ABS($BK$3:$BK$23 - MEDIAN(MIN($BK$3:$BK$23), MAX($BK$3:$BK$23), AX54)), $BL$3:$BL$23, "Error", 0)</f>
        <v/>
      </c>
      <c r="AY83" s="30">
        <f>_xlfn.XLOOKUP(MIN(ABS($BK$3:$BK$23 - MEDIAN(MIN($BK$3:$BK$23), MAX($BK$3:$BK$23), AY54))), ABS($BK$3:$BK$23 - MEDIAN(MIN($BK$3:$BK$23), MAX($BK$3:$BK$23), AY54)), $BL$3:$BL$23, "Error", 0)</f>
        <v/>
      </c>
      <c r="AZ83" s="30">
        <f>_xlfn.XLOOKUP(MIN(ABS($BK$3:$BK$23 - MEDIAN(MIN($BK$3:$BK$23), MAX($BK$3:$BK$23), AZ54))), ABS($BK$3:$BK$23 - MEDIAN(MIN($BK$3:$BK$23), MAX($BK$3:$BK$23), AZ54)), $BL$3:$BL$23, "Error", 0)</f>
        <v/>
      </c>
      <c r="BA83" s="30">
        <f>_xlfn.XLOOKUP(MIN(ABS($BK$3:$BK$23 - MEDIAN(MIN($BK$3:$BK$23), MAX($BK$3:$BK$23), BA54))), ABS($BK$3:$BK$23 - MEDIAN(MIN($BK$3:$BK$23), MAX($BK$3:$BK$23), BA54)), $BL$3:$BL$23, "Error", 0)</f>
        <v/>
      </c>
      <c r="BB83" s="30">
        <f>_xlfn.XLOOKUP(MIN(ABS($BK$3:$BK$23 - MEDIAN(MIN($BK$3:$BK$23), MAX($BK$3:$BK$23), BB54))), ABS($BK$3:$BK$23 - MEDIAN(MIN($BK$3:$BK$23), MAX($BK$3:$BK$23), BB54)), $BL$3:$BL$23, "Error", 0)</f>
        <v/>
      </c>
      <c r="BC83" s="30">
        <f>_xlfn.XLOOKUP(MIN(ABS($BK$3:$BK$23 - MEDIAN(MIN($BK$3:$BK$23), MAX($BK$3:$BK$23), BC54))), ABS($BK$3:$BK$23 - MEDIAN(MIN($BK$3:$BK$23), MAX($BK$3:$BK$23), BC54)), $BL$3:$BL$23, "Error", 0)</f>
        <v/>
      </c>
      <c r="BD83" s="30">
        <f>_xlfn.XLOOKUP(MIN(ABS($BK$3:$BK$23 - MEDIAN(MIN($BK$3:$BK$23), MAX($BK$3:$BK$23), BD54))), ABS($BK$3:$BK$23 - MEDIAN(MIN($BK$3:$BK$23), MAX($BK$3:$BK$23), BD54)), $BL$3:$BL$23, "Error", 0)</f>
        <v/>
      </c>
      <c r="BE83" s="30">
        <f>_xlfn.XLOOKUP(MIN(ABS($BK$3:$BK$23 - MEDIAN(MIN($BK$3:$BK$23), MAX($BK$3:$BK$23), BE54))), ABS($BK$3:$BK$23 - MEDIAN(MIN($BK$3:$BK$23), MAX($BK$3:$BK$23), BE54)), $BL$3:$BL$23, "Error", 0)</f>
        <v/>
      </c>
      <c r="BF83" s="30">
        <f>_xlfn.XLOOKUP(MIN(ABS($BK$3:$BK$23 - MEDIAN(MIN($BK$3:$BK$23), MAX($BK$3:$BK$23), BF54))), ABS($BK$3:$BK$23 - MEDIAN(MIN($BK$3:$BK$23), MAX($BK$3:$BK$23), BF54)), $BL$3:$BL$23, "Error", 0)</f>
        <v/>
      </c>
      <c r="BG83" s="30">
        <f>_xlfn.XLOOKUP(MIN(ABS($BK$3:$BK$23 - MEDIAN(MIN($BK$3:$BK$23), MAX($BK$3:$BK$23), BG54))), ABS($BK$3:$BK$23 - MEDIAN(MIN($BK$3:$BK$23), MAX($BK$3:$BK$23), BG54)), $BL$3:$BL$23, "Error", 0)</f>
        <v/>
      </c>
      <c r="BH83" s="30">
        <f>_xlfn.XLOOKUP(MIN(ABS($BK$3:$BK$23 - MEDIAN(MIN($BK$3:$BK$23), MAX($BK$3:$BK$23), BH54))), ABS($BK$3:$BK$23 - MEDIAN(MIN($BK$3:$BK$23), MAX($BK$3:$BK$23), BH54)), $BL$3:$BL$23, "Error", 0)</f>
        <v/>
      </c>
      <c r="BI83" s="30">
        <f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>_xlfn.XLOOKUP(MIN(ABS($BK$3:$BK$23 - MEDIAN(MIN($BK$3:$BK$23), MAX($BK$3:$BK$23), N55))), ABS($BK$3:$BK$23 - MEDIAN(MIN($BK$3:$BK$23), MAX($BK$3:$BK$23), N55)), $BL$3:$BL$23, "Error", 0)</f>
        <v/>
      </c>
      <c r="O84" s="30">
        <f>_xlfn.XLOOKUP(MIN(ABS($BK$3:$BK$23 - MEDIAN(MIN($BK$3:$BK$23), MAX($BK$3:$BK$23), O55))), ABS($BK$3:$BK$23 - MEDIAN(MIN($BK$3:$BK$23), MAX($BK$3:$BK$23), O55)), $BL$3:$BL$23, "Error", 0)</f>
        <v/>
      </c>
      <c r="P84" s="30">
        <f>_xlfn.XLOOKUP(MIN(ABS($BK$3:$BK$23 - MEDIAN(MIN($BK$3:$BK$23), MAX($BK$3:$BK$23), P55))), ABS($BK$3:$BK$23 - MEDIAN(MIN($BK$3:$BK$23), MAX($BK$3:$BK$23), P55)), $BL$3:$BL$23, "Error", 0)</f>
        <v/>
      </c>
      <c r="Q84" s="30">
        <f>_xlfn.XLOOKUP(MIN(ABS($BK$3:$BK$23 - MEDIAN(MIN($BK$3:$BK$23), MAX($BK$3:$BK$23), Q55))), ABS($BK$3:$BK$23 - MEDIAN(MIN($BK$3:$BK$23), MAX($BK$3:$BK$23), Q55)), $BL$3:$BL$23, "Error", 0)</f>
        <v/>
      </c>
      <c r="R84" s="30">
        <f>_xlfn.XLOOKUP(MIN(ABS($BK$3:$BK$23 - MEDIAN(MIN($BK$3:$BK$23), MAX($BK$3:$BK$23), R55))), ABS($BK$3:$BK$23 - MEDIAN(MIN($BK$3:$BK$23), MAX($BK$3:$BK$23), R55)), $BL$3:$BL$23, "Error", 0)</f>
        <v/>
      </c>
      <c r="S84" s="30">
        <f>_xlfn.XLOOKUP(MIN(ABS($BK$3:$BK$23 - MEDIAN(MIN($BK$3:$BK$23), MAX($BK$3:$BK$23), S55))), ABS($BK$3:$BK$23 - MEDIAN(MIN($BK$3:$BK$23), MAX($BK$3:$BK$23), S55)), $BL$3:$BL$23, "Error", 0)</f>
        <v/>
      </c>
      <c r="T84" s="30">
        <f>_xlfn.XLOOKUP(MIN(ABS($BK$3:$BK$23 - MEDIAN(MIN($BK$3:$BK$23), MAX($BK$3:$BK$23), T55))), ABS($BK$3:$BK$23 - MEDIAN(MIN($BK$3:$BK$23), MAX($BK$3:$BK$23), T55)), $BL$3:$BL$23, "Error", 0)</f>
        <v/>
      </c>
      <c r="U84" s="30">
        <f>_xlfn.XLOOKUP(MIN(ABS($BK$3:$BK$23 - MEDIAN(MIN($BK$3:$BK$23), MAX($BK$3:$BK$23), U55))), ABS($BK$3:$BK$23 - MEDIAN(MIN($BK$3:$BK$23), MAX($BK$3:$BK$23), U55)), $BL$3:$BL$23, "Error", 0)</f>
        <v/>
      </c>
      <c r="V84" s="30">
        <f>_xlfn.XLOOKUP(MIN(ABS($BK$3:$BK$23 - MEDIAN(MIN($BK$3:$BK$23), MAX($BK$3:$BK$23), V55))), ABS($BK$3:$BK$23 - MEDIAN(MIN($BK$3:$BK$23), MAX($BK$3:$BK$23), V55)), $BL$3:$BL$23, "Error", 0)</f>
        <v/>
      </c>
      <c r="W84" s="30">
        <f>_xlfn.XLOOKUP(MIN(ABS($BK$3:$BK$23 - MEDIAN(MIN($BK$3:$BK$23), MAX($BK$3:$BK$23), W55))), ABS($BK$3:$BK$23 - MEDIAN(MIN($BK$3:$BK$23), MAX($BK$3:$BK$23), W55)), $BL$3:$BL$23, "Error", 0)</f>
        <v/>
      </c>
      <c r="X84" s="30">
        <f>_xlfn.XLOOKUP(MIN(ABS($BK$3:$BK$23 - MEDIAN(MIN($BK$3:$BK$23), MAX($BK$3:$BK$23), X55))), ABS($BK$3:$BK$23 - MEDIAN(MIN($BK$3:$BK$23), MAX($BK$3:$BK$23), X55)), $BL$3:$BL$23, "Error", 0)</f>
        <v/>
      </c>
      <c r="Y84" s="30">
        <f>_xlfn.XLOOKUP(MIN(ABS($BK$3:$BK$23 - MEDIAN(MIN($BK$3:$BK$23), MAX($BK$3:$BK$23), Y55))), ABS($BK$3:$BK$23 - MEDIAN(MIN($BK$3:$BK$23), MAX($BK$3:$BK$23), Y55)), $BL$3:$BL$23, "Error", 0)</f>
        <v/>
      </c>
      <c r="Z84" s="30">
        <f>_xlfn.XLOOKUP(MIN(ABS($BK$3:$BK$23 - MEDIAN(MIN($BK$3:$BK$23), MAX($BK$3:$BK$23), Z55))), ABS($BK$3:$BK$23 - MEDIAN(MIN($BK$3:$BK$23), MAX($BK$3:$BK$23), Z55)), $BL$3:$BL$23, "Error", 0)</f>
        <v/>
      </c>
      <c r="AA84" s="30">
        <f>_xlfn.XLOOKUP(MIN(ABS($BK$3:$BK$23 - MEDIAN(MIN($BK$3:$BK$23), MAX($BK$3:$BK$23), AA55))), ABS($BK$3:$BK$23 - MEDIAN(MIN($BK$3:$BK$23), MAX($BK$3:$BK$23), AA55)), $BL$3:$BL$23, "Error", 0)</f>
        <v/>
      </c>
      <c r="AB84" s="30">
        <f>_xlfn.XLOOKUP(MIN(ABS($BK$3:$BK$23 - MEDIAN(MIN($BK$3:$BK$23), MAX($BK$3:$BK$23), AB55))), ABS($BK$3:$BK$23 - MEDIAN(MIN($BK$3:$BK$23), MAX($BK$3:$BK$23), AB55)), $BL$3:$BL$23, "Error", 0)</f>
        <v/>
      </c>
      <c r="AC84" s="30">
        <f>_xlfn.XLOOKUP(MIN(ABS($BK$3:$BK$23 - MEDIAN(MIN($BK$3:$BK$23), MAX($BK$3:$BK$23), AC55))), ABS($BK$3:$BK$23 - MEDIAN(MIN($BK$3:$BK$23), MAX($BK$3:$BK$23), AC55)), $BL$3:$BL$23, "Error", 0)</f>
        <v/>
      </c>
      <c r="AD84" s="30">
        <f>_xlfn.XLOOKUP(MIN(ABS($BK$3:$BK$23 - MEDIAN(MIN($BK$3:$BK$23), MAX($BK$3:$BK$23), AD55))), ABS($BK$3:$BK$23 - MEDIAN(MIN($BK$3:$BK$23), MAX($BK$3:$BK$23), AD55)), $BL$3:$BL$23, "Error", 0)</f>
        <v/>
      </c>
      <c r="AE84" s="30">
        <f>_xlfn.XLOOKUP(MIN(ABS($BK$3:$BK$23 - MEDIAN(MIN($BK$3:$BK$23), MAX($BK$3:$BK$23), AE55))), ABS($BK$3:$BK$23 - MEDIAN(MIN($BK$3:$BK$23), MAX($BK$3:$BK$23), AE55)), $BL$3:$BL$23, "Error", 0)</f>
        <v/>
      </c>
      <c r="AF84" s="30">
        <f>_xlfn.XLOOKUP(MIN(ABS($BK$3:$BK$23 - MEDIAN(MIN($BK$3:$BK$23), MAX($BK$3:$BK$23), AF55))), ABS($BK$3:$BK$23 - MEDIAN(MIN($BK$3:$BK$23), MAX($BK$3:$BK$23), AF55)), $BL$3:$BL$23, "Error", 0)</f>
        <v/>
      </c>
      <c r="AG84" s="30">
        <f>_xlfn.XLOOKUP(MIN(ABS($BK$3:$BK$23 - MEDIAN(MIN($BK$3:$BK$23), MAX($BK$3:$BK$23), AG55))), ABS($BK$3:$BK$23 - MEDIAN(MIN($BK$3:$BK$23), MAX($BK$3:$BK$23), AG55)), $BL$3:$BL$23, "Error", 0)</f>
        <v/>
      </c>
      <c r="AH84" s="30">
        <f>_xlfn.XLOOKUP(MIN(ABS($BK$3:$BK$23 - MEDIAN(MIN($BK$3:$BK$23), MAX($BK$3:$BK$23), AH55))), ABS($BK$3:$BK$23 - MEDIAN(MIN($BK$3:$BK$23), MAX($BK$3:$BK$23), AH55)), $BL$3:$BL$23, "Error", 0)</f>
        <v/>
      </c>
      <c r="AI84" s="30">
        <f>_xlfn.XLOOKUP(MIN(ABS($BK$3:$BK$23 - MEDIAN(MIN($BK$3:$BK$23), MAX($BK$3:$BK$23), AI55))), ABS($BK$3:$BK$23 - MEDIAN(MIN($BK$3:$BK$23), MAX($BK$3:$BK$23), AI55)), $BL$3:$BL$23, "Error", 0)</f>
        <v/>
      </c>
      <c r="AJ84" s="30">
        <f>_xlfn.XLOOKUP(MIN(ABS($BK$3:$BK$23 - MEDIAN(MIN($BK$3:$BK$23), MAX($BK$3:$BK$23), AJ55))), ABS($BK$3:$BK$23 - MEDIAN(MIN($BK$3:$BK$23), MAX($BK$3:$BK$23), AJ55)), $BL$3:$BL$23, "Error", 0)</f>
        <v/>
      </c>
      <c r="AK84" s="30">
        <f>_xlfn.XLOOKUP(MIN(ABS($BK$3:$BK$23 - MEDIAN(MIN($BK$3:$BK$23), MAX($BK$3:$BK$23), AK55))), ABS($BK$3:$BK$23 - MEDIAN(MIN($BK$3:$BK$23), MAX($BK$3:$BK$23), AK55)), $BL$3:$BL$23, "Error", 0)</f>
        <v/>
      </c>
      <c r="AL84" s="30">
        <f>_xlfn.XLOOKUP(MIN(ABS($BK$3:$BK$23 - MEDIAN(MIN($BK$3:$BK$23), MAX($BK$3:$BK$23), AL55))), ABS($BK$3:$BK$23 - MEDIAN(MIN($BK$3:$BK$23), MAX($BK$3:$BK$23), AL55)), $BL$3:$BL$23, "Error", 0)</f>
        <v/>
      </c>
      <c r="AM84" s="30">
        <f>_xlfn.XLOOKUP(MIN(ABS($BK$3:$BK$23 - MEDIAN(MIN($BK$3:$BK$23), MAX($BK$3:$BK$23), AM55))), ABS($BK$3:$BK$23 - MEDIAN(MIN($BK$3:$BK$23), MAX($BK$3:$BK$23), AM55)), $BL$3:$BL$23, "Error", 0)</f>
        <v/>
      </c>
      <c r="AN84" s="30">
        <f>_xlfn.XLOOKUP(MIN(ABS($BK$3:$BK$23 - MEDIAN(MIN($BK$3:$BK$23), MAX($BK$3:$BK$23), AN55))), ABS($BK$3:$BK$23 - MEDIAN(MIN($BK$3:$BK$23), MAX($BK$3:$BK$23), AN55)), $BL$3:$BL$23, "Error", 0)</f>
        <v/>
      </c>
      <c r="AO84" s="30">
        <f>_xlfn.XLOOKUP(MIN(ABS($BK$3:$BK$23 - MEDIAN(MIN($BK$3:$BK$23), MAX($BK$3:$BK$23), AO55))), ABS($BK$3:$BK$23 - MEDIAN(MIN($BK$3:$BK$23), MAX($BK$3:$BK$23), AO55)), $BL$3:$BL$23, "Error", 0)</f>
        <v/>
      </c>
      <c r="AP84" s="30">
        <f>_xlfn.XLOOKUP(MIN(ABS($BK$3:$BK$23 - MEDIAN(MIN($BK$3:$BK$23), MAX($BK$3:$BK$23), AP55))), ABS($BK$3:$BK$23 - MEDIAN(MIN($BK$3:$BK$23), MAX($BK$3:$BK$23), AP55)), $BL$3:$BL$23, "Error", 0)</f>
        <v/>
      </c>
      <c r="AQ84" s="30">
        <f>_xlfn.XLOOKUP(MIN(ABS($BK$3:$BK$23 - MEDIAN(MIN($BK$3:$BK$23), MAX($BK$3:$BK$23), AQ55))), ABS($BK$3:$BK$23 - MEDIAN(MIN($BK$3:$BK$23), MAX($BK$3:$BK$23), AQ55)), $BL$3:$BL$23, "Error", 0)</f>
        <v/>
      </c>
      <c r="AR84" s="30">
        <f>_xlfn.XLOOKUP(MIN(ABS($BK$3:$BK$23 - MEDIAN(MIN($BK$3:$BK$23), MAX($BK$3:$BK$23), AR55))), ABS($BK$3:$BK$23 - MEDIAN(MIN($BK$3:$BK$23), MAX($BK$3:$BK$23), AR55)), $BL$3:$BL$23, "Error", 0)</f>
        <v/>
      </c>
      <c r="AS84" s="30">
        <f>_xlfn.XLOOKUP(MIN(ABS($BK$3:$BK$23 - MEDIAN(MIN($BK$3:$BK$23), MAX($BK$3:$BK$23), AS55))), ABS($BK$3:$BK$23 - MEDIAN(MIN($BK$3:$BK$23), MAX($BK$3:$BK$23), AS55)), $BL$3:$BL$23, "Error", 0)</f>
        <v/>
      </c>
      <c r="AT84" s="30">
        <f>_xlfn.XLOOKUP(MIN(ABS($BK$3:$BK$23 - MEDIAN(MIN($BK$3:$BK$23), MAX($BK$3:$BK$23), AT55))), ABS($BK$3:$BK$23 - MEDIAN(MIN($BK$3:$BK$23), MAX($BK$3:$BK$23), AT55)), $BL$3:$BL$23, "Error", 0)</f>
        <v/>
      </c>
      <c r="AU84" s="30">
        <f>_xlfn.XLOOKUP(MIN(ABS($BK$3:$BK$23 - MEDIAN(MIN($BK$3:$BK$23), MAX($BK$3:$BK$23), AU55))), ABS($BK$3:$BK$23 - MEDIAN(MIN($BK$3:$BK$23), MAX($BK$3:$BK$23), AU55)), $BL$3:$BL$23, "Error", 0)</f>
        <v/>
      </c>
      <c r="AV84" s="30">
        <f>_xlfn.XLOOKUP(MIN(ABS($BK$3:$BK$23 - MEDIAN(MIN($BK$3:$BK$23), MAX($BK$3:$BK$23), AV55))), ABS($BK$3:$BK$23 - MEDIAN(MIN($BK$3:$BK$23), MAX($BK$3:$BK$23), AV55)), $BL$3:$BL$23, "Error", 0)</f>
        <v/>
      </c>
      <c r="AW84" s="30">
        <f>_xlfn.XLOOKUP(MIN(ABS($BK$3:$BK$23 - MEDIAN(MIN($BK$3:$BK$23), MAX($BK$3:$BK$23), AW55))), ABS($BK$3:$BK$23 - MEDIAN(MIN($BK$3:$BK$23), MAX($BK$3:$BK$23), AW55)), $BL$3:$BL$23, "Error", 0)</f>
        <v/>
      </c>
      <c r="AX84" s="30">
        <f>_xlfn.XLOOKUP(MIN(ABS($BK$3:$BK$23 - MEDIAN(MIN($BK$3:$BK$23), MAX($BK$3:$BK$23), AX55))), ABS($BK$3:$BK$23 - MEDIAN(MIN($BK$3:$BK$23), MAX($BK$3:$BK$23), AX55)), $BL$3:$BL$23, "Error", 0)</f>
        <v/>
      </c>
      <c r="AY84" s="30">
        <f>_xlfn.XLOOKUP(MIN(ABS($BK$3:$BK$23 - MEDIAN(MIN($BK$3:$BK$23), MAX($BK$3:$BK$23), AY55))), ABS($BK$3:$BK$23 - MEDIAN(MIN($BK$3:$BK$23), MAX($BK$3:$BK$23), AY55)), $BL$3:$BL$23, "Error", 0)</f>
        <v/>
      </c>
      <c r="AZ84" s="30">
        <f>_xlfn.XLOOKUP(MIN(ABS($BK$3:$BK$23 - MEDIAN(MIN($BK$3:$BK$23), MAX($BK$3:$BK$23), AZ55))), ABS($BK$3:$BK$23 - MEDIAN(MIN($BK$3:$BK$23), MAX($BK$3:$BK$23), AZ55)), $BL$3:$BL$23, "Error", 0)</f>
        <v/>
      </c>
      <c r="BA84" s="30">
        <f>_xlfn.XLOOKUP(MIN(ABS($BK$3:$BK$23 - MEDIAN(MIN($BK$3:$BK$23), MAX($BK$3:$BK$23), BA55))), ABS($BK$3:$BK$23 - MEDIAN(MIN($BK$3:$BK$23), MAX($BK$3:$BK$23), BA55)), $BL$3:$BL$23, "Error", 0)</f>
        <v/>
      </c>
      <c r="BB84" s="30">
        <f>_xlfn.XLOOKUP(MIN(ABS($BK$3:$BK$23 - MEDIAN(MIN($BK$3:$BK$23), MAX($BK$3:$BK$23), BB55))), ABS($BK$3:$BK$23 - MEDIAN(MIN($BK$3:$BK$23), MAX($BK$3:$BK$23), BB55)), $BL$3:$BL$23, "Error", 0)</f>
        <v/>
      </c>
      <c r="BC84" s="30">
        <f>_xlfn.XLOOKUP(MIN(ABS($BK$3:$BK$23 - MEDIAN(MIN($BK$3:$BK$23), MAX($BK$3:$BK$23), BC55))), ABS($BK$3:$BK$23 - MEDIAN(MIN($BK$3:$BK$23), MAX($BK$3:$BK$23), BC55)), $BL$3:$BL$23, "Error", 0)</f>
        <v/>
      </c>
      <c r="BD84" s="30">
        <f>_xlfn.XLOOKUP(MIN(ABS($BK$3:$BK$23 - MEDIAN(MIN($BK$3:$BK$23), MAX($BK$3:$BK$23), BD55))), ABS($BK$3:$BK$23 - MEDIAN(MIN($BK$3:$BK$23), MAX($BK$3:$BK$23), BD55)), $BL$3:$BL$23, "Error", 0)</f>
        <v/>
      </c>
      <c r="BE84" s="30">
        <f>_xlfn.XLOOKUP(MIN(ABS($BK$3:$BK$23 - MEDIAN(MIN($BK$3:$BK$23), MAX($BK$3:$BK$23), BE55))), ABS($BK$3:$BK$23 - MEDIAN(MIN($BK$3:$BK$23), MAX($BK$3:$BK$23), BE55)), $BL$3:$BL$23, "Error", 0)</f>
        <v/>
      </c>
      <c r="BF84" s="30">
        <f>_xlfn.XLOOKUP(MIN(ABS($BK$3:$BK$23 - MEDIAN(MIN($BK$3:$BK$23), MAX($BK$3:$BK$23), BF55))), ABS($BK$3:$BK$23 - MEDIAN(MIN($BK$3:$BK$23), MAX($BK$3:$BK$23), BF55)), $BL$3:$BL$23, "Error", 0)</f>
        <v/>
      </c>
      <c r="BG84" s="30">
        <f>_xlfn.XLOOKUP(MIN(ABS($BK$3:$BK$23 - MEDIAN(MIN($BK$3:$BK$23), MAX($BK$3:$BK$23), BG55))), ABS($BK$3:$BK$23 - MEDIAN(MIN($BK$3:$BK$23), MAX($BK$3:$BK$23), BG55)), $BL$3:$BL$23, "Error", 0)</f>
        <v/>
      </c>
      <c r="BH84" s="30">
        <f>_xlfn.XLOOKUP(MIN(ABS($BK$3:$BK$23 - MEDIAN(MIN($BK$3:$BK$23), MAX($BK$3:$BK$23), BH55))), ABS($BK$3:$BK$23 - MEDIAN(MIN($BK$3:$BK$23), MAX($BK$3:$BK$23), BH55)), $BL$3:$BL$23, "Error", 0)</f>
        <v/>
      </c>
      <c r="BI84" s="30">
        <f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>_xlfn.XLOOKUP(MIN(ABS($BK$3:$BK$23 - MEDIAN(MIN($BK$3:$BK$23), MAX($BK$3:$BK$23), N56))), ABS($BK$3:$BK$23 - MEDIAN(MIN($BK$3:$BK$23), MAX($BK$3:$BK$23), N56)), $BL$3:$BL$23, "Error", 0)</f>
        <v/>
      </c>
      <c r="O85" s="30">
        <f>_xlfn.XLOOKUP(MIN(ABS($BK$3:$BK$23 - MEDIAN(MIN($BK$3:$BK$23), MAX($BK$3:$BK$23), O56))), ABS($BK$3:$BK$23 - MEDIAN(MIN($BK$3:$BK$23), MAX($BK$3:$BK$23), O56)), $BL$3:$BL$23, "Error", 0)</f>
        <v/>
      </c>
      <c r="P85" s="30">
        <f>_xlfn.XLOOKUP(MIN(ABS($BK$3:$BK$23 - MEDIAN(MIN($BK$3:$BK$23), MAX($BK$3:$BK$23), P56))), ABS($BK$3:$BK$23 - MEDIAN(MIN($BK$3:$BK$23), MAX($BK$3:$BK$23), P56)), $BL$3:$BL$23, "Error", 0)</f>
        <v/>
      </c>
      <c r="Q85" s="30">
        <f>_xlfn.XLOOKUP(MIN(ABS($BK$3:$BK$23 - MEDIAN(MIN($BK$3:$BK$23), MAX($BK$3:$BK$23), Q56))), ABS($BK$3:$BK$23 - MEDIAN(MIN($BK$3:$BK$23), MAX($BK$3:$BK$23), Q56)), $BL$3:$BL$23, "Error", 0)</f>
        <v/>
      </c>
      <c r="R85" s="30">
        <f>_xlfn.XLOOKUP(MIN(ABS($BK$3:$BK$23 - MEDIAN(MIN($BK$3:$BK$23), MAX($BK$3:$BK$23), R56))), ABS($BK$3:$BK$23 - MEDIAN(MIN($BK$3:$BK$23), MAX($BK$3:$BK$23), R56)), $BL$3:$BL$23, "Error", 0)</f>
        <v/>
      </c>
      <c r="S85" s="30">
        <f>_xlfn.XLOOKUP(MIN(ABS($BK$3:$BK$23 - MEDIAN(MIN($BK$3:$BK$23), MAX($BK$3:$BK$23), S56))), ABS($BK$3:$BK$23 - MEDIAN(MIN($BK$3:$BK$23), MAX($BK$3:$BK$23), S56)), $BL$3:$BL$23, "Error", 0)</f>
        <v/>
      </c>
      <c r="T85" s="30">
        <f>_xlfn.XLOOKUP(MIN(ABS($BK$3:$BK$23 - MEDIAN(MIN($BK$3:$BK$23), MAX($BK$3:$BK$23), T56))), ABS($BK$3:$BK$23 - MEDIAN(MIN($BK$3:$BK$23), MAX($BK$3:$BK$23), T56)), $BL$3:$BL$23, "Error", 0)</f>
        <v/>
      </c>
      <c r="U85" s="30">
        <f>_xlfn.XLOOKUP(MIN(ABS($BK$3:$BK$23 - MEDIAN(MIN($BK$3:$BK$23), MAX($BK$3:$BK$23), U56))), ABS($BK$3:$BK$23 - MEDIAN(MIN($BK$3:$BK$23), MAX($BK$3:$BK$23), U56)), $BL$3:$BL$23, "Error", 0)</f>
        <v/>
      </c>
      <c r="V85" s="30">
        <f>_xlfn.XLOOKUP(MIN(ABS($BK$3:$BK$23 - MEDIAN(MIN($BK$3:$BK$23), MAX($BK$3:$BK$23), V56))), ABS($BK$3:$BK$23 - MEDIAN(MIN($BK$3:$BK$23), MAX($BK$3:$BK$23), V56)), $BL$3:$BL$23, "Error", 0)</f>
        <v/>
      </c>
      <c r="W85" s="30">
        <f>_xlfn.XLOOKUP(MIN(ABS($BK$3:$BK$23 - MEDIAN(MIN($BK$3:$BK$23), MAX($BK$3:$BK$23), W56))), ABS($BK$3:$BK$23 - MEDIAN(MIN($BK$3:$BK$23), MAX($BK$3:$BK$23), W56)), $BL$3:$BL$23, "Error", 0)</f>
        <v/>
      </c>
      <c r="X85" s="30">
        <f>_xlfn.XLOOKUP(MIN(ABS($BK$3:$BK$23 - MEDIAN(MIN($BK$3:$BK$23), MAX($BK$3:$BK$23), X56))), ABS($BK$3:$BK$23 - MEDIAN(MIN($BK$3:$BK$23), MAX($BK$3:$BK$23), X56)), $BL$3:$BL$23, "Error", 0)</f>
        <v/>
      </c>
      <c r="Y85" s="30">
        <f>_xlfn.XLOOKUP(MIN(ABS($BK$3:$BK$23 - MEDIAN(MIN($BK$3:$BK$23), MAX($BK$3:$BK$23), Y56))), ABS($BK$3:$BK$23 - MEDIAN(MIN($BK$3:$BK$23), MAX($BK$3:$BK$23), Y56)), $BL$3:$BL$23, "Error", 0)</f>
        <v/>
      </c>
      <c r="Z85" s="30">
        <f>_xlfn.XLOOKUP(MIN(ABS($BK$3:$BK$23 - MEDIAN(MIN($BK$3:$BK$23), MAX($BK$3:$BK$23), Z56))), ABS($BK$3:$BK$23 - MEDIAN(MIN($BK$3:$BK$23), MAX($BK$3:$BK$23), Z56)), $BL$3:$BL$23, "Error", 0)</f>
        <v/>
      </c>
      <c r="AA85" s="30">
        <f>_xlfn.XLOOKUP(MIN(ABS($BK$3:$BK$23 - MEDIAN(MIN($BK$3:$BK$23), MAX($BK$3:$BK$23), AA56))), ABS($BK$3:$BK$23 - MEDIAN(MIN($BK$3:$BK$23), MAX($BK$3:$BK$23), AA56)), $BL$3:$BL$23, "Error", 0)</f>
        <v/>
      </c>
      <c r="AB85" s="30">
        <f>_xlfn.XLOOKUP(MIN(ABS($BK$3:$BK$23 - MEDIAN(MIN($BK$3:$BK$23), MAX($BK$3:$BK$23), AB56))), ABS($BK$3:$BK$23 - MEDIAN(MIN($BK$3:$BK$23), MAX($BK$3:$BK$23), AB56)), $BL$3:$BL$23, "Error", 0)</f>
        <v/>
      </c>
      <c r="AC85" s="30">
        <f>_xlfn.XLOOKUP(MIN(ABS($BK$3:$BK$23 - MEDIAN(MIN($BK$3:$BK$23), MAX($BK$3:$BK$23), AC56))), ABS($BK$3:$BK$23 - MEDIAN(MIN($BK$3:$BK$23), MAX($BK$3:$BK$23), AC56)), $BL$3:$BL$23, "Error", 0)</f>
        <v/>
      </c>
      <c r="AD85" s="30">
        <f>_xlfn.XLOOKUP(MIN(ABS($BK$3:$BK$23 - MEDIAN(MIN($BK$3:$BK$23), MAX($BK$3:$BK$23), AD56))), ABS($BK$3:$BK$23 - MEDIAN(MIN($BK$3:$BK$23), MAX($BK$3:$BK$23), AD56)), $BL$3:$BL$23, "Error", 0)</f>
        <v/>
      </c>
      <c r="AE85" s="30">
        <f>_xlfn.XLOOKUP(MIN(ABS($BK$3:$BK$23 - MEDIAN(MIN($BK$3:$BK$23), MAX($BK$3:$BK$23), AE56))), ABS($BK$3:$BK$23 - MEDIAN(MIN($BK$3:$BK$23), MAX($BK$3:$BK$23), AE56)), $BL$3:$BL$23, "Error", 0)</f>
        <v/>
      </c>
      <c r="AF85" s="30">
        <f>_xlfn.XLOOKUP(MIN(ABS($BK$3:$BK$23 - MEDIAN(MIN($BK$3:$BK$23), MAX($BK$3:$BK$23), AF56))), ABS($BK$3:$BK$23 - MEDIAN(MIN($BK$3:$BK$23), MAX($BK$3:$BK$23), AF56)), $BL$3:$BL$23, "Error", 0)</f>
        <v/>
      </c>
      <c r="AG85" s="30">
        <f>_xlfn.XLOOKUP(MIN(ABS($BK$3:$BK$23 - MEDIAN(MIN($BK$3:$BK$23), MAX($BK$3:$BK$23), AG56))), ABS($BK$3:$BK$23 - MEDIAN(MIN($BK$3:$BK$23), MAX($BK$3:$BK$23), AG56)), $BL$3:$BL$23, "Error", 0)</f>
        <v/>
      </c>
      <c r="AH85" s="30">
        <f>_xlfn.XLOOKUP(MIN(ABS($BK$3:$BK$23 - MEDIAN(MIN($BK$3:$BK$23), MAX($BK$3:$BK$23), AH56))), ABS($BK$3:$BK$23 - MEDIAN(MIN($BK$3:$BK$23), MAX($BK$3:$BK$23), AH56)), $BL$3:$BL$23, "Error", 0)</f>
        <v/>
      </c>
      <c r="AI85" s="30">
        <f>_xlfn.XLOOKUP(MIN(ABS($BK$3:$BK$23 - MEDIAN(MIN($BK$3:$BK$23), MAX($BK$3:$BK$23), AI56))), ABS($BK$3:$BK$23 - MEDIAN(MIN($BK$3:$BK$23), MAX($BK$3:$BK$23), AI56)), $BL$3:$BL$23, "Error", 0)</f>
        <v/>
      </c>
      <c r="AJ85" s="30">
        <f>_xlfn.XLOOKUP(MIN(ABS($BK$3:$BK$23 - MEDIAN(MIN($BK$3:$BK$23), MAX($BK$3:$BK$23), AJ56))), ABS($BK$3:$BK$23 - MEDIAN(MIN($BK$3:$BK$23), MAX($BK$3:$BK$23), AJ56)), $BL$3:$BL$23, "Error", 0)</f>
        <v/>
      </c>
      <c r="AK85" s="30">
        <f>_xlfn.XLOOKUP(MIN(ABS($BK$3:$BK$23 - MEDIAN(MIN($BK$3:$BK$23), MAX($BK$3:$BK$23), AK56))), ABS($BK$3:$BK$23 - MEDIAN(MIN($BK$3:$BK$23), MAX($BK$3:$BK$23), AK56)), $BL$3:$BL$23, "Error", 0)</f>
        <v/>
      </c>
      <c r="AL85" s="30">
        <f>_xlfn.XLOOKUP(MIN(ABS($BK$3:$BK$23 - MEDIAN(MIN($BK$3:$BK$23), MAX($BK$3:$BK$23), AL56))), ABS($BK$3:$BK$23 - MEDIAN(MIN($BK$3:$BK$23), MAX($BK$3:$BK$23), AL56)), $BL$3:$BL$23, "Error", 0)</f>
        <v/>
      </c>
      <c r="AM85" s="30">
        <f>_xlfn.XLOOKUP(MIN(ABS($BK$3:$BK$23 - MEDIAN(MIN($BK$3:$BK$23), MAX($BK$3:$BK$23), AM56))), ABS($BK$3:$BK$23 - MEDIAN(MIN($BK$3:$BK$23), MAX($BK$3:$BK$23), AM56)), $BL$3:$BL$23, "Error", 0)</f>
        <v/>
      </c>
      <c r="AN85" s="30">
        <f>_xlfn.XLOOKUP(MIN(ABS($BK$3:$BK$23 - MEDIAN(MIN($BK$3:$BK$23), MAX($BK$3:$BK$23), AN56))), ABS($BK$3:$BK$23 - MEDIAN(MIN($BK$3:$BK$23), MAX($BK$3:$BK$23), AN56)), $BL$3:$BL$23, "Error", 0)</f>
        <v/>
      </c>
      <c r="AO85" s="30">
        <f>_xlfn.XLOOKUP(MIN(ABS($BK$3:$BK$23 - MEDIAN(MIN($BK$3:$BK$23), MAX($BK$3:$BK$23), AO56))), ABS($BK$3:$BK$23 - MEDIAN(MIN($BK$3:$BK$23), MAX($BK$3:$BK$23), AO56)), $BL$3:$BL$23, "Error", 0)</f>
        <v/>
      </c>
      <c r="AP85" s="30">
        <f>_xlfn.XLOOKUP(MIN(ABS($BK$3:$BK$23 - MEDIAN(MIN($BK$3:$BK$23), MAX($BK$3:$BK$23), AP56))), ABS($BK$3:$BK$23 - MEDIAN(MIN($BK$3:$BK$23), MAX($BK$3:$BK$23), AP56)), $BL$3:$BL$23, "Error", 0)</f>
        <v/>
      </c>
      <c r="AQ85" s="30">
        <f>_xlfn.XLOOKUP(MIN(ABS($BK$3:$BK$23 - MEDIAN(MIN($BK$3:$BK$23), MAX($BK$3:$BK$23), AQ56))), ABS($BK$3:$BK$23 - MEDIAN(MIN($BK$3:$BK$23), MAX($BK$3:$BK$23), AQ56)), $BL$3:$BL$23, "Error", 0)</f>
        <v/>
      </c>
      <c r="AR85" s="30">
        <f>_xlfn.XLOOKUP(MIN(ABS($BK$3:$BK$23 - MEDIAN(MIN($BK$3:$BK$23), MAX($BK$3:$BK$23), AR56))), ABS($BK$3:$BK$23 - MEDIAN(MIN($BK$3:$BK$23), MAX($BK$3:$BK$23), AR56)), $BL$3:$BL$23, "Error", 0)</f>
        <v/>
      </c>
      <c r="AS85" s="30">
        <f>_xlfn.XLOOKUP(MIN(ABS($BK$3:$BK$23 - MEDIAN(MIN($BK$3:$BK$23), MAX($BK$3:$BK$23), AS56))), ABS($BK$3:$BK$23 - MEDIAN(MIN($BK$3:$BK$23), MAX($BK$3:$BK$23), AS56)), $BL$3:$BL$23, "Error", 0)</f>
        <v/>
      </c>
      <c r="AT85" s="30">
        <f>_xlfn.XLOOKUP(MIN(ABS($BK$3:$BK$23 - MEDIAN(MIN($BK$3:$BK$23), MAX($BK$3:$BK$23), AT56))), ABS($BK$3:$BK$23 - MEDIAN(MIN($BK$3:$BK$23), MAX($BK$3:$BK$23), AT56)), $BL$3:$BL$23, "Error", 0)</f>
        <v/>
      </c>
      <c r="AU85" s="30">
        <f>_xlfn.XLOOKUP(MIN(ABS($BK$3:$BK$23 - MEDIAN(MIN($BK$3:$BK$23), MAX($BK$3:$BK$23), AU56))), ABS($BK$3:$BK$23 - MEDIAN(MIN($BK$3:$BK$23), MAX($BK$3:$BK$23), AU56)), $BL$3:$BL$23, "Error", 0)</f>
        <v/>
      </c>
      <c r="AV85" s="30">
        <f>_xlfn.XLOOKUP(MIN(ABS($BK$3:$BK$23 - MEDIAN(MIN($BK$3:$BK$23), MAX($BK$3:$BK$23), AV56))), ABS($BK$3:$BK$23 - MEDIAN(MIN($BK$3:$BK$23), MAX($BK$3:$BK$23), AV56)), $BL$3:$BL$23, "Error", 0)</f>
        <v/>
      </c>
      <c r="AW85" s="30">
        <f>_xlfn.XLOOKUP(MIN(ABS($BK$3:$BK$23 - MEDIAN(MIN($BK$3:$BK$23), MAX($BK$3:$BK$23), AW56))), ABS($BK$3:$BK$23 - MEDIAN(MIN($BK$3:$BK$23), MAX($BK$3:$BK$23), AW56)), $BL$3:$BL$23, "Error", 0)</f>
        <v/>
      </c>
      <c r="AX85" s="30">
        <f>_xlfn.XLOOKUP(MIN(ABS($BK$3:$BK$23 - MEDIAN(MIN($BK$3:$BK$23), MAX($BK$3:$BK$23), AX56))), ABS($BK$3:$BK$23 - MEDIAN(MIN($BK$3:$BK$23), MAX($BK$3:$BK$23), AX56)), $BL$3:$BL$23, "Error", 0)</f>
        <v/>
      </c>
      <c r="AY85" s="30">
        <f>_xlfn.XLOOKUP(MIN(ABS($BK$3:$BK$23 - MEDIAN(MIN($BK$3:$BK$23), MAX($BK$3:$BK$23), AY56))), ABS($BK$3:$BK$23 - MEDIAN(MIN($BK$3:$BK$23), MAX($BK$3:$BK$23), AY56)), $BL$3:$BL$23, "Error", 0)</f>
        <v/>
      </c>
      <c r="AZ85" s="30">
        <f>_xlfn.XLOOKUP(MIN(ABS($BK$3:$BK$23 - MEDIAN(MIN($BK$3:$BK$23), MAX($BK$3:$BK$23), AZ56))), ABS($BK$3:$BK$23 - MEDIAN(MIN($BK$3:$BK$23), MAX($BK$3:$BK$23), AZ56)), $BL$3:$BL$23, "Error", 0)</f>
        <v/>
      </c>
      <c r="BA85" s="30">
        <f>_xlfn.XLOOKUP(MIN(ABS($BK$3:$BK$23 - MEDIAN(MIN($BK$3:$BK$23), MAX($BK$3:$BK$23), BA56))), ABS($BK$3:$BK$23 - MEDIAN(MIN($BK$3:$BK$23), MAX($BK$3:$BK$23), BA56)), $BL$3:$BL$23, "Error", 0)</f>
        <v/>
      </c>
      <c r="BB85" s="30">
        <f>_xlfn.XLOOKUP(MIN(ABS($BK$3:$BK$23 - MEDIAN(MIN($BK$3:$BK$23), MAX($BK$3:$BK$23), BB56))), ABS($BK$3:$BK$23 - MEDIAN(MIN($BK$3:$BK$23), MAX($BK$3:$BK$23), BB56)), $BL$3:$BL$23, "Error", 0)</f>
        <v/>
      </c>
      <c r="BC85" s="30">
        <f>_xlfn.XLOOKUP(MIN(ABS($BK$3:$BK$23 - MEDIAN(MIN($BK$3:$BK$23), MAX($BK$3:$BK$23), BC56))), ABS($BK$3:$BK$23 - MEDIAN(MIN($BK$3:$BK$23), MAX($BK$3:$BK$23), BC56)), $BL$3:$BL$23, "Error", 0)</f>
        <v/>
      </c>
      <c r="BD85" s="30">
        <f>_xlfn.XLOOKUP(MIN(ABS($BK$3:$BK$23 - MEDIAN(MIN($BK$3:$BK$23), MAX($BK$3:$BK$23), BD56))), ABS($BK$3:$BK$23 - MEDIAN(MIN($BK$3:$BK$23), MAX($BK$3:$BK$23), BD56)), $BL$3:$BL$23, "Error", 0)</f>
        <v/>
      </c>
      <c r="BE85" s="30">
        <f>_xlfn.XLOOKUP(MIN(ABS($BK$3:$BK$23 - MEDIAN(MIN($BK$3:$BK$23), MAX($BK$3:$BK$23), BE56))), ABS($BK$3:$BK$23 - MEDIAN(MIN($BK$3:$BK$23), MAX($BK$3:$BK$23), BE56)), $BL$3:$BL$23, "Error", 0)</f>
        <v/>
      </c>
      <c r="BF85" s="30">
        <f>_xlfn.XLOOKUP(MIN(ABS($BK$3:$BK$23 - MEDIAN(MIN($BK$3:$BK$23), MAX($BK$3:$BK$23), BF56))), ABS($BK$3:$BK$23 - MEDIAN(MIN($BK$3:$BK$23), MAX($BK$3:$BK$23), BF56)), $BL$3:$BL$23, "Error", 0)</f>
        <v/>
      </c>
      <c r="BG85" s="30">
        <f>_xlfn.XLOOKUP(MIN(ABS($BK$3:$BK$23 - MEDIAN(MIN($BK$3:$BK$23), MAX($BK$3:$BK$23), BG56))), ABS($BK$3:$BK$23 - MEDIAN(MIN($BK$3:$BK$23), MAX($BK$3:$BK$23), BG56)), $BL$3:$BL$23, "Error", 0)</f>
        <v/>
      </c>
      <c r="BH85" s="30">
        <f>_xlfn.XLOOKUP(MIN(ABS($BK$3:$BK$23 - MEDIAN(MIN($BK$3:$BK$23), MAX($BK$3:$BK$23), BH56))), ABS($BK$3:$BK$23 - MEDIAN(MIN($BK$3:$BK$23), MAX($BK$3:$BK$23), BH56)), $BL$3:$BL$23, "Error", 0)</f>
        <v/>
      </c>
      <c r="BI85" s="30">
        <f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>_xlfn.XLOOKUP(MIN(ABS($BK$3:$BK$23 - MEDIAN(MIN($BK$3:$BK$23), MAX($BK$3:$BK$23), N57))), ABS($BK$3:$BK$23 - MEDIAN(MIN($BK$3:$BK$23), MAX($BK$3:$BK$23), N57)), $BL$3:$BL$23, "Error", 0)</f>
        <v/>
      </c>
      <c r="O86" s="30">
        <f>_xlfn.XLOOKUP(MIN(ABS($BK$3:$BK$23 - MEDIAN(MIN($BK$3:$BK$23), MAX($BK$3:$BK$23), O57))), ABS($BK$3:$BK$23 - MEDIAN(MIN($BK$3:$BK$23), MAX($BK$3:$BK$23), O57)), $BL$3:$BL$23, "Error", 0)</f>
        <v/>
      </c>
      <c r="P86" s="30">
        <f>_xlfn.XLOOKUP(MIN(ABS($BK$3:$BK$23 - MEDIAN(MIN($BK$3:$BK$23), MAX($BK$3:$BK$23), P57))), ABS($BK$3:$BK$23 - MEDIAN(MIN($BK$3:$BK$23), MAX($BK$3:$BK$23), P57)), $BL$3:$BL$23, "Error", 0)</f>
        <v/>
      </c>
      <c r="Q86" s="30">
        <f>_xlfn.XLOOKUP(MIN(ABS($BK$3:$BK$23 - MEDIAN(MIN($BK$3:$BK$23), MAX($BK$3:$BK$23), Q57))), ABS($BK$3:$BK$23 - MEDIAN(MIN($BK$3:$BK$23), MAX($BK$3:$BK$23), Q57)), $BL$3:$BL$23, "Error", 0)</f>
        <v/>
      </c>
      <c r="R86" s="30">
        <f>_xlfn.XLOOKUP(MIN(ABS($BK$3:$BK$23 - MEDIAN(MIN($BK$3:$BK$23), MAX($BK$3:$BK$23), R57))), ABS($BK$3:$BK$23 - MEDIAN(MIN($BK$3:$BK$23), MAX($BK$3:$BK$23), R57)), $BL$3:$BL$23, "Error", 0)</f>
        <v/>
      </c>
      <c r="S86" s="30">
        <f>_xlfn.XLOOKUP(MIN(ABS($BK$3:$BK$23 - MEDIAN(MIN($BK$3:$BK$23), MAX($BK$3:$BK$23), S57))), ABS($BK$3:$BK$23 - MEDIAN(MIN($BK$3:$BK$23), MAX($BK$3:$BK$23), S57)), $BL$3:$BL$23, "Error", 0)</f>
        <v/>
      </c>
      <c r="T86" s="30">
        <f>_xlfn.XLOOKUP(MIN(ABS($BK$3:$BK$23 - MEDIAN(MIN($BK$3:$BK$23), MAX($BK$3:$BK$23), T57))), ABS($BK$3:$BK$23 - MEDIAN(MIN($BK$3:$BK$23), MAX($BK$3:$BK$23), T57)), $BL$3:$BL$23, "Error", 0)</f>
        <v/>
      </c>
      <c r="U86" s="30">
        <f>_xlfn.XLOOKUP(MIN(ABS($BK$3:$BK$23 - MEDIAN(MIN($BK$3:$BK$23), MAX($BK$3:$BK$23), U57))), ABS($BK$3:$BK$23 - MEDIAN(MIN($BK$3:$BK$23), MAX($BK$3:$BK$23), U57)), $BL$3:$BL$23, "Error", 0)</f>
        <v/>
      </c>
      <c r="V86" s="30">
        <f>_xlfn.XLOOKUP(MIN(ABS($BK$3:$BK$23 - MEDIAN(MIN($BK$3:$BK$23), MAX($BK$3:$BK$23), V57))), ABS($BK$3:$BK$23 - MEDIAN(MIN($BK$3:$BK$23), MAX($BK$3:$BK$23), V57)), $BL$3:$BL$23, "Error", 0)</f>
        <v/>
      </c>
      <c r="W86" s="30">
        <f>_xlfn.XLOOKUP(MIN(ABS($BK$3:$BK$23 - MEDIAN(MIN($BK$3:$BK$23), MAX($BK$3:$BK$23), W57))), ABS($BK$3:$BK$23 - MEDIAN(MIN($BK$3:$BK$23), MAX($BK$3:$BK$23), W57)), $BL$3:$BL$23, "Error", 0)</f>
        <v/>
      </c>
      <c r="X86" s="30">
        <f>_xlfn.XLOOKUP(MIN(ABS($BK$3:$BK$23 - MEDIAN(MIN($BK$3:$BK$23), MAX($BK$3:$BK$23), X57))), ABS($BK$3:$BK$23 - MEDIAN(MIN($BK$3:$BK$23), MAX($BK$3:$BK$23), X57)), $BL$3:$BL$23, "Error", 0)</f>
        <v/>
      </c>
      <c r="Y86" s="30">
        <f>_xlfn.XLOOKUP(MIN(ABS($BK$3:$BK$23 - MEDIAN(MIN($BK$3:$BK$23), MAX($BK$3:$BK$23), Y57))), ABS($BK$3:$BK$23 - MEDIAN(MIN($BK$3:$BK$23), MAX($BK$3:$BK$23), Y57)), $BL$3:$BL$23, "Error", 0)</f>
        <v/>
      </c>
      <c r="Z86" s="30">
        <f>_xlfn.XLOOKUP(MIN(ABS($BK$3:$BK$23 - MEDIAN(MIN($BK$3:$BK$23), MAX($BK$3:$BK$23), Z57))), ABS($BK$3:$BK$23 - MEDIAN(MIN($BK$3:$BK$23), MAX($BK$3:$BK$23), Z57)), $BL$3:$BL$23, "Error", 0)</f>
        <v/>
      </c>
      <c r="AA86" s="30">
        <f>_xlfn.XLOOKUP(MIN(ABS($BK$3:$BK$23 - MEDIAN(MIN($BK$3:$BK$23), MAX($BK$3:$BK$23), AA57))), ABS($BK$3:$BK$23 - MEDIAN(MIN($BK$3:$BK$23), MAX($BK$3:$BK$23), AA57)), $BL$3:$BL$23, "Error", 0)</f>
        <v/>
      </c>
      <c r="AB86" s="30">
        <f>_xlfn.XLOOKUP(MIN(ABS($BK$3:$BK$23 - MEDIAN(MIN($BK$3:$BK$23), MAX($BK$3:$BK$23), AB57))), ABS($BK$3:$BK$23 - MEDIAN(MIN($BK$3:$BK$23), MAX($BK$3:$BK$23), AB57)), $BL$3:$BL$23, "Error", 0)</f>
        <v/>
      </c>
      <c r="AC86" s="30">
        <f>_xlfn.XLOOKUP(MIN(ABS($BK$3:$BK$23 - MEDIAN(MIN($BK$3:$BK$23), MAX($BK$3:$BK$23), AC57))), ABS($BK$3:$BK$23 - MEDIAN(MIN($BK$3:$BK$23), MAX($BK$3:$BK$23), AC57)), $BL$3:$BL$23, "Error", 0)</f>
        <v/>
      </c>
      <c r="AD86" s="30">
        <f>_xlfn.XLOOKUP(MIN(ABS($BK$3:$BK$23 - MEDIAN(MIN($BK$3:$BK$23), MAX($BK$3:$BK$23), AD57))), ABS($BK$3:$BK$23 - MEDIAN(MIN($BK$3:$BK$23), MAX($BK$3:$BK$23), AD57)), $BL$3:$BL$23, "Error", 0)</f>
        <v/>
      </c>
      <c r="AE86" s="30">
        <f>_xlfn.XLOOKUP(MIN(ABS($BK$3:$BK$23 - MEDIAN(MIN($BK$3:$BK$23), MAX($BK$3:$BK$23), AE57))), ABS($BK$3:$BK$23 - MEDIAN(MIN($BK$3:$BK$23), MAX($BK$3:$BK$23), AE57)), $BL$3:$BL$23, "Error", 0)</f>
        <v/>
      </c>
      <c r="AF86" s="30">
        <f>_xlfn.XLOOKUP(MIN(ABS($BK$3:$BK$23 - MEDIAN(MIN($BK$3:$BK$23), MAX($BK$3:$BK$23), AF57))), ABS($BK$3:$BK$23 - MEDIAN(MIN($BK$3:$BK$23), MAX($BK$3:$BK$23), AF57)), $BL$3:$BL$23, "Error", 0)</f>
        <v/>
      </c>
      <c r="AG86" s="30">
        <f>_xlfn.XLOOKUP(MIN(ABS($BK$3:$BK$23 - MEDIAN(MIN($BK$3:$BK$23), MAX($BK$3:$BK$23), AG57))), ABS($BK$3:$BK$23 - MEDIAN(MIN($BK$3:$BK$23), MAX($BK$3:$BK$23), AG57)), $BL$3:$BL$23, "Error", 0)</f>
        <v/>
      </c>
      <c r="AH86" s="30">
        <f>_xlfn.XLOOKUP(MIN(ABS($BK$3:$BK$23 - MEDIAN(MIN($BK$3:$BK$23), MAX($BK$3:$BK$23), AH57))), ABS($BK$3:$BK$23 - MEDIAN(MIN($BK$3:$BK$23), MAX($BK$3:$BK$23), AH57)), $BL$3:$BL$23, "Error", 0)</f>
        <v/>
      </c>
      <c r="AI86" s="30">
        <f>_xlfn.XLOOKUP(MIN(ABS($BK$3:$BK$23 - MEDIAN(MIN($BK$3:$BK$23), MAX($BK$3:$BK$23), AI57))), ABS($BK$3:$BK$23 - MEDIAN(MIN($BK$3:$BK$23), MAX($BK$3:$BK$23), AI57)), $BL$3:$BL$23, "Error", 0)</f>
        <v/>
      </c>
      <c r="AJ86" s="30">
        <f>_xlfn.XLOOKUP(MIN(ABS($BK$3:$BK$23 - MEDIAN(MIN($BK$3:$BK$23), MAX($BK$3:$BK$23), AJ57))), ABS($BK$3:$BK$23 - MEDIAN(MIN($BK$3:$BK$23), MAX($BK$3:$BK$23), AJ57)), $BL$3:$BL$23, "Error", 0)</f>
        <v/>
      </c>
      <c r="AK86" s="30">
        <f>_xlfn.XLOOKUP(MIN(ABS($BK$3:$BK$23 - MEDIAN(MIN($BK$3:$BK$23), MAX($BK$3:$BK$23), AK57))), ABS($BK$3:$BK$23 - MEDIAN(MIN($BK$3:$BK$23), MAX($BK$3:$BK$23), AK57)), $BL$3:$BL$23, "Error", 0)</f>
        <v/>
      </c>
      <c r="AL86" s="30">
        <f>_xlfn.XLOOKUP(MIN(ABS($BK$3:$BK$23 - MEDIAN(MIN($BK$3:$BK$23), MAX($BK$3:$BK$23), AL57))), ABS($BK$3:$BK$23 - MEDIAN(MIN($BK$3:$BK$23), MAX($BK$3:$BK$23), AL57)), $BL$3:$BL$23, "Error", 0)</f>
        <v/>
      </c>
      <c r="AM86" s="30">
        <f>_xlfn.XLOOKUP(MIN(ABS($BK$3:$BK$23 - MEDIAN(MIN($BK$3:$BK$23), MAX($BK$3:$BK$23), AM57))), ABS($BK$3:$BK$23 - MEDIAN(MIN($BK$3:$BK$23), MAX($BK$3:$BK$23), AM57)), $BL$3:$BL$23, "Error", 0)</f>
        <v/>
      </c>
      <c r="AN86" s="30">
        <f>_xlfn.XLOOKUP(MIN(ABS($BK$3:$BK$23 - MEDIAN(MIN($BK$3:$BK$23), MAX($BK$3:$BK$23), AN57))), ABS($BK$3:$BK$23 - MEDIAN(MIN($BK$3:$BK$23), MAX($BK$3:$BK$23), AN57)), $BL$3:$BL$23, "Error", 0)</f>
        <v/>
      </c>
      <c r="AO86" s="30">
        <f>_xlfn.XLOOKUP(MIN(ABS($BK$3:$BK$23 - MEDIAN(MIN($BK$3:$BK$23), MAX($BK$3:$BK$23), AO57))), ABS($BK$3:$BK$23 - MEDIAN(MIN($BK$3:$BK$23), MAX($BK$3:$BK$23), AO57)), $BL$3:$BL$23, "Error", 0)</f>
        <v/>
      </c>
      <c r="AP86" s="30">
        <f>_xlfn.XLOOKUP(MIN(ABS($BK$3:$BK$23 - MEDIAN(MIN($BK$3:$BK$23), MAX($BK$3:$BK$23), AP57))), ABS($BK$3:$BK$23 - MEDIAN(MIN($BK$3:$BK$23), MAX($BK$3:$BK$23), AP57)), $BL$3:$BL$23, "Error", 0)</f>
        <v/>
      </c>
      <c r="AQ86" s="30">
        <f>_xlfn.XLOOKUP(MIN(ABS($BK$3:$BK$23 - MEDIAN(MIN($BK$3:$BK$23), MAX($BK$3:$BK$23), AQ57))), ABS($BK$3:$BK$23 - MEDIAN(MIN($BK$3:$BK$23), MAX($BK$3:$BK$23), AQ57)), $BL$3:$BL$23, "Error", 0)</f>
        <v/>
      </c>
      <c r="AR86" s="30">
        <f>_xlfn.XLOOKUP(MIN(ABS($BK$3:$BK$23 - MEDIAN(MIN($BK$3:$BK$23), MAX($BK$3:$BK$23), AR57))), ABS($BK$3:$BK$23 - MEDIAN(MIN($BK$3:$BK$23), MAX($BK$3:$BK$23), AR57)), $BL$3:$BL$23, "Error", 0)</f>
        <v/>
      </c>
      <c r="AS86" s="30">
        <f>_xlfn.XLOOKUP(MIN(ABS($BK$3:$BK$23 - MEDIAN(MIN($BK$3:$BK$23), MAX($BK$3:$BK$23), AS57))), ABS($BK$3:$BK$23 - MEDIAN(MIN($BK$3:$BK$23), MAX($BK$3:$BK$23), AS57)), $BL$3:$BL$23, "Error", 0)</f>
        <v/>
      </c>
      <c r="AT86" s="30">
        <f>_xlfn.XLOOKUP(MIN(ABS($BK$3:$BK$23 - MEDIAN(MIN($BK$3:$BK$23), MAX($BK$3:$BK$23), AT57))), ABS($BK$3:$BK$23 - MEDIAN(MIN($BK$3:$BK$23), MAX($BK$3:$BK$23), AT57)), $BL$3:$BL$23, "Error", 0)</f>
        <v/>
      </c>
      <c r="AU86" s="30">
        <f>_xlfn.XLOOKUP(MIN(ABS($BK$3:$BK$23 - MEDIAN(MIN($BK$3:$BK$23), MAX($BK$3:$BK$23), AU57))), ABS($BK$3:$BK$23 - MEDIAN(MIN($BK$3:$BK$23), MAX($BK$3:$BK$23), AU57)), $BL$3:$BL$23, "Error", 0)</f>
        <v/>
      </c>
      <c r="AV86" s="30">
        <f>_xlfn.XLOOKUP(MIN(ABS($BK$3:$BK$23 - MEDIAN(MIN($BK$3:$BK$23), MAX($BK$3:$BK$23), AV57))), ABS($BK$3:$BK$23 - MEDIAN(MIN($BK$3:$BK$23), MAX($BK$3:$BK$23), AV57)), $BL$3:$BL$23, "Error", 0)</f>
        <v/>
      </c>
      <c r="AW86" s="30">
        <f>_xlfn.XLOOKUP(MIN(ABS($BK$3:$BK$23 - MEDIAN(MIN($BK$3:$BK$23), MAX($BK$3:$BK$23), AW57))), ABS($BK$3:$BK$23 - MEDIAN(MIN($BK$3:$BK$23), MAX($BK$3:$BK$23), AW57)), $BL$3:$BL$23, "Error", 0)</f>
        <v/>
      </c>
      <c r="AX86" s="30">
        <f>_xlfn.XLOOKUP(MIN(ABS($BK$3:$BK$23 - MEDIAN(MIN($BK$3:$BK$23), MAX($BK$3:$BK$23), AX57))), ABS($BK$3:$BK$23 - MEDIAN(MIN($BK$3:$BK$23), MAX($BK$3:$BK$23), AX57)), $BL$3:$BL$23, "Error", 0)</f>
        <v/>
      </c>
      <c r="AY86" s="30">
        <f>_xlfn.XLOOKUP(MIN(ABS($BK$3:$BK$23 - MEDIAN(MIN($BK$3:$BK$23), MAX($BK$3:$BK$23), AY57))), ABS($BK$3:$BK$23 - MEDIAN(MIN($BK$3:$BK$23), MAX($BK$3:$BK$23), AY57)), $BL$3:$BL$23, "Error", 0)</f>
        <v/>
      </c>
      <c r="AZ86" s="30">
        <f>_xlfn.XLOOKUP(MIN(ABS($BK$3:$BK$23 - MEDIAN(MIN($BK$3:$BK$23), MAX($BK$3:$BK$23), AZ57))), ABS($BK$3:$BK$23 - MEDIAN(MIN($BK$3:$BK$23), MAX($BK$3:$BK$23), AZ57)), $BL$3:$BL$23, "Error", 0)</f>
        <v/>
      </c>
      <c r="BA86" s="30">
        <f>_xlfn.XLOOKUP(MIN(ABS($BK$3:$BK$23 - MEDIAN(MIN($BK$3:$BK$23), MAX($BK$3:$BK$23), BA57))), ABS($BK$3:$BK$23 - MEDIAN(MIN($BK$3:$BK$23), MAX($BK$3:$BK$23), BA57)), $BL$3:$BL$23, "Error", 0)</f>
        <v/>
      </c>
      <c r="BB86" s="30">
        <f>_xlfn.XLOOKUP(MIN(ABS($BK$3:$BK$23 - MEDIAN(MIN($BK$3:$BK$23), MAX($BK$3:$BK$23), BB57))), ABS($BK$3:$BK$23 - MEDIAN(MIN($BK$3:$BK$23), MAX($BK$3:$BK$23), BB57)), $BL$3:$BL$23, "Error", 0)</f>
        <v/>
      </c>
      <c r="BC86" s="30">
        <f>_xlfn.XLOOKUP(MIN(ABS($BK$3:$BK$23 - MEDIAN(MIN($BK$3:$BK$23), MAX($BK$3:$BK$23), BC57))), ABS($BK$3:$BK$23 - MEDIAN(MIN($BK$3:$BK$23), MAX($BK$3:$BK$23), BC57)), $BL$3:$BL$23, "Error", 0)</f>
        <v/>
      </c>
      <c r="BD86" s="30">
        <f>_xlfn.XLOOKUP(MIN(ABS($BK$3:$BK$23 - MEDIAN(MIN($BK$3:$BK$23), MAX($BK$3:$BK$23), BD57))), ABS($BK$3:$BK$23 - MEDIAN(MIN($BK$3:$BK$23), MAX($BK$3:$BK$23), BD57)), $BL$3:$BL$23, "Error", 0)</f>
        <v/>
      </c>
      <c r="BE86" s="30">
        <f>_xlfn.XLOOKUP(MIN(ABS($BK$3:$BK$23 - MEDIAN(MIN($BK$3:$BK$23), MAX($BK$3:$BK$23), BE57))), ABS($BK$3:$BK$23 - MEDIAN(MIN($BK$3:$BK$23), MAX($BK$3:$BK$23), BE57)), $BL$3:$BL$23, "Error", 0)</f>
        <v/>
      </c>
      <c r="BF86" s="30">
        <f>_xlfn.XLOOKUP(MIN(ABS($BK$3:$BK$23 - MEDIAN(MIN($BK$3:$BK$23), MAX($BK$3:$BK$23), BF57))), ABS($BK$3:$BK$23 - MEDIAN(MIN($BK$3:$BK$23), MAX($BK$3:$BK$23), BF57)), $BL$3:$BL$23, "Error", 0)</f>
        <v/>
      </c>
      <c r="BG86" s="30">
        <f>_xlfn.XLOOKUP(MIN(ABS($BK$3:$BK$23 - MEDIAN(MIN($BK$3:$BK$23), MAX($BK$3:$BK$23), BG57))), ABS($BK$3:$BK$23 - MEDIAN(MIN($BK$3:$BK$23), MAX($BK$3:$BK$23), BG57)), $BL$3:$BL$23, "Error", 0)</f>
        <v/>
      </c>
      <c r="BH86" s="30">
        <f>_xlfn.XLOOKUP(MIN(ABS($BK$3:$BK$23 - MEDIAN(MIN($BK$3:$BK$23), MAX($BK$3:$BK$23), BH57))), ABS($BK$3:$BK$23 - MEDIAN(MIN($BK$3:$BK$23), MAX($BK$3:$BK$23), BH57)), $BL$3:$BL$23, "Error", 0)</f>
        <v/>
      </c>
      <c r="BI86" s="30">
        <f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>_xlfn.XLOOKUP(MIN(ABS($BK$3:$BK$23 - MEDIAN(MIN($BK$3:$BK$23), MAX($BK$3:$BK$23), N58))), ABS($BK$3:$BK$23 - MEDIAN(MIN($BK$3:$BK$23), MAX($BK$3:$BK$23), N58)), $BL$3:$BL$23, "Error", 0)</f>
        <v/>
      </c>
      <c r="O87" s="30">
        <f>_xlfn.XLOOKUP(MIN(ABS($BK$3:$BK$23 - MEDIAN(MIN($BK$3:$BK$23), MAX($BK$3:$BK$23), O58))), ABS($BK$3:$BK$23 - MEDIAN(MIN($BK$3:$BK$23), MAX($BK$3:$BK$23), O58)), $BL$3:$BL$23, "Error", 0)</f>
        <v/>
      </c>
      <c r="P87" s="30">
        <f>_xlfn.XLOOKUP(MIN(ABS($BK$3:$BK$23 - MEDIAN(MIN($BK$3:$BK$23), MAX($BK$3:$BK$23), P58))), ABS($BK$3:$BK$23 - MEDIAN(MIN($BK$3:$BK$23), MAX($BK$3:$BK$23), P58)), $BL$3:$BL$23, "Error", 0)</f>
        <v/>
      </c>
      <c r="Q87" s="30">
        <f>_xlfn.XLOOKUP(MIN(ABS($BK$3:$BK$23 - MEDIAN(MIN($BK$3:$BK$23), MAX($BK$3:$BK$23), Q58))), ABS($BK$3:$BK$23 - MEDIAN(MIN($BK$3:$BK$23), MAX($BK$3:$BK$23), Q58)), $BL$3:$BL$23, "Error", 0)</f>
        <v/>
      </c>
      <c r="R87" s="30">
        <f>_xlfn.XLOOKUP(MIN(ABS($BK$3:$BK$23 - MEDIAN(MIN($BK$3:$BK$23), MAX($BK$3:$BK$23), R58))), ABS($BK$3:$BK$23 - MEDIAN(MIN($BK$3:$BK$23), MAX($BK$3:$BK$23), R58)), $BL$3:$BL$23, "Error", 0)</f>
        <v/>
      </c>
      <c r="S87" s="30">
        <f>_xlfn.XLOOKUP(MIN(ABS($BK$3:$BK$23 - MEDIAN(MIN($BK$3:$BK$23), MAX($BK$3:$BK$23), S58))), ABS($BK$3:$BK$23 - MEDIAN(MIN($BK$3:$BK$23), MAX($BK$3:$BK$23), S58)), $BL$3:$BL$23, "Error", 0)</f>
        <v/>
      </c>
      <c r="T87" s="30">
        <f>_xlfn.XLOOKUP(MIN(ABS($BK$3:$BK$23 - MEDIAN(MIN($BK$3:$BK$23), MAX($BK$3:$BK$23), T58))), ABS($BK$3:$BK$23 - MEDIAN(MIN($BK$3:$BK$23), MAX($BK$3:$BK$23), T58)), $BL$3:$BL$23, "Error", 0)</f>
        <v/>
      </c>
      <c r="U87" s="30">
        <f>_xlfn.XLOOKUP(MIN(ABS($BK$3:$BK$23 - MEDIAN(MIN($BK$3:$BK$23), MAX($BK$3:$BK$23), U58))), ABS($BK$3:$BK$23 - MEDIAN(MIN($BK$3:$BK$23), MAX($BK$3:$BK$23), U58)), $BL$3:$BL$23, "Error", 0)</f>
        <v/>
      </c>
      <c r="V87" s="30">
        <f>_xlfn.XLOOKUP(MIN(ABS($BK$3:$BK$23 - MEDIAN(MIN($BK$3:$BK$23), MAX($BK$3:$BK$23), V58))), ABS($BK$3:$BK$23 - MEDIAN(MIN($BK$3:$BK$23), MAX($BK$3:$BK$23), V58)), $BL$3:$BL$23, "Error", 0)</f>
        <v/>
      </c>
      <c r="W87" s="30">
        <f>_xlfn.XLOOKUP(MIN(ABS($BK$3:$BK$23 - MEDIAN(MIN($BK$3:$BK$23), MAX($BK$3:$BK$23), W58))), ABS($BK$3:$BK$23 - MEDIAN(MIN($BK$3:$BK$23), MAX($BK$3:$BK$23), W58)), $BL$3:$BL$23, "Error", 0)</f>
        <v/>
      </c>
      <c r="X87" s="30">
        <f>_xlfn.XLOOKUP(MIN(ABS($BK$3:$BK$23 - MEDIAN(MIN($BK$3:$BK$23), MAX($BK$3:$BK$23), X58))), ABS($BK$3:$BK$23 - MEDIAN(MIN($BK$3:$BK$23), MAX($BK$3:$BK$23), X58)), $BL$3:$BL$23, "Error", 0)</f>
        <v/>
      </c>
      <c r="Y87" s="30">
        <f>_xlfn.XLOOKUP(MIN(ABS($BK$3:$BK$23 - MEDIAN(MIN($BK$3:$BK$23), MAX($BK$3:$BK$23), Y58))), ABS($BK$3:$BK$23 - MEDIAN(MIN($BK$3:$BK$23), MAX($BK$3:$BK$23), Y58)), $BL$3:$BL$23, "Error", 0)</f>
        <v/>
      </c>
      <c r="Z87" s="30">
        <f>_xlfn.XLOOKUP(MIN(ABS($BK$3:$BK$23 - MEDIAN(MIN($BK$3:$BK$23), MAX($BK$3:$BK$23), Z58))), ABS($BK$3:$BK$23 - MEDIAN(MIN($BK$3:$BK$23), MAX($BK$3:$BK$23), Z58)), $BL$3:$BL$23, "Error", 0)</f>
        <v/>
      </c>
      <c r="AA87" s="30">
        <f>_xlfn.XLOOKUP(MIN(ABS($BK$3:$BK$23 - MEDIAN(MIN($BK$3:$BK$23), MAX($BK$3:$BK$23), AA58))), ABS($BK$3:$BK$23 - MEDIAN(MIN($BK$3:$BK$23), MAX($BK$3:$BK$23), AA58)), $BL$3:$BL$23, "Error", 0)</f>
        <v/>
      </c>
      <c r="AB87" s="30">
        <f>_xlfn.XLOOKUP(MIN(ABS($BK$3:$BK$23 - MEDIAN(MIN($BK$3:$BK$23), MAX($BK$3:$BK$23), AB58))), ABS($BK$3:$BK$23 - MEDIAN(MIN($BK$3:$BK$23), MAX($BK$3:$BK$23), AB58)), $BL$3:$BL$23, "Error", 0)</f>
        <v/>
      </c>
      <c r="AC87" s="30">
        <f>_xlfn.XLOOKUP(MIN(ABS($BK$3:$BK$23 - MEDIAN(MIN($BK$3:$BK$23), MAX($BK$3:$BK$23), AC58))), ABS($BK$3:$BK$23 - MEDIAN(MIN($BK$3:$BK$23), MAX($BK$3:$BK$23), AC58)), $BL$3:$BL$23, "Error", 0)</f>
        <v/>
      </c>
      <c r="AD87" s="30">
        <f>_xlfn.XLOOKUP(MIN(ABS($BK$3:$BK$23 - MEDIAN(MIN($BK$3:$BK$23), MAX($BK$3:$BK$23), AD58))), ABS($BK$3:$BK$23 - MEDIAN(MIN($BK$3:$BK$23), MAX($BK$3:$BK$23), AD58)), $BL$3:$BL$23, "Error", 0)</f>
        <v/>
      </c>
      <c r="AE87" s="30">
        <f>_xlfn.XLOOKUP(MIN(ABS($BK$3:$BK$23 - MEDIAN(MIN($BK$3:$BK$23), MAX($BK$3:$BK$23), AE58))), ABS($BK$3:$BK$23 - MEDIAN(MIN($BK$3:$BK$23), MAX($BK$3:$BK$23), AE58)), $BL$3:$BL$23, "Error", 0)</f>
        <v/>
      </c>
      <c r="AF87" s="30">
        <f>_xlfn.XLOOKUP(MIN(ABS($BK$3:$BK$23 - MEDIAN(MIN($BK$3:$BK$23), MAX($BK$3:$BK$23), AF58))), ABS($BK$3:$BK$23 - MEDIAN(MIN($BK$3:$BK$23), MAX($BK$3:$BK$23), AF58)), $BL$3:$BL$23, "Error", 0)</f>
        <v/>
      </c>
      <c r="AG87" s="30">
        <f>_xlfn.XLOOKUP(MIN(ABS($BK$3:$BK$23 - MEDIAN(MIN($BK$3:$BK$23), MAX($BK$3:$BK$23), AG58))), ABS($BK$3:$BK$23 - MEDIAN(MIN($BK$3:$BK$23), MAX($BK$3:$BK$23), AG58)), $BL$3:$BL$23, "Error", 0)</f>
        <v/>
      </c>
      <c r="AH87" s="30">
        <f>_xlfn.XLOOKUP(MIN(ABS($BK$3:$BK$23 - MEDIAN(MIN($BK$3:$BK$23), MAX($BK$3:$BK$23), AH58))), ABS($BK$3:$BK$23 - MEDIAN(MIN($BK$3:$BK$23), MAX($BK$3:$BK$23), AH58)), $BL$3:$BL$23, "Error", 0)</f>
        <v/>
      </c>
      <c r="AI87" s="30">
        <f>_xlfn.XLOOKUP(MIN(ABS($BK$3:$BK$23 - MEDIAN(MIN($BK$3:$BK$23), MAX($BK$3:$BK$23), AI58))), ABS($BK$3:$BK$23 - MEDIAN(MIN($BK$3:$BK$23), MAX($BK$3:$BK$23), AI58)), $BL$3:$BL$23, "Error", 0)</f>
        <v/>
      </c>
      <c r="AJ87" s="30">
        <f>_xlfn.XLOOKUP(MIN(ABS($BK$3:$BK$23 - MEDIAN(MIN($BK$3:$BK$23), MAX($BK$3:$BK$23), AJ58))), ABS($BK$3:$BK$23 - MEDIAN(MIN($BK$3:$BK$23), MAX($BK$3:$BK$23), AJ58)), $BL$3:$BL$23, "Error", 0)</f>
        <v/>
      </c>
      <c r="AK87" s="30">
        <f>_xlfn.XLOOKUP(MIN(ABS($BK$3:$BK$23 - MEDIAN(MIN($BK$3:$BK$23), MAX($BK$3:$BK$23), AK58))), ABS($BK$3:$BK$23 - MEDIAN(MIN($BK$3:$BK$23), MAX($BK$3:$BK$23), AK58)), $BL$3:$BL$23, "Error", 0)</f>
        <v/>
      </c>
      <c r="AL87" s="30">
        <f>_xlfn.XLOOKUP(MIN(ABS($BK$3:$BK$23 - MEDIAN(MIN($BK$3:$BK$23), MAX($BK$3:$BK$23), AL58))), ABS($BK$3:$BK$23 - MEDIAN(MIN($BK$3:$BK$23), MAX($BK$3:$BK$23), AL58)), $BL$3:$BL$23, "Error", 0)</f>
        <v/>
      </c>
      <c r="AM87" s="30">
        <f>_xlfn.XLOOKUP(MIN(ABS($BK$3:$BK$23 - MEDIAN(MIN($BK$3:$BK$23), MAX($BK$3:$BK$23), AM58))), ABS($BK$3:$BK$23 - MEDIAN(MIN($BK$3:$BK$23), MAX($BK$3:$BK$23), AM58)), $BL$3:$BL$23, "Error", 0)</f>
        <v/>
      </c>
      <c r="AN87" s="30">
        <f>_xlfn.XLOOKUP(MIN(ABS($BK$3:$BK$23 - MEDIAN(MIN($BK$3:$BK$23), MAX($BK$3:$BK$23), AN58))), ABS($BK$3:$BK$23 - MEDIAN(MIN($BK$3:$BK$23), MAX($BK$3:$BK$23), AN58)), $BL$3:$BL$23, "Error", 0)</f>
        <v/>
      </c>
      <c r="AO87" s="30">
        <f>_xlfn.XLOOKUP(MIN(ABS($BK$3:$BK$23 - MEDIAN(MIN($BK$3:$BK$23), MAX($BK$3:$BK$23), AO58))), ABS($BK$3:$BK$23 - MEDIAN(MIN($BK$3:$BK$23), MAX($BK$3:$BK$23), AO58)), $BL$3:$BL$23, "Error", 0)</f>
        <v/>
      </c>
      <c r="AP87" s="30">
        <f>_xlfn.XLOOKUP(MIN(ABS($BK$3:$BK$23 - MEDIAN(MIN($BK$3:$BK$23), MAX($BK$3:$BK$23), AP58))), ABS($BK$3:$BK$23 - MEDIAN(MIN($BK$3:$BK$23), MAX($BK$3:$BK$23), AP58)), $BL$3:$BL$23, "Error", 0)</f>
        <v/>
      </c>
      <c r="AQ87" s="30">
        <f>_xlfn.XLOOKUP(MIN(ABS($BK$3:$BK$23 - MEDIAN(MIN($BK$3:$BK$23), MAX($BK$3:$BK$23), AQ58))), ABS($BK$3:$BK$23 - MEDIAN(MIN($BK$3:$BK$23), MAX($BK$3:$BK$23), AQ58)), $BL$3:$BL$23, "Error", 0)</f>
        <v/>
      </c>
      <c r="AR87" s="30">
        <f>_xlfn.XLOOKUP(MIN(ABS($BK$3:$BK$23 - MEDIAN(MIN($BK$3:$BK$23), MAX($BK$3:$BK$23), AR58))), ABS($BK$3:$BK$23 - MEDIAN(MIN($BK$3:$BK$23), MAX($BK$3:$BK$23), AR58)), $BL$3:$BL$23, "Error", 0)</f>
        <v/>
      </c>
      <c r="AS87" s="30">
        <f>_xlfn.XLOOKUP(MIN(ABS($BK$3:$BK$23 - MEDIAN(MIN($BK$3:$BK$23), MAX($BK$3:$BK$23), AS58))), ABS($BK$3:$BK$23 - MEDIAN(MIN($BK$3:$BK$23), MAX($BK$3:$BK$23), AS58)), $BL$3:$BL$23, "Error", 0)</f>
        <v/>
      </c>
      <c r="AT87" s="30">
        <f>_xlfn.XLOOKUP(MIN(ABS($BK$3:$BK$23 - MEDIAN(MIN($BK$3:$BK$23), MAX($BK$3:$BK$23), AT58))), ABS($BK$3:$BK$23 - MEDIAN(MIN($BK$3:$BK$23), MAX($BK$3:$BK$23), AT58)), $BL$3:$BL$23, "Error", 0)</f>
        <v/>
      </c>
      <c r="AU87" s="30">
        <f>_xlfn.XLOOKUP(MIN(ABS($BK$3:$BK$23 - MEDIAN(MIN($BK$3:$BK$23), MAX($BK$3:$BK$23), AU58))), ABS($BK$3:$BK$23 - MEDIAN(MIN($BK$3:$BK$23), MAX($BK$3:$BK$23), AU58)), $BL$3:$BL$23, "Error", 0)</f>
        <v/>
      </c>
      <c r="AV87" s="30">
        <f>_xlfn.XLOOKUP(MIN(ABS($BK$3:$BK$23 - MEDIAN(MIN($BK$3:$BK$23), MAX($BK$3:$BK$23), AV58))), ABS($BK$3:$BK$23 - MEDIAN(MIN($BK$3:$BK$23), MAX($BK$3:$BK$23), AV58)), $BL$3:$BL$23, "Error", 0)</f>
        <v/>
      </c>
      <c r="AW87" s="30">
        <f>_xlfn.XLOOKUP(MIN(ABS($BK$3:$BK$23 - MEDIAN(MIN($BK$3:$BK$23), MAX($BK$3:$BK$23), AW58))), ABS($BK$3:$BK$23 - MEDIAN(MIN($BK$3:$BK$23), MAX($BK$3:$BK$23), AW58)), $BL$3:$BL$23, "Error", 0)</f>
        <v/>
      </c>
      <c r="AX87" s="30">
        <f>_xlfn.XLOOKUP(MIN(ABS($BK$3:$BK$23 - MEDIAN(MIN($BK$3:$BK$23), MAX($BK$3:$BK$23), AX58))), ABS($BK$3:$BK$23 - MEDIAN(MIN($BK$3:$BK$23), MAX($BK$3:$BK$23), AX58)), $BL$3:$BL$23, "Error", 0)</f>
        <v/>
      </c>
      <c r="AY87" s="30">
        <f>_xlfn.XLOOKUP(MIN(ABS($BK$3:$BK$23 - MEDIAN(MIN($BK$3:$BK$23), MAX($BK$3:$BK$23), AY58))), ABS($BK$3:$BK$23 - MEDIAN(MIN($BK$3:$BK$23), MAX($BK$3:$BK$23), AY58)), $BL$3:$BL$23, "Error", 0)</f>
        <v/>
      </c>
      <c r="AZ87" s="30">
        <f>_xlfn.XLOOKUP(MIN(ABS($BK$3:$BK$23 - MEDIAN(MIN($BK$3:$BK$23), MAX($BK$3:$BK$23), AZ58))), ABS($BK$3:$BK$23 - MEDIAN(MIN($BK$3:$BK$23), MAX($BK$3:$BK$23), AZ58)), $BL$3:$BL$23, "Error", 0)</f>
        <v/>
      </c>
      <c r="BA87" s="30">
        <f>_xlfn.XLOOKUP(MIN(ABS($BK$3:$BK$23 - MEDIAN(MIN($BK$3:$BK$23), MAX($BK$3:$BK$23), BA58))), ABS($BK$3:$BK$23 - MEDIAN(MIN($BK$3:$BK$23), MAX($BK$3:$BK$23), BA58)), $BL$3:$BL$23, "Error", 0)</f>
        <v/>
      </c>
      <c r="BB87" s="30">
        <f>_xlfn.XLOOKUP(MIN(ABS($BK$3:$BK$23 - MEDIAN(MIN($BK$3:$BK$23), MAX($BK$3:$BK$23), BB58))), ABS($BK$3:$BK$23 - MEDIAN(MIN($BK$3:$BK$23), MAX($BK$3:$BK$23), BB58)), $BL$3:$BL$23, "Error", 0)</f>
        <v/>
      </c>
      <c r="BC87" s="30">
        <f>_xlfn.XLOOKUP(MIN(ABS($BK$3:$BK$23 - MEDIAN(MIN($BK$3:$BK$23), MAX($BK$3:$BK$23), BC58))), ABS($BK$3:$BK$23 - MEDIAN(MIN($BK$3:$BK$23), MAX($BK$3:$BK$23), BC58)), $BL$3:$BL$23, "Error", 0)</f>
        <v/>
      </c>
      <c r="BD87" s="30">
        <f>_xlfn.XLOOKUP(MIN(ABS($BK$3:$BK$23 - MEDIAN(MIN($BK$3:$BK$23), MAX($BK$3:$BK$23), BD58))), ABS($BK$3:$BK$23 - MEDIAN(MIN($BK$3:$BK$23), MAX($BK$3:$BK$23), BD58)), $BL$3:$BL$23, "Error", 0)</f>
        <v/>
      </c>
      <c r="BE87" s="30">
        <f>_xlfn.XLOOKUP(MIN(ABS($BK$3:$BK$23 - MEDIAN(MIN($BK$3:$BK$23), MAX($BK$3:$BK$23), BE58))), ABS($BK$3:$BK$23 - MEDIAN(MIN($BK$3:$BK$23), MAX($BK$3:$BK$23), BE58)), $BL$3:$BL$23, "Error", 0)</f>
        <v/>
      </c>
      <c r="BF87" s="30">
        <f>_xlfn.XLOOKUP(MIN(ABS($BK$3:$BK$23 - MEDIAN(MIN($BK$3:$BK$23), MAX($BK$3:$BK$23), BF58))), ABS($BK$3:$BK$23 - MEDIAN(MIN($BK$3:$BK$23), MAX($BK$3:$BK$23), BF58)), $BL$3:$BL$23, "Error", 0)</f>
        <v/>
      </c>
      <c r="BG87" s="30">
        <f>_xlfn.XLOOKUP(MIN(ABS($BK$3:$BK$23 - MEDIAN(MIN($BK$3:$BK$23), MAX($BK$3:$BK$23), BG58))), ABS($BK$3:$BK$23 - MEDIAN(MIN($BK$3:$BK$23), MAX($BK$3:$BK$23), BG58)), $BL$3:$BL$23, "Error", 0)</f>
        <v/>
      </c>
      <c r="BH87" s="30">
        <f>_xlfn.XLOOKUP(MIN(ABS($BK$3:$BK$23 - MEDIAN(MIN($BK$3:$BK$23), MAX($BK$3:$BK$23), BH58))), ABS($BK$3:$BK$23 - MEDIAN(MIN($BK$3:$BK$23), MAX($BK$3:$BK$23), BH58)), $BL$3:$BL$23, "Error", 0)</f>
        <v/>
      </c>
      <c r="BI87" s="30">
        <f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>_xlfn.XLOOKUP(MIN(ABS($BK$3:$BK$23 - MEDIAN(MIN($BK$3:$BK$23), MAX($BK$3:$BK$23), N59))), ABS($BK$3:$BK$23 - MEDIAN(MIN($BK$3:$BK$23), MAX($BK$3:$BK$23), N59)), $BL$3:$BL$23, "Error", 0)</f>
        <v/>
      </c>
      <c r="O88" s="30">
        <f>_xlfn.XLOOKUP(MIN(ABS($BK$3:$BK$23 - MEDIAN(MIN($BK$3:$BK$23), MAX($BK$3:$BK$23), O59))), ABS($BK$3:$BK$23 - MEDIAN(MIN($BK$3:$BK$23), MAX($BK$3:$BK$23), O59)), $BL$3:$BL$23, "Error", 0)</f>
        <v/>
      </c>
      <c r="P88" s="30">
        <f>_xlfn.XLOOKUP(MIN(ABS($BK$3:$BK$23 - MEDIAN(MIN($BK$3:$BK$23), MAX($BK$3:$BK$23), P59))), ABS($BK$3:$BK$23 - MEDIAN(MIN($BK$3:$BK$23), MAX($BK$3:$BK$23), P59)), $BL$3:$BL$23, "Error", 0)</f>
        <v/>
      </c>
      <c r="Q88" s="30">
        <f>_xlfn.XLOOKUP(MIN(ABS($BK$3:$BK$23 - MEDIAN(MIN($BK$3:$BK$23), MAX($BK$3:$BK$23), Q59))), ABS($BK$3:$BK$23 - MEDIAN(MIN($BK$3:$BK$23), MAX($BK$3:$BK$23), Q59)), $BL$3:$BL$23, "Error", 0)</f>
        <v/>
      </c>
      <c r="R88" s="30">
        <f>_xlfn.XLOOKUP(MIN(ABS($BK$3:$BK$23 - MEDIAN(MIN($BK$3:$BK$23), MAX($BK$3:$BK$23), R59))), ABS($BK$3:$BK$23 - MEDIAN(MIN($BK$3:$BK$23), MAX($BK$3:$BK$23), R59)), $BL$3:$BL$23, "Error", 0)</f>
        <v/>
      </c>
      <c r="S88" s="30">
        <f>_xlfn.XLOOKUP(MIN(ABS($BK$3:$BK$23 - MEDIAN(MIN($BK$3:$BK$23), MAX($BK$3:$BK$23), S59))), ABS($BK$3:$BK$23 - MEDIAN(MIN($BK$3:$BK$23), MAX($BK$3:$BK$23), S59)), $BL$3:$BL$23, "Error", 0)</f>
        <v/>
      </c>
      <c r="T88" s="30">
        <f>_xlfn.XLOOKUP(MIN(ABS($BK$3:$BK$23 - MEDIAN(MIN($BK$3:$BK$23), MAX($BK$3:$BK$23), T59))), ABS($BK$3:$BK$23 - MEDIAN(MIN($BK$3:$BK$23), MAX($BK$3:$BK$23), T59)), $BL$3:$BL$23, "Error", 0)</f>
        <v/>
      </c>
      <c r="U88" s="30">
        <f>_xlfn.XLOOKUP(MIN(ABS($BK$3:$BK$23 - MEDIAN(MIN($BK$3:$BK$23), MAX($BK$3:$BK$23), U59))), ABS($BK$3:$BK$23 - MEDIAN(MIN($BK$3:$BK$23), MAX($BK$3:$BK$23), U59)), $BL$3:$BL$23, "Error", 0)</f>
        <v/>
      </c>
      <c r="V88" s="30">
        <f>_xlfn.XLOOKUP(MIN(ABS($BK$3:$BK$23 - MEDIAN(MIN($BK$3:$BK$23), MAX($BK$3:$BK$23), V59))), ABS($BK$3:$BK$23 - MEDIAN(MIN($BK$3:$BK$23), MAX($BK$3:$BK$23), V59)), $BL$3:$BL$23, "Error", 0)</f>
        <v/>
      </c>
      <c r="W88" s="30">
        <f>_xlfn.XLOOKUP(MIN(ABS($BK$3:$BK$23 - MEDIAN(MIN($BK$3:$BK$23), MAX($BK$3:$BK$23), W59))), ABS($BK$3:$BK$23 - MEDIAN(MIN($BK$3:$BK$23), MAX($BK$3:$BK$23), W59)), $BL$3:$BL$23, "Error", 0)</f>
        <v/>
      </c>
      <c r="X88" s="30">
        <f>_xlfn.XLOOKUP(MIN(ABS($BK$3:$BK$23 - MEDIAN(MIN($BK$3:$BK$23), MAX($BK$3:$BK$23), X59))), ABS($BK$3:$BK$23 - MEDIAN(MIN($BK$3:$BK$23), MAX($BK$3:$BK$23), X59)), $BL$3:$BL$23, "Error", 0)</f>
        <v/>
      </c>
      <c r="Y88" s="30">
        <f>_xlfn.XLOOKUP(MIN(ABS($BK$3:$BK$23 - MEDIAN(MIN($BK$3:$BK$23), MAX($BK$3:$BK$23), Y59))), ABS($BK$3:$BK$23 - MEDIAN(MIN($BK$3:$BK$23), MAX($BK$3:$BK$23), Y59)), $BL$3:$BL$23, "Error", 0)</f>
        <v/>
      </c>
      <c r="Z88" s="30">
        <f>_xlfn.XLOOKUP(MIN(ABS($BK$3:$BK$23 - MEDIAN(MIN($BK$3:$BK$23), MAX($BK$3:$BK$23), Z59))), ABS($BK$3:$BK$23 - MEDIAN(MIN($BK$3:$BK$23), MAX($BK$3:$BK$23), Z59)), $BL$3:$BL$23, "Error", 0)</f>
        <v/>
      </c>
      <c r="AA88" s="30">
        <f>_xlfn.XLOOKUP(MIN(ABS($BK$3:$BK$23 - MEDIAN(MIN($BK$3:$BK$23), MAX($BK$3:$BK$23), AA59))), ABS($BK$3:$BK$23 - MEDIAN(MIN($BK$3:$BK$23), MAX($BK$3:$BK$23), AA59)), $BL$3:$BL$23, "Error", 0)</f>
        <v/>
      </c>
      <c r="AB88" s="30">
        <f>_xlfn.XLOOKUP(MIN(ABS($BK$3:$BK$23 - MEDIAN(MIN($BK$3:$BK$23), MAX($BK$3:$BK$23), AB59))), ABS($BK$3:$BK$23 - MEDIAN(MIN($BK$3:$BK$23), MAX($BK$3:$BK$23), AB59)), $BL$3:$BL$23, "Error", 0)</f>
        <v/>
      </c>
      <c r="AC88" s="30">
        <f>_xlfn.XLOOKUP(MIN(ABS($BK$3:$BK$23 - MEDIAN(MIN($BK$3:$BK$23), MAX($BK$3:$BK$23), AC59))), ABS($BK$3:$BK$23 - MEDIAN(MIN($BK$3:$BK$23), MAX($BK$3:$BK$23), AC59)), $BL$3:$BL$23, "Error", 0)</f>
        <v/>
      </c>
      <c r="AD88" s="30">
        <f>_xlfn.XLOOKUP(MIN(ABS($BK$3:$BK$23 - MEDIAN(MIN($BK$3:$BK$23), MAX($BK$3:$BK$23), AD59))), ABS($BK$3:$BK$23 - MEDIAN(MIN($BK$3:$BK$23), MAX($BK$3:$BK$23), AD59)), $BL$3:$BL$23, "Error", 0)</f>
        <v/>
      </c>
      <c r="AE88" s="30">
        <f>_xlfn.XLOOKUP(MIN(ABS($BK$3:$BK$23 - MEDIAN(MIN($BK$3:$BK$23), MAX($BK$3:$BK$23), AE59))), ABS($BK$3:$BK$23 - MEDIAN(MIN($BK$3:$BK$23), MAX($BK$3:$BK$23), AE59)), $BL$3:$BL$23, "Error", 0)</f>
        <v/>
      </c>
      <c r="AF88" s="30">
        <f>_xlfn.XLOOKUP(MIN(ABS($BK$3:$BK$23 - MEDIAN(MIN($BK$3:$BK$23), MAX($BK$3:$BK$23), AF59))), ABS($BK$3:$BK$23 - MEDIAN(MIN($BK$3:$BK$23), MAX($BK$3:$BK$23), AF59)), $BL$3:$BL$23, "Error", 0)</f>
        <v/>
      </c>
      <c r="AG88" s="30">
        <f>_xlfn.XLOOKUP(MIN(ABS($BK$3:$BK$23 - MEDIAN(MIN($BK$3:$BK$23), MAX($BK$3:$BK$23), AG59))), ABS($BK$3:$BK$23 - MEDIAN(MIN($BK$3:$BK$23), MAX($BK$3:$BK$23), AG59)), $BL$3:$BL$23, "Error", 0)</f>
        <v/>
      </c>
      <c r="AH88" s="30">
        <f>_xlfn.XLOOKUP(MIN(ABS($BK$3:$BK$23 - MEDIAN(MIN($BK$3:$BK$23), MAX($BK$3:$BK$23), AH59))), ABS($BK$3:$BK$23 - MEDIAN(MIN($BK$3:$BK$23), MAX($BK$3:$BK$23), AH59)), $BL$3:$BL$23, "Error", 0)</f>
        <v/>
      </c>
      <c r="AI88" s="30">
        <f>_xlfn.XLOOKUP(MIN(ABS($BK$3:$BK$23 - MEDIAN(MIN($BK$3:$BK$23), MAX($BK$3:$BK$23), AI59))), ABS($BK$3:$BK$23 - MEDIAN(MIN($BK$3:$BK$23), MAX($BK$3:$BK$23), AI59)), $BL$3:$BL$23, "Error", 0)</f>
        <v/>
      </c>
      <c r="AJ88" s="30">
        <f>_xlfn.XLOOKUP(MIN(ABS($BK$3:$BK$23 - MEDIAN(MIN($BK$3:$BK$23), MAX($BK$3:$BK$23), AJ59))), ABS($BK$3:$BK$23 - MEDIAN(MIN($BK$3:$BK$23), MAX($BK$3:$BK$23), AJ59)), $BL$3:$BL$23, "Error", 0)</f>
        <v/>
      </c>
      <c r="AK88" s="30">
        <f>_xlfn.XLOOKUP(MIN(ABS($BK$3:$BK$23 - MEDIAN(MIN($BK$3:$BK$23), MAX($BK$3:$BK$23), AK59))), ABS($BK$3:$BK$23 - MEDIAN(MIN($BK$3:$BK$23), MAX($BK$3:$BK$23), AK59)), $BL$3:$BL$23, "Error", 0)</f>
        <v/>
      </c>
      <c r="AL88" s="30">
        <f>_xlfn.XLOOKUP(MIN(ABS($BK$3:$BK$23 - MEDIAN(MIN($BK$3:$BK$23), MAX($BK$3:$BK$23), AL59))), ABS($BK$3:$BK$23 - MEDIAN(MIN($BK$3:$BK$23), MAX($BK$3:$BK$23), AL59)), $BL$3:$BL$23, "Error", 0)</f>
        <v/>
      </c>
      <c r="AM88" s="30">
        <f>_xlfn.XLOOKUP(MIN(ABS($BK$3:$BK$23 - MEDIAN(MIN($BK$3:$BK$23), MAX($BK$3:$BK$23), AM59))), ABS($BK$3:$BK$23 - MEDIAN(MIN($BK$3:$BK$23), MAX($BK$3:$BK$23), AM59)), $BL$3:$BL$23, "Error", 0)</f>
        <v/>
      </c>
      <c r="AN88" s="30">
        <f>_xlfn.XLOOKUP(MIN(ABS($BK$3:$BK$23 - MEDIAN(MIN($BK$3:$BK$23), MAX($BK$3:$BK$23), AN59))), ABS($BK$3:$BK$23 - MEDIAN(MIN($BK$3:$BK$23), MAX($BK$3:$BK$23), AN59)), $BL$3:$BL$23, "Error", 0)</f>
        <v/>
      </c>
      <c r="AO88" s="30">
        <f>_xlfn.XLOOKUP(MIN(ABS($BK$3:$BK$23 - MEDIAN(MIN($BK$3:$BK$23), MAX($BK$3:$BK$23), AO59))), ABS($BK$3:$BK$23 - MEDIAN(MIN($BK$3:$BK$23), MAX($BK$3:$BK$23), AO59)), $BL$3:$BL$23, "Error", 0)</f>
        <v/>
      </c>
      <c r="AP88" s="30">
        <f>_xlfn.XLOOKUP(MIN(ABS($BK$3:$BK$23 - MEDIAN(MIN($BK$3:$BK$23), MAX($BK$3:$BK$23), AP59))), ABS($BK$3:$BK$23 - MEDIAN(MIN($BK$3:$BK$23), MAX($BK$3:$BK$23), AP59)), $BL$3:$BL$23, "Error", 0)</f>
        <v/>
      </c>
      <c r="AQ88" s="30">
        <f>_xlfn.XLOOKUP(MIN(ABS($BK$3:$BK$23 - MEDIAN(MIN($BK$3:$BK$23), MAX($BK$3:$BK$23), AQ59))), ABS($BK$3:$BK$23 - MEDIAN(MIN($BK$3:$BK$23), MAX($BK$3:$BK$23), AQ59)), $BL$3:$BL$23, "Error", 0)</f>
        <v/>
      </c>
      <c r="AR88" s="30">
        <f>_xlfn.XLOOKUP(MIN(ABS($BK$3:$BK$23 - MEDIAN(MIN($BK$3:$BK$23), MAX($BK$3:$BK$23), AR59))), ABS($BK$3:$BK$23 - MEDIAN(MIN($BK$3:$BK$23), MAX($BK$3:$BK$23), AR59)), $BL$3:$BL$23, "Error", 0)</f>
        <v/>
      </c>
      <c r="AS88" s="30">
        <f>_xlfn.XLOOKUP(MIN(ABS($BK$3:$BK$23 - MEDIAN(MIN($BK$3:$BK$23), MAX($BK$3:$BK$23), AS59))), ABS($BK$3:$BK$23 - MEDIAN(MIN($BK$3:$BK$23), MAX($BK$3:$BK$23), AS59)), $BL$3:$BL$23, "Error", 0)</f>
        <v/>
      </c>
      <c r="AT88" s="30">
        <f>_xlfn.XLOOKUP(MIN(ABS($BK$3:$BK$23 - MEDIAN(MIN($BK$3:$BK$23), MAX($BK$3:$BK$23), AT59))), ABS($BK$3:$BK$23 - MEDIAN(MIN($BK$3:$BK$23), MAX($BK$3:$BK$23), AT59)), $BL$3:$BL$23, "Error", 0)</f>
        <v/>
      </c>
      <c r="AU88" s="30">
        <f>_xlfn.XLOOKUP(MIN(ABS($BK$3:$BK$23 - MEDIAN(MIN($BK$3:$BK$23), MAX($BK$3:$BK$23), AU59))), ABS($BK$3:$BK$23 - MEDIAN(MIN($BK$3:$BK$23), MAX($BK$3:$BK$23), AU59)), $BL$3:$BL$23, "Error", 0)</f>
        <v/>
      </c>
      <c r="AV88" s="30">
        <f>_xlfn.XLOOKUP(MIN(ABS($BK$3:$BK$23 - MEDIAN(MIN($BK$3:$BK$23), MAX($BK$3:$BK$23), AV59))), ABS($BK$3:$BK$23 - MEDIAN(MIN($BK$3:$BK$23), MAX($BK$3:$BK$23), AV59)), $BL$3:$BL$23, "Error", 0)</f>
        <v/>
      </c>
      <c r="AW88" s="30">
        <f>_xlfn.XLOOKUP(MIN(ABS($BK$3:$BK$23 - MEDIAN(MIN($BK$3:$BK$23), MAX($BK$3:$BK$23), AW59))), ABS($BK$3:$BK$23 - MEDIAN(MIN($BK$3:$BK$23), MAX($BK$3:$BK$23), AW59)), $BL$3:$BL$23, "Error", 0)</f>
        <v/>
      </c>
      <c r="AX88" s="30">
        <f>_xlfn.XLOOKUP(MIN(ABS($BK$3:$BK$23 - MEDIAN(MIN($BK$3:$BK$23), MAX($BK$3:$BK$23), AX59))), ABS($BK$3:$BK$23 - MEDIAN(MIN($BK$3:$BK$23), MAX($BK$3:$BK$23), AX59)), $BL$3:$BL$23, "Error", 0)</f>
        <v/>
      </c>
      <c r="AY88" s="30">
        <f>_xlfn.XLOOKUP(MIN(ABS($BK$3:$BK$23 - MEDIAN(MIN($BK$3:$BK$23), MAX($BK$3:$BK$23), AY59))), ABS($BK$3:$BK$23 - MEDIAN(MIN($BK$3:$BK$23), MAX($BK$3:$BK$23), AY59)), $BL$3:$BL$23, "Error", 0)</f>
        <v/>
      </c>
      <c r="AZ88" s="30">
        <f>_xlfn.XLOOKUP(MIN(ABS($BK$3:$BK$23 - MEDIAN(MIN($BK$3:$BK$23), MAX($BK$3:$BK$23), AZ59))), ABS($BK$3:$BK$23 - MEDIAN(MIN($BK$3:$BK$23), MAX($BK$3:$BK$23), AZ59)), $BL$3:$BL$23, "Error", 0)</f>
        <v/>
      </c>
      <c r="BA88" s="30">
        <f>_xlfn.XLOOKUP(MIN(ABS($BK$3:$BK$23 - MEDIAN(MIN($BK$3:$BK$23), MAX($BK$3:$BK$23), BA59))), ABS($BK$3:$BK$23 - MEDIAN(MIN($BK$3:$BK$23), MAX($BK$3:$BK$23), BA59)), $BL$3:$BL$23, "Error", 0)</f>
        <v/>
      </c>
      <c r="BB88" s="30">
        <f>_xlfn.XLOOKUP(MIN(ABS($BK$3:$BK$23 - MEDIAN(MIN($BK$3:$BK$23), MAX($BK$3:$BK$23), BB59))), ABS($BK$3:$BK$23 - MEDIAN(MIN($BK$3:$BK$23), MAX($BK$3:$BK$23), BB59)), $BL$3:$BL$23, "Error", 0)</f>
        <v/>
      </c>
      <c r="BC88" s="30">
        <f>_xlfn.XLOOKUP(MIN(ABS($BK$3:$BK$23 - MEDIAN(MIN($BK$3:$BK$23), MAX($BK$3:$BK$23), BC59))), ABS($BK$3:$BK$23 - MEDIAN(MIN($BK$3:$BK$23), MAX($BK$3:$BK$23), BC59)), $BL$3:$BL$23, "Error", 0)</f>
        <v/>
      </c>
      <c r="BD88" s="30">
        <f>_xlfn.XLOOKUP(MIN(ABS($BK$3:$BK$23 - MEDIAN(MIN($BK$3:$BK$23), MAX($BK$3:$BK$23), BD59))), ABS($BK$3:$BK$23 - MEDIAN(MIN($BK$3:$BK$23), MAX($BK$3:$BK$23), BD59)), $BL$3:$BL$23, "Error", 0)</f>
        <v/>
      </c>
      <c r="BE88" s="30">
        <f>_xlfn.XLOOKUP(MIN(ABS($BK$3:$BK$23 - MEDIAN(MIN($BK$3:$BK$23), MAX($BK$3:$BK$23), BE59))), ABS($BK$3:$BK$23 - MEDIAN(MIN($BK$3:$BK$23), MAX($BK$3:$BK$23), BE59)), $BL$3:$BL$23, "Error", 0)</f>
        <v/>
      </c>
      <c r="BF88" s="30">
        <f>_xlfn.XLOOKUP(MIN(ABS($BK$3:$BK$23 - MEDIAN(MIN($BK$3:$BK$23), MAX($BK$3:$BK$23), BF59))), ABS($BK$3:$BK$23 - MEDIAN(MIN($BK$3:$BK$23), MAX($BK$3:$BK$23), BF59)), $BL$3:$BL$23, "Error", 0)</f>
        <v/>
      </c>
      <c r="BG88" s="30">
        <f>_xlfn.XLOOKUP(MIN(ABS($BK$3:$BK$23 - MEDIAN(MIN($BK$3:$BK$23), MAX($BK$3:$BK$23), BG59))), ABS($BK$3:$BK$23 - MEDIAN(MIN($BK$3:$BK$23), MAX($BK$3:$BK$23), BG59)), $BL$3:$BL$23, "Error", 0)</f>
        <v/>
      </c>
      <c r="BH88" s="30">
        <f>_xlfn.XLOOKUP(MIN(ABS($BK$3:$BK$23 - MEDIAN(MIN($BK$3:$BK$23), MAX($BK$3:$BK$23), BH59))), ABS($BK$3:$BK$23 - MEDIAN(MIN($BK$3:$BK$23), MAX($BK$3:$BK$23), BH59)), $BL$3:$BL$23, "Error", 0)</f>
        <v/>
      </c>
      <c r="BI88" s="30">
        <f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>
        <v>46266</v>
      </c>
      <c r="AV5" s="202" t="n">
        <v>46296</v>
      </c>
      <c r="AW5" s="202" t="n">
        <v>46327</v>
      </c>
      <c r="AX5" s="202" t="n">
        <v>46357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591058.9480767399</v>
      </c>
      <c r="D6" s="233" t="n">
        <v>591058.9480767399</v>
      </c>
      <c r="E6" s="233" t="n">
        <v>591058.9480767399</v>
      </c>
      <c r="F6" s="233" t="n">
        <v>591058.9480767399</v>
      </c>
      <c r="G6" s="233" t="n">
        <v>592670.7799275219</v>
      </c>
      <c r="H6" s="233" t="n">
        <v>646626.748232998</v>
      </c>
      <c r="I6" s="233" t="n">
        <v>655356.3022134975</v>
      </c>
      <c r="J6" s="233" t="n">
        <v>663068.6219366789</v>
      </c>
      <c r="K6" s="233" t="n">
        <v>665685.5147753656</v>
      </c>
      <c r="L6" s="233" t="n">
        <v>665685.5147753656</v>
      </c>
      <c r="M6" s="233" t="n">
        <v>684303.3498738408</v>
      </c>
      <c r="N6" s="233" t="n">
        <v>691150.0650154054</v>
      </c>
      <c r="O6" s="233" t="n">
        <v>731125.1571985856</v>
      </c>
      <c r="P6" s="233" t="n">
        <v>769020.8669243753</v>
      </c>
      <c r="Q6" s="233" t="n">
        <v>797830.1266609132</v>
      </c>
      <c r="R6" s="233" t="n">
        <v>819558.6138757467</v>
      </c>
      <c r="S6" s="233" t="n">
        <v>834656.6956912726</v>
      </c>
      <c r="T6" s="233" t="n">
        <v>882504.9504953027</v>
      </c>
      <c r="U6" s="233" t="n">
        <v>911468.0316690132</v>
      </c>
      <c r="V6" s="233" t="n">
        <v>911468.0316690132</v>
      </c>
      <c r="W6" s="233" t="n">
        <v>911468.0316690132</v>
      </c>
      <c r="X6" s="233" t="n">
        <v>911468.0316690132</v>
      </c>
      <c r="Y6" s="233" t="n">
        <v>930168.1323590875</v>
      </c>
      <c r="Z6" s="233" t="n">
        <v>956314.2127876282</v>
      </c>
      <c r="AA6" s="204" t="n">
        <v>959092.5316496864</v>
      </c>
      <c r="AB6" s="204" t="n">
        <v>959092.5316496864</v>
      </c>
      <c r="AC6" s="204" t="n">
        <v>959092.5316496864</v>
      </c>
      <c r="AD6" s="204" t="n">
        <v>959092.5316496864</v>
      </c>
      <c r="AE6" s="204" t="n">
        <v>959092.5316496864</v>
      </c>
      <c r="AF6" s="204" t="n">
        <v>959092.5316496864</v>
      </c>
      <c r="AG6" s="204" t="n">
        <v>959092.5316496864</v>
      </c>
      <c r="AH6" s="204" t="n">
        <v>963838.6119957492</v>
      </c>
      <c r="AI6" s="204" t="n">
        <v>996913.3329297602</v>
      </c>
      <c r="AJ6" s="204" t="n">
        <v>1053894.960091837</v>
      </c>
      <c r="AK6" s="204" t="n">
        <v>1072666.567357436</v>
      </c>
      <c r="AL6" s="204" t="n">
        <v>1084945.127881654</v>
      </c>
      <c r="AM6" s="204" t="n">
        <v>1105153.607130319</v>
      </c>
      <c r="AN6" s="204" t="n">
        <v>1105153.607130319</v>
      </c>
      <c r="AO6" s="204" t="n">
        <v>1105153.607130319</v>
      </c>
      <c r="AP6" s="204" t="n">
        <v>1160241.103249729</v>
      </c>
      <c r="AQ6" s="204" t="n">
        <v>1211158.822007328</v>
      </c>
      <c r="AR6" s="204" t="n">
        <v>1221230.890475869</v>
      </c>
      <c r="AS6" s="204" t="n">
        <v>1231349.271598816</v>
      </c>
      <c r="AT6" s="204" t="n">
        <v>1246576.064126477</v>
      </c>
      <c r="AU6" s="204" t="n">
        <v>1246576.064126477</v>
      </c>
      <c r="AV6" s="196" t="n">
        <v>1246576.064126477</v>
      </c>
      <c r="AW6" s="184" t="n">
        <v>1246576.064126477</v>
      </c>
      <c r="AX6" s="184" t="n">
        <v>1246576.064126477</v>
      </c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541198.9295688048</v>
      </c>
      <c r="E7" s="233" t="n">
        <v>547364.2256683633</v>
      </c>
      <c r="F7" s="233" t="n">
        <v>557884.7684901953</v>
      </c>
      <c r="G7" s="233" t="n">
        <v>584306.837405473</v>
      </c>
      <c r="H7" s="233" t="n">
        <v>644325.9940010011</v>
      </c>
      <c r="I7" s="233" t="n">
        <v>645932.8060153127</v>
      </c>
      <c r="J7" s="233" t="n">
        <v>658564.6367659569</v>
      </c>
      <c r="K7" s="233" t="n">
        <v>640364.5177610219</v>
      </c>
      <c r="L7" s="233" t="n">
        <v>625341.6509365737</v>
      </c>
      <c r="M7" s="233" t="n">
        <v>671644.7221725583</v>
      </c>
      <c r="N7" s="233" t="n">
        <v>674597.0330139399</v>
      </c>
      <c r="O7" s="233" t="n">
        <v>714098.596429266</v>
      </c>
      <c r="P7" s="233" t="n">
        <v>767783.6859234571</v>
      </c>
      <c r="Q7" s="233" t="n">
        <v>794914.8766935244</v>
      </c>
      <c r="R7" s="233" t="n">
        <v>787148.8141420633</v>
      </c>
      <c r="S7" s="233" t="n">
        <v>828321.005705595</v>
      </c>
      <c r="T7" s="233" t="n">
        <v>877428.1272912696</v>
      </c>
      <c r="U7" s="233" t="n">
        <v>843089.5010700077</v>
      </c>
      <c r="V7" s="233" t="n">
        <v>818396.6584030762</v>
      </c>
      <c r="W7" s="233" t="n">
        <v>822784.2064849511</v>
      </c>
      <c r="X7" s="233" t="n">
        <v>874097.7617746145</v>
      </c>
      <c r="Y7" s="233" t="n">
        <v>911938.9721039385</v>
      </c>
      <c r="Z7" s="233" t="n">
        <v>923386.4547332525</v>
      </c>
      <c r="AA7" s="204" t="n">
        <v>930827.519040592</v>
      </c>
      <c r="AB7" s="204" t="n">
        <v>893246.4147491455</v>
      </c>
      <c r="AC7" s="204" t="n">
        <v>839628.2007224858</v>
      </c>
      <c r="AD7" s="204" t="n">
        <v>792471.6548438743</v>
      </c>
      <c r="AE7" s="204" t="n">
        <v>849976.909219034</v>
      </c>
      <c r="AF7" s="204" t="n">
        <v>896720.7767718136</v>
      </c>
      <c r="AG7" s="204" t="n">
        <v>946001.8193865195</v>
      </c>
      <c r="AH7" s="204" t="n">
        <v>948301.4876227677</v>
      </c>
      <c r="AI7" s="204" t="n">
        <v>993871.7160601318</v>
      </c>
      <c r="AJ7" s="204" t="n">
        <v>1052706.768309325</v>
      </c>
      <c r="AK7" s="204" t="n">
        <v>1070403.13373065</v>
      </c>
      <c r="AL7" s="204" t="n">
        <v>1070725.153060913</v>
      </c>
      <c r="AM7" s="204" t="n">
        <v>1062795.697742142</v>
      </c>
      <c r="AN7" s="204" t="n">
        <v>1072135.295150802</v>
      </c>
      <c r="AO7" s="204" t="n">
        <v>1043525.190756172</v>
      </c>
      <c r="AP7" s="204" t="n">
        <v>1154768.061657161</v>
      </c>
      <c r="AQ7" s="204" t="n">
        <v>1207276.197917737</v>
      </c>
      <c r="AR7" s="204" t="n">
        <v>1214318.878267363</v>
      </c>
      <c r="AS7" s="204" t="n">
        <v>1199725.843117319</v>
      </c>
      <c r="AT7" s="204" t="n">
        <v>1230720.084997453</v>
      </c>
      <c r="AU7" s="204" t="n">
        <v>1209896.849546693</v>
      </c>
      <c r="AV7" s="196" t="n">
        <v>1209896.849546693</v>
      </c>
      <c r="AW7" s="184" t="n">
        <v>1209896.849546693</v>
      </c>
      <c r="AX7" s="184" t="n">
        <v>1209896.849546693</v>
      </c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>
        <f>+(AV7-AV6)/AV6</f>
        <v/>
      </c>
      <c r="AW8" s="184">
        <f>+(AW7-AW6)/AW6</f>
        <v/>
      </c>
      <c r="AX8" s="184">
        <f>+(AX7-AX6)/AX6</f>
        <v/>
      </c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4804.06005859375</v>
      </c>
      <c r="D9" s="233" t="n">
        <v>4804.06005859375</v>
      </c>
      <c r="E9" s="233" t="n">
        <v>4804.06005859375</v>
      </c>
      <c r="F9" s="233" t="n">
        <v>4804.06005859375</v>
      </c>
      <c r="G9" s="233" t="n">
        <v>4804.06005859375</v>
      </c>
      <c r="H9" s="233" t="n">
        <v>4804.06005859375</v>
      </c>
      <c r="I9" s="233" t="n">
        <v>4804.06005859375</v>
      </c>
      <c r="J9" s="233" t="n">
        <v>4804.06005859375</v>
      </c>
      <c r="K9" s="233" t="n">
        <v>4804.06005859375</v>
      </c>
      <c r="L9" s="233" t="n">
        <v>4804.06005859375</v>
      </c>
      <c r="M9" s="233" t="n">
        <v>4804.06005859375</v>
      </c>
      <c r="N9" s="233" t="n">
        <v>4804.06005859375</v>
      </c>
      <c r="O9" s="233" t="n">
        <v>4929.31005859375</v>
      </c>
      <c r="P9" s="233" t="n">
        <v>5104.990234375</v>
      </c>
      <c r="Q9" s="233" t="n">
        <v>5264.85009765625</v>
      </c>
      <c r="R9" s="233" t="n">
        <v>5264.85009765625</v>
      </c>
      <c r="S9" s="233" t="n">
        <v>5325.31982421875</v>
      </c>
      <c r="T9" s="233" t="n">
        <v>5490.81005859375</v>
      </c>
      <c r="U9" s="233" t="n">
        <v>5669.669921875</v>
      </c>
      <c r="V9" s="233" t="n">
        <v>5669.669921875</v>
      </c>
      <c r="W9" s="233" t="n">
        <v>5765.14013671875</v>
      </c>
      <c r="X9" s="233" t="n">
        <v>5872.169921875</v>
      </c>
      <c r="Y9" s="233" t="n">
        <v>6044.169921875</v>
      </c>
      <c r="Z9" s="233" t="n">
        <v>6099.97021484375</v>
      </c>
      <c r="AA9" s="231" t="n">
        <v>6118.72998046875</v>
      </c>
      <c r="AB9" s="203" t="n">
        <v>6147.43017578125</v>
      </c>
      <c r="AC9" s="203" t="n">
        <v>6147.43017578125</v>
      </c>
      <c r="AD9" s="203" t="n">
        <v>6147.43017578125</v>
      </c>
      <c r="AE9" s="203" t="n">
        <v>6147.43017578125</v>
      </c>
      <c r="AF9" s="203" t="n">
        <v>6215.080078125</v>
      </c>
      <c r="AG9" s="203" t="n">
        <v>6395.81982421875</v>
      </c>
      <c r="AH9" s="203" t="n">
        <v>6508.22998046875</v>
      </c>
      <c r="AI9" s="203" t="n">
        <v>6698.8798828125</v>
      </c>
      <c r="AJ9" s="203" t="n">
        <v>6877.27978515625</v>
      </c>
      <c r="AK9" s="203" t="n">
        <v>6877.27978515625</v>
      </c>
      <c r="AL9" s="203" t="n">
        <v>6937.31982421875</v>
      </c>
      <c r="AM9" s="203" t="n">
        <v>6988.81982421875</v>
      </c>
      <c r="AN9" s="203" t="n">
        <v>6991.919921875</v>
      </c>
      <c r="AO9" s="203" t="n">
        <v>6991.919921875</v>
      </c>
      <c r="AP9" s="203" t="n">
        <v>7219.830078125</v>
      </c>
      <c r="AQ9" s="203" t="n">
        <v>7599.3798828125</v>
      </c>
      <c r="AR9" s="203" t="n">
        <v>7620.89990234375</v>
      </c>
      <c r="AS9" s="203" t="n">
        <v>7620.89990234375</v>
      </c>
      <c r="AT9" s="203" t="n">
        <v>7816.7001953125</v>
      </c>
      <c r="AU9" s="203" t="n">
        <v>7816.7001953125</v>
      </c>
      <c r="AV9" s="196" t="n">
        <v>7816.7001953125</v>
      </c>
      <c r="AW9" s="184" t="n">
        <v>7816.7001953125</v>
      </c>
      <c r="AX9" s="184" t="n">
        <v>7816.7001953125</v>
      </c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4845.64990234375</v>
      </c>
      <c r="P10" s="233" t="n">
        <v>5096.27001953125</v>
      </c>
      <c r="Q10" s="233" t="n">
        <v>5254.35009765625</v>
      </c>
      <c r="R10" s="233" t="n">
        <v>5035.68994140625</v>
      </c>
      <c r="S10" s="233" t="n">
        <v>5277.509765625</v>
      </c>
      <c r="T10" s="233" t="n">
        <v>5460.47998046875</v>
      </c>
      <c r="U10" s="233" t="n">
        <v>5522.2998046875</v>
      </c>
      <c r="V10" s="233" t="n">
        <v>5648.39990234375</v>
      </c>
      <c r="W10" s="233" t="n">
        <v>5762.47998046875</v>
      </c>
      <c r="X10" s="233" t="n">
        <v>5705.4501953125</v>
      </c>
      <c r="Y10" s="233" t="n">
        <v>6032.3798828125</v>
      </c>
      <c r="Z10" s="233" t="n">
        <v>5881.6298828125</v>
      </c>
      <c r="AA10" s="231" t="n">
        <v>6040.52978515625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6204.9501953125</v>
      </c>
      <c r="AG10" s="203" t="n">
        <v>6339.39013671875</v>
      </c>
      <c r="AH10" s="203" t="n">
        <v>6460.259765625</v>
      </c>
      <c r="AI10" s="203" t="n">
        <v>6688.4599609375</v>
      </c>
      <c r="AJ10" s="203" t="n">
        <v>6840.2001953125</v>
      </c>
      <c r="AK10" s="203" t="n">
        <v>6849.08984375</v>
      </c>
      <c r="AL10" s="203" t="n">
        <v>6845.5</v>
      </c>
      <c r="AM10" s="203" t="n">
        <v>6939.02978515625</v>
      </c>
      <c r="AN10" s="203" t="n">
        <v>6878.8798828125</v>
      </c>
      <c r="AO10" s="203" t="n">
        <v>6528.52001953125</v>
      </c>
      <c r="AP10" s="203" t="n">
        <v>7209.009765625</v>
      </c>
      <c r="AQ10" s="203" t="n">
        <v>7580.06005859375</v>
      </c>
      <c r="AR10" s="203" t="n">
        <v>7499.35986328125</v>
      </c>
      <c r="AS10" s="203" t="n">
        <v>7489.72021484375</v>
      </c>
      <c r="AT10" s="203" t="n">
        <v>7686.14013671875</v>
      </c>
      <c r="AU10" s="203" t="n">
        <v>7683.68994140625</v>
      </c>
      <c r="AV10" s="196" t="n">
        <v>7683.68994140625</v>
      </c>
      <c r="AW10" s="184" t="n">
        <v>7683.68994140625</v>
      </c>
      <c r="AX10" s="184" t="n">
        <v>7683.68994140625</v>
      </c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>
        <f>+(AV10-AV9)/AV9</f>
        <v/>
      </c>
      <c r="AW11" s="184">
        <f>+(AW10-AW9)/AW9</f>
        <v/>
      </c>
      <c r="AX11" s="184">
        <f>+(AX10-AX9)/AX9</f>
        <v/>
      </c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+C11-C8</f>
        <v/>
      </c>
      <c r="D12" s="230">
        <f>+D11-D8</f>
        <v/>
      </c>
      <c r="E12" s="230">
        <f>+E11-E8</f>
        <v/>
      </c>
      <c r="F12" s="230">
        <f>+F11-F8</f>
        <v/>
      </c>
      <c r="G12" s="230">
        <f>+G11-G8</f>
        <v/>
      </c>
      <c r="H12" s="230">
        <f>+H11-H8</f>
        <v/>
      </c>
      <c r="I12" s="230">
        <f>+I11-I8</f>
        <v/>
      </c>
      <c r="J12" s="230">
        <f>+J11-J8</f>
        <v/>
      </c>
      <c r="K12" s="230">
        <f>+K11-K8</f>
        <v/>
      </c>
      <c r="L12" s="230">
        <f>+L11-L8</f>
        <v/>
      </c>
      <c r="M12" s="230">
        <f>+M11-M8</f>
        <v/>
      </c>
      <c r="N12" s="230">
        <f>+N11-N8</f>
        <v/>
      </c>
      <c r="O12" s="230">
        <f>+O11-O8</f>
        <v/>
      </c>
      <c r="P12" s="230">
        <f>+P11-P8</f>
        <v/>
      </c>
      <c r="Q12" s="230">
        <f>+Q11-Q8</f>
        <v/>
      </c>
      <c r="R12" s="230">
        <f>+R11-R8</f>
        <v/>
      </c>
      <c r="S12" s="230">
        <f>+S11-S8</f>
        <v/>
      </c>
      <c r="T12" s="230">
        <f>+T11-T8</f>
        <v/>
      </c>
      <c r="U12" s="230">
        <f>+U11-U8</f>
        <v/>
      </c>
      <c r="V12" s="230">
        <f>+V11-V8</f>
        <v/>
      </c>
      <c r="W12" s="230">
        <f>+W11-W8</f>
        <v/>
      </c>
      <c r="X12" s="230">
        <f>+X11-X8</f>
        <v/>
      </c>
      <c r="Y12" s="230">
        <f>+Y11-Y8</f>
        <v/>
      </c>
      <c r="Z12" s="230">
        <f>+Z11-Z8</f>
        <v/>
      </c>
      <c r="AA12" s="230">
        <f>+AA11-AA8</f>
        <v/>
      </c>
      <c r="AB12" s="205">
        <f>+AB11-AB8</f>
        <v/>
      </c>
      <c r="AC12" s="205">
        <f>+AC11-AC8</f>
        <v/>
      </c>
      <c r="AD12" s="205">
        <f>+AD11-AD8</f>
        <v/>
      </c>
      <c r="AE12" s="205">
        <f>+AE11-AE8</f>
        <v/>
      </c>
      <c r="AF12" s="205">
        <f>+AF11-AF8</f>
        <v/>
      </c>
      <c r="AG12" s="205">
        <f>+AG11-AG8</f>
        <v/>
      </c>
      <c r="AH12" s="205">
        <f>+AH11-AH8</f>
        <v/>
      </c>
      <c r="AI12" s="205">
        <f>+AI11-AI8</f>
        <v/>
      </c>
      <c r="AJ12" s="205">
        <f>+AJ11-AJ8</f>
        <v/>
      </c>
      <c r="AK12" s="205">
        <f>+AK11-AK8</f>
        <v/>
      </c>
      <c r="AL12" s="205">
        <f>+AL11-AL8</f>
        <v/>
      </c>
      <c r="AM12" s="205">
        <f>+AM11-AM8</f>
        <v/>
      </c>
      <c r="AN12" s="205">
        <f>+AN11-AN8</f>
        <v/>
      </c>
      <c r="AO12" s="205">
        <f>+AO11-AO8</f>
        <v/>
      </c>
      <c r="AP12" s="205">
        <f>+AP11-AP8</f>
        <v/>
      </c>
      <c r="AQ12" s="205">
        <f>+AQ11-AQ8</f>
        <v/>
      </c>
      <c r="AR12" s="205">
        <f>+AR11-AR8</f>
        <v/>
      </c>
      <c r="AS12" s="205">
        <f>+AS11-AS8</f>
        <v/>
      </c>
      <c r="AT12" s="205">
        <f>+AT11-AT8</f>
        <v/>
      </c>
      <c r="AU12" s="205">
        <f>+AU11-AU8</f>
        <v/>
      </c>
      <c r="AV12" s="196">
        <f>+AV11-AV8</f>
        <v/>
      </c>
      <c r="AW12" s="184">
        <f>+AW11-AW8</f>
        <v/>
      </c>
      <c r="AX12" s="184">
        <f>+AX11-AX8</f>
        <v/>
      </c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>_xlfn.XLOOKUP(MIN(ABS($BJ$7:$BJ$29 - MEDIAN(MIN($BJ$7:$BJ$29), MAX($BJ$7:$BJ$29), C12))), ABS($BJ$7:$BJ$29 - MEDIAN(MIN($BJ$7:$BJ$29), MAX($BJ$7:$BJ$29), C12)), $BK$7:$BK$29, "Error", 0)</f>
        <v/>
      </c>
      <c r="D13" s="232">
        <f>_xlfn.XLOOKUP(MIN(ABS($BJ$7:$BJ$29 - MEDIAN(MIN($BJ$7:$BJ$29), MAX($BJ$7:$BJ$29), D12))), ABS($BJ$7:$BJ$29 - MEDIAN(MIN($BJ$7:$BJ$29), MAX($BJ$7:$BJ$29), D12)), $BK$7:$BK$29, "Error", 0)</f>
        <v/>
      </c>
      <c r="E13" s="232">
        <f>_xlfn.XLOOKUP(MIN(ABS($BJ$7:$BJ$29 - MEDIAN(MIN($BJ$7:$BJ$29), MAX($BJ$7:$BJ$29), E12))), ABS($BJ$7:$BJ$29 - MEDIAN(MIN($BJ$7:$BJ$29), MAX($BJ$7:$BJ$29), E12)), $BK$7:$BK$29, "Error", 0)</f>
        <v/>
      </c>
      <c r="F13" s="232">
        <f>_xlfn.XLOOKUP(MIN(ABS($BJ$7:$BJ$29 - MEDIAN(MIN($BJ$7:$BJ$29), MAX($BJ$7:$BJ$29), F12))), ABS($BJ$7:$BJ$29 - MEDIAN(MIN($BJ$7:$BJ$29), MAX($BJ$7:$BJ$29), F12)), $BK$7:$BK$29, "Error", 0)</f>
        <v/>
      </c>
      <c r="G13" s="232">
        <f>_xlfn.XLOOKUP(MIN(ABS($BJ$7:$BJ$29 - MEDIAN(MIN($BJ$7:$BJ$29), MAX($BJ$7:$BJ$29), G12))), ABS($BJ$7:$BJ$29 - MEDIAN(MIN($BJ$7:$BJ$29), MAX($BJ$7:$BJ$29), G12)), $BK$7:$BK$29, "Error", 0)</f>
        <v/>
      </c>
      <c r="H13" s="232">
        <f>_xlfn.XLOOKUP(MIN(ABS($BJ$7:$BJ$29 - MEDIAN(MIN($BJ$7:$BJ$29), MAX($BJ$7:$BJ$29), H12))), ABS($BJ$7:$BJ$29 - MEDIAN(MIN($BJ$7:$BJ$29), MAX($BJ$7:$BJ$29), H12)), $BK$7:$BK$29, "Error", 0)</f>
        <v/>
      </c>
      <c r="I13" s="232">
        <f>_xlfn.XLOOKUP(MIN(ABS($BJ$7:$BJ$29 - MEDIAN(MIN($BJ$7:$BJ$29), MAX($BJ$7:$BJ$29), I12))), ABS($BJ$7:$BJ$29 - MEDIAN(MIN($BJ$7:$BJ$29), MAX($BJ$7:$BJ$29), I12)), $BK$7:$BK$29, "Error", 0)</f>
        <v/>
      </c>
      <c r="J13" s="232">
        <f>_xlfn.XLOOKUP(MIN(ABS($BJ$7:$BJ$29 - MEDIAN(MIN($BJ$7:$BJ$29), MAX($BJ$7:$BJ$29), J12))), ABS($BJ$7:$BJ$29 - MEDIAN(MIN($BJ$7:$BJ$29), MAX($BJ$7:$BJ$29), J12)), $BK$7:$BK$29, "Error", 0)</f>
        <v/>
      </c>
      <c r="K13" s="232">
        <f>_xlfn.XLOOKUP(MIN(ABS($BJ$7:$BJ$29 - MEDIAN(MIN($BJ$7:$BJ$29), MAX($BJ$7:$BJ$29), K12))), ABS($BJ$7:$BJ$29 - MEDIAN(MIN($BJ$7:$BJ$29), MAX($BJ$7:$BJ$29), K12)), $BK$7:$BK$29, "Error", 0)</f>
        <v/>
      </c>
      <c r="L13" s="232">
        <f>_xlfn.XLOOKUP(MIN(ABS($BJ$7:$BJ$29 - MEDIAN(MIN($BJ$7:$BJ$29), MAX($BJ$7:$BJ$29), L12))), ABS($BJ$7:$BJ$29 - MEDIAN(MIN($BJ$7:$BJ$29), MAX($BJ$7:$BJ$29), L12)), $BK$7:$BK$29, "Error", 0)</f>
        <v/>
      </c>
      <c r="M13" s="232">
        <f>_xlfn.XLOOKUP(MIN(ABS($BJ$7:$BJ$29 - MEDIAN(MIN($BJ$7:$BJ$29), MAX($BJ$7:$BJ$29), M12))), ABS($BJ$7:$BJ$29 - MEDIAN(MIN($BJ$7:$BJ$29), MAX($BJ$7:$BJ$29), M12)), $BK$7:$BK$29, "Error", 0)</f>
        <v/>
      </c>
      <c r="N13" s="232">
        <f>_xlfn.XLOOKUP(MIN(ABS($BJ$7:$BJ$29 - MEDIAN(MIN($BJ$7:$BJ$29), MAX($BJ$7:$BJ$29), N12))), ABS($BJ$7:$BJ$29 - MEDIAN(MIN($BJ$7:$BJ$29), MAX($BJ$7:$BJ$29), N12)), $BK$7:$BK$29, "Error", 0)</f>
        <v/>
      </c>
      <c r="O13" s="232">
        <f>_xlfn.XLOOKUP(MIN(ABS($BJ$7:$BJ$29 - MEDIAN(MIN($BJ$7:$BJ$29), MAX($BJ$7:$BJ$29), O12))), ABS($BJ$7:$BJ$29 - MEDIAN(MIN($BJ$7:$BJ$29), MAX($BJ$7:$BJ$29), O12)), $BK$7:$BK$29, "Error", 0)</f>
        <v/>
      </c>
      <c r="P13" s="232">
        <f>_xlfn.XLOOKUP(MIN(ABS($BJ$7:$BJ$29 - MEDIAN(MIN($BJ$7:$BJ$29), MAX($BJ$7:$BJ$29), P12))), ABS($BJ$7:$BJ$29 - MEDIAN(MIN($BJ$7:$BJ$29), MAX($BJ$7:$BJ$29), P12)), $BK$7:$BK$29, "Error", 0)</f>
        <v/>
      </c>
      <c r="Q13" s="232">
        <f>_xlfn.XLOOKUP(MIN(ABS($BJ$7:$BJ$29 - MEDIAN(MIN($BJ$7:$BJ$29), MAX($BJ$7:$BJ$29), Q12))), ABS($BJ$7:$BJ$29 - MEDIAN(MIN($BJ$7:$BJ$29), MAX($BJ$7:$BJ$29), Q12)), $BK$7:$BK$29, "Error", 0)</f>
        <v/>
      </c>
      <c r="R13" s="232">
        <f>_xlfn.XLOOKUP(MIN(ABS($BJ$7:$BJ$29 - MEDIAN(MIN($BJ$7:$BJ$29), MAX($BJ$7:$BJ$29), R12))), ABS($BJ$7:$BJ$29 - MEDIAN(MIN($BJ$7:$BJ$29), MAX($BJ$7:$BJ$29), R12)), $BK$7:$BK$29, "Error", 0)</f>
        <v/>
      </c>
      <c r="S13" s="232">
        <f>_xlfn.XLOOKUP(MIN(ABS($BJ$7:$BJ$29 - MEDIAN(MIN($BJ$7:$BJ$29), MAX($BJ$7:$BJ$29), S12))), ABS($BJ$7:$BJ$29 - MEDIAN(MIN($BJ$7:$BJ$29), MAX($BJ$7:$BJ$29), S12)), $BK$7:$BK$29, "Error", 0)</f>
        <v/>
      </c>
      <c r="T13" s="232">
        <f>_xlfn.XLOOKUP(MIN(ABS($BJ$7:$BJ$29 - MEDIAN(MIN($BJ$7:$BJ$29), MAX($BJ$7:$BJ$29), T12))), ABS($BJ$7:$BJ$29 - MEDIAN(MIN($BJ$7:$BJ$29), MAX($BJ$7:$BJ$29), T12)), $BK$7:$BK$29, "Error", 0)</f>
        <v/>
      </c>
      <c r="U13" s="232">
        <f>_xlfn.XLOOKUP(MIN(ABS($BJ$7:$BJ$29 - MEDIAN(MIN($BJ$7:$BJ$29), MAX($BJ$7:$BJ$29), U12))), ABS($BJ$7:$BJ$29 - MEDIAN(MIN($BJ$7:$BJ$29), MAX($BJ$7:$BJ$29), U12)), $BK$7:$BK$29, "Error", 0)</f>
        <v/>
      </c>
      <c r="V13" s="232">
        <f>_xlfn.XLOOKUP(MIN(ABS($BJ$7:$BJ$29 - MEDIAN(MIN($BJ$7:$BJ$29), MAX($BJ$7:$BJ$29), V12))), ABS($BJ$7:$BJ$29 - MEDIAN(MIN($BJ$7:$BJ$29), MAX($BJ$7:$BJ$29), V12)), $BK$7:$BK$29, "Error", 0)</f>
        <v/>
      </c>
      <c r="W13" s="232">
        <f>_xlfn.XLOOKUP(MIN(ABS($BJ$7:$BJ$29 - MEDIAN(MIN($BJ$7:$BJ$29), MAX($BJ$7:$BJ$29), W12))), ABS($BJ$7:$BJ$29 - MEDIAN(MIN($BJ$7:$BJ$29), MAX($BJ$7:$BJ$29), W12)), $BK$7:$BK$29, "Error", 0)</f>
        <v/>
      </c>
      <c r="X13" s="232">
        <f>_xlfn.XLOOKUP(MIN(ABS($BJ$7:$BJ$29 - MEDIAN(MIN($BJ$7:$BJ$29), MAX($BJ$7:$BJ$29), X12))), ABS($BJ$7:$BJ$29 - MEDIAN(MIN($BJ$7:$BJ$29), MAX($BJ$7:$BJ$29), X12)), $BK$7:$BK$29, "Error", 0)</f>
        <v/>
      </c>
      <c r="Y13" s="232">
        <f>_xlfn.XLOOKUP(MIN(ABS($BJ$7:$BJ$29 - MEDIAN(MIN($BJ$7:$BJ$29), MAX($BJ$7:$BJ$29), Y12))), ABS($BJ$7:$BJ$29 - MEDIAN(MIN($BJ$7:$BJ$29), MAX($BJ$7:$BJ$29), Y12)), $BK$7:$BK$29, "Error", 0)</f>
        <v/>
      </c>
      <c r="Z13" s="232">
        <f>_xlfn.XLOOKUP(MIN(ABS($BJ$7:$BJ$29 - MEDIAN(MIN($BJ$7:$BJ$29), MAX($BJ$7:$BJ$29), Z12))), ABS($BJ$7:$BJ$29 - MEDIAN(MIN($BJ$7:$BJ$29), MAX($BJ$7:$BJ$29), Z12)), $BK$7:$BK$29, "Error", 0)</f>
        <v/>
      </c>
      <c r="AA13" s="232">
        <f>_xlfn.XLOOKUP(MIN(ABS($BJ$7:$BJ$29 - MEDIAN(MIN($BJ$7:$BJ$29), MAX($BJ$7:$BJ$29), AA12))), ABS($BJ$7:$BJ$29 - MEDIAN(MIN($BJ$7:$BJ$29), MAX($BJ$7:$BJ$29), AA12)), $BK$7:$BK$29, "Error", 0)</f>
        <v/>
      </c>
      <c r="AB13" s="171">
        <f>_xlfn.XLOOKUP(MIN(ABS($BJ$7:$BJ$29 - MEDIAN(MIN($BJ$7:$BJ$29), MAX($BJ$7:$BJ$29), AB12))), ABS($BJ$7:$BJ$29 - MEDIAN(MIN($BJ$7:$BJ$29), MAX($BJ$7:$BJ$29), AB12)), $BK$7:$BK$29, "Error", 0)</f>
        <v/>
      </c>
      <c r="AC13" s="171">
        <f>_xlfn.XLOOKUP(MIN(ABS($BJ$7:$BJ$29 - MEDIAN(MIN($BJ$7:$BJ$29), MAX($BJ$7:$BJ$29), AC12))), ABS($BJ$7:$BJ$29 - MEDIAN(MIN($BJ$7:$BJ$29), MAX($BJ$7:$BJ$29), AC12)), $BK$7:$BK$29, "Error", 0)</f>
        <v/>
      </c>
      <c r="AD13" s="171">
        <f>_xlfn.XLOOKUP(MIN(ABS($BJ$7:$BJ$29 - MEDIAN(MIN($BJ$7:$BJ$29), MAX($BJ$7:$BJ$29), AD12))), ABS($BJ$7:$BJ$29 - MEDIAN(MIN($BJ$7:$BJ$29), MAX($BJ$7:$BJ$29), AD12)), $BK$7:$BK$29, "Error", 0)</f>
        <v/>
      </c>
      <c r="AE13" s="171">
        <f>_xlfn.XLOOKUP(MIN(ABS($BJ$7:$BJ$29 - MEDIAN(MIN($BJ$7:$BJ$29), MAX($BJ$7:$BJ$29), AE12))), ABS($BJ$7:$BJ$29 - MEDIAN(MIN($BJ$7:$BJ$29), MAX($BJ$7:$BJ$29), AE12)), $BK$7:$BK$29, "Error", 0)</f>
        <v/>
      </c>
      <c r="AF13" s="171">
        <f>_xlfn.XLOOKUP(MIN(ABS($BJ$7:$BJ$29 - MEDIAN(MIN($BJ$7:$BJ$29), MAX($BJ$7:$BJ$29), AF12))), ABS($BJ$7:$BJ$29 - MEDIAN(MIN($BJ$7:$BJ$29), MAX($BJ$7:$BJ$29), AF12)), $BK$7:$BK$29, "Error", 0)</f>
        <v/>
      </c>
      <c r="AG13" s="171">
        <f>_xlfn.XLOOKUP(MIN(ABS($BJ$7:$BJ$29 - MEDIAN(MIN($BJ$7:$BJ$29), MAX($BJ$7:$BJ$29), AG12))), ABS($BJ$7:$BJ$29 - MEDIAN(MIN($BJ$7:$BJ$29), MAX($BJ$7:$BJ$29), AG12)), $BK$7:$BK$29, "Error", 0)</f>
        <v/>
      </c>
      <c r="AH13" s="171">
        <f>_xlfn.XLOOKUP(MIN(ABS($BJ$7:$BJ$29 - MEDIAN(MIN($BJ$7:$BJ$29), MAX($BJ$7:$BJ$29), AH12))), ABS($BJ$7:$BJ$29 - MEDIAN(MIN($BJ$7:$BJ$29), MAX($BJ$7:$BJ$29), AH12)), $BK$7:$BK$29, "Error", 0)</f>
        <v/>
      </c>
      <c r="AI13" s="171">
        <f>_xlfn.XLOOKUP(MIN(ABS($BJ$7:$BJ$29 - MEDIAN(MIN($BJ$7:$BJ$29), MAX($BJ$7:$BJ$29), AI12))), ABS($BJ$7:$BJ$29 - MEDIAN(MIN($BJ$7:$BJ$29), MAX($BJ$7:$BJ$29), AI12)), $BK$7:$BK$29, "Error", 0)</f>
        <v/>
      </c>
      <c r="AJ13" s="171">
        <f>_xlfn.XLOOKUP(MIN(ABS($BJ$7:$BJ$29 - MEDIAN(MIN($BJ$7:$BJ$29), MAX($BJ$7:$BJ$29), AJ12))), ABS($BJ$7:$BJ$29 - MEDIAN(MIN($BJ$7:$BJ$29), MAX($BJ$7:$BJ$29), AJ12)), $BK$7:$BK$29, "Error", 0)</f>
        <v/>
      </c>
      <c r="AK13" s="171">
        <f>_xlfn.XLOOKUP(MIN(ABS($BJ$7:$BJ$29 - MEDIAN(MIN($BJ$7:$BJ$29), MAX($BJ$7:$BJ$29), AK12))), ABS($BJ$7:$BJ$29 - MEDIAN(MIN($BJ$7:$BJ$29), MAX($BJ$7:$BJ$29), AK12)), $BK$7:$BK$29, "Error", 0)</f>
        <v/>
      </c>
      <c r="AL13" s="171">
        <f>_xlfn.XLOOKUP(MIN(ABS($BJ$7:$BJ$29 - MEDIAN(MIN($BJ$7:$BJ$29), MAX($BJ$7:$BJ$29), AL12))), ABS($BJ$7:$BJ$29 - MEDIAN(MIN($BJ$7:$BJ$29), MAX($BJ$7:$BJ$29), AL12)), $BK$7:$BK$29, "Error", 0)</f>
        <v/>
      </c>
      <c r="AM13" s="171">
        <f>_xlfn.XLOOKUP(MIN(ABS($BJ$7:$BJ$29 - MEDIAN(MIN($BJ$7:$BJ$29), MAX($BJ$7:$BJ$29), AM12))), ABS($BJ$7:$BJ$29 - MEDIAN(MIN($BJ$7:$BJ$29), MAX($BJ$7:$BJ$29), AM12)), $BK$7:$BK$29, "Error", 0)</f>
        <v/>
      </c>
      <c r="AN13" s="171">
        <f>_xlfn.XLOOKUP(MIN(ABS($BJ$7:$BJ$29 - MEDIAN(MIN($BJ$7:$BJ$29), MAX($BJ$7:$BJ$29), AN12))), ABS($BJ$7:$BJ$29 - MEDIAN(MIN($BJ$7:$BJ$29), MAX($BJ$7:$BJ$29), AN12)), $BK$7:$BK$29, "Error", 0)</f>
        <v/>
      </c>
      <c r="AO13" s="171">
        <f>_xlfn.XLOOKUP(MIN(ABS($BJ$7:$BJ$29 - MEDIAN(MIN($BJ$7:$BJ$29), MAX($BJ$7:$BJ$29), AO12))), ABS($BJ$7:$BJ$29 - MEDIAN(MIN($BJ$7:$BJ$29), MAX($BJ$7:$BJ$29), AO12)), $BK$7:$BK$29, "Error", 0)</f>
        <v/>
      </c>
      <c r="AP13" s="171">
        <f>_xlfn.XLOOKUP(MIN(ABS($BJ$7:$BJ$29 - MEDIAN(MIN($BJ$7:$BJ$29), MAX($BJ$7:$BJ$29), AP12))), ABS($BJ$7:$BJ$29 - MEDIAN(MIN($BJ$7:$BJ$29), MAX($BJ$7:$BJ$29), AP12)), $BK$7:$BK$29, "Error", 0)</f>
        <v/>
      </c>
      <c r="AQ13" s="171">
        <f>_xlfn.XLOOKUP(MIN(ABS($BJ$7:$BJ$29 - MEDIAN(MIN($BJ$7:$BJ$29), MAX($BJ$7:$BJ$29), AQ12))), ABS($BJ$7:$BJ$29 - MEDIAN(MIN($BJ$7:$BJ$29), MAX($BJ$7:$BJ$29), AQ12)), $BK$7:$BK$29, "Error", 0)</f>
        <v/>
      </c>
      <c r="AR13" s="171">
        <f>_xlfn.XLOOKUP(MIN(ABS($BJ$7:$BJ$29 - MEDIAN(MIN($BJ$7:$BJ$29), MAX($BJ$7:$BJ$29), AR12))), ABS($BJ$7:$BJ$29 - MEDIAN(MIN($BJ$7:$BJ$29), MAX($BJ$7:$BJ$29), AR12)), $BK$7:$BK$29, "Error", 0)</f>
        <v/>
      </c>
      <c r="AS13" s="171">
        <f>_xlfn.XLOOKUP(MIN(ABS($BJ$7:$BJ$29 - MEDIAN(MIN($BJ$7:$BJ$29), MAX($BJ$7:$BJ$29), AS12))), ABS($BJ$7:$BJ$29 - MEDIAN(MIN($BJ$7:$BJ$29), MAX($BJ$7:$BJ$29), AS12)), $BK$7:$BK$29, "Error", 0)</f>
        <v/>
      </c>
      <c r="AT13" s="171">
        <f>_xlfn.XLOOKUP(MIN(ABS($BJ$7:$BJ$29 - MEDIAN(MIN($BJ$7:$BJ$29), MAX($BJ$7:$BJ$29), AT12))), ABS($BJ$7:$BJ$29 - MEDIAN(MIN($BJ$7:$BJ$29), MAX($BJ$7:$BJ$29), AT12)), $BK$7:$BK$29, "Error", 0)</f>
        <v/>
      </c>
      <c r="AU13" s="171">
        <f>_xlfn.XLOOKUP(MIN(ABS($BJ$7:$BJ$29 - MEDIAN(MIN($BJ$7:$BJ$29), MAX($BJ$7:$BJ$29), AU12))), ABS($BJ$7:$BJ$29 - MEDIAN(MIN($BJ$7:$BJ$29), MAX($BJ$7:$BJ$29), AU12)), $BK$7:$BK$29, "Error", 0)</f>
        <v/>
      </c>
      <c r="AV13" s="207">
        <f>_xlfn.XLOOKUP(MIN(ABS($BJ$7:$BJ$29 - MEDIAN(MIN($BJ$7:$BJ$29), MAX($BJ$7:$BJ$29), AV12))), ABS($BJ$7:$BJ$29 - MEDIAN(MIN($BJ$7:$BJ$29), MAX($BJ$7:$BJ$29), AV12)), $BK$7:$BK$29, "Error", 0)</f>
        <v/>
      </c>
      <c r="AW13" s="184">
        <f>_xlfn.XLOOKUP(MIN(ABS($BJ$7:$BJ$29 - MEDIAN(MIN($BJ$7:$BJ$29), MAX($BJ$7:$BJ$29), AW12))), ABS($BJ$7:$BJ$29 - MEDIAN(MIN($BJ$7:$BJ$29), MAX($BJ$7:$BJ$29), AW12)), $BK$7:$BK$29, "Error", 0)</f>
        <v/>
      </c>
      <c r="AX13" s="184">
        <f>_xlfn.XLOOKUP(MIN(ABS($BJ$7:$BJ$29 - MEDIAN(MIN($BJ$7:$BJ$29), MAX($BJ$7:$BJ$29), AX12))), ABS($BJ$7:$BJ$29 - MEDIAN(MIN($BJ$7:$BJ$29), MAX($BJ$7:$BJ$29), AX12)), $BK$7:$BK$29, "Error", 0)</f>
        <v/>
      </c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4419.351060041081</v>
      </c>
      <c r="D14" s="233" t="n">
        <v>4419.351060041081</v>
      </c>
      <c r="E14" s="233" t="n">
        <v>4419.351060041081</v>
      </c>
      <c r="F14" s="233" t="n">
        <v>4419.351060041081</v>
      </c>
      <c r="G14" s="233" t="n">
        <v>4419.351060041081</v>
      </c>
      <c r="H14" s="233" t="n">
        <v>4419.351060041081</v>
      </c>
      <c r="I14" s="233" t="n">
        <v>4419.351060041081</v>
      </c>
      <c r="J14" s="233" t="n">
        <v>4419.351060041081</v>
      </c>
      <c r="K14" s="233" t="n">
        <v>4419.351060041081</v>
      </c>
      <c r="L14" s="233" t="n">
        <v>4419.351060041081</v>
      </c>
      <c r="M14" s="233" t="n">
        <v>4419.351060041081</v>
      </c>
      <c r="N14" s="233" t="n">
        <v>4419.351060041081</v>
      </c>
      <c r="O14" s="233" t="n">
        <v>4419.351060041081</v>
      </c>
      <c r="P14" s="233" t="n">
        <v>4510.207954883226</v>
      </c>
      <c r="Q14" s="233" t="n">
        <v>4772.270825750311</v>
      </c>
      <c r="R14" s="233" t="n">
        <v>4772.270825750311</v>
      </c>
      <c r="S14" s="233" t="n">
        <v>4863.665475409187</v>
      </c>
      <c r="T14" s="233" t="n">
        <v>4931.241632542515</v>
      </c>
      <c r="U14" s="233" t="n">
        <v>5089.605981678353</v>
      </c>
      <c r="V14" s="233" t="n">
        <v>5089.605981678353</v>
      </c>
      <c r="W14" s="233" t="n">
        <v>5089.605981678353</v>
      </c>
      <c r="X14" s="233" t="n">
        <v>5090.584262637305</v>
      </c>
      <c r="Y14" s="233" t="n">
        <v>5358.345532690873</v>
      </c>
      <c r="Z14" s="233" t="n">
        <v>5450.522350773215</v>
      </c>
      <c r="AA14" s="204" t="n">
        <v>5571.593019689986</v>
      </c>
      <c r="AB14" s="204" t="n">
        <v>5590.121795958374</v>
      </c>
      <c r="AC14" s="204" t="n">
        <v>5590.121795958374</v>
      </c>
      <c r="AD14" s="204" t="n">
        <v>5590.121795958374</v>
      </c>
      <c r="AE14" s="204" t="n">
        <v>5590.121795958374</v>
      </c>
      <c r="AF14" s="204" t="n">
        <v>5590.121795958374</v>
      </c>
      <c r="AG14" s="204" t="n">
        <v>5590.121795958374</v>
      </c>
      <c r="AH14" s="204" t="n">
        <v>5590.121795958374</v>
      </c>
      <c r="AI14" s="204" t="n">
        <v>5590.121795958374</v>
      </c>
      <c r="AJ14" s="204" t="n">
        <v>5590.121795958374</v>
      </c>
      <c r="AK14" s="204" t="n">
        <v>5590.121795958374</v>
      </c>
      <c r="AL14" s="204" t="n">
        <v>5590.121795958374</v>
      </c>
      <c r="AM14" s="204" t="n">
        <v>5600.661379357683</v>
      </c>
      <c r="AN14" s="204" t="n">
        <v>5600.661379357683</v>
      </c>
      <c r="AO14" s="204" t="n">
        <v>5600.661379357683</v>
      </c>
      <c r="AP14" s="204" t="n">
        <v>5719.838351575425</v>
      </c>
      <c r="AQ14" s="204" t="n">
        <v>5978.45634452955</v>
      </c>
      <c r="AR14" s="204" t="n">
        <v>6082.465903137752</v>
      </c>
      <c r="AS14" s="204" t="n">
        <v>6159.615791896766</v>
      </c>
      <c r="AT14" s="204" t="n">
        <v>6366.624300564581</v>
      </c>
      <c r="AU14" s="204" t="n">
        <v>6432.124695787235</v>
      </c>
      <c r="AV14" s="200" t="n">
        <v>6432.124695787235</v>
      </c>
      <c r="AW14" s="184" t="n">
        <v>6432.124695787235</v>
      </c>
      <c r="AX14" s="184" t="n">
        <v>6432.124695787235</v>
      </c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3771.996436189336</v>
      </c>
      <c r="D15" s="233" t="n">
        <v>3714.47218010205</v>
      </c>
      <c r="E15" s="233" t="n">
        <v>3753.361731519049</v>
      </c>
      <c r="F15" s="233" t="n">
        <v>3727.014805181825</v>
      </c>
      <c r="G15" s="233" t="n">
        <v>3786.090021783719</v>
      </c>
      <c r="H15" s="233" t="n">
        <v>4001.514569359948</v>
      </c>
      <c r="I15" s="233" t="n">
        <v>3991.569147445844</v>
      </c>
      <c r="J15" s="233" t="n">
        <v>3958.221421716968</v>
      </c>
      <c r="K15" s="233" t="n">
        <v>3922.536411691573</v>
      </c>
      <c r="L15" s="233" t="n">
        <v>3783.058935590379</v>
      </c>
      <c r="M15" s="233" t="n">
        <v>3989.150849980419</v>
      </c>
      <c r="N15" s="233" t="n">
        <v>4022.683927166392</v>
      </c>
      <c r="O15" s="233" t="n">
        <v>4176.271714572824</v>
      </c>
      <c r="P15" s="233" t="n">
        <v>4478.143285681348</v>
      </c>
      <c r="Q15" s="233" t="n">
        <v>4757.813985867571</v>
      </c>
      <c r="R15" s="233" t="n">
        <v>4586.103496758093</v>
      </c>
      <c r="S15" s="233" t="n">
        <v>4767.227351117763</v>
      </c>
      <c r="T15" s="233" t="n">
        <v>4906.350432890235</v>
      </c>
      <c r="U15" s="233" t="n">
        <v>4870.834153185133</v>
      </c>
      <c r="V15" s="233" t="n">
        <v>4783.855705879541</v>
      </c>
      <c r="W15" s="233" t="n">
        <v>4843.364407097397</v>
      </c>
      <c r="X15" s="233" t="n">
        <v>4942.631429111469</v>
      </c>
      <c r="Y15" s="233" t="n">
        <v>5322.610150138673</v>
      </c>
      <c r="Z15" s="233" t="n">
        <v>5312.523522648087</v>
      </c>
      <c r="AA15" s="204" t="n">
        <v>5493.070480978349</v>
      </c>
      <c r="AB15" s="204" t="n">
        <v>5358.57356095314</v>
      </c>
      <c r="AC15" s="204" t="n">
        <v>4943.198254319112</v>
      </c>
      <c r="AD15" s="204" t="n">
        <v>4585.675367483782</v>
      </c>
      <c r="AE15" s="204" t="n">
        <v>4859.231698148884</v>
      </c>
      <c r="AF15" s="204" t="n">
        <v>4953.101614716987</v>
      </c>
      <c r="AG15" s="204" t="n">
        <v>5155.255519825732</v>
      </c>
      <c r="AH15" s="204" t="n">
        <v>5178.479789779172</v>
      </c>
      <c r="AI15" s="204" t="n">
        <v>5332.040442238271</v>
      </c>
      <c r="AJ15" s="204" t="n">
        <v>5483.036248472345</v>
      </c>
      <c r="AK15" s="204" t="n">
        <v>5510.77769089397</v>
      </c>
      <c r="AL15" s="204" t="n">
        <v>5419.58238786459</v>
      </c>
      <c r="AM15" s="204" t="n">
        <v>5304.263889363967</v>
      </c>
      <c r="AN15" s="204" t="n">
        <v>5318.956403441902</v>
      </c>
      <c r="AO15" s="204" t="n">
        <v>5222.03277452616</v>
      </c>
      <c r="AP15" s="204" t="n">
        <v>5699.154811462853</v>
      </c>
      <c r="AQ15" s="204" t="n">
        <v>5940.189824601955</v>
      </c>
      <c r="AR15" s="204" t="n">
        <v>6056.483185789548</v>
      </c>
      <c r="AS15" s="204" t="n">
        <v>6034.991707373963</v>
      </c>
      <c r="AT15" s="204" t="n">
        <v>6216.857409769582</v>
      </c>
      <c r="AU15" s="204" t="n">
        <v>6375.311374117853</v>
      </c>
      <c r="AV15" s="201" t="n">
        <v>6375.311374117853</v>
      </c>
      <c r="AW15" s="184" t="n">
        <v>6375.311374117853</v>
      </c>
      <c r="AX15" s="184" t="n">
        <v>6375.311374117853</v>
      </c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>
        <f>+(AV15-AV14)/AV14</f>
        <v/>
      </c>
      <c r="AW16" s="184">
        <f>+(AW15-AW14)/AW14</f>
        <v/>
      </c>
      <c r="AX16" s="184">
        <f>+(AX15-AX14)/AX14</f>
        <v/>
      </c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4804.06005859375</v>
      </c>
      <c r="D17" s="233" t="n">
        <v>4804.06005859375</v>
      </c>
      <c r="E17" s="233" t="n">
        <v>4804.06005859375</v>
      </c>
      <c r="F17" s="233" t="n">
        <v>4804.06005859375</v>
      </c>
      <c r="G17" s="233" t="n">
        <v>4804.06005859375</v>
      </c>
      <c r="H17" s="233" t="n">
        <v>4804.06005859375</v>
      </c>
      <c r="I17" s="233" t="n">
        <v>4804.06005859375</v>
      </c>
      <c r="J17" s="233" t="n">
        <v>4804.06005859375</v>
      </c>
      <c r="K17" s="233" t="n">
        <v>4804.06005859375</v>
      </c>
      <c r="L17" s="233" t="n">
        <v>4804.06005859375</v>
      </c>
      <c r="M17" s="233" t="n">
        <v>4804.06005859375</v>
      </c>
      <c r="N17" s="233" t="n">
        <v>4804.06005859375</v>
      </c>
      <c r="O17" s="233" t="n">
        <v>4929.31005859375</v>
      </c>
      <c r="P17" s="233" t="n">
        <v>5104.990234375</v>
      </c>
      <c r="Q17" s="233" t="n">
        <v>5264.85009765625</v>
      </c>
      <c r="R17" s="233" t="n">
        <v>5264.85009765625</v>
      </c>
      <c r="S17" s="233" t="n">
        <v>5325.31982421875</v>
      </c>
      <c r="T17" s="233" t="n">
        <v>5490.81005859375</v>
      </c>
      <c r="U17" s="233" t="n">
        <v>5669.669921875</v>
      </c>
      <c r="V17" s="233" t="n">
        <v>5669.669921875</v>
      </c>
      <c r="W17" s="233" t="n">
        <v>5765.14013671875</v>
      </c>
      <c r="X17" s="233" t="n">
        <v>5872.169921875</v>
      </c>
      <c r="Y17" s="233" t="n">
        <v>6044.169921875</v>
      </c>
      <c r="Z17" s="233" t="n">
        <v>6099.97021484375</v>
      </c>
      <c r="AA17" s="231" t="n">
        <v>6118.72998046875</v>
      </c>
      <c r="AB17" s="203" t="n">
        <v>6147.43017578125</v>
      </c>
      <c r="AC17" s="203" t="n">
        <v>6147.43017578125</v>
      </c>
      <c r="AD17" s="203" t="n">
        <v>6147.43017578125</v>
      </c>
      <c r="AE17" s="203" t="n">
        <v>6147.43017578125</v>
      </c>
      <c r="AF17" s="203" t="n">
        <v>6215.080078125</v>
      </c>
      <c r="AG17" s="203" t="n">
        <v>6395.81982421875</v>
      </c>
      <c r="AH17" s="203" t="n">
        <v>6508.22998046875</v>
      </c>
      <c r="AI17" s="203" t="n">
        <v>6698.8798828125</v>
      </c>
      <c r="AJ17" s="203" t="n">
        <v>6877.27978515625</v>
      </c>
      <c r="AK17" s="203" t="n">
        <v>6877.27978515625</v>
      </c>
      <c r="AL17" s="203" t="n">
        <v>6937.31982421875</v>
      </c>
      <c r="AM17" s="203" t="n">
        <v>6988.81982421875</v>
      </c>
      <c r="AN17" s="203" t="n">
        <v>6991.919921875</v>
      </c>
      <c r="AO17" s="203" t="n">
        <v>6991.919921875</v>
      </c>
      <c r="AP17" s="203" t="n">
        <v>7219.830078125</v>
      </c>
      <c r="AQ17" s="203" t="n">
        <v>7599.3798828125</v>
      </c>
      <c r="AR17" s="203" t="n">
        <v>7620.89990234375</v>
      </c>
      <c r="AS17" s="203" t="n">
        <v>7620.89990234375</v>
      </c>
      <c r="AT17" s="203" t="n">
        <v>7816.7001953125</v>
      </c>
      <c r="AU17" s="203" t="n">
        <v>7816.7001953125</v>
      </c>
      <c r="AV17" s="201" t="n">
        <v>7816.7001953125</v>
      </c>
      <c r="AW17" s="184" t="n">
        <v>7816.7001953125</v>
      </c>
      <c r="AX17" s="184" t="n">
        <v>7816.7001953125</v>
      </c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4845.64990234375</v>
      </c>
      <c r="P18" s="233" t="n">
        <v>5096.27001953125</v>
      </c>
      <c r="Q18" s="233" t="n">
        <v>5254.35009765625</v>
      </c>
      <c r="R18" s="233" t="n">
        <v>5035.68994140625</v>
      </c>
      <c r="S18" s="233" t="n">
        <v>5277.509765625</v>
      </c>
      <c r="T18" s="233" t="n">
        <v>5460.47998046875</v>
      </c>
      <c r="U18" s="233" t="n">
        <v>5522.2998046875</v>
      </c>
      <c r="V18" s="233" t="n">
        <v>5648.39990234375</v>
      </c>
      <c r="W18" s="233" t="n">
        <v>5762.47998046875</v>
      </c>
      <c r="X18" s="233" t="n">
        <v>5705.4501953125</v>
      </c>
      <c r="Y18" s="233" t="n">
        <v>6032.3798828125</v>
      </c>
      <c r="Z18" s="233" t="n">
        <v>5881.6298828125</v>
      </c>
      <c r="AA18" s="231" t="n">
        <v>6040.52978515625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6204.9501953125</v>
      </c>
      <c r="AG18" s="203" t="n">
        <v>6339.39013671875</v>
      </c>
      <c r="AH18" s="203" t="n">
        <v>6460.259765625</v>
      </c>
      <c r="AI18" s="203" t="n">
        <v>6688.4599609375</v>
      </c>
      <c r="AJ18" s="203" t="n">
        <v>6840.2001953125</v>
      </c>
      <c r="AK18" s="203" t="n">
        <v>6849.08984375</v>
      </c>
      <c r="AL18" s="203" t="n">
        <v>6845.5</v>
      </c>
      <c r="AM18" s="203" t="n">
        <v>6939.02978515625</v>
      </c>
      <c r="AN18" s="203" t="n">
        <v>6878.8798828125</v>
      </c>
      <c r="AO18" s="203" t="n">
        <v>6528.52001953125</v>
      </c>
      <c r="AP18" s="203" t="n">
        <v>7209.009765625</v>
      </c>
      <c r="AQ18" s="203" t="n">
        <v>7580.06005859375</v>
      </c>
      <c r="AR18" s="203" t="n">
        <v>7499.35986328125</v>
      </c>
      <c r="AS18" s="203" t="n">
        <v>7489.72021484375</v>
      </c>
      <c r="AT18" s="203" t="n">
        <v>7686.14013671875</v>
      </c>
      <c r="AU18" s="203" t="n">
        <v>7683.68994140625</v>
      </c>
      <c r="AV18" s="201" t="n">
        <v>7683.68994140625</v>
      </c>
      <c r="AW18" s="184" t="n">
        <v>7683.68994140625</v>
      </c>
      <c r="AX18" s="184" t="n">
        <v>7683.68994140625</v>
      </c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>
        <f>+(AV18-AV17)/AV17</f>
        <v/>
      </c>
      <c r="AW19" s="184">
        <f>+(AW18-AW17)/AW17</f>
        <v/>
      </c>
      <c r="AX19" s="184">
        <f>+(AX18-AX17)/AX17</f>
        <v/>
      </c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+C19-C16</f>
        <v/>
      </c>
      <c r="D20" s="230">
        <f>+D19-D16</f>
        <v/>
      </c>
      <c r="E20" s="230">
        <f>+E19-E16</f>
        <v/>
      </c>
      <c r="F20" s="230">
        <f>+F19-F16</f>
        <v/>
      </c>
      <c r="G20" s="230">
        <f>+G19-G16</f>
        <v/>
      </c>
      <c r="H20" s="230">
        <f>+H19-H16</f>
        <v/>
      </c>
      <c r="I20" s="230">
        <f>+I19-I16</f>
        <v/>
      </c>
      <c r="J20" s="230">
        <f>+J19-J16</f>
        <v/>
      </c>
      <c r="K20" s="230">
        <f>+K19-K16</f>
        <v/>
      </c>
      <c r="L20" s="230">
        <f>+L19-L16</f>
        <v/>
      </c>
      <c r="M20" s="230">
        <f>+M19-M16</f>
        <v/>
      </c>
      <c r="N20" s="230">
        <f>+N19-N16</f>
        <v/>
      </c>
      <c r="O20" s="230">
        <f>+O19-O16</f>
        <v/>
      </c>
      <c r="P20" s="230">
        <f>+P19-P16</f>
        <v/>
      </c>
      <c r="Q20" s="230">
        <f>+Q19-Q16</f>
        <v/>
      </c>
      <c r="R20" s="230">
        <f>+R19-R16</f>
        <v/>
      </c>
      <c r="S20" s="230">
        <f>+S19-S16</f>
        <v/>
      </c>
      <c r="T20" s="230">
        <f>+T19-T16</f>
        <v/>
      </c>
      <c r="U20" s="230">
        <f>+U19-U16</f>
        <v/>
      </c>
      <c r="V20" s="230">
        <f>+V19-V16</f>
        <v/>
      </c>
      <c r="W20" s="230">
        <f>+W19-W16</f>
        <v/>
      </c>
      <c r="X20" s="230">
        <f>+X19-X16</f>
        <v/>
      </c>
      <c r="Y20" s="230">
        <f>+Y19-Y16</f>
        <v/>
      </c>
      <c r="Z20" s="230">
        <f>+Z19-Z16</f>
        <v/>
      </c>
      <c r="AA20" s="230">
        <f>+AA19-AA16</f>
        <v/>
      </c>
      <c r="AB20" s="205">
        <f>+AB19-AB16</f>
        <v/>
      </c>
      <c r="AC20" s="205">
        <f>+AC19-AC16</f>
        <v/>
      </c>
      <c r="AD20" s="205">
        <f>+AD19-AD16</f>
        <v/>
      </c>
      <c r="AE20" s="205">
        <f>+AE19-AE16</f>
        <v/>
      </c>
      <c r="AF20" s="205">
        <f>+AF19-AF16</f>
        <v/>
      </c>
      <c r="AG20" s="205">
        <f>+AG19-AG16</f>
        <v/>
      </c>
      <c r="AH20" s="205">
        <f>+AH19-AH16</f>
        <v/>
      </c>
      <c r="AI20" s="205">
        <f>+AI19-AI16</f>
        <v/>
      </c>
      <c r="AJ20" s="205">
        <f>+AJ19-AJ16</f>
        <v/>
      </c>
      <c r="AK20" s="205">
        <f>+AK19-AK16</f>
        <v/>
      </c>
      <c r="AL20" s="205">
        <f>+AL19-AL16</f>
        <v/>
      </c>
      <c r="AM20" s="205">
        <f>+AM19-AM16</f>
        <v/>
      </c>
      <c r="AN20" s="205">
        <f>+AN19-AN16</f>
        <v/>
      </c>
      <c r="AO20" s="205">
        <f>+AO19-AO16</f>
        <v/>
      </c>
      <c r="AP20" s="205">
        <f>+AP19-AP16</f>
        <v/>
      </c>
      <c r="AQ20" s="205">
        <f>+AQ19-AQ16</f>
        <v/>
      </c>
      <c r="AR20" s="205">
        <f>+AR19-AR16</f>
        <v/>
      </c>
      <c r="AS20" s="205">
        <f>+AS19-AS16</f>
        <v/>
      </c>
      <c r="AT20" s="205">
        <f>+AT19-AT16</f>
        <v/>
      </c>
      <c r="AU20" s="205">
        <f>+AU19-AU16</f>
        <v/>
      </c>
      <c r="AV20" s="201">
        <f>+AV19-AV16</f>
        <v/>
      </c>
      <c r="AW20" s="184">
        <f>+AW19-AW16</f>
        <v/>
      </c>
      <c r="AX20" s="184">
        <f>+AX19-AX16</f>
        <v/>
      </c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>_xlfn.XLOOKUP(MIN(ABS($BJ$7:$BJ$29 - MEDIAN(MIN($BJ$7:$BJ$29), MAX($BJ$7:$BJ$29), C20))), ABS($BJ$7:$BJ$29 - MEDIAN(MIN($BJ$7:$BJ$29), MAX($BJ$7:$BJ$29), C20)), $BK$7:$BK$29, "Error", 0)</f>
        <v/>
      </c>
      <c r="D21" s="232">
        <f>_xlfn.XLOOKUP(MIN(ABS($BJ$7:$BJ$29 - MEDIAN(MIN($BJ$7:$BJ$29), MAX($BJ$7:$BJ$29), D20))), ABS($BJ$7:$BJ$29 - MEDIAN(MIN($BJ$7:$BJ$29), MAX($BJ$7:$BJ$29), D20)), $BK$7:$BK$29, "Error", 0)</f>
        <v/>
      </c>
      <c r="E21" s="232">
        <f>_xlfn.XLOOKUP(MIN(ABS($BJ$7:$BJ$29 - MEDIAN(MIN($BJ$7:$BJ$29), MAX($BJ$7:$BJ$29), E20))), ABS($BJ$7:$BJ$29 - MEDIAN(MIN($BJ$7:$BJ$29), MAX($BJ$7:$BJ$29), E20)), $BK$7:$BK$29, "Error", 0)</f>
        <v/>
      </c>
      <c r="F21" s="232">
        <f>_xlfn.XLOOKUP(MIN(ABS($BJ$7:$BJ$29 - MEDIAN(MIN($BJ$7:$BJ$29), MAX($BJ$7:$BJ$29), F20))), ABS($BJ$7:$BJ$29 - MEDIAN(MIN($BJ$7:$BJ$29), MAX($BJ$7:$BJ$29), F20)), $BK$7:$BK$29, "Error", 0)</f>
        <v/>
      </c>
      <c r="G21" s="232">
        <f>_xlfn.XLOOKUP(MIN(ABS($BJ$7:$BJ$29 - MEDIAN(MIN($BJ$7:$BJ$29), MAX($BJ$7:$BJ$29), G20))), ABS($BJ$7:$BJ$29 - MEDIAN(MIN($BJ$7:$BJ$29), MAX($BJ$7:$BJ$29), G20)), $BK$7:$BK$29, "Error", 0)</f>
        <v/>
      </c>
      <c r="H21" s="232">
        <f>_xlfn.XLOOKUP(MIN(ABS($BJ$7:$BJ$29 - MEDIAN(MIN($BJ$7:$BJ$29), MAX($BJ$7:$BJ$29), H20))), ABS($BJ$7:$BJ$29 - MEDIAN(MIN($BJ$7:$BJ$29), MAX($BJ$7:$BJ$29), H20)), $BK$7:$BK$29, "Error", 0)</f>
        <v/>
      </c>
      <c r="I21" s="232">
        <f>_xlfn.XLOOKUP(MIN(ABS($BJ$7:$BJ$29 - MEDIAN(MIN($BJ$7:$BJ$29), MAX($BJ$7:$BJ$29), I20))), ABS($BJ$7:$BJ$29 - MEDIAN(MIN($BJ$7:$BJ$29), MAX($BJ$7:$BJ$29), I20)), $BK$7:$BK$29, "Error", 0)</f>
        <v/>
      </c>
      <c r="J21" s="232">
        <f>_xlfn.XLOOKUP(MIN(ABS($BJ$7:$BJ$29 - MEDIAN(MIN($BJ$7:$BJ$29), MAX($BJ$7:$BJ$29), J20))), ABS($BJ$7:$BJ$29 - MEDIAN(MIN($BJ$7:$BJ$29), MAX($BJ$7:$BJ$29), J20)), $BK$7:$BK$29, "Error", 0)</f>
        <v/>
      </c>
      <c r="K21" s="232">
        <f>_xlfn.XLOOKUP(MIN(ABS($BJ$7:$BJ$29 - MEDIAN(MIN($BJ$7:$BJ$29), MAX($BJ$7:$BJ$29), K20))), ABS($BJ$7:$BJ$29 - MEDIAN(MIN($BJ$7:$BJ$29), MAX($BJ$7:$BJ$29), K20)), $BK$7:$BK$29, "Error", 0)</f>
        <v/>
      </c>
      <c r="L21" s="232">
        <f>_xlfn.XLOOKUP(MIN(ABS($BJ$7:$BJ$29 - MEDIAN(MIN($BJ$7:$BJ$29), MAX($BJ$7:$BJ$29), L20))), ABS($BJ$7:$BJ$29 - MEDIAN(MIN($BJ$7:$BJ$29), MAX($BJ$7:$BJ$29), L20)), $BK$7:$BK$29, "Error", 0)</f>
        <v/>
      </c>
      <c r="M21" s="232">
        <f>_xlfn.XLOOKUP(MIN(ABS($BJ$7:$BJ$29 - MEDIAN(MIN($BJ$7:$BJ$29), MAX($BJ$7:$BJ$29), M20))), ABS($BJ$7:$BJ$29 - MEDIAN(MIN($BJ$7:$BJ$29), MAX($BJ$7:$BJ$29), M20)), $BK$7:$BK$29, "Error", 0)</f>
        <v/>
      </c>
      <c r="N21" s="232">
        <f>_xlfn.XLOOKUP(MIN(ABS($BJ$7:$BJ$29 - MEDIAN(MIN($BJ$7:$BJ$29), MAX($BJ$7:$BJ$29), N20))), ABS($BJ$7:$BJ$29 - MEDIAN(MIN($BJ$7:$BJ$29), MAX($BJ$7:$BJ$29), N20)), $BK$7:$BK$29, "Error", 0)</f>
        <v/>
      </c>
      <c r="O21" s="232">
        <f>_xlfn.XLOOKUP(MIN(ABS($BJ$7:$BJ$29 - MEDIAN(MIN($BJ$7:$BJ$29), MAX($BJ$7:$BJ$29), O20))), ABS($BJ$7:$BJ$29 - MEDIAN(MIN($BJ$7:$BJ$29), MAX($BJ$7:$BJ$29), O20)), $BK$7:$BK$29, "Error", 0)</f>
        <v/>
      </c>
      <c r="P21" s="232">
        <f>_xlfn.XLOOKUP(MIN(ABS($BJ$7:$BJ$29 - MEDIAN(MIN($BJ$7:$BJ$29), MAX($BJ$7:$BJ$29), P20))), ABS($BJ$7:$BJ$29 - MEDIAN(MIN($BJ$7:$BJ$29), MAX($BJ$7:$BJ$29), P20)), $BK$7:$BK$29, "Error", 0)</f>
        <v/>
      </c>
      <c r="Q21" s="232">
        <f>_xlfn.XLOOKUP(MIN(ABS($BJ$7:$BJ$29 - MEDIAN(MIN($BJ$7:$BJ$29), MAX($BJ$7:$BJ$29), Q20))), ABS($BJ$7:$BJ$29 - MEDIAN(MIN($BJ$7:$BJ$29), MAX($BJ$7:$BJ$29), Q20)), $BK$7:$BK$29, "Error", 0)</f>
        <v/>
      </c>
      <c r="R21" s="232">
        <f>_xlfn.XLOOKUP(MIN(ABS($BJ$7:$BJ$29 - MEDIAN(MIN($BJ$7:$BJ$29), MAX($BJ$7:$BJ$29), R20))), ABS($BJ$7:$BJ$29 - MEDIAN(MIN($BJ$7:$BJ$29), MAX($BJ$7:$BJ$29), R20)), $BK$7:$BK$29, "Error", 0)</f>
        <v/>
      </c>
      <c r="S21" s="232">
        <f>_xlfn.XLOOKUP(MIN(ABS($BJ$7:$BJ$29 - MEDIAN(MIN($BJ$7:$BJ$29), MAX($BJ$7:$BJ$29), S20))), ABS($BJ$7:$BJ$29 - MEDIAN(MIN($BJ$7:$BJ$29), MAX($BJ$7:$BJ$29), S20)), $BK$7:$BK$29, "Error", 0)</f>
        <v/>
      </c>
      <c r="T21" s="232">
        <f>_xlfn.XLOOKUP(MIN(ABS($BJ$7:$BJ$29 - MEDIAN(MIN($BJ$7:$BJ$29), MAX($BJ$7:$BJ$29), T20))), ABS($BJ$7:$BJ$29 - MEDIAN(MIN($BJ$7:$BJ$29), MAX($BJ$7:$BJ$29), T20)), $BK$7:$BK$29, "Error", 0)</f>
        <v/>
      </c>
      <c r="U21" s="232">
        <f>_xlfn.XLOOKUP(MIN(ABS($BJ$7:$BJ$29 - MEDIAN(MIN($BJ$7:$BJ$29), MAX($BJ$7:$BJ$29), U20))), ABS($BJ$7:$BJ$29 - MEDIAN(MIN($BJ$7:$BJ$29), MAX($BJ$7:$BJ$29), U20)), $BK$7:$BK$29, "Error", 0)</f>
        <v/>
      </c>
      <c r="V21" s="232">
        <f>_xlfn.XLOOKUP(MIN(ABS($BJ$7:$BJ$29 - MEDIAN(MIN($BJ$7:$BJ$29), MAX($BJ$7:$BJ$29), V20))), ABS($BJ$7:$BJ$29 - MEDIAN(MIN($BJ$7:$BJ$29), MAX($BJ$7:$BJ$29), V20)), $BK$7:$BK$29, "Error", 0)</f>
        <v/>
      </c>
      <c r="W21" s="232">
        <f>_xlfn.XLOOKUP(MIN(ABS($BJ$7:$BJ$29 - MEDIAN(MIN($BJ$7:$BJ$29), MAX($BJ$7:$BJ$29), W20))), ABS($BJ$7:$BJ$29 - MEDIAN(MIN($BJ$7:$BJ$29), MAX($BJ$7:$BJ$29), W20)), $BK$7:$BK$29, "Error", 0)</f>
        <v/>
      </c>
      <c r="X21" s="232">
        <f>_xlfn.XLOOKUP(MIN(ABS($BJ$7:$BJ$29 - MEDIAN(MIN($BJ$7:$BJ$29), MAX($BJ$7:$BJ$29), X20))), ABS($BJ$7:$BJ$29 - MEDIAN(MIN($BJ$7:$BJ$29), MAX($BJ$7:$BJ$29), X20)), $BK$7:$BK$29, "Error", 0)</f>
        <v/>
      </c>
      <c r="Y21" s="232">
        <f>_xlfn.XLOOKUP(MIN(ABS($BJ$7:$BJ$29 - MEDIAN(MIN($BJ$7:$BJ$29), MAX($BJ$7:$BJ$29), Y20))), ABS($BJ$7:$BJ$29 - MEDIAN(MIN($BJ$7:$BJ$29), MAX($BJ$7:$BJ$29), Y20)), $BK$7:$BK$29, "Error", 0)</f>
        <v/>
      </c>
      <c r="Z21" s="232">
        <f>_xlfn.XLOOKUP(MIN(ABS($BJ$7:$BJ$29 - MEDIAN(MIN($BJ$7:$BJ$29), MAX($BJ$7:$BJ$29), Z20))), ABS($BJ$7:$BJ$29 - MEDIAN(MIN($BJ$7:$BJ$29), MAX($BJ$7:$BJ$29), Z20)), $BK$7:$BK$29, "Error", 0)</f>
        <v/>
      </c>
      <c r="AA21" s="232">
        <f>_xlfn.XLOOKUP(MIN(ABS($BJ$7:$BJ$29 - MEDIAN(MIN($BJ$7:$BJ$29), MAX($BJ$7:$BJ$29), AA20))), ABS($BJ$7:$BJ$29 - MEDIAN(MIN($BJ$7:$BJ$29), MAX($BJ$7:$BJ$29), AA20)), $BK$7:$BK$29, "Error", 0)</f>
        <v/>
      </c>
      <c r="AB21" s="171">
        <f>_xlfn.XLOOKUP(MIN(ABS($BJ$7:$BJ$29 - MEDIAN(MIN($BJ$7:$BJ$29), MAX($BJ$7:$BJ$29), AB20))), ABS($BJ$7:$BJ$29 - MEDIAN(MIN($BJ$7:$BJ$29), MAX($BJ$7:$BJ$29), AB20)), $BK$7:$BK$29, "Error", 0)</f>
        <v/>
      </c>
      <c r="AC21" s="171">
        <f>_xlfn.XLOOKUP(MIN(ABS($BJ$7:$BJ$29 - MEDIAN(MIN($BJ$7:$BJ$29), MAX($BJ$7:$BJ$29), AC20))), ABS($BJ$7:$BJ$29 - MEDIAN(MIN($BJ$7:$BJ$29), MAX($BJ$7:$BJ$29), AC20)), $BK$7:$BK$29, "Error", 0)</f>
        <v/>
      </c>
      <c r="AD21" s="171">
        <f>_xlfn.XLOOKUP(MIN(ABS($BJ$7:$BJ$29 - MEDIAN(MIN($BJ$7:$BJ$29), MAX($BJ$7:$BJ$29), AD20))), ABS($BJ$7:$BJ$29 - MEDIAN(MIN($BJ$7:$BJ$29), MAX($BJ$7:$BJ$29), AD20)), $BK$7:$BK$29, "Error", 0)</f>
        <v/>
      </c>
      <c r="AE21" s="171">
        <f>_xlfn.XLOOKUP(MIN(ABS($BJ$7:$BJ$29 - MEDIAN(MIN($BJ$7:$BJ$29), MAX($BJ$7:$BJ$29), AE20))), ABS($BJ$7:$BJ$29 - MEDIAN(MIN($BJ$7:$BJ$29), MAX($BJ$7:$BJ$29), AE20)), $BK$7:$BK$29, "Error", 0)</f>
        <v/>
      </c>
      <c r="AF21" s="171">
        <f>_xlfn.XLOOKUP(MIN(ABS($BJ$7:$BJ$29 - MEDIAN(MIN($BJ$7:$BJ$29), MAX($BJ$7:$BJ$29), AF20))), ABS($BJ$7:$BJ$29 - MEDIAN(MIN($BJ$7:$BJ$29), MAX($BJ$7:$BJ$29), AF20)), $BK$7:$BK$29, "Error", 0)</f>
        <v/>
      </c>
      <c r="AG21" s="171">
        <f>_xlfn.XLOOKUP(MIN(ABS($BJ$7:$BJ$29 - MEDIAN(MIN($BJ$7:$BJ$29), MAX($BJ$7:$BJ$29), AG20))), ABS($BJ$7:$BJ$29 - MEDIAN(MIN($BJ$7:$BJ$29), MAX($BJ$7:$BJ$29), AG20)), $BK$7:$BK$29, "Error", 0)</f>
        <v/>
      </c>
      <c r="AH21" s="171">
        <f>_xlfn.XLOOKUP(MIN(ABS($BJ$7:$BJ$29 - MEDIAN(MIN($BJ$7:$BJ$29), MAX($BJ$7:$BJ$29), AH20))), ABS($BJ$7:$BJ$29 - MEDIAN(MIN($BJ$7:$BJ$29), MAX($BJ$7:$BJ$29), AH20)), $BK$7:$BK$29, "Error", 0)</f>
        <v/>
      </c>
      <c r="AI21" s="171">
        <f>_xlfn.XLOOKUP(MIN(ABS($BJ$7:$BJ$29 - MEDIAN(MIN($BJ$7:$BJ$29), MAX($BJ$7:$BJ$29), AI20))), ABS($BJ$7:$BJ$29 - MEDIAN(MIN($BJ$7:$BJ$29), MAX($BJ$7:$BJ$29), AI20)), $BK$7:$BK$29, "Error", 0)</f>
        <v/>
      </c>
      <c r="AJ21" s="171">
        <f>_xlfn.XLOOKUP(MIN(ABS($BJ$7:$BJ$29 - MEDIAN(MIN($BJ$7:$BJ$29), MAX($BJ$7:$BJ$29), AJ20))), ABS($BJ$7:$BJ$29 - MEDIAN(MIN($BJ$7:$BJ$29), MAX($BJ$7:$BJ$29), AJ20)), $BK$7:$BK$29, "Error", 0)</f>
        <v/>
      </c>
      <c r="AK21" s="171">
        <f>_xlfn.XLOOKUP(MIN(ABS($BJ$7:$BJ$29 - MEDIAN(MIN($BJ$7:$BJ$29), MAX($BJ$7:$BJ$29), AK20))), ABS($BJ$7:$BJ$29 - MEDIAN(MIN($BJ$7:$BJ$29), MAX($BJ$7:$BJ$29), AK20)), $BK$7:$BK$29, "Error", 0)</f>
        <v/>
      </c>
      <c r="AL21" s="171">
        <f>_xlfn.XLOOKUP(MIN(ABS($BJ$7:$BJ$29 - MEDIAN(MIN($BJ$7:$BJ$29), MAX($BJ$7:$BJ$29), AL20))), ABS($BJ$7:$BJ$29 - MEDIAN(MIN($BJ$7:$BJ$29), MAX($BJ$7:$BJ$29), AL20)), $BK$7:$BK$29, "Error", 0)</f>
        <v/>
      </c>
      <c r="AM21" s="171">
        <f>_xlfn.XLOOKUP(MIN(ABS($BJ$7:$BJ$29 - MEDIAN(MIN($BJ$7:$BJ$29), MAX($BJ$7:$BJ$29), AM20))), ABS($BJ$7:$BJ$29 - MEDIAN(MIN($BJ$7:$BJ$29), MAX($BJ$7:$BJ$29), AM20)), $BK$7:$BK$29, "Error", 0)</f>
        <v/>
      </c>
      <c r="AN21" s="171">
        <f>_xlfn.XLOOKUP(MIN(ABS($BJ$7:$BJ$29 - MEDIAN(MIN($BJ$7:$BJ$29), MAX($BJ$7:$BJ$29), AN20))), ABS($BJ$7:$BJ$29 - MEDIAN(MIN($BJ$7:$BJ$29), MAX($BJ$7:$BJ$29), AN20)), $BK$7:$BK$29, "Error", 0)</f>
        <v/>
      </c>
      <c r="AO21" s="171">
        <f>_xlfn.XLOOKUP(MIN(ABS($BJ$7:$BJ$29 - MEDIAN(MIN($BJ$7:$BJ$29), MAX($BJ$7:$BJ$29), AO20))), ABS($BJ$7:$BJ$29 - MEDIAN(MIN($BJ$7:$BJ$29), MAX($BJ$7:$BJ$29), AO20)), $BK$7:$BK$29, "Error", 0)</f>
        <v/>
      </c>
      <c r="AP21" s="171">
        <f>_xlfn.XLOOKUP(MIN(ABS($BJ$7:$BJ$29 - MEDIAN(MIN($BJ$7:$BJ$29), MAX($BJ$7:$BJ$29), AP20))), ABS($BJ$7:$BJ$29 - MEDIAN(MIN($BJ$7:$BJ$29), MAX($BJ$7:$BJ$29), AP20)), $BK$7:$BK$29, "Error", 0)</f>
        <v/>
      </c>
      <c r="AQ21" s="171">
        <f>_xlfn.XLOOKUP(MIN(ABS($BJ$7:$BJ$29 - MEDIAN(MIN($BJ$7:$BJ$29), MAX($BJ$7:$BJ$29), AQ20))), ABS($BJ$7:$BJ$29 - MEDIAN(MIN($BJ$7:$BJ$29), MAX($BJ$7:$BJ$29), AQ20)), $BK$7:$BK$29, "Error", 0)</f>
        <v/>
      </c>
      <c r="AR21" s="171">
        <f>_xlfn.XLOOKUP(MIN(ABS($BJ$7:$BJ$29 - MEDIAN(MIN($BJ$7:$BJ$29), MAX($BJ$7:$BJ$29), AR20))), ABS($BJ$7:$BJ$29 - MEDIAN(MIN($BJ$7:$BJ$29), MAX($BJ$7:$BJ$29), AR20)), $BK$7:$BK$29, "Error", 0)</f>
        <v/>
      </c>
      <c r="AS21" s="171">
        <f>_xlfn.XLOOKUP(MIN(ABS($BJ$7:$BJ$29 - MEDIAN(MIN($BJ$7:$BJ$29), MAX($BJ$7:$BJ$29), AS20))), ABS($BJ$7:$BJ$29 - MEDIAN(MIN($BJ$7:$BJ$29), MAX($BJ$7:$BJ$29), AS20)), $BK$7:$BK$29, "Error", 0)</f>
        <v/>
      </c>
      <c r="AT21" s="171">
        <f>_xlfn.XLOOKUP(MIN(ABS($BJ$7:$BJ$29 - MEDIAN(MIN($BJ$7:$BJ$29), MAX($BJ$7:$BJ$29), AT20))), ABS($BJ$7:$BJ$29 - MEDIAN(MIN($BJ$7:$BJ$29), MAX($BJ$7:$BJ$29), AT20)), $BK$7:$BK$29, "Error", 0)</f>
        <v/>
      </c>
      <c r="AU21" s="171">
        <f>_xlfn.XLOOKUP(MIN(ABS($BJ$7:$BJ$29 - MEDIAN(MIN($BJ$7:$BJ$29), MAX($BJ$7:$BJ$29), AU20))), ABS($BJ$7:$BJ$29 - MEDIAN(MIN($BJ$7:$BJ$29), MAX($BJ$7:$BJ$29), AU20)), $BK$7:$BK$29, "Error", 0)</f>
        <v/>
      </c>
      <c r="AV21" s="206">
        <f>_xlfn.XLOOKUP(MIN(ABS($BJ$7:$BJ$29 - MEDIAN(MIN($BJ$7:$BJ$29), MAX($BJ$7:$BJ$29), AV20))), ABS($BJ$7:$BJ$29 - MEDIAN(MIN($BJ$7:$BJ$29), MAX($BJ$7:$BJ$29), AV20)), $BK$7:$BK$29, "Error", 0)</f>
        <v/>
      </c>
      <c r="AW21" s="184">
        <f>_xlfn.XLOOKUP(MIN(ABS($BJ$7:$BJ$29 - MEDIAN(MIN($BJ$7:$BJ$29), MAX($BJ$7:$BJ$29), AW20))), ABS($BJ$7:$BJ$29 - MEDIAN(MIN($BJ$7:$BJ$29), MAX($BJ$7:$BJ$29), AW20)), $BK$7:$BK$29, "Error", 0)</f>
        <v/>
      </c>
      <c r="AX21" s="184">
        <f>_xlfn.XLOOKUP(MIN(ABS($BJ$7:$BJ$29 - MEDIAN(MIN($BJ$7:$BJ$29), MAX($BJ$7:$BJ$29), AX20))), ABS($BJ$7:$BJ$29 - MEDIAN(MIN($BJ$7:$BJ$29), MAX($BJ$7:$BJ$29), AX20)), $BK$7:$BK$29, "Error", 0)</f>
        <v/>
      </c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6165.434749737615</v>
      </c>
      <c r="D22" s="233" t="n">
        <v>6165.434749737615</v>
      </c>
      <c r="E22" s="233" t="n">
        <v>6165.434749737615</v>
      </c>
      <c r="F22" s="233" t="n">
        <v>6165.434749737615</v>
      </c>
      <c r="G22" s="233" t="n">
        <v>6165.434749737615</v>
      </c>
      <c r="H22" s="233" t="n">
        <v>6165.434749737615</v>
      </c>
      <c r="I22" s="233" t="n">
        <v>6165.434749737615</v>
      </c>
      <c r="J22" s="233" t="n">
        <v>6165.434749737615</v>
      </c>
      <c r="K22" s="233" t="n">
        <v>6165.434749737615</v>
      </c>
      <c r="L22" s="233" t="n">
        <v>6165.434749737615</v>
      </c>
      <c r="M22" s="233" t="n">
        <v>6288.033012404339</v>
      </c>
      <c r="N22" s="233" t="n">
        <v>6408.946203417727</v>
      </c>
      <c r="O22" s="233" t="n">
        <v>6637.118746466876</v>
      </c>
      <c r="P22" s="233" t="n">
        <v>6941.408398260828</v>
      </c>
      <c r="Q22" s="233" t="n">
        <v>7166.934953756398</v>
      </c>
      <c r="R22" s="233" t="n">
        <v>7166.934953756398</v>
      </c>
      <c r="S22" s="233" t="n">
        <v>7297.144844541908</v>
      </c>
      <c r="T22" s="233" t="n">
        <v>7554.042263567448</v>
      </c>
      <c r="U22" s="233" t="n">
        <v>7771.359797951533</v>
      </c>
      <c r="V22" s="233" t="n">
        <v>7771.359797951533</v>
      </c>
      <c r="W22" s="233" t="n">
        <v>7824.602508363489</v>
      </c>
      <c r="X22" s="233" t="n">
        <v>8138.761899516394</v>
      </c>
      <c r="Y22" s="233" t="n">
        <v>8541.876121980604</v>
      </c>
      <c r="Z22" s="233" t="n">
        <v>8720.290977030993</v>
      </c>
      <c r="AA22" s="204" t="n">
        <v>8818.252487160615</v>
      </c>
      <c r="AB22" s="204" t="n">
        <v>8907.332243047422</v>
      </c>
      <c r="AC22" s="204" t="n">
        <v>8907.332243047422</v>
      </c>
      <c r="AD22" s="204" t="n">
        <v>8907.332243047422</v>
      </c>
      <c r="AE22" s="204" t="n">
        <v>8907.332243047422</v>
      </c>
      <c r="AF22" s="204" t="n">
        <v>8907.332243047422</v>
      </c>
      <c r="AG22" s="204" t="n">
        <v>8907.332243047422</v>
      </c>
      <c r="AH22" s="204" t="n">
        <v>9021.400655217178</v>
      </c>
      <c r="AI22" s="204" t="n">
        <v>9323.387228697538</v>
      </c>
      <c r="AJ22" s="204" t="n">
        <v>9633.143342500494</v>
      </c>
      <c r="AK22" s="204" t="n">
        <v>9656.83093102678</v>
      </c>
      <c r="AL22" s="204" t="n">
        <v>9656.83093102678</v>
      </c>
      <c r="AM22" s="204" t="n">
        <v>9720.220695537981</v>
      </c>
      <c r="AN22" s="204" t="n">
        <v>9720.220695537981</v>
      </c>
      <c r="AO22" s="204" t="n">
        <v>9720.220695537981</v>
      </c>
      <c r="AP22" s="204" t="n">
        <v>9882.576025389833</v>
      </c>
      <c r="AQ22" s="204" t="n">
        <v>10508.95414603991</v>
      </c>
      <c r="AR22" s="204" t="n">
        <v>10696.46039804572</v>
      </c>
      <c r="AS22" s="204" t="n">
        <v>10751.7820450021</v>
      </c>
      <c r="AT22" s="204" t="n">
        <v>10920.53437917761</v>
      </c>
      <c r="AU22" s="204" t="n">
        <v>10972.27984803054</v>
      </c>
      <c r="AV22" s="200" t="n">
        <v>10972.27984803054</v>
      </c>
      <c r="AW22" s="184" t="n">
        <v>10972.27984803054</v>
      </c>
      <c r="AX22" s="184" t="n">
        <v>10972.27984803054</v>
      </c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5456.039953637228</v>
      </c>
      <c r="D23" s="233" t="n">
        <v>5389.081241180655</v>
      </c>
      <c r="E23" s="233" t="n">
        <v>5556.568040865473</v>
      </c>
      <c r="F23" s="233" t="n">
        <v>5670.36757881433</v>
      </c>
      <c r="G23" s="233" t="n">
        <v>5684.443400850287</v>
      </c>
      <c r="H23" s="233" t="n">
        <v>5896.753556937212</v>
      </c>
      <c r="I23" s="233" t="n">
        <v>6080.830592159182</v>
      </c>
      <c r="J23" s="233" t="n">
        <v>6101.253473625053</v>
      </c>
      <c r="K23" s="233" t="n">
        <v>5785.007964513847</v>
      </c>
      <c r="L23" s="233" t="n">
        <v>5799.437768497737</v>
      </c>
      <c r="M23" s="233" t="n">
        <v>6207.731266520219</v>
      </c>
      <c r="N23" s="233" t="n">
        <v>6310.294491315493</v>
      </c>
      <c r="O23" s="233" t="n">
        <v>6493.994754765357</v>
      </c>
      <c r="P23" s="233" t="n">
        <v>6919.460915489646</v>
      </c>
      <c r="Q23" s="233" t="n">
        <v>7138.56014990987</v>
      </c>
      <c r="R23" s="233" t="n">
        <v>6882.126435037178</v>
      </c>
      <c r="S23" s="233" t="n">
        <v>7221.374947261065</v>
      </c>
      <c r="T23" s="233" t="n">
        <v>7480.475497535546</v>
      </c>
      <c r="U23" s="233" t="n">
        <v>7648.164643166238</v>
      </c>
      <c r="V23" s="233" t="n">
        <v>7619.182965966815</v>
      </c>
      <c r="W23" s="233" t="n">
        <v>7784.419110549905</v>
      </c>
      <c r="X23" s="233" t="n">
        <v>7935.140127287712</v>
      </c>
      <c r="Y23" s="233" t="n">
        <v>8449.675151063944</v>
      </c>
      <c r="Z23" s="233" t="n">
        <v>8440.021454084781</v>
      </c>
      <c r="AA23" s="204" t="n">
        <v>8754.540124096093</v>
      </c>
      <c r="AB23" s="204" t="n">
        <v>8600.382099986076</v>
      </c>
      <c r="AC23" s="204" t="n">
        <v>8030.052374214109</v>
      </c>
      <c r="AD23" s="204" t="n">
        <v>7700.228287491191</v>
      </c>
      <c r="AE23" s="204" t="n">
        <v>8161.502101959253</v>
      </c>
      <c r="AF23" s="204" t="n">
        <v>8489.240449912613</v>
      </c>
      <c r="AG23" s="204" t="n">
        <v>8764.333400798379</v>
      </c>
      <c r="AH23" s="204" t="n">
        <v>8882.727797074243</v>
      </c>
      <c r="AI23" s="204" t="n">
        <v>9307.794917976134</v>
      </c>
      <c r="AJ23" s="204" t="n">
        <v>9563.352514512953</v>
      </c>
      <c r="AK23" s="204" t="n">
        <v>9606.533757110126</v>
      </c>
      <c r="AL23" s="204" t="n">
        <v>9374.706886827946</v>
      </c>
      <c r="AM23" s="204" t="n">
        <v>9362.139057602617</v>
      </c>
      <c r="AN23" s="204" t="n">
        <v>9407.418936664355</v>
      </c>
      <c r="AO23" s="204" t="n">
        <v>9093.118631696852</v>
      </c>
      <c r="AP23" s="204" t="n">
        <v>9855.653817330953</v>
      </c>
      <c r="AQ23" s="204" t="n">
        <v>10447.52141160454</v>
      </c>
      <c r="AR23" s="204" t="n">
        <v>10655.84033390024</v>
      </c>
      <c r="AS23" s="204" t="n">
        <v>10493.99639371329</v>
      </c>
      <c r="AT23" s="204" t="n">
        <v>10683.04290431261</v>
      </c>
      <c r="AU23" s="204" t="n">
        <v>10876.10957397142</v>
      </c>
      <c r="AV23" s="201" t="n">
        <v>10876.10957397142</v>
      </c>
      <c r="AW23" s="184" t="n">
        <v>10876.10957397142</v>
      </c>
      <c r="AX23" s="184" t="n">
        <v>10876.10957397142</v>
      </c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>
        <f>+(AV23-AV22)/AV22</f>
        <v/>
      </c>
      <c r="AW24" s="184">
        <f>+(AW23-AW22)/AW22</f>
        <v/>
      </c>
      <c r="AX24" s="184">
        <f>+(AX23-AX22)/AX22</f>
        <v/>
      </c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4804.06005859375</v>
      </c>
      <c r="D25" s="233" t="n">
        <v>4804.06005859375</v>
      </c>
      <c r="E25" s="233" t="n">
        <v>4804.06005859375</v>
      </c>
      <c r="F25" s="233" t="n">
        <v>4804.06005859375</v>
      </c>
      <c r="G25" s="233" t="n">
        <v>4804.06005859375</v>
      </c>
      <c r="H25" s="233" t="n">
        <v>4804.06005859375</v>
      </c>
      <c r="I25" s="233" t="n">
        <v>4804.06005859375</v>
      </c>
      <c r="J25" s="233" t="n">
        <v>4804.06005859375</v>
      </c>
      <c r="K25" s="233" t="n">
        <v>4804.06005859375</v>
      </c>
      <c r="L25" s="233" t="n">
        <v>4804.06005859375</v>
      </c>
      <c r="M25" s="233" t="n">
        <v>4804.06005859375</v>
      </c>
      <c r="N25" s="233" t="n">
        <v>4804.06005859375</v>
      </c>
      <c r="O25" s="233" t="n">
        <v>4929.31005859375</v>
      </c>
      <c r="P25" s="233" t="n">
        <v>5104.990234375</v>
      </c>
      <c r="Q25" s="233" t="n">
        <v>5264.85009765625</v>
      </c>
      <c r="R25" s="233" t="n">
        <v>5264.85009765625</v>
      </c>
      <c r="S25" s="233" t="n">
        <v>5325.31982421875</v>
      </c>
      <c r="T25" s="233" t="n">
        <v>5490.81005859375</v>
      </c>
      <c r="U25" s="233" t="n">
        <v>5669.669921875</v>
      </c>
      <c r="V25" s="233" t="n">
        <v>5669.669921875</v>
      </c>
      <c r="W25" s="233" t="n">
        <v>5765.14013671875</v>
      </c>
      <c r="X25" s="233" t="n">
        <v>5872.169921875</v>
      </c>
      <c r="Y25" s="233" t="n">
        <v>6044.169921875</v>
      </c>
      <c r="Z25" s="233" t="n">
        <v>6099.97021484375</v>
      </c>
      <c r="AA25" s="231" t="n">
        <v>6118.72998046875</v>
      </c>
      <c r="AB25" s="203" t="n">
        <v>6147.43017578125</v>
      </c>
      <c r="AC25" s="203" t="n">
        <v>6147.43017578125</v>
      </c>
      <c r="AD25" s="203" t="n">
        <v>6147.43017578125</v>
      </c>
      <c r="AE25" s="203" t="n">
        <v>6147.43017578125</v>
      </c>
      <c r="AF25" s="203" t="n">
        <v>6215.080078125</v>
      </c>
      <c r="AG25" s="203" t="n">
        <v>6395.81982421875</v>
      </c>
      <c r="AH25" s="203" t="n">
        <v>6508.22998046875</v>
      </c>
      <c r="AI25" s="203" t="n">
        <v>6698.8798828125</v>
      </c>
      <c r="AJ25" s="203" t="n">
        <v>6877.27978515625</v>
      </c>
      <c r="AK25" s="203" t="n">
        <v>6877.27978515625</v>
      </c>
      <c r="AL25" s="203" t="n">
        <v>6937.31982421875</v>
      </c>
      <c r="AM25" s="203" t="n">
        <v>6988.81982421875</v>
      </c>
      <c r="AN25" s="203" t="n">
        <v>6991.919921875</v>
      </c>
      <c r="AO25" s="203" t="n">
        <v>6991.919921875</v>
      </c>
      <c r="AP25" s="203" t="n">
        <v>7219.830078125</v>
      </c>
      <c r="AQ25" s="203" t="n">
        <v>7599.3798828125</v>
      </c>
      <c r="AR25" s="203" t="n">
        <v>7620.89990234375</v>
      </c>
      <c r="AS25" s="203" t="n">
        <v>7620.89990234375</v>
      </c>
      <c r="AT25" s="203" t="n">
        <v>7816.7001953125</v>
      </c>
      <c r="AU25" s="203" t="n">
        <v>7816.7001953125</v>
      </c>
      <c r="AV25" s="201" t="n">
        <v>7816.7001953125</v>
      </c>
      <c r="AW25" s="184" t="n">
        <v>7816.7001953125</v>
      </c>
      <c r="AX25" s="184" t="n">
        <v>7816.7001953125</v>
      </c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4845.64990234375</v>
      </c>
      <c r="P26" s="233" t="n">
        <v>5096.27001953125</v>
      </c>
      <c r="Q26" s="233" t="n">
        <v>5254.35009765625</v>
      </c>
      <c r="R26" s="233" t="n">
        <v>5035.68994140625</v>
      </c>
      <c r="S26" s="233" t="n">
        <v>5277.509765625</v>
      </c>
      <c r="T26" s="233" t="n">
        <v>5460.47998046875</v>
      </c>
      <c r="U26" s="233" t="n">
        <v>5522.2998046875</v>
      </c>
      <c r="V26" s="233" t="n">
        <v>5648.39990234375</v>
      </c>
      <c r="W26" s="233" t="n">
        <v>5762.47998046875</v>
      </c>
      <c r="X26" s="233" t="n">
        <v>5705.4501953125</v>
      </c>
      <c r="Y26" s="233" t="n">
        <v>6032.3798828125</v>
      </c>
      <c r="Z26" s="233" t="n">
        <v>5881.6298828125</v>
      </c>
      <c r="AA26" s="231" t="n">
        <v>6040.52978515625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6204.9501953125</v>
      </c>
      <c r="AG26" s="203" t="n">
        <v>6339.39013671875</v>
      </c>
      <c r="AH26" s="203" t="n">
        <v>6460.259765625</v>
      </c>
      <c r="AI26" s="203" t="n">
        <v>6688.4599609375</v>
      </c>
      <c r="AJ26" s="203" t="n">
        <v>6840.2001953125</v>
      </c>
      <c r="AK26" s="203" t="n">
        <v>6849.08984375</v>
      </c>
      <c r="AL26" s="203" t="n">
        <v>6845.5</v>
      </c>
      <c r="AM26" s="203" t="n">
        <v>6939.02978515625</v>
      </c>
      <c r="AN26" s="203" t="n">
        <v>6878.8798828125</v>
      </c>
      <c r="AO26" s="203" t="n">
        <v>6528.52001953125</v>
      </c>
      <c r="AP26" s="203" t="n">
        <v>7209.009765625</v>
      </c>
      <c r="AQ26" s="203" t="n">
        <v>7580.06005859375</v>
      </c>
      <c r="AR26" s="203" t="n">
        <v>7499.35986328125</v>
      </c>
      <c r="AS26" s="203" t="n">
        <v>7489.72021484375</v>
      </c>
      <c r="AT26" s="203" t="n">
        <v>7686.14013671875</v>
      </c>
      <c r="AU26" s="203" t="n">
        <v>7683.68994140625</v>
      </c>
      <c r="AV26" s="201" t="n">
        <v>7683.68994140625</v>
      </c>
      <c r="AW26" s="184" t="n">
        <v>7683.68994140625</v>
      </c>
      <c r="AX26" s="184" t="n">
        <v>7683.68994140625</v>
      </c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>
        <f>+(AV26-AV25)/AV25</f>
        <v/>
      </c>
      <c r="AW27" s="184">
        <f>+(AW26-AW25)/AW25</f>
        <v/>
      </c>
      <c r="AX27" s="184">
        <f>+(AX26-AX25)/AX25</f>
        <v/>
      </c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+C27-C24</f>
        <v/>
      </c>
      <c r="D28" s="230">
        <f>+D27-D24</f>
        <v/>
      </c>
      <c r="E28" s="230">
        <f>+E27-E24</f>
        <v/>
      </c>
      <c r="F28" s="230">
        <f>+F27-F24</f>
        <v/>
      </c>
      <c r="G28" s="230">
        <f>+G27-G24</f>
        <v/>
      </c>
      <c r="H28" s="230">
        <f>+H27-H24</f>
        <v/>
      </c>
      <c r="I28" s="230">
        <f>+I27-I24</f>
        <v/>
      </c>
      <c r="J28" s="230">
        <f>+J27-J24</f>
        <v/>
      </c>
      <c r="K28" s="230">
        <f>+K27-K24</f>
        <v/>
      </c>
      <c r="L28" s="230">
        <f>+L27-L24</f>
        <v/>
      </c>
      <c r="M28" s="230">
        <f>+M27-M24</f>
        <v/>
      </c>
      <c r="N28" s="230">
        <f>+N27-N24</f>
        <v/>
      </c>
      <c r="O28" s="230">
        <f>+O27-O24</f>
        <v/>
      </c>
      <c r="P28" s="230">
        <f>+P27-P24</f>
        <v/>
      </c>
      <c r="Q28" s="230">
        <f>+Q27-Q24</f>
        <v/>
      </c>
      <c r="R28" s="230">
        <f>+R27-R24</f>
        <v/>
      </c>
      <c r="S28" s="230">
        <f>+S27-S24</f>
        <v/>
      </c>
      <c r="T28" s="230">
        <f>+T27-T24</f>
        <v/>
      </c>
      <c r="U28" s="230">
        <f>+U27-U24</f>
        <v/>
      </c>
      <c r="V28" s="230">
        <f>+V27-V24</f>
        <v/>
      </c>
      <c r="W28" s="230">
        <f>+W27-W24</f>
        <v/>
      </c>
      <c r="X28" s="230">
        <f>+X27-X24</f>
        <v/>
      </c>
      <c r="Y28" s="230">
        <f>+Y27-Y24</f>
        <v/>
      </c>
      <c r="Z28" s="230">
        <f>+Z27-Z24</f>
        <v/>
      </c>
      <c r="AA28" s="230">
        <f>+AA27-AA24</f>
        <v/>
      </c>
      <c r="AB28" s="205">
        <f>+AB27-AB24</f>
        <v/>
      </c>
      <c r="AC28" s="205">
        <f>+AC27-AC24</f>
        <v/>
      </c>
      <c r="AD28" s="205">
        <f>+AD27-AD24</f>
        <v/>
      </c>
      <c r="AE28" s="205">
        <f>+AE27-AE24</f>
        <v/>
      </c>
      <c r="AF28" s="205">
        <f>+AF27-AF24</f>
        <v/>
      </c>
      <c r="AG28" s="205">
        <f>+AG27-AG24</f>
        <v/>
      </c>
      <c r="AH28" s="205">
        <f>+AH27-AH24</f>
        <v/>
      </c>
      <c r="AI28" s="205">
        <f>+AI27-AI24</f>
        <v/>
      </c>
      <c r="AJ28" s="205">
        <f>+AJ27-AJ24</f>
        <v/>
      </c>
      <c r="AK28" s="205">
        <f>+AK27-AK24</f>
        <v/>
      </c>
      <c r="AL28" s="205">
        <f>+AL27-AL24</f>
        <v/>
      </c>
      <c r="AM28" s="205">
        <f>+AM27-AM24</f>
        <v/>
      </c>
      <c r="AN28" s="205">
        <f>+AN27-AN24</f>
        <v/>
      </c>
      <c r="AO28" s="205">
        <f>+AO27-AO24</f>
        <v/>
      </c>
      <c r="AP28" s="205">
        <f>+AP27-AP24</f>
        <v/>
      </c>
      <c r="AQ28" s="205">
        <f>+AQ27-AQ24</f>
        <v/>
      </c>
      <c r="AR28" s="205">
        <f>+AR27-AR24</f>
        <v/>
      </c>
      <c r="AS28" s="205">
        <f>+AS27-AS24</f>
        <v/>
      </c>
      <c r="AT28" s="205">
        <f>+AT27-AT24</f>
        <v/>
      </c>
      <c r="AU28" s="205">
        <f>+AU27-AU24</f>
        <v/>
      </c>
      <c r="AV28" s="201">
        <f>+AV27-AV24</f>
        <v/>
      </c>
      <c r="AW28" s="184">
        <f>+AW27-AW24</f>
        <v/>
      </c>
      <c r="AX28" s="184">
        <f>+AX27-AX24</f>
        <v/>
      </c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>_xlfn.XLOOKUP(MIN(ABS($BJ$7:$BJ$29 - MEDIAN(MIN($BJ$7:$BJ$29), MAX($BJ$7:$BJ$29), C28))), ABS($BJ$7:$BJ$29 - MEDIAN(MIN($BJ$7:$BJ$29), MAX($BJ$7:$BJ$29), C28)), $BK$7:$BK$29, "Error", 0)</f>
        <v/>
      </c>
      <c r="D29" s="232">
        <f>_xlfn.XLOOKUP(MIN(ABS($BJ$7:$BJ$29 - MEDIAN(MIN($BJ$7:$BJ$29), MAX($BJ$7:$BJ$29), D28))), ABS($BJ$7:$BJ$29 - MEDIAN(MIN($BJ$7:$BJ$29), MAX($BJ$7:$BJ$29), D28)), $BK$7:$BK$29, "Error", 0)</f>
        <v/>
      </c>
      <c r="E29" s="232">
        <f>_xlfn.XLOOKUP(MIN(ABS($BJ$7:$BJ$29 - MEDIAN(MIN($BJ$7:$BJ$29), MAX($BJ$7:$BJ$29), E28))), ABS($BJ$7:$BJ$29 - MEDIAN(MIN($BJ$7:$BJ$29), MAX($BJ$7:$BJ$29), E28)), $BK$7:$BK$29, "Error", 0)</f>
        <v/>
      </c>
      <c r="F29" s="232">
        <f>_xlfn.XLOOKUP(MIN(ABS($BJ$7:$BJ$29 - MEDIAN(MIN($BJ$7:$BJ$29), MAX($BJ$7:$BJ$29), F28))), ABS($BJ$7:$BJ$29 - MEDIAN(MIN($BJ$7:$BJ$29), MAX($BJ$7:$BJ$29), F28)), $BK$7:$BK$29, "Error", 0)</f>
        <v/>
      </c>
      <c r="G29" s="232">
        <f>_xlfn.XLOOKUP(MIN(ABS($BJ$7:$BJ$29 - MEDIAN(MIN($BJ$7:$BJ$29), MAX($BJ$7:$BJ$29), G28))), ABS($BJ$7:$BJ$29 - MEDIAN(MIN($BJ$7:$BJ$29), MAX($BJ$7:$BJ$29), G28)), $BK$7:$BK$29, "Error", 0)</f>
        <v/>
      </c>
      <c r="H29" s="232">
        <f>_xlfn.XLOOKUP(MIN(ABS($BJ$7:$BJ$29 - MEDIAN(MIN($BJ$7:$BJ$29), MAX($BJ$7:$BJ$29), H28))), ABS($BJ$7:$BJ$29 - MEDIAN(MIN($BJ$7:$BJ$29), MAX($BJ$7:$BJ$29), H28)), $BK$7:$BK$29, "Error", 0)</f>
        <v/>
      </c>
      <c r="I29" s="232">
        <f>_xlfn.XLOOKUP(MIN(ABS($BJ$7:$BJ$29 - MEDIAN(MIN($BJ$7:$BJ$29), MAX($BJ$7:$BJ$29), I28))), ABS($BJ$7:$BJ$29 - MEDIAN(MIN($BJ$7:$BJ$29), MAX($BJ$7:$BJ$29), I28)), $BK$7:$BK$29, "Error", 0)</f>
        <v/>
      </c>
      <c r="J29" s="232">
        <f>_xlfn.XLOOKUP(MIN(ABS($BJ$7:$BJ$29 - MEDIAN(MIN($BJ$7:$BJ$29), MAX($BJ$7:$BJ$29), J28))), ABS($BJ$7:$BJ$29 - MEDIAN(MIN($BJ$7:$BJ$29), MAX($BJ$7:$BJ$29), J28)), $BK$7:$BK$29, "Error", 0)</f>
        <v/>
      </c>
      <c r="K29" s="232">
        <f>_xlfn.XLOOKUP(MIN(ABS($BJ$7:$BJ$29 - MEDIAN(MIN($BJ$7:$BJ$29), MAX($BJ$7:$BJ$29), K28))), ABS($BJ$7:$BJ$29 - MEDIAN(MIN($BJ$7:$BJ$29), MAX($BJ$7:$BJ$29), K28)), $BK$7:$BK$29, "Error", 0)</f>
        <v/>
      </c>
      <c r="L29" s="232">
        <f>_xlfn.XLOOKUP(MIN(ABS($BJ$7:$BJ$29 - MEDIAN(MIN($BJ$7:$BJ$29), MAX($BJ$7:$BJ$29), L28))), ABS($BJ$7:$BJ$29 - MEDIAN(MIN($BJ$7:$BJ$29), MAX($BJ$7:$BJ$29), L28)), $BK$7:$BK$29, "Error", 0)</f>
        <v/>
      </c>
      <c r="M29" s="232">
        <f>_xlfn.XLOOKUP(MIN(ABS($BJ$7:$BJ$29 - MEDIAN(MIN($BJ$7:$BJ$29), MAX($BJ$7:$BJ$29), M28))), ABS($BJ$7:$BJ$29 - MEDIAN(MIN($BJ$7:$BJ$29), MAX($BJ$7:$BJ$29), M28)), $BK$7:$BK$29, "Error", 0)</f>
        <v/>
      </c>
      <c r="N29" s="232">
        <f>_xlfn.XLOOKUP(MIN(ABS($BJ$7:$BJ$29 - MEDIAN(MIN($BJ$7:$BJ$29), MAX($BJ$7:$BJ$29), N28))), ABS($BJ$7:$BJ$29 - MEDIAN(MIN($BJ$7:$BJ$29), MAX($BJ$7:$BJ$29), N28)), $BK$7:$BK$29, "Error", 0)</f>
        <v/>
      </c>
      <c r="O29" s="232">
        <f>_xlfn.XLOOKUP(MIN(ABS($BJ$7:$BJ$29 - MEDIAN(MIN($BJ$7:$BJ$29), MAX($BJ$7:$BJ$29), O28))), ABS($BJ$7:$BJ$29 - MEDIAN(MIN($BJ$7:$BJ$29), MAX($BJ$7:$BJ$29), O28)), $BK$7:$BK$29, "Error", 0)</f>
        <v/>
      </c>
      <c r="P29" s="232">
        <f>_xlfn.XLOOKUP(MIN(ABS($BJ$7:$BJ$29 - MEDIAN(MIN($BJ$7:$BJ$29), MAX($BJ$7:$BJ$29), P28))), ABS($BJ$7:$BJ$29 - MEDIAN(MIN($BJ$7:$BJ$29), MAX($BJ$7:$BJ$29), P28)), $BK$7:$BK$29, "Error", 0)</f>
        <v/>
      </c>
      <c r="Q29" s="232">
        <f>_xlfn.XLOOKUP(MIN(ABS($BJ$7:$BJ$29 - MEDIAN(MIN($BJ$7:$BJ$29), MAX($BJ$7:$BJ$29), Q28))), ABS($BJ$7:$BJ$29 - MEDIAN(MIN($BJ$7:$BJ$29), MAX($BJ$7:$BJ$29), Q28)), $BK$7:$BK$29, "Error", 0)</f>
        <v/>
      </c>
      <c r="R29" s="232">
        <f>_xlfn.XLOOKUP(MIN(ABS($BJ$7:$BJ$29 - MEDIAN(MIN($BJ$7:$BJ$29), MAX($BJ$7:$BJ$29), R28))), ABS($BJ$7:$BJ$29 - MEDIAN(MIN($BJ$7:$BJ$29), MAX($BJ$7:$BJ$29), R28)), $BK$7:$BK$29, "Error", 0)</f>
        <v/>
      </c>
      <c r="S29" s="232">
        <f>_xlfn.XLOOKUP(MIN(ABS($BJ$7:$BJ$29 - MEDIAN(MIN($BJ$7:$BJ$29), MAX($BJ$7:$BJ$29), S28))), ABS($BJ$7:$BJ$29 - MEDIAN(MIN($BJ$7:$BJ$29), MAX($BJ$7:$BJ$29), S28)), $BK$7:$BK$29, "Error", 0)</f>
        <v/>
      </c>
      <c r="T29" s="232">
        <f>_xlfn.XLOOKUP(MIN(ABS($BJ$7:$BJ$29 - MEDIAN(MIN($BJ$7:$BJ$29), MAX($BJ$7:$BJ$29), T28))), ABS($BJ$7:$BJ$29 - MEDIAN(MIN($BJ$7:$BJ$29), MAX($BJ$7:$BJ$29), T28)), $BK$7:$BK$29, "Error", 0)</f>
        <v/>
      </c>
      <c r="U29" s="232">
        <f>_xlfn.XLOOKUP(MIN(ABS($BJ$7:$BJ$29 - MEDIAN(MIN($BJ$7:$BJ$29), MAX($BJ$7:$BJ$29), U28))), ABS($BJ$7:$BJ$29 - MEDIAN(MIN($BJ$7:$BJ$29), MAX($BJ$7:$BJ$29), U28)), $BK$7:$BK$29, "Error", 0)</f>
        <v/>
      </c>
      <c r="V29" s="232">
        <f>_xlfn.XLOOKUP(MIN(ABS($BJ$7:$BJ$29 - MEDIAN(MIN($BJ$7:$BJ$29), MAX($BJ$7:$BJ$29), V28))), ABS($BJ$7:$BJ$29 - MEDIAN(MIN($BJ$7:$BJ$29), MAX($BJ$7:$BJ$29), V28)), $BK$7:$BK$29, "Error", 0)</f>
        <v/>
      </c>
      <c r="W29" s="232">
        <f>_xlfn.XLOOKUP(MIN(ABS($BJ$7:$BJ$29 - MEDIAN(MIN($BJ$7:$BJ$29), MAX($BJ$7:$BJ$29), W28))), ABS($BJ$7:$BJ$29 - MEDIAN(MIN($BJ$7:$BJ$29), MAX($BJ$7:$BJ$29), W28)), $BK$7:$BK$29, "Error", 0)</f>
        <v/>
      </c>
      <c r="X29" s="232">
        <f>_xlfn.XLOOKUP(MIN(ABS($BJ$7:$BJ$29 - MEDIAN(MIN($BJ$7:$BJ$29), MAX($BJ$7:$BJ$29), X28))), ABS($BJ$7:$BJ$29 - MEDIAN(MIN($BJ$7:$BJ$29), MAX($BJ$7:$BJ$29), X28)), $BK$7:$BK$29, "Error", 0)</f>
        <v/>
      </c>
      <c r="Y29" s="232">
        <f>_xlfn.XLOOKUP(MIN(ABS($BJ$7:$BJ$29 - MEDIAN(MIN($BJ$7:$BJ$29), MAX($BJ$7:$BJ$29), Y28))), ABS($BJ$7:$BJ$29 - MEDIAN(MIN($BJ$7:$BJ$29), MAX($BJ$7:$BJ$29), Y28)), $BK$7:$BK$29, "Error", 0)</f>
        <v/>
      </c>
      <c r="Z29" s="232">
        <f>_xlfn.XLOOKUP(MIN(ABS($BJ$7:$BJ$29 - MEDIAN(MIN($BJ$7:$BJ$29), MAX($BJ$7:$BJ$29), Z28))), ABS($BJ$7:$BJ$29 - MEDIAN(MIN($BJ$7:$BJ$29), MAX($BJ$7:$BJ$29), Z28)), $BK$7:$BK$29, "Error", 0)</f>
        <v/>
      </c>
      <c r="AA29" s="232">
        <f>_xlfn.XLOOKUP(MIN(ABS($BJ$7:$BJ$29 - MEDIAN(MIN($BJ$7:$BJ$29), MAX($BJ$7:$BJ$29), AA28))), ABS($BJ$7:$BJ$29 - MEDIAN(MIN($BJ$7:$BJ$29), MAX($BJ$7:$BJ$29), AA28)), $BK$7:$BK$29, "Error", 0)</f>
        <v/>
      </c>
      <c r="AB29" s="171">
        <f>_xlfn.XLOOKUP(MIN(ABS($BJ$7:$BJ$29 - MEDIAN(MIN($BJ$7:$BJ$29), MAX($BJ$7:$BJ$29), AB28))), ABS($BJ$7:$BJ$29 - MEDIAN(MIN($BJ$7:$BJ$29), MAX($BJ$7:$BJ$29), AB28)), $BK$7:$BK$29, "Error", 0)</f>
        <v/>
      </c>
      <c r="AC29" s="171">
        <f>_xlfn.XLOOKUP(MIN(ABS($BJ$7:$BJ$29 - MEDIAN(MIN($BJ$7:$BJ$29), MAX($BJ$7:$BJ$29), AC28))), ABS($BJ$7:$BJ$29 - MEDIAN(MIN($BJ$7:$BJ$29), MAX($BJ$7:$BJ$29), AC28)), $BK$7:$BK$29, "Error", 0)</f>
        <v/>
      </c>
      <c r="AD29" s="171">
        <f>_xlfn.XLOOKUP(MIN(ABS($BJ$7:$BJ$29 - MEDIAN(MIN($BJ$7:$BJ$29), MAX($BJ$7:$BJ$29), AD28))), ABS($BJ$7:$BJ$29 - MEDIAN(MIN($BJ$7:$BJ$29), MAX($BJ$7:$BJ$29), AD28)), $BK$7:$BK$29, "Error", 0)</f>
        <v/>
      </c>
      <c r="AE29" s="171">
        <f>_xlfn.XLOOKUP(MIN(ABS($BJ$7:$BJ$29 - MEDIAN(MIN($BJ$7:$BJ$29), MAX($BJ$7:$BJ$29), AE28))), ABS($BJ$7:$BJ$29 - MEDIAN(MIN($BJ$7:$BJ$29), MAX($BJ$7:$BJ$29), AE28)), $BK$7:$BK$29, "Error", 0)</f>
        <v/>
      </c>
      <c r="AF29" s="171">
        <f>_xlfn.XLOOKUP(MIN(ABS($BJ$7:$BJ$29 - MEDIAN(MIN($BJ$7:$BJ$29), MAX($BJ$7:$BJ$29), AF28))), ABS($BJ$7:$BJ$29 - MEDIAN(MIN($BJ$7:$BJ$29), MAX($BJ$7:$BJ$29), AF28)), $BK$7:$BK$29, "Error", 0)</f>
        <v/>
      </c>
      <c r="AG29" s="171">
        <f>_xlfn.XLOOKUP(MIN(ABS($BJ$7:$BJ$29 - MEDIAN(MIN($BJ$7:$BJ$29), MAX($BJ$7:$BJ$29), AG28))), ABS($BJ$7:$BJ$29 - MEDIAN(MIN($BJ$7:$BJ$29), MAX($BJ$7:$BJ$29), AG28)), $BK$7:$BK$29, "Error", 0)</f>
        <v/>
      </c>
      <c r="AH29" s="171">
        <f>_xlfn.XLOOKUP(MIN(ABS($BJ$7:$BJ$29 - MEDIAN(MIN($BJ$7:$BJ$29), MAX($BJ$7:$BJ$29), AH28))), ABS($BJ$7:$BJ$29 - MEDIAN(MIN($BJ$7:$BJ$29), MAX($BJ$7:$BJ$29), AH28)), $BK$7:$BK$29, "Error", 0)</f>
        <v/>
      </c>
      <c r="AI29" s="171">
        <f>_xlfn.XLOOKUP(MIN(ABS($BJ$7:$BJ$29 - MEDIAN(MIN($BJ$7:$BJ$29), MAX($BJ$7:$BJ$29), AI28))), ABS($BJ$7:$BJ$29 - MEDIAN(MIN($BJ$7:$BJ$29), MAX($BJ$7:$BJ$29), AI28)), $BK$7:$BK$29, "Error", 0)</f>
        <v/>
      </c>
      <c r="AJ29" s="171">
        <f>_xlfn.XLOOKUP(MIN(ABS($BJ$7:$BJ$29 - MEDIAN(MIN($BJ$7:$BJ$29), MAX($BJ$7:$BJ$29), AJ28))), ABS($BJ$7:$BJ$29 - MEDIAN(MIN($BJ$7:$BJ$29), MAX($BJ$7:$BJ$29), AJ28)), $BK$7:$BK$29, "Error", 0)</f>
        <v/>
      </c>
      <c r="AK29" s="171">
        <f>_xlfn.XLOOKUP(MIN(ABS($BJ$7:$BJ$29 - MEDIAN(MIN($BJ$7:$BJ$29), MAX($BJ$7:$BJ$29), AK28))), ABS($BJ$7:$BJ$29 - MEDIAN(MIN($BJ$7:$BJ$29), MAX($BJ$7:$BJ$29), AK28)), $BK$7:$BK$29, "Error", 0)</f>
        <v/>
      </c>
      <c r="AL29" s="171">
        <f>_xlfn.XLOOKUP(MIN(ABS($BJ$7:$BJ$29 - MEDIAN(MIN($BJ$7:$BJ$29), MAX($BJ$7:$BJ$29), AL28))), ABS($BJ$7:$BJ$29 - MEDIAN(MIN($BJ$7:$BJ$29), MAX($BJ$7:$BJ$29), AL28)), $BK$7:$BK$29, "Error", 0)</f>
        <v/>
      </c>
      <c r="AM29" s="171">
        <f>_xlfn.XLOOKUP(MIN(ABS($BJ$7:$BJ$29 - MEDIAN(MIN($BJ$7:$BJ$29), MAX($BJ$7:$BJ$29), AM28))), ABS($BJ$7:$BJ$29 - MEDIAN(MIN($BJ$7:$BJ$29), MAX($BJ$7:$BJ$29), AM28)), $BK$7:$BK$29, "Error", 0)</f>
        <v/>
      </c>
      <c r="AN29" s="171">
        <f>_xlfn.XLOOKUP(MIN(ABS($BJ$7:$BJ$29 - MEDIAN(MIN($BJ$7:$BJ$29), MAX($BJ$7:$BJ$29), AN28))), ABS($BJ$7:$BJ$29 - MEDIAN(MIN($BJ$7:$BJ$29), MAX($BJ$7:$BJ$29), AN28)), $BK$7:$BK$29, "Error", 0)</f>
        <v/>
      </c>
      <c r="AO29" s="171">
        <f>_xlfn.XLOOKUP(MIN(ABS($BJ$7:$BJ$29 - MEDIAN(MIN($BJ$7:$BJ$29), MAX($BJ$7:$BJ$29), AO28))), ABS($BJ$7:$BJ$29 - MEDIAN(MIN($BJ$7:$BJ$29), MAX($BJ$7:$BJ$29), AO28)), $BK$7:$BK$29, "Error", 0)</f>
        <v/>
      </c>
      <c r="AP29" s="171">
        <f>_xlfn.XLOOKUP(MIN(ABS($BJ$7:$BJ$29 - MEDIAN(MIN($BJ$7:$BJ$29), MAX($BJ$7:$BJ$29), AP28))), ABS($BJ$7:$BJ$29 - MEDIAN(MIN($BJ$7:$BJ$29), MAX($BJ$7:$BJ$29), AP28)), $BK$7:$BK$29, "Error", 0)</f>
        <v/>
      </c>
      <c r="AQ29" s="171">
        <f>_xlfn.XLOOKUP(MIN(ABS($BJ$7:$BJ$29 - MEDIAN(MIN($BJ$7:$BJ$29), MAX($BJ$7:$BJ$29), AQ28))), ABS($BJ$7:$BJ$29 - MEDIAN(MIN($BJ$7:$BJ$29), MAX($BJ$7:$BJ$29), AQ28)), $BK$7:$BK$29, "Error", 0)</f>
        <v/>
      </c>
      <c r="AR29" s="171">
        <f>_xlfn.XLOOKUP(MIN(ABS($BJ$7:$BJ$29 - MEDIAN(MIN($BJ$7:$BJ$29), MAX($BJ$7:$BJ$29), AR28))), ABS($BJ$7:$BJ$29 - MEDIAN(MIN($BJ$7:$BJ$29), MAX($BJ$7:$BJ$29), AR28)), $BK$7:$BK$29, "Error", 0)</f>
        <v/>
      </c>
      <c r="AS29" s="171">
        <f>_xlfn.XLOOKUP(MIN(ABS($BJ$7:$BJ$29 - MEDIAN(MIN($BJ$7:$BJ$29), MAX($BJ$7:$BJ$29), AS28))), ABS($BJ$7:$BJ$29 - MEDIAN(MIN($BJ$7:$BJ$29), MAX($BJ$7:$BJ$29), AS28)), $BK$7:$BK$29, "Error", 0)</f>
        <v/>
      </c>
      <c r="AT29" s="171">
        <f>_xlfn.XLOOKUP(MIN(ABS($BJ$7:$BJ$29 - MEDIAN(MIN($BJ$7:$BJ$29), MAX($BJ$7:$BJ$29), AT28))), ABS($BJ$7:$BJ$29 - MEDIAN(MIN($BJ$7:$BJ$29), MAX($BJ$7:$BJ$29), AT28)), $BK$7:$BK$29, "Error", 0)</f>
        <v/>
      </c>
      <c r="AU29" s="171">
        <f>_xlfn.XLOOKUP(MIN(ABS($BJ$7:$BJ$29 - MEDIAN(MIN($BJ$7:$BJ$29), MAX($BJ$7:$BJ$29), AU28))), ABS($BJ$7:$BJ$29 - MEDIAN(MIN($BJ$7:$BJ$29), MAX($BJ$7:$BJ$29), AU28)), $BK$7:$BK$29, "Error", 0)</f>
        <v/>
      </c>
      <c r="AV29" s="206">
        <f>_xlfn.XLOOKUP(MIN(ABS($BJ$7:$BJ$29 - MEDIAN(MIN($BJ$7:$BJ$29), MAX($BJ$7:$BJ$29), AV28))), ABS($BJ$7:$BJ$29 - MEDIAN(MIN($BJ$7:$BJ$29), MAX($BJ$7:$BJ$29), AV28)), $BK$7:$BK$29, "Error", 0)</f>
        <v/>
      </c>
      <c r="AW29" s="184">
        <f>_xlfn.XLOOKUP(MIN(ABS($BJ$7:$BJ$29 - MEDIAN(MIN($BJ$7:$BJ$29), MAX($BJ$7:$BJ$29), AW28))), ABS($BJ$7:$BJ$29 - MEDIAN(MIN($BJ$7:$BJ$29), MAX($BJ$7:$BJ$29), AW28)), $BK$7:$BK$29, "Error", 0)</f>
        <v/>
      </c>
      <c r="AX29" s="184">
        <f>_xlfn.XLOOKUP(MIN(ABS($BJ$7:$BJ$29 - MEDIAN(MIN($BJ$7:$BJ$29), MAX($BJ$7:$BJ$29), AX28))), ABS($BJ$7:$BJ$29 - MEDIAN(MIN($BJ$7:$BJ$29), MAX($BJ$7:$BJ$29), AX28)), $BK$7:$BK$29, "Error", 0)</f>
        <v/>
      </c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6637.088161207736</v>
      </c>
      <c r="D30" s="233" t="n">
        <v>6637.088161207736</v>
      </c>
      <c r="E30" s="233" t="n">
        <v>6637.088161207736</v>
      </c>
      <c r="F30" s="233" t="n">
        <v>6637.088161207736</v>
      </c>
      <c r="G30" s="233" t="n">
        <v>6637.088161207736</v>
      </c>
      <c r="H30" s="233" t="n">
        <v>6637.088161207736</v>
      </c>
      <c r="I30" s="233" t="n">
        <v>6637.088161207736</v>
      </c>
      <c r="J30" s="233" t="n">
        <v>6637.088161207736</v>
      </c>
      <c r="K30" s="233" t="n">
        <v>6637.088161207736</v>
      </c>
      <c r="L30" s="233" t="n">
        <v>6637.088161207736</v>
      </c>
      <c r="M30" s="233" t="n">
        <v>6637.088161207736</v>
      </c>
      <c r="N30" s="233" t="n">
        <v>6637.088161207736</v>
      </c>
      <c r="O30" s="233" t="n">
        <v>6637.088161207736</v>
      </c>
      <c r="P30" s="233" t="n">
        <v>6637.088161207736</v>
      </c>
      <c r="Q30" s="233" t="n">
        <v>6637.088161207736</v>
      </c>
      <c r="R30" s="233" t="n">
        <v>6637.088161207736</v>
      </c>
      <c r="S30" s="233" t="n">
        <v>6637.088161207736</v>
      </c>
      <c r="T30" s="233" t="n">
        <v>6637.088161207736</v>
      </c>
      <c r="U30" s="233" t="n">
        <v>6637.088161207736</v>
      </c>
      <c r="V30" s="233" t="n">
        <v>6637.088161207736</v>
      </c>
      <c r="W30" s="233" t="n">
        <v>6637.088161207736</v>
      </c>
      <c r="X30" s="233" t="n">
        <v>6637.088161207736</v>
      </c>
      <c r="Y30" s="233" t="n">
        <v>6637.088161207736</v>
      </c>
      <c r="Z30" s="233" t="n">
        <v>6637.088161207736</v>
      </c>
      <c r="AA30" s="204" t="n">
        <v>6637.088161207736</v>
      </c>
      <c r="AB30" s="204" t="n">
        <v>6637.088161207736</v>
      </c>
      <c r="AC30" s="204" t="n">
        <v>6637.088161207736</v>
      </c>
      <c r="AD30" s="204" t="n">
        <v>6637.088161207736</v>
      </c>
      <c r="AE30" s="204" t="n">
        <v>6637.088161207736</v>
      </c>
      <c r="AF30" s="204" t="n">
        <v>6637.088161207736</v>
      </c>
      <c r="AG30" s="204" t="n">
        <v>6637.088161207736</v>
      </c>
      <c r="AH30" s="204" t="n">
        <v>6637.088161207736</v>
      </c>
      <c r="AI30" s="204" t="n">
        <v>6637.088161207736</v>
      </c>
      <c r="AJ30" s="204" t="n">
        <v>6689.547161041119</v>
      </c>
      <c r="AK30" s="204" t="n">
        <v>6732.226471618284</v>
      </c>
      <c r="AL30" s="204" t="n">
        <v>6836.699199232506</v>
      </c>
      <c r="AM30" s="204" t="n">
        <v>7199.343300989014</v>
      </c>
      <c r="AN30" s="204" t="n">
        <v>7293.592032170855</v>
      </c>
      <c r="AO30" s="204" t="n">
        <v>7293.592032170855</v>
      </c>
      <c r="AP30" s="204" t="n">
        <v>7293.592032170855</v>
      </c>
      <c r="AQ30" s="204" t="n">
        <v>7293.592032170855</v>
      </c>
      <c r="AR30" s="204" t="n">
        <v>7319.704428330646</v>
      </c>
      <c r="AS30" s="204" t="n">
        <v>7401.728736294899</v>
      </c>
      <c r="AT30" s="204" t="n">
        <v>7597.389203370665</v>
      </c>
      <c r="AU30" s="204" t="n">
        <v>7597.389203370665</v>
      </c>
      <c r="AV30" s="200" t="n">
        <v>7597.389203370665</v>
      </c>
      <c r="AW30" s="184" t="n">
        <v>7597.389203370665</v>
      </c>
      <c r="AX30" s="184" t="n">
        <v>7597.389203370665</v>
      </c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4517.632480106084</v>
      </c>
      <c r="D31" s="233" t="n">
        <v>4497.431823253166</v>
      </c>
      <c r="E31" s="233" t="n">
        <v>4705.410567823914</v>
      </c>
      <c r="F31" s="233" t="n">
        <v>4809.211983523041</v>
      </c>
      <c r="G31" s="233" t="n">
        <v>4527.251554935123</v>
      </c>
      <c r="H31" s="233" t="n">
        <v>4780.943861039355</v>
      </c>
      <c r="I31" s="233" t="n">
        <v>4929.290294646577</v>
      </c>
      <c r="J31" s="233" t="n">
        <v>4697.835491719015</v>
      </c>
      <c r="K31" s="233" t="n">
        <v>4409.464286518283</v>
      </c>
      <c r="L31" s="233" t="n">
        <v>4310.893338315538</v>
      </c>
      <c r="M31" s="233" t="n">
        <v>4809.189374820387</v>
      </c>
      <c r="N31" s="233" t="n">
        <v>5004.648714315146</v>
      </c>
      <c r="O31" s="233" t="n">
        <v>5040.445839990221</v>
      </c>
      <c r="P31" s="233" t="n">
        <v>5286.925254135509</v>
      </c>
      <c r="Q31" s="233" t="n">
        <v>5496.896587371128</v>
      </c>
      <c r="R31" s="233" t="n">
        <v>5273.43272319634</v>
      </c>
      <c r="S31" s="233" t="n">
        <v>5400.01086849696</v>
      </c>
      <c r="T31" s="233" t="n">
        <v>5240.747991300537</v>
      </c>
      <c r="U31" s="233" t="n">
        <v>5270.607035711815</v>
      </c>
      <c r="V31" s="233" t="n">
        <v>5493.667202148179</v>
      </c>
      <c r="W31" s="233" t="n">
        <v>5585.410391576588</v>
      </c>
      <c r="X31" s="233" t="n">
        <v>5242.409368642489</v>
      </c>
      <c r="Y31" s="233" t="n">
        <v>5074.891837630072</v>
      </c>
      <c r="Z31" s="233" t="n">
        <v>5078.355730444891</v>
      </c>
      <c r="AA31" s="204" t="n">
        <v>5496.906503319042</v>
      </c>
      <c r="AB31" s="204" t="n">
        <v>5679.414339352516</v>
      </c>
      <c r="AC31" s="204" t="n">
        <v>5680.813500807679</v>
      </c>
      <c r="AD31" s="204" t="n">
        <v>5877.110349409399</v>
      </c>
      <c r="AE31" s="204" t="n">
        <v>6106.307967695408</v>
      </c>
      <c r="AF31" s="204" t="n">
        <v>6219.3503090085</v>
      </c>
      <c r="AG31" s="204" t="n">
        <v>6080.325412741397</v>
      </c>
      <c r="AH31" s="204" t="n">
        <v>6251.655635809817</v>
      </c>
      <c r="AI31" s="204" t="n">
        <v>6487.441231449135</v>
      </c>
      <c r="AJ31" s="204" t="n">
        <v>6552.377200694871</v>
      </c>
      <c r="AK31" s="204" t="n">
        <v>6574.993133564247</v>
      </c>
      <c r="AL31" s="204" t="n">
        <v>6823.819443592452</v>
      </c>
      <c r="AM31" s="204" t="n">
        <v>7116.989038414904</v>
      </c>
      <c r="AN31" s="204" t="n">
        <v>7245.184516673908</v>
      </c>
      <c r="AO31" s="204" t="n">
        <v>6382.912703547394</v>
      </c>
      <c r="AP31" s="204" t="n">
        <v>6872.367863245541</v>
      </c>
      <c r="AQ31" s="204" t="n">
        <v>7050.59628375771</v>
      </c>
      <c r="AR31" s="204" t="n">
        <v>7227.972087662201</v>
      </c>
      <c r="AS31" s="204" t="n">
        <v>7326.66890296014</v>
      </c>
      <c r="AT31" s="204" t="n">
        <v>7440.29925860744</v>
      </c>
      <c r="AU31" s="204" t="n">
        <v>7190.885314125335</v>
      </c>
      <c r="AV31" s="201" t="n">
        <v>7190.885314125335</v>
      </c>
      <c r="AW31" s="184" t="n">
        <v>7190.885314125335</v>
      </c>
      <c r="AX31" s="184" t="n">
        <v>7190.885314125335</v>
      </c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>
        <f>+(AV31-AV30)/AV30</f>
        <v/>
      </c>
      <c r="AW32" s="184">
        <f>+(AW31-AW30)/AW30</f>
        <v/>
      </c>
      <c r="AX32" s="184">
        <f>+(AX31-AX30)/AX30</f>
        <v/>
      </c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4572.81982421875</v>
      </c>
      <c r="D33" s="233" t="n">
        <v>4572.81982421875</v>
      </c>
      <c r="E33" s="233" t="n">
        <v>4572.81982421875</v>
      </c>
      <c r="F33" s="233" t="n">
        <v>4572.81982421875</v>
      </c>
      <c r="G33" s="233" t="n">
        <v>4572.81982421875</v>
      </c>
      <c r="H33" s="233" t="n">
        <v>4572.81982421875</v>
      </c>
      <c r="I33" s="233" t="n">
        <v>4572.81982421875</v>
      </c>
      <c r="J33" s="233" t="n">
        <v>4572.81982421875</v>
      </c>
      <c r="K33" s="233" t="n">
        <v>4572.81982421875</v>
      </c>
      <c r="L33" s="233" t="n">
        <v>4572.81982421875</v>
      </c>
      <c r="M33" s="233" t="n">
        <v>4572.81982421875</v>
      </c>
      <c r="N33" s="233" t="n">
        <v>4572.81982421875</v>
      </c>
      <c r="O33" s="233" t="n">
        <v>4667.419921875</v>
      </c>
      <c r="P33" s="233" t="n">
        <v>4887.85009765625</v>
      </c>
      <c r="Q33" s="233" t="n">
        <v>5095.10986328125</v>
      </c>
      <c r="R33" s="233" t="n">
        <v>5095.10986328125</v>
      </c>
      <c r="S33" s="233" t="n">
        <v>5102.2998046875</v>
      </c>
      <c r="T33" s="233" t="n">
        <v>5102.2998046875</v>
      </c>
      <c r="U33" s="233" t="n">
        <v>5102.2998046875</v>
      </c>
      <c r="V33" s="233" t="n">
        <v>5102.2998046875</v>
      </c>
      <c r="W33" s="233" t="n">
        <v>5102.2998046875</v>
      </c>
      <c r="X33" s="233" t="n">
        <v>5102.2998046875</v>
      </c>
      <c r="Y33" s="233" t="n">
        <v>5102.2998046875</v>
      </c>
      <c r="Z33" s="233" t="n">
        <v>5102.2998046875</v>
      </c>
      <c r="AA33" s="231" t="n">
        <v>5285.22021484375</v>
      </c>
      <c r="AB33" s="203" t="n">
        <v>5544.1201171875</v>
      </c>
      <c r="AC33" s="203" t="n">
        <v>5568.18994140625</v>
      </c>
      <c r="AD33" s="203" t="n">
        <v>5568.18994140625</v>
      </c>
      <c r="AE33" s="203" t="n">
        <v>5568.18994140625</v>
      </c>
      <c r="AF33" s="203" t="n">
        <v>5568.18994140625</v>
      </c>
      <c r="AG33" s="203" t="n">
        <v>5568.18994140625</v>
      </c>
      <c r="AH33" s="203" t="n">
        <v>5568.18994140625</v>
      </c>
      <c r="AI33" s="203" t="n">
        <v>5568.18994140625</v>
      </c>
      <c r="AJ33" s="203" t="n">
        <v>5734.27978515625</v>
      </c>
      <c r="AK33" s="203" t="n">
        <v>5804.66015625</v>
      </c>
      <c r="AL33" s="203" t="n">
        <v>5804.66015625</v>
      </c>
      <c r="AM33" s="203" t="n">
        <v>6053.68017578125</v>
      </c>
      <c r="AN33" s="203" t="n">
        <v>6176.8701171875</v>
      </c>
      <c r="AO33" s="203" t="n">
        <v>6176.8701171875</v>
      </c>
      <c r="AP33" s="203" t="n">
        <v>6176.8701171875</v>
      </c>
      <c r="AQ33" s="203" t="n">
        <v>6176.8701171875</v>
      </c>
      <c r="AR33" s="203" t="n">
        <v>6334.5498046875</v>
      </c>
      <c r="AS33" s="203" t="n">
        <v>6421.740234375</v>
      </c>
      <c r="AT33" s="203" t="n">
        <v>6576.2998046875</v>
      </c>
      <c r="AU33" s="203" t="n">
        <v>6576.2998046875</v>
      </c>
      <c r="AV33" s="201" t="n">
        <v>6576.2998046875</v>
      </c>
      <c r="AW33" s="184" t="n">
        <v>6576.2998046875</v>
      </c>
      <c r="AX33" s="184" t="n">
        <v>6576.2998046875</v>
      </c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4521.64990234375</v>
      </c>
      <c r="O34" s="233" t="n">
        <v>4648.39990234375</v>
      </c>
      <c r="P34" s="233" t="n">
        <v>4877.77001953125</v>
      </c>
      <c r="Q34" s="233" t="n">
        <v>5083.419921875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4869.27978515625</v>
      </c>
      <c r="AA34" s="231" t="n">
        <v>5286.8701171875</v>
      </c>
      <c r="AB34" s="203" t="n">
        <v>5463.5400390625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5662.0400390625</v>
      </c>
      <c r="AK34" s="203" t="n">
        <v>5668.169921875</v>
      </c>
      <c r="AL34" s="203" t="n">
        <v>5796.22021484375</v>
      </c>
      <c r="AM34" s="203" t="n">
        <v>5947.81005859375</v>
      </c>
      <c r="AN34" s="203" t="n">
        <v>6138.41015625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6328.08984375</v>
      </c>
      <c r="AS34" s="203" t="n">
        <v>6358.009765625</v>
      </c>
      <c r="AT34" s="203" t="n">
        <v>6420.16015625</v>
      </c>
      <c r="AU34" s="203" t="n">
        <v>6343.080078125</v>
      </c>
      <c r="AV34" s="201" t="n">
        <v>6343.080078125</v>
      </c>
      <c r="AW34" s="184" t="n">
        <v>6343.080078125</v>
      </c>
      <c r="AX34" s="184" t="n">
        <v>6343.080078125</v>
      </c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>
        <f>+(AV34-AV33)/AV33</f>
        <v/>
      </c>
      <c r="AW35" s="184">
        <f>+(AW34-AW33)/AW33</f>
        <v/>
      </c>
      <c r="AX35" s="184">
        <f>+(AX34-AX33)/AX33</f>
        <v/>
      </c>
      <c r="AY35" s="184" t="n"/>
    </row>
    <row r="36" ht="22" customHeight="1">
      <c r="A36" s="303" t="n"/>
      <c r="B36" s="201" t="inlineStr">
        <is>
          <t>real % change</t>
        </is>
      </c>
      <c r="C36" s="230">
        <f>+C35-C32</f>
        <v/>
      </c>
      <c r="D36" s="230">
        <f>+D35-D32</f>
        <v/>
      </c>
      <c r="E36" s="230">
        <f>+E35-E32</f>
        <v/>
      </c>
      <c r="F36" s="230">
        <f>+F35-F32</f>
        <v/>
      </c>
      <c r="G36" s="230">
        <f>+G35-G32</f>
        <v/>
      </c>
      <c r="H36" s="230">
        <f>+H35-H32</f>
        <v/>
      </c>
      <c r="I36" s="230">
        <f>+I35-I32</f>
        <v/>
      </c>
      <c r="J36" s="230">
        <f>+J35-J32</f>
        <v/>
      </c>
      <c r="K36" s="230">
        <f>+K35-K32</f>
        <v/>
      </c>
      <c r="L36" s="230">
        <f>+L35-L32</f>
        <v/>
      </c>
      <c r="M36" s="230">
        <f>+M35-M32</f>
        <v/>
      </c>
      <c r="N36" s="230">
        <f>+N35-N32</f>
        <v/>
      </c>
      <c r="O36" s="230">
        <f>+O35-O32</f>
        <v/>
      </c>
      <c r="P36" s="230">
        <f>+P35-P32</f>
        <v/>
      </c>
      <c r="Q36" s="230">
        <f>+Q35-Q32</f>
        <v/>
      </c>
      <c r="R36" s="230">
        <f>+R35-R32</f>
        <v/>
      </c>
      <c r="S36" s="230">
        <f>+S35-S32</f>
        <v/>
      </c>
      <c r="T36" s="230">
        <f>+T35-T32</f>
        <v/>
      </c>
      <c r="U36" s="230">
        <f>+U35-U32</f>
        <v/>
      </c>
      <c r="V36" s="230">
        <f>+V35-V32</f>
        <v/>
      </c>
      <c r="W36" s="230">
        <f>+W35-W32</f>
        <v/>
      </c>
      <c r="X36" s="230">
        <f>+X35-X32</f>
        <v/>
      </c>
      <c r="Y36" s="230">
        <f>+Y35-Y32</f>
        <v/>
      </c>
      <c r="Z36" s="230">
        <f>+Z35-Z32</f>
        <v/>
      </c>
      <c r="AA36" s="230">
        <f>+AA35-AA32</f>
        <v/>
      </c>
      <c r="AB36" s="205">
        <f>+AB35-AB32</f>
        <v/>
      </c>
      <c r="AC36" s="205">
        <f>+AC35-AC32</f>
        <v/>
      </c>
      <c r="AD36" s="205">
        <f>+AD35-AD32</f>
        <v/>
      </c>
      <c r="AE36" s="205">
        <f>+AE35-AE32</f>
        <v/>
      </c>
      <c r="AF36" s="205">
        <f>+AF35-AF32</f>
        <v/>
      </c>
      <c r="AG36" s="205">
        <f>+AG35-AG32</f>
        <v/>
      </c>
      <c r="AH36" s="205">
        <f>+AH35-AH32</f>
        <v/>
      </c>
      <c r="AI36" s="205">
        <f>+AI35-AI32</f>
        <v/>
      </c>
      <c r="AJ36" s="205">
        <f>+AJ35-AJ32</f>
        <v/>
      </c>
      <c r="AK36" s="205">
        <f>+AK35-AK32</f>
        <v/>
      </c>
      <c r="AL36" s="205">
        <f>+AL35-AL32</f>
        <v/>
      </c>
      <c r="AM36" s="205">
        <f>+AM35-AM32</f>
        <v/>
      </c>
      <c r="AN36" s="205">
        <f>+AN35-AN32</f>
        <v/>
      </c>
      <c r="AO36" s="205">
        <f>+AO35-AO32</f>
        <v/>
      </c>
      <c r="AP36" s="205">
        <f>+AP35-AP32</f>
        <v/>
      </c>
      <c r="AQ36" s="205">
        <f>+AQ35-AQ32</f>
        <v/>
      </c>
      <c r="AR36" s="205">
        <f>+AR35-AR32</f>
        <v/>
      </c>
      <c r="AS36" s="205">
        <f>+AS35-AS32</f>
        <v/>
      </c>
      <c r="AT36" s="205">
        <f>+AT35-AT32</f>
        <v/>
      </c>
      <c r="AU36" s="205">
        <f>+AU35-AU32</f>
        <v/>
      </c>
      <c r="AV36" s="201">
        <f>+AV35-AV32</f>
        <v/>
      </c>
      <c r="AW36" s="184">
        <f>+AW35-AW32</f>
        <v/>
      </c>
      <c r="AX36" s="184">
        <f>+AX35-AX32</f>
        <v/>
      </c>
      <c r="AY36" s="184" t="n"/>
    </row>
    <row r="37" ht="22" customHeight="1">
      <c r="A37" s="304" t="n"/>
      <c r="B37" s="206" t="inlineStr">
        <is>
          <t>Rating</t>
        </is>
      </c>
      <c r="C37" s="232">
        <f>_xlfn.XLOOKUP(MIN(ABS($BJ$7:$BJ$29 - MEDIAN(MIN($BJ$7:$BJ$29), MAX($BJ$7:$BJ$29), C36))), ABS($BJ$7:$BJ$29 - MEDIAN(MIN($BJ$7:$BJ$29), MAX($BJ$7:$BJ$29), C36)), $BK$7:$BK$29, "Error", 0)</f>
        <v/>
      </c>
      <c r="D37" s="232">
        <f>_xlfn.XLOOKUP(MIN(ABS($BJ$7:$BJ$29 - MEDIAN(MIN($BJ$7:$BJ$29), MAX($BJ$7:$BJ$29), D36))), ABS($BJ$7:$BJ$29 - MEDIAN(MIN($BJ$7:$BJ$29), MAX($BJ$7:$BJ$29), D36)), $BK$7:$BK$29, "Error", 0)</f>
        <v/>
      </c>
      <c r="E37" s="232">
        <f>_xlfn.XLOOKUP(MIN(ABS($BJ$7:$BJ$29 - MEDIAN(MIN($BJ$7:$BJ$29), MAX($BJ$7:$BJ$29), E36))), ABS($BJ$7:$BJ$29 - MEDIAN(MIN($BJ$7:$BJ$29), MAX($BJ$7:$BJ$29), E36)), $BK$7:$BK$29, "Error", 0)</f>
        <v/>
      </c>
      <c r="F37" s="232">
        <f>_xlfn.XLOOKUP(MIN(ABS($BJ$7:$BJ$29 - MEDIAN(MIN($BJ$7:$BJ$29), MAX($BJ$7:$BJ$29), F36))), ABS($BJ$7:$BJ$29 - MEDIAN(MIN($BJ$7:$BJ$29), MAX($BJ$7:$BJ$29), F36)), $BK$7:$BK$29, "Error", 0)</f>
        <v/>
      </c>
      <c r="G37" s="232">
        <f>_xlfn.XLOOKUP(MIN(ABS($BJ$7:$BJ$29 - MEDIAN(MIN($BJ$7:$BJ$29), MAX($BJ$7:$BJ$29), G36))), ABS($BJ$7:$BJ$29 - MEDIAN(MIN($BJ$7:$BJ$29), MAX($BJ$7:$BJ$29), G36)), $BK$7:$BK$29, "Error", 0)</f>
        <v/>
      </c>
      <c r="H37" s="232">
        <f>_xlfn.XLOOKUP(MIN(ABS($BJ$7:$BJ$29 - MEDIAN(MIN($BJ$7:$BJ$29), MAX($BJ$7:$BJ$29), H36))), ABS($BJ$7:$BJ$29 - MEDIAN(MIN($BJ$7:$BJ$29), MAX($BJ$7:$BJ$29), H36)), $BK$7:$BK$29, "Error", 0)</f>
        <v/>
      </c>
      <c r="I37" s="232">
        <f>_xlfn.XLOOKUP(MIN(ABS($BJ$7:$BJ$29 - MEDIAN(MIN($BJ$7:$BJ$29), MAX($BJ$7:$BJ$29), I36))), ABS($BJ$7:$BJ$29 - MEDIAN(MIN($BJ$7:$BJ$29), MAX($BJ$7:$BJ$29), I36)), $BK$7:$BK$29, "Error", 0)</f>
        <v/>
      </c>
      <c r="J37" s="232">
        <f>_xlfn.XLOOKUP(MIN(ABS($BJ$7:$BJ$29 - MEDIAN(MIN($BJ$7:$BJ$29), MAX($BJ$7:$BJ$29), J36))), ABS($BJ$7:$BJ$29 - MEDIAN(MIN($BJ$7:$BJ$29), MAX($BJ$7:$BJ$29), J36)), $BK$7:$BK$29, "Error", 0)</f>
        <v/>
      </c>
      <c r="K37" s="232">
        <f>_xlfn.XLOOKUP(MIN(ABS($BJ$7:$BJ$29 - MEDIAN(MIN($BJ$7:$BJ$29), MAX($BJ$7:$BJ$29), K36))), ABS($BJ$7:$BJ$29 - MEDIAN(MIN($BJ$7:$BJ$29), MAX($BJ$7:$BJ$29), K36)), $BK$7:$BK$29, "Error", 0)</f>
        <v/>
      </c>
      <c r="L37" s="232">
        <f>_xlfn.XLOOKUP(MIN(ABS($BJ$7:$BJ$29 - MEDIAN(MIN($BJ$7:$BJ$29), MAX($BJ$7:$BJ$29), L36))), ABS($BJ$7:$BJ$29 - MEDIAN(MIN($BJ$7:$BJ$29), MAX($BJ$7:$BJ$29), L36)), $BK$7:$BK$29, "Error", 0)</f>
        <v/>
      </c>
      <c r="M37" s="232">
        <f>_xlfn.XLOOKUP(MIN(ABS($BJ$7:$BJ$29 - MEDIAN(MIN($BJ$7:$BJ$29), MAX($BJ$7:$BJ$29), M36))), ABS($BJ$7:$BJ$29 - MEDIAN(MIN($BJ$7:$BJ$29), MAX($BJ$7:$BJ$29), M36)), $BK$7:$BK$29, "Error", 0)</f>
        <v/>
      </c>
      <c r="N37" s="232">
        <f>_xlfn.XLOOKUP(MIN(ABS($BJ$7:$BJ$29 - MEDIAN(MIN($BJ$7:$BJ$29), MAX($BJ$7:$BJ$29), N36))), ABS($BJ$7:$BJ$29 - MEDIAN(MIN($BJ$7:$BJ$29), MAX($BJ$7:$BJ$29), N36)), $BK$7:$BK$29, "Error", 0)</f>
        <v/>
      </c>
      <c r="O37" s="232">
        <f>_xlfn.XLOOKUP(MIN(ABS($BJ$7:$BJ$29 - MEDIAN(MIN($BJ$7:$BJ$29), MAX($BJ$7:$BJ$29), O36))), ABS($BJ$7:$BJ$29 - MEDIAN(MIN($BJ$7:$BJ$29), MAX($BJ$7:$BJ$29), O36)), $BK$7:$BK$29, "Error", 0)</f>
        <v/>
      </c>
      <c r="P37" s="232">
        <f>_xlfn.XLOOKUP(MIN(ABS($BJ$7:$BJ$29 - MEDIAN(MIN($BJ$7:$BJ$29), MAX($BJ$7:$BJ$29), P36))), ABS($BJ$7:$BJ$29 - MEDIAN(MIN($BJ$7:$BJ$29), MAX($BJ$7:$BJ$29), P36)), $BK$7:$BK$29, "Error", 0)</f>
        <v/>
      </c>
      <c r="Q37" s="232">
        <f>_xlfn.XLOOKUP(MIN(ABS($BJ$7:$BJ$29 - MEDIAN(MIN($BJ$7:$BJ$29), MAX($BJ$7:$BJ$29), Q36))), ABS($BJ$7:$BJ$29 - MEDIAN(MIN($BJ$7:$BJ$29), MAX($BJ$7:$BJ$29), Q36)), $BK$7:$BK$29, "Error", 0)</f>
        <v/>
      </c>
      <c r="R37" s="232">
        <f>_xlfn.XLOOKUP(MIN(ABS($BJ$7:$BJ$29 - MEDIAN(MIN($BJ$7:$BJ$29), MAX($BJ$7:$BJ$29), R36))), ABS($BJ$7:$BJ$29 - MEDIAN(MIN($BJ$7:$BJ$29), MAX($BJ$7:$BJ$29), R36)), $BK$7:$BK$29, "Error", 0)</f>
        <v/>
      </c>
      <c r="S37" s="232">
        <f>_xlfn.XLOOKUP(MIN(ABS($BJ$7:$BJ$29 - MEDIAN(MIN($BJ$7:$BJ$29), MAX($BJ$7:$BJ$29), S36))), ABS($BJ$7:$BJ$29 - MEDIAN(MIN($BJ$7:$BJ$29), MAX($BJ$7:$BJ$29), S36)), $BK$7:$BK$29, "Error", 0)</f>
        <v/>
      </c>
      <c r="T37" s="232">
        <f>_xlfn.XLOOKUP(MIN(ABS($BJ$7:$BJ$29 - MEDIAN(MIN($BJ$7:$BJ$29), MAX($BJ$7:$BJ$29), T36))), ABS($BJ$7:$BJ$29 - MEDIAN(MIN($BJ$7:$BJ$29), MAX($BJ$7:$BJ$29), T36)), $BK$7:$BK$29, "Error", 0)</f>
        <v/>
      </c>
      <c r="U37" s="232">
        <f>_xlfn.XLOOKUP(MIN(ABS($BJ$7:$BJ$29 - MEDIAN(MIN($BJ$7:$BJ$29), MAX($BJ$7:$BJ$29), U36))), ABS($BJ$7:$BJ$29 - MEDIAN(MIN($BJ$7:$BJ$29), MAX($BJ$7:$BJ$29), U36)), $BK$7:$BK$29, "Error", 0)</f>
        <v/>
      </c>
      <c r="V37" s="232">
        <f>_xlfn.XLOOKUP(MIN(ABS($BJ$7:$BJ$29 - MEDIAN(MIN($BJ$7:$BJ$29), MAX($BJ$7:$BJ$29), V36))), ABS($BJ$7:$BJ$29 - MEDIAN(MIN($BJ$7:$BJ$29), MAX($BJ$7:$BJ$29), V36)), $BK$7:$BK$29, "Error", 0)</f>
        <v/>
      </c>
      <c r="W37" s="232">
        <f>_xlfn.XLOOKUP(MIN(ABS($BJ$7:$BJ$29 - MEDIAN(MIN($BJ$7:$BJ$29), MAX($BJ$7:$BJ$29), W36))), ABS($BJ$7:$BJ$29 - MEDIAN(MIN($BJ$7:$BJ$29), MAX($BJ$7:$BJ$29), W36)), $BK$7:$BK$29, "Error", 0)</f>
        <v/>
      </c>
      <c r="X37" s="232">
        <f>_xlfn.XLOOKUP(MIN(ABS($BJ$7:$BJ$29 - MEDIAN(MIN($BJ$7:$BJ$29), MAX($BJ$7:$BJ$29), X36))), ABS($BJ$7:$BJ$29 - MEDIAN(MIN($BJ$7:$BJ$29), MAX($BJ$7:$BJ$29), X36)), $BK$7:$BK$29, "Error", 0)</f>
        <v/>
      </c>
      <c r="Y37" s="232">
        <f>_xlfn.XLOOKUP(MIN(ABS($BJ$7:$BJ$29 - MEDIAN(MIN($BJ$7:$BJ$29), MAX($BJ$7:$BJ$29), Y36))), ABS($BJ$7:$BJ$29 - MEDIAN(MIN($BJ$7:$BJ$29), MAX($BJ$7:$BJ$29), Y36)), $BK$7:$BK$29, "Error", 0)</f>
        <v/>
      </c>
      <c r="Z37" s="232">
        <f>_xlfn.XLOOKUP(MIN(ABS($BJ$7:$BJ$29 - MEDIAN(MIN($BJ$7:$BJ$29), MAX($BJ$7:$BJ$29), Z36))), ABS($BJ$7:$BJ$29 - MEDIAN(MIN($BJ$7:$BJ$29), MAX($BJ$7:$BJ$29), Z36)), $BK$7:$BK$29, "Error", 0)</f>
        <v/>
      </c>
      <c r="AA37" s="232">
        <f>_xlfn.XLOOKUP(MIN(ABS($BJ$7:$BJ$29 - MEDIAN(MIN($BJ$7:$BJ$29), MAX($BJ$7:$BJ$29), AA36))), ABS($BJ$7:$BJ$29 - MEDIAN(MIN($BJ$7:$BJ$29), MAX($BJ$7:$BJ$29), AA36)), $BK$7:$BK$29, "Error", 0)</f>
        <v/>
      </c>
      <c r="AB37" s="171">
        <f>_xlfn.XLOOKUP(MIN(ABS($BJ$7:$BJ$29 - MEDIAN(MIN($BJ$7:$BJ$29), MAX($BJ$7:$BJ$29), AB36))), ABS($BJ$7:$BJ$29 - MEDIAN(MIN($BJ$7:$BJ$29), MAX($BJ$7:$BJ$29), AB36)), $BK$7:$BK$29, "Error", 0)</f>
        <v/>
      </c>
      <c r="AC37" s="171">
        <f>_xlfn.XLOOKUP(MIN(ABS($BJ$7:$BJ$29 - MEDIAN(MIN($BJ$7:$BJ$29), MAX($BJ$7:$BJ$29), AC36))), ABS($BJ$7:$BJ$29 - MEDIAN(MIN($BJ$7:$BJ$29), MAX($BJ$7:$BJ$29), AC36)), $BK$7:$BK$29, "Error", 0)</f>
        <v/>
      </c>
      <c r="AD37" s="171">
        <f>_xlfn.XLOOKUP(MIN(ABS($BJ$7:$BJ$29 - MEDIAN(MIN($BJ$7:$BJ$29), MAX($BJ$7:$BJ$29), AD36))), ABS($BJ$7:$BJ$29 - MEDIAN(MIN($BJ$7:$BJ$29), MAX($BJ$7:$BJ$29), AD36)), $BK$7:$BK$29, "Error", 0)</f>
        <v/>
      </c>
      <c r="AE37" s="171">
        <f>_xlfn.XLOOKUP(MIN(ABS($BJ$7:$BJ$29 - MEDIAN(MIN($BJ$7:$BJ$29), MAX($BJ$7:$BJ$29), AE36))), ABS($BJ$7:$BJ$29 - MEDIAN(MIN($BJ$7:$BJ$29), MAX($BJ$7:$BJ$29), AE36)), $BK$7:$BK$29, "Error", 0)</f>
        <v/>
      </c>
      <c r="AF37" s="171">
        <f>_xlfn.XLOOKUP(MIN(ABS($BJ$7:$BJ$29 - MEDIAN(MIN($BJ$7:$BJ$29), MAX($BJ$7:$BJ$29), AF36))), ABS($BJ$7:$BJ$29 - MEDIAN(MIN($BJ$7:$BJ$29), MAX($BJ$7:$BJ$29), AF36)), $BK$7:$BK$29, "Error", 0)</f>
        <v/>
      </c>
      <c r="AG37" s="171">
        <f>_xlfn.XLOOKUP(MIN(ABS($BJ$7:$BJ$29 - MEDIAN(MIN($BJ$7:$BJ$29), MAX($BJ$7:$BJ$29), AG36))), ABS($BJ$7:$BJ$29 - MEDIAN(MIN($BJ$7:$BJ$29), MAX($BJ$7:$BJ$29), AG36)), $BK$7:$BK$29, "Error", 0)</f>
        <v/>
      </c>
      <c r="AH37" s="171">
        <f>_xlfn.XLOOKUP(MIN(ABS($BJ$7:$BJ$29 - MEDIAN(MIN($BJ$7:$BJ$29), MAX($BJ$7:$BJ$29), AH36))), ABS($BJ$7:$BJ$29 - MEDIAN(MIN($BJ$7:$BJ$29), MAX($BJ$7:$BJ$29), AH36)), $BK$7:$BK$29, "Error", 0)</f>
        <v/>
      </c>
      <c r="AI37" s="171">
        <f>_xlfn.XLOOKUP(MIN(ABS($BJ$7:$BJ$29 - MEDIAN(MIN($BJ$7:$BJ$29), MAX($BJ$7:$BJ$29), AI36))), ABS($BJ$7:$BJ$29 - MEDIAN(MIN($BJ$7:$BJ$29), MAX($BJ$7:$BJ$29), AI36)), $BK$7:$BK$29, "Error", 0)</f>
        <v/>
      </c>
      <c r="AJ37" s="171">
        <f>_xlfn.XLOOKUP(MIN(ABS($BJ$7:$BJ$29 - MEDIAN(MIN($BJ$7:$BJ$29), MAX($BJ$7:$BJ$29), AJ36))), ABS($BJ$7:$BJ$29 - MEDIAN(MIN($BJ$7:$BJ$29), MAX($BJ$7:$BJ$29), AJ36)), $BK$7:$BK$29, "Error", 0)</f>
        <v/>
      </c>
      <c r="AK37" s="171">
        <f>_xlfn.XLOOKUP(MIN(ABS($BJ$7:$BJ$29 - MEDIAN(MIN($BJ$7:$BJ$29), MAX($BJ$7:$BJ$29), AK36))), ABS($BJ$7:$BJ$29 - MEDIAN(MIN($BJ$7:$BJ$29), MAX($BJ$7:$BJ$29), AK36)), $BK$7:$BK$29, "Error", 0)</f>
        <v/>
      </c>
      <c r="AL37" s="171">
        <f>_xlfn.XLOOKUP(MIN(ABS($BJ$7:$BJ$29 - MEDIAN(MIN($BJ$7:$BJ$29), MAX($BJ$7:$BJ$29), AL36))), ABS($BJ$7:$BJ$29 - MEDIAN(MIN($BJ$7:$BJ$29), MAX($BJ$7:$BJ$29), AL36)), $BK$7:$BK$29, "Error", 0)</f>
        <v/>
      </c>
      <c r="AM37" s="171">
        <f>_xlfn.XLOOKUP(MIN(ABS($BJ$7:$BJ$29 - MEDIAN(MIN($BJ$7:$BJ$29), MAX($BJ$7:$BJ$29), AM36))), ABS($BJ$7:$BJ$29 - MEDIAN(MIN($BJ$7:$BJ$29), MAX($BJ$7:$BJ$29), AM36)), $BK$7:$BK$29, "Error", 0)</f>
        <v/>
      </c>
      <c r="AN37" s="171">
        <f>_xlfn.XLOOKUP(MIN(ABS($BJ$7:$BJ$29 - MEDIAN(MIN($BJ$7:$BJ$29), MAX($BJ$7:$BJ$29), AN36))), ABS($BJ$7:$BJ$29 - MEDIAN(MIN($BJ$7:$BJ$29), MAX($BJ$7:$BJ$29), AN36)), $BK$7:$BK$29, "Error", 0)</f>
        <v/>
      </c>
      <c r="AO37" s="171">
        <f>_xlfn.XLOOKUP(MIN(ABS($BJ$7:$BJ$29 - MEDIAN(MIN($BJ$7:$BJ$29), MAX($BJ$7:$BJ$29), AO36))), ABS($BJ$7:$BJ$29 - MEDIAN(MIN($BJ$7:$BJ$29), MAX($BJ$7:$BJ$29), AO36)), $BK$7:$BK$29, "Error", 0)</f>
        <v/>
      </c>
      <c r="AP37" s="171">
        <f>_xlfn.XLOOKUP(MIN(ABS($BJ$7:$BJ$29 - MEDIAN(MIN($BJ$7:$BJ$29), MAX($BJ$7:$BJ$29), AP36))), ABS($BJ$7:$BJ$29 - MEDIAN(MIN($BJ$7:$BJ$29), MAX($BJ$7:$BJ$29), AP36)), $BK$7:$BK$29, "Error", 0)</f>
        <v/>
      </c>
      <c r="AQ37" s="171">
        <f>_xlfn.XLOOKUP(MIN(ABS($BJ$7:$BJ$29 - MEDIAN(MIN($BJ$7:$BJ$29), MAX($BJ$7:$BJ$29), AQ36))), ABS($BJ$7:$BJ$29 - MEDIAN(MIN($BJ$7:$BJ$29), MAX($BJ$7:$BJ$29), AQ36)), $BK$7:$BK$29, "Error", 0)</f>
        <v/>
      </c>
      <c r="AR37" s="171">
        <f>_xlfn.XLOOKUP(MIN(ABS($BJ$7:$BJ$29 - MEDIAN(MIN($BJ$7:$BJ$29), MAX($BJ$7:$BJ$29), AR36))), ABS($BJ$7:$BJ$29 - MEDIAN(MIN($BJ$7:$BJ$29), MAX($BJ$7:$BJ$29), AR36)), $BK$7:$BK$29, "Error", 0)</f>
        <v/>
      </c>
      <c r="AS37" s="171">
        <f>_xlfn.XLOOKUP(MIN(ABS($BJ$7:$BJ$29 - MEDIAN(MIN($BJ$7:$BJ$29), MAX($BJ$7:$BJ$29), AS36))), ABS($BJ$7:$BJ$29 - MEDIAN(MIN($BJ$7:$BJ$29), MAX($BJ$7:$BJ$29), AS36)), $BK$7:$BK$29, "Error", 0)</f>
        <v/>
      </c>
      <c r="AT37" s="171">
        <f>_xlfn.XLOOKUP(MIN(ABS($BJ$7:$BJ$29 - MEDIAN(MIN($BJ$7:$BJ$29), MAX($BJ$7:$BJ$29), AT36))), ABS($BJ$7:$BJ$29 - MEDIAN(MIN($BJ$7:$BJ$29), MAX($BJ$7:$BJ$29), AT36)), $BK$7:$BK$29, "Error", 0)</f>
        <v/>
      </c>
      <c r="AU37" s="171">
        <f>_xlfn.XLOOKUP(MIN(ABS($BJ$7:$BJ$29 - MEDIAN(MIN($BJ$7:$BJ$29), MAX($BJ$7:$BJ$29), AU36))), ABS($BJ$7:$BJ$29 - MEDIAN(MIN($BJ$7:$BJ$29), MAX($BJ$7:$BJ$29), AU36)), $BK$7:$BK$29, "Error", 0)</f>
        <v/>
      </c>
      <c r="AV37" s="206">
        <f>_xlfn.XLOOKUP(MIN(ABS($BJ$7:$BJ$29 - MEDIAN(MIN($BJ$7:$BJ$29), MAX($BJ$7:$BJ$29), AV36))), ABS($BJ$7:$BJ$29 - MEDIAN(MIN($BJ$7:$BJ$29), MAX($BJ$7:$BJ$29), AV36)), $BK$7:$BK$29, "Error", 0)</f>
        <v/>
      </c>
      <c r="AW37" s="184">
        <f>_xlfn.XLOOKUP(MIN(ABS($BJ$7:$BJ$29 - MEDIAN(MIN($BJ$7:$BJ$29), MAX($BJ$7:$BJ$29), AW36))), ABS($BJ$7:$BJ$29 - MEDIAN(MIN($BJ$7:$BJ$29), MAX($BJ$7:$BJ$29), AW36)), $BK$7:$BK$29, "Error", 0)</f>
        <v/>
      </c>
      <c r="AX37" s="184">
        <f>_xlfn.XLOOKUP(MIN(ABS($BJ$7:$BJ$29 - MEDIAN(MIN($BJ$7:$BJ$29), MAX($BJ$7:$BJ$29), AX36))), ABS($BJ$7:$BJ$29 - MEDIAN(MIN($BJ$7:$BJ$29), MAX($BJ$7:$BJ$29), AX36)), $BK$7:$BK$29, "Error", 0)</f>
        <v/>
      </c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765180.7534505427</v>
      </c>
      <c r="D38" s="233" t="n">
        <v>765180.7534505427</v>
      </c>
      <c r="E38" s="233" t="n">
        <v>765180.7534505427</v>
      </c>
      <c r="F38" s="233" t="n">
        <v>765180.7534505427</v>
      </c>
      <c r="G38" s="233" t="n">
        <v>765180.7534505427</v>
      </c>
      <c r="H38" s="233" t="n">
        <v>765180.7534505427</v>
      </c>
      <c r="I38" s="233" t="n">
        <v>765180.7534505427</v>
      </c>
      <c r="J38" s="233" t="n">
        <v>765180.7534505427</v>
      </c>
      <c r="K38" s="233" t="n">
        <v>765180.7534505427</v>
      </c>
      <c r="L38" s="233" t="n">
        <v>765180.7534505427</v>
      </c>
      <c r="M38" s="233" t="n">
        <v>765180.7534505427</v>
      </c>
      <c r="N38" s="233" t="n">
        <v>765180.7534505427</v>
      </c>
      <c r="O38" s="233" t="n">
        <v>765180.7534505427</v>
      </c>
      <c r="P38" s="233" t="n">
        <v>798518.2762574032</v>
      </c>
      <c r="Q38" s="233" t="n">
        <v>837559.6068872139</v>
      </c>
      <c r="R38" s="233" t="n">
        <v>845454.3600720093</v>
      </c>
      <c r="S38" s="233" t="n">
        <v>864283.6992263049</v>
      </c>
      <c r="T38" s="233" t="n">
        <v>864983.5451803803</v>
      </c>
      <c r="U38" s="233" t="n">
        <v>878064.8602521718</v>
      </c>
      <c r="V38" s="233" t="n">
        <v>878064.8602521718</v>
      </c>
      <c r="W38" s="233" t="n">
        <v>878064.8602521718</v>
      </c>
      <c r="X38" s="233" t="n">
        <v>878064.8602521718</v>
      </c>
      <c r="Y38" s="233" t="n">
        <v>878064.8602521718</v>
      </c>
      <c r="Z38" s="233" t="n">
        <v>878064.8602521718</v>
      </c>
      <c r="AA38" s="204" t="n">
        <v>878064.8602521718</v>
      </c>
      <c r="AB38" s="204" t="n">
        <v>886808.0311151594</v>
      </c>
      <c r="AC38" s="204" t="n">
        <v>903745.71462138</v>
      </c>
      <c r="AD38" s="204" t="n">
        <v>903745.71462138</v>
      </c>
      <c r="AE38" s="204" t="n">
        <v>903745.71462138</v>
      </c>
      <c r="AF38" s="204" t="n">
        <v>904187.1759110838</v>
      </c>
      <c r="AG38" s="204" t="n">
        <v>939120.7431084216</v>
      </c>
      <c r="AH38" s="204" t="n">
        <v>951453.7148126364</v>
      </c>
      <c r="AI38" s="204" t="n">
        <v>964402.8757462502</v>
      </c>
      <c r="AJ38" s="204" t="n">
        <v>1018143.039567478</v>
      </c>
      <c r="AK38" s="204" t="n">
        <v>1041559.180965185</v>
      </c>
      <c r="AL38" s="204" t="n">
        <v>1068231.80810371</v>
      </c>
      <c r="AM38" s="204" t="n">
        <v>1120847.883268028</v>
      </c>
      <c r="AN38" s="204" t="n">
        <v>1141195.321707353</v>
      </c>
      <c r="AO38" s="204" t="n">
        <v>1141195.321707353</v>
      </c>
      <c r="AP38" s="204" t="n">
        <v>1141432.567715943</v>
      </c>
      <c r="AQ38" s="204" t="n">
        <v>1141432.567715943</v>
      </c>
      <c r="AR38" s="204" t="n">
        <v>1176177.089552701</v>
      </c>
      <c r="AS38" s="204" t="n">
        <v>1191242.395682193</v>
      </c>
      <c r="AT38" s="204" t="n">
        <v>1209085.572493836</v>
      </c>
      <c r="AU38" s="204" t="n">
        <v>1209085.572493836</v>
      </c>
      <c r="AV38" s="200" t="n">
        <v>1209085.572493836</v>
      </c>
      <c r="AW38" s="184" t="n">
        <v>1209085.572493836</v>
      </c>
      <c r="AX38" s="184" t="n">
        <v>1209085.572493836</v>
      </c>
      <c r="AY38" s="184" t="n"/>
    </row>
    <row r="39" ht="22" customHeight="1">
      <c r="A39" s="303" t="n"/>
      <c r="B39" s="201" t="inlineStr">
        <is>
          <t>current price</t>
        </is>
      </c>
      <c r="C39" s="233" t="n">
        <v>589415.4817166626</v>
      </c>
      <c r="D39" s="233" t="n">
        <v>612907.8490524739</v>
      </c>
      <c r="E39" s="233" t="n">
        <v>626722.1370943487</v>
      </c>
      <c r="F39" s="233" t="n">
        <v>643050.5166275948</v>
      </c>
      <c r="G39" s="233" t="n">
        <v>632756.5945353806</v>
      </c>
      <c r="H39" s="233" t="n">
        <v>692188.020417273</v>
      </c>
      <c r="I39" s="233" t="n">
        <v>693804.2358969897</v>
      </c>
      <c r="J39" s="233" t="n">
        <v>686110.9345030934</v>
      </c>
      <c r="K39" s="233" t="n">
        <v>658473.3328263164</v>
      </c>
      <c r="L39" s="233" t="n">
        <v>642720.9652162492</v>
      </c>
      <c r="M39" s="233" t="n">
        <v>707080.9020379558</v>
      </c>
      <c r="N39" s="233" t="n">
        <v>707760.2616985664</v>
      </c>
      <c r="O39" s="233" t="n">
        <v>742726.0120331049</v>
      </c>
      <c r="P39" s="233" t="n">
        <v>796276.4553261548</v>
      </c>
      <c r="Q39" s="233" t="n">
        <v>831286.6117747724</v>
      </c>
      <c r="R39" s="233" t="n">
        <v>823792.5598604679</v>
      </c>
      <c r="S39" s="233" t="n">
        <v>847203.9629895091</v>
      </c>
      <c r="T39" s="233" t="n">
        <v>842089.5666089356</v>
      </c>
      <c r="U39" s="233" t="n">
        <v>804580.8572261035</v>
      </c>
      <c r="V39" s="233" t="n">
        <v>795939.2448341772</v>
      </c>
      <c r="W39" s="233" t="n">
        <v>797471.7757842094</v>
      </c>
      <c r="X39" s="233" t="n">
        <v>803187.2717969567</v>
      </c>
      <c r="Y39" s="233" t="n">
        <v>767041.6954378411</v>
      </c>
      <c r="Z39" s="233" t="n">
        <v>801843.7597258016</v>
      </c>
      <c r="AA39" s="204" t="n">
        <v>846993.6047364771</v>
      </c>
      <c r="AB39" s="204" t="n">
        <v>851918.8371971995</v>
      </c>
      <c r="AC39" s="204" t="n">
        <v>849913.820539467</v>
      </c>
      <c r="AD39" s="204" t="n">
        <v>836249.8426318765</v>
      </c>
      <c r="AE39" s="204" t="n">
        <v>877856.0491833687</v>
      </c>
      <c r="AF39" s="204" t="n">
        <v>898655.242838949</v>
      </c>
      <c r="AG39" s="204" t="n">
        <v>907259.1077593267</v>
      </c>
      <c r="AH39" s="204" t="n">
        <v>917671.8438642249</v>
      </c>
      <c r="AI39" s="204" t="n">
        <v>963971.5226682425</v>
      </c>
      <c r="AJ39" s="204" t="n">
        <v>1008403.663387656</v>
      </c>
      <c r="AK39" s="204" t="n">
        <v>1027537.166630954</v>
      </c>
      <c r="AL39" s="204" t="n">
        <v>1064707.705415577</v>
      </c>
      <c r="AM39" s="204" t="n">
        <v>1090031.396678947</v>
      </c>
      <c r="AN39" s="204" t="n">
        <v>1129142.171226919</v>
      </c>
      <c r="AO39" s="204" t="n">
        <v>1019945.669332467</v>
      </c>
      <c r="AP39" s="204" t="n">
        <v>1100912.801154852</v>
      </c>
      <c r="AQ39" s="204" t="n">
        <v>1122895.514826357</v>
      </c>
      <c r="AR39" s="204" t="n">
        <v>1170070.146378994</v>
      </c>
      <c r="AS39" s="204" t="n">
        <v>1173561.454180926</v>
      </c>
      <c r="AT39" s="204" t="n">
        <v>1191305.702001095</v>
      </c>
      <c r="AU39" s="204" t="n">
        <v>1131992.404530644</v>
      </c>
      <c r="AV39" s="201" t="n">
        <v>1131992.404530644</v>
      </c>
      <c r="AW39" s="184" t="n">
        <v>1131992.404530644</v>
      </c>
      <c r="AX39" s="184" t="n">
        <v>1131992.404530644</v>
      </c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>
        <f>+(AV39-AV38)/AV38</f>
        <v/>
      </c>
      <c r="AW40" s="184">
        <f>+(AW39-AW38)/AW38</f>
        <v/>
      </c>
      <c r="AX40" s="184">
        <f>+(AX39-AX38)/AX38</f>
        <v/>
      </c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4572.81982421875</v>
      </c>
      <c r="D41" s="233" t="n">
        <v>4572.81982421875</v>
      </c>
      <c r="E41" s="233" t="n">
        <v>4572.81982421875</v>
      </c>
      <c r="F41" s="233" t="n">
        <v>4572.81982421875</v>
      </c>
      <c r="G41" s="233" t="n">
        <v>4572.81982421875</v>
      </c>
      <c r="H41" s="233" t="n">
        <v>4572.81982421875</v>
      </c>
      <c r="I41" s="233" t="n">
        <v>4572.81982421875</v>
      </c>
      <c r="J41" s="233" t="n">
        <v>4572.81982421875</v>
      </c>
      <c r="K41" s="233" t="n">
        <v>4572.81982421875</v>
      </c>
      <c r="L41" s="233" t="n">
        <v>4572.81982421875</v>
      </c>
      <c r="M41" s="233" t="n">
        <v>4572.81982421875</v>
      </c>
      <c r="N41" s="233" t="n">
        <v>4572.81982421875</v>
      </c>
      <c r="O41" s="233" t="n">
        <v>4667.419921875</v>
      </c>
      <c r="P41" s="233" t="n">
        <v>4887.85009765625</v>
      </c>
      <c r="Q41" s="233" t="n">
        <v>5095.10986328125</v>
      </c>
      <c r="R41" s="233" t="n">
        <v>5095.10986328125</v>
      </c>
      <c r="S41" s="233" t="n">
        <v>5102.2998046875</v>
      </c>
      <c r="T41" s="233" t="n">
        <v>5102.2998046875</v>
      </c>
      <c r="U41" s="233" t="n">
        <v>5102.2998046875</v>
      </c>
      <c r="V41" s="233" t="n">
        <v>5102.2998046875</v>
      </c>
      <c r="W41" s="233" t="n">
        <v>5102.2998046875</v>
      </c>
      <c r="X41" s="233" t="n">
        <v>5102.2998046875</v>
      </c>
      <c r="Y41" s="233" t="n">
        <v>5102.2998046875</v>
      </c>
      <c r="Z41" s="233" t="n">
        <v>5102.2998046875</v>
      </c>
      <c r="AA41" s="231" t="n">
        <v>5285.22021484375</v>
      </c>
      <c r="AB41" s="203" t="n">
        <v>5544.1201171875</v>
      </c>
      <c r="AC41" s="203" t="n">
        <v>5568.18994140625</v>
      </c>
      <c r="AD41" s="203" t="n">
        <v>5568.18994140625</v>
      </c>
      <c r="AE41" s="203" t="n">
        <v>5568.18994140625</v>
      </c>
      <c r="AF41" s="203" t="n">
        <v>5568.18994140625</v>
      </c>
      <c r="AG41" s="203" t="n">
        <v>5568.18994140625</v>
      </c>
      <c r="AH41" s="203" t="n">
        <v>5568.18994140625</v>
      </c>
      <c r="AI41" s="203" t="n">
        <v>5568.18994140625</v>
      </c>
      <c r="AJ41" s="203" t="n">
        <v>5734.27978515625</v>
      </c>
      <c r="AK41" s="203" t="n">
        <v>5804.66015625</v>
      </c>
      <c r="AL41" s="203" t="n">
        <v>5804.66015625</v>
      </c>
      <c r="AM41" s="203" t="n">
        <v>6053.68017578125</v>
      </c>
      <c r="AN41" s="203" t="n">
        <v>6176.8701171875</v>
      </c>
      <c r="AO41" s="203" t="n">
        <v>6176.8701171875</v>
      </c>
      <c r="AP41" s="203" t="n">
        <v>6176.8701171875</v>
      </c>
      <c r="AQ41" s="203" t="n">
        <v>6176.8701171875</v>
      </c>
      <c r="AR41" s="203" t="n">
        <v>6334.5498046875</v>
      </c>
      <c r="AS41" s="203" t="n">
        <v>6421.740234375</v>
      </c>
      <c r="AT41" s="203" t="n">
        <v>6576.2998046875</v>
      </c>
      <c r="AU41" s="203" t="n">
        <v>6576.2998046875</v>
      </c>
      <c r="AV41" s="201" t="n">
        <v>6576.2998046875</v>
      </c>
      <c r="AW41" s="184" t="n">
        <v>6576.2998046875</v>
      </c>
      <c r="AX41" s="184" t="n">
        <v>6576.2998046875</v>
      </c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4521.64990234375</v>
      </c>
      <c r="O42" s="233" t="n">
        <v>4648.39990234375</v>
      </c>
      <c r="P42" s="233" t="n">
        <v>4877.77001953125</v>
      </c>
      <c r="Q42" s="233" t="n">
        <v>5083.419921875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4869.27978515625</v>
      </c>
      <c r="AA42" s="231" t="n">
        <v>5286.8701171875</v>
      </c>
      <c r="AB42" s="203" t="n">
        <v>5463.5400390625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5662.0400390625</v>
      </c>
      <c r="AK42" s="203" t="n">
        <v>5668.169921875</v>
      </c>
      <c r="AL42" s="203" t="n">
        <v>5796.22021484375</v>
      </c>
      <c r="AM42" s="203" t="n">
        <v>5947.81005859375</v>
      </c>
      <c r="AN42" s="203" t="n">
        <v>6138.41015625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6328.08984375</v>
      </c>
      <c r="AS42" s="203" t="n">
        <v>6358.009765625</v>
      </c>
      <c r="AT42" s="203" t="n">
        <v>6420.16015625</v>
      </c>
      <c r="AU42" s="203" t="n">
        <v>6343.080078125</v>
      </c>
      <c r="AV42" s="201" t="n">
        <v>6343.080078125</v>
      </c>
      <c r="AW42" s="184" t="n">
        <v>6343.080078125</v>
      </c>
      <c r="AX42" s="184" t="n">
        <v>6343.080078125</v>
      </c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>
        <f>+(AV42-AV41)/AV41</f>
        <v/>
      </c>
      <c r="AW43" s="184">
        <f>+(AW42-AW41)/AW41</f>
        <v/>
      </c>
      <c r="AX43" s="184">
        <f>+(AX42-AX41)/AX41</f>
        <v/>
      </c>
      <c r="AY43" s="184" t="n"/>
    </row>
    <row r="44" ht="22" customHeight="1">
      <c r="A44" s="303" t="n"/>
      <c r="B44" s="201" t="inlineStr">
        <is>
          <t>real % change</t>
        </is>
      </c>
      <c r="C44" s="230">
        <f>+C43-C40</f>
        <v/>
      </c>
      <c r="D44" s="230">
        <f>+D43-D40</f>
        <v/>
      </c>
      <c r="E44" s="230">
        <f>+E43-E40</f>
        <v/>
      </c>
      <c r="F44" s="230">
        <f>+F43-F40</f>
        <v/>
      </c>
      <c r="G44" s="230">
        <f>+G43-G40</f>
        <v/>
      </c>
      <c r="H44" s="230">
        <f>+H43-H40</f>
        <v/>
      </c>
      <c r="I44" s="230">
        <f>+I43-I40</f>
        <v/>
      </c>
      <c r="J44" s="230">
        <f>+J43-J40</f>
        <v/>
      </c>
      <c r="K44" s="230">
        <f>+K43-K40</f>
        <v/>
      </c>
      <c r="L44" s="230">
        <f>+L43-L40</f>
        <v/>
      </c>
      <c r="M44" s="230">
        <f>+M43-M40</f>
        <v/>
      </c>
      <c r="N44" s="230">
        <f>+N43-N40</f>
        <v/>
      </c>
      <c r="O44" s="230">
        <f>+O43-O40</f>
        <v/>
      </c>
      <c r="P44" s="230">
        <f>+P43-P40</f>
        <v/>
      </c>
      <c r="Q44" s="230">
        <f>+Q43-Q40</f>
        <v/>
      </c>
      <c r="R44" s="230">
        <f>+R43-R40</f>
        <v/>
      </c>
      <c r="S44" s="230">
        <f>+S43-S40</f>
        <v/>
      </c>
      <c r="T44" s="230">
        <f>+T43-T40</f>
        <v/>
      </c>
      <c r="U44" s="230">
        <f>+U43-U40</f>
        <v/>
      </c>
      <c r="V44" s="230">
        <f>+V43-V40</f>
        <v/>
      </c>
      <c r="W44" s="230">
        <f>+W43-W40</f>
        <v/>
      </c>
      <c r="X44" s="230">
        <f>+X43-X40</f>
        <v/>
      </c>
      <c r="Y44" s="230">
        <f>+Y43-Y40</f>
        <v/>
      </c>
      <c r="Z44" s="230">
        <f>+Z43-Z40</f>
        <v/>
      </c>
      <c r="AA44" s="230">
        <f>+AA43-AA40</f>
        <v/>
      </c>
      <c r="AB44" s="205">
        <f>+AB43-AB40</f>
        <v/>
      </c>
      <c r="AC44" s="205">
        <f>+AC43-AC40</f>
        <v/>
      </c>
      <c r="AD44" s="205">
        <f>+AD43-AD40</f>
        <v/>
      </c>
      <c r="AE44" s="205">
        <f>+AE43-AE40</f>
        <v/>
      </c>
      <c r="AF44" s="205">
        <f>+AF43-AF40</f>
        <v/>
      </c>
      <c r="AG44" s="205">
        <f>+AG43-AG40</f>
        <v/>
      </c>
      <c r="AH44" s="205">
        <f>+AH43-AH40</f>
        <v/>
      </c>
      <c r="AI44" s="205">
        <f>+AI43-AI40</f>
        <v/>
      </c>
      <c r="AJ44" s="205">
        <f>+AJ43-AJ40</f>
        <v/>
      </c>
      <c r="AK44" s="205">
        <f>+AK43-AK40</f>
        <v/>
      </c>
      <c r="AL44" s="205">
        <f>+AL43-AL40</f>
        <v/>
      </c>
      <c r="AM44" s="205">
        <f>+AM43-AM40</f>
        <v/>
      </c>
      <c r="AN44" s="205">
        <f>+AN43-AN40</f>
        <v/>
      </c>
      <c r="AO44" s="205">
        <f>+AO43-AO40</f>
        <v/>
      </c>
      <c r="AP44" s="205">
        <f>+AP43-AP40</f>
        <v/>
      </c>
      <c r="AQ44" s="205">
        <f>+AQ43-AQ40</f>
        <v/>
      </c>
      <c r="AR44" s="205">
        <f>+AR43-AR40</f>
        <v/>
      </c>
      <c r="AS44" s="205">
        <f>+AS43-AS40</f>
        <v/>
      </c>
      <c r="AT44" s="205">
        <f>+AT43-AT40</f>
        <v/>
      </c>
      <c r="AU44" s="205">
        <f>+AU43-AU40</f>
        <v/>
      </c>
      <c r="AV44" s="201">
        <f>+AV43-AV40</f>
        <v/>
      </c>
      <c r="AW44" s="184">
        <f>+AW43-AW40</f>
        <v/>
      </c>
      <c r="AX44" s="184">
        <f>+AX43-AX40</f>
        <v/>
      </c>
      <c r="AY44" s="184" t="n"/>
    </row>
    <row r="45" ht="22" customHeight="1">
      <c r="A45" s="304" t="n"/>
      <c r="B45" s="206" t="inlineStr">
        <is>
          <t>Rating</t>
        </is>
      </c>
      <c r="C45" s="232">
        <f>_xlfn.XLOOKUP(MIN(ABS($BJ$7:$BJ$29 - MEDIAN(MIN($BJ$7:$BJ$29), MAX($BJ$7:$BJ$29), C44))), ABS($BJ$7:$BJ$29 - MEDIAN(MIN($BJ$7:$BJ$29), MAX($BJ$7:$BJ$29), C44)), $BK$7:$BK$29, "Error", 0)</f>
        <v/>
      </c>
      <c r="D45" s="232">
        <f>_xlfn.XLOOKUP(MIN(ABS($BJ$7:$BJ$29 - MEDIAN(MIN($BJ$7:$BJ$29), MAX($BJ$7:$BJ$29), D44))), ABS($BJ$7:$BJ$29 - MEDIAN(MIN($BJ$7:$BJ$29), MAX($BJ$7:$BJ$29), D44)), $BK$7:$BK$29, "Error", 0)</f>
        <v/>
      </c>
      <c r="E45" s="232">
        <f>_xlfn.XLOOKUP(MIN(ABS($BJ$7:$BJ$29 - MEDIAN(MIN($BJ$7:$BJ$29), MAX($BJ$7:$BJ$29), E44))), ABS($BJ$7:$BJ$29 - MEDIAN(MIN($BJ$7:$BJ$29), MAX($BJ$7:$BJ$29), E44)), $BK$7:$BK$29, "Error", 0)</f>
        <v/>
      </c>
      <c r="F45" s="232">
        <f>_xlfn.XLOOKUP(MIN(ABS($BJ$7:$BJ$29 - MEDIAN(MIN($BJ$7:$BJ$29), MAX($BJ$7:$BJ$29), F44))), ABS($BJ$7:$BJ$29 - MEDIAN(MIN($BJ$7:$BJ$29), MAX($BJ$7:$BJ$29), F44)), $BK$7:$BK$29, "Error", 0)</f>
        <v/>
      </c>
      <c r="G45" s="232">
        <f>_xlfn.XLOOKUP(MIN(ABS($BJ$7:$BJ$29 - MEDIAN(MIN($BJ$7:$BJ$29), MAX($BJ$7:$BJ$29), G44))), ABS($BJ$7:$BJ$29 - MEDIAN(MIN($BJ$7:$BJ$29), MAX($BJ$7:$BJ$29), G44)), $BK$7:$BK$29, "Error", 0)</f>
        <v/>
      </c>
      <c r="H45" s="232">
        <f>_xlfn.XLOOKUP(MIN(ABS($BJ$7:$BJ$29 - MEDIAN(MIN($BJ$7:$BJ$29), MAX($BJ$7:$BJ$29), H44))), ABS($BJ$7:$BJ$29 - MEDIAN(MIN($BJ$7:$BJ$29), MAX($BJ$7:$BJ$29), H44)), $BK$7:$BK$29, "Error", 0)</f>
        <v/>
      </c>
      <c r="I45" s="232">
        <f>_xlfn.XLOOKUP(MIN(ABS($BJ$7:$BJ$29 - MEDIAN(MIN($BJ$7:$BJ$29), MAX($BJ$7:$BJ$29), I44))), ABS($BJ$7:$BJ$29 - MEDIAN(MIN($BJ$7:$BJ$29), MAX($BJ$7:$BJ$29), I44)), $BK$7:$BK$29, "Error", 0)</f>
        <v/>
      </c>
      <c r="J45" s="232">
        <f>_xlfn.XLOOKUP(MIN(ABS($BJ$7:$BJ$29 - MEDIAN(MIN($BJ$7:$BJ$29), MAX($BJ$7:$BJ$29), J44))), ABS($BJ$7:$BJ$29 - MEDIAN(MIN($BJ$7:$BJ$29), MAX($BJ$7:$BJ$29), J44)), $BK$7:$BK$29, "Error", 0)</f>
        <v/>
      </c>
      <c r="K45" s="232">
        <f>_xlfn.XLOOKUP(MIN(ABS($BJ$7:$BJ$29 - MEDIAN(MIN($BJ$7:$BJ$29), MAX($BJ$7:$BJ$29), K44))), ABS($BJ$7:$BJ$29 - MEDIAN(MIN($BJ$7:$BJ$29), MAX($BJ$7:$BJ$29), K44)), $BK$7:$BK$29, "Error", 0)</f>
        <v/>
      </c>
      <c r="L45" s="232">
        <f>_xlfn.XLOOKUP(MIN(ABS($BJ$7:$BJ$29 - MEDIAN(MIN($BJ$7:$BJ$29), MAX($BJ$7:$BJ$29), L44))), ABS($BJ$7:$BJ$29 - MEDIAN(MIN($BJ$7:$BJ$29), MAX($BJ$7:$BJ$29), L44)), $BK$7:$BK$29, "Error", 0)</f>
        <v/>
      </c>
      <c r="M45" s="232">
        <f>_xlfn.XLOOKUP(MIN(ABS($BJ$7:$BJ$29 - MEDIAN(MIN($BJ$7:$BJ$29), MAX($BJ$7:$BJ$29), M44))), ABS($BJ$7:$BJ$29 - MEDIAN(MIN($BJ$7:$BJ$29), MAX($BJ$7:$BJ$29), M44)), $BK$7:$BK$29, "Error", 0)</f>
        <v/>
      </c>
      <c r="N45" s="232">
        <f>_xlfn.XLOOKUP(MIN(ABS($BJ$7:$BJ$29 - MEDIAN(MIN($BJ$7:$BJ$29), MAX($BJ$7:$BJ$29), N44))), ABS($BJ$7:$BJ$29 - MEDIAN(MIN($BJ$7:$BJ$29), MAX($BJ$7:$BJ$29), N44)), $BK$7:$BK$29, "Error", 0)</f>
        <v/>
      </c>
      <c r="O45" s="232">
        <f>_xlfn.XLOOKUP(MIN(ABS($BJ$7:$BJ$29 - MEDIAN(MIN($BJ$7:$BJ$29), MAX($BJ$7:$BJ$29), O44))), ABS($BJ$7:$BJ$29 - MEDIAN(MIN($BJ$7:$BJ$29), MAX($BJ$7:$BJ$29), O44)), $BK$7:$BK$29, "Error", 0)</f>
        <v/>
      </c>
      <c r="P45" s="232">
        <f>_xlfn.XLOOKUP(MIN(ABS($BJ$7:$BJ$29 - MEDIAN(MIN($BJ$7:$BJ$29), MAX($BJ$7:$BJ$29), P44))), ABS($BJ$7:$BJ$29 - MEDIAN(MIN($BJ$7:$BJ$29), MAX($BJ$7:$BJ$29), P44)), $BK$7:$BK$29, "Error", 0)</f>
        <v/>
      </c>
      <c r="Q45" s="232">
        <f>_xlfn.XLOOKUP(MIN(ABS($BJ$7:$BJ$29 - MEDIAN(MIN($BJ$7:$BJ$29), MAX($BJ$7:$BJ$29), Q44))), ABS($BJ$7:$BJ$29 - MEDIAN(MIN($BJ$7:$BJ$29), MAX($BJ$7:$BJ$29), Q44)), $BK$7:$BK$29, "Error", 0)</f>
        <v/>
      </c>
      <c r="R45" s="232">
        <f>_xlfn.XLOOKUP(MIN(ABS($BJ$7:$BJ$29 - MEDIAN(MIN($BJ$7:$BJ$29), MAX($BJ$7:$BJ$29), R44))), ABS($BJ$7:$BJ$29 - MEDIAN(MIN($BJ$7:$BJ$29), MAX($BJ$7:$BJ$29), R44)), $BK$7:$BK$29, "Error", 0)</f>
        <v/>
      </c>
      <c r="S45" s="232">
        <f>_xlfn.XLOOKUP(MIN(ABS($BJ$7:$BJ$29 - MEDIAN(MIN($BJ$7:$BJ$29), MAX($BJ$7:$BJ$29), S44))), ABS($BJ$7:$BJ$29 - MEDIAN(MIN($BJ$7:$BJ$29), MAX($BJ$7:$BJ$29), S44)), $BK$7:$BK$29, "Error", 0)</f>
        <v/>
      </c>
      <c r="T45" s="232">
        <f>_xlfn.XLOOKUP(MIN(ABS($BJ$7:$BJ$29 - MEDIAN(MIN($BJ$7:$BJ$29), MAX($BJ$7:$BJ$29), T44))), ABS($BJ$7:$BJ$29 - MEDIAN(MIN($BJ$7:$BJ$29), MAX($BJ$7:$BJ$29), T44)), $BK$7:$BK$29, "Error", 0)</f>
        <v/>
      </c>
      <c r="U45" s="232">
        <f>_xlfn.XLOOKUP(MIN(ABS($BJ$7:$BJ$29 - MEDIAN(MIN($BJ$7:$BJ$29), MAX($BJ$7:$BJ$29), U44))), ABS($BJ$7:$BJ$29 - MEDIAN(MIN($BJ$7:$BJ$29), MAX($BJ$7:$BJ$29), U44)), $BK$7:$BK$29, "Error", 0)</f>
        <v/>
      </c>
      <c r="V45" s="232">
        <f>_xlfn.XLOOKUP(MIN(ABS($BJ$7:$BJ$29 - MEDIAN(MIN($BJ$7:$BJ$29), MAX($BJ$7:$BJ$29), V44))), ABS($BJ$7:$BJ$29 - MEDIAN(MIN($BJ$7:$BJ$29), MAX($BJ$7:$BJ$29), V44)), $BK$7:$BK$29, "Error", 0)</f>
        <v/>
      </c>
      <c r="W45" s="232">
        <f>_xlfn.XLOOKUP(MIN(ABS($BJ$7:$BJ$29 - MEDIAN(MIN($BJ$7:$BJ$29), MAX($BJ$7:$BJ$29), W44))), ABS($BJ$7:$BJ$29 - MEDIAN(MIN($BJ$7:$BJ$29), MAX($BJ$7:$BJ$29), W44)), $BK$7:$BK$29, "Error", 0)</f>
        <v/>
      </c>
      <c r="X45" s="232">
        <f>_xlfn.XLOOKUP(MIN(ABS($BJ$7:$BJ$29 - MEDIAN(MIN($BJ$7:$BJ$29), MAX($BJ$7:$BJ$29), X44))), ABS($BJ$7:$BJ$29 - MEDIAN(MIN($BJ$7:$BJ$29), MAX($BJ$7:$BJ$29), X44)), $BK$7:$BK$29, "Error", 0)</f>
        <v/>
      </c>
      <c r="Y45" s="232">
        <f>_xlfn.XLOOKUP(MIN(ABS($BJ$7:$BJ$29 - MEDIAN(MIN($BJ$7:$BJ$29), MAX($BJ$7:$BJ$29), Y44))), ABS($BJ$7:$BJ$29 - MEDIAN(MIN($BJ$7:$BJ$29), MAX($BJ$7:$BJ$29), Y44)), $BK$7:$BK$29, "Error", 0)</f>
        <v/>
      </c>
      <c r="Z45" s="232">
        <f>_xlfn.XLOOKUP(MIN(ABS($BJ$7:$BJ$29 - MEDIAN(MIN($BJ$7:$BJ$29), MAX($BJ$7:$BJ$29), Z44))), ABS($BJ$7:$BJ$29 - MEDIAN(MIN($BJ$7:$BJ$29), MAX($BJ$7:$BJ$29), Z44)), $BK$7:$BK$29, "Error", 0)</f>
        <v/>
      </c>
      <c r="AA45" s="232">
        <f>_xlfn.XLOOKUP(MIN(ABS($BJ$7:$BJ$29 - MEDIAN(MIN($BJ$7:$BJ$29), MAX($BJ$7:$BJ$29), AA44))), ABS($BJ$7:$BJ$29 - MEDIAN(MIN($BJ$7:$BJ$29), MAX($BJ$7:$BJ$29), AA44)), $BK$7:$BK$29, "Error", 0)</f>
        <v/>
      </c>
      <c r="AB45" s="171">
        <f>_xlfn.XLOOKUP(MIN(ABS($BJ$7:$BJ$29 - MEDIAN(MIN($BJ$7:$BJ$29), MAX($BJ$7:$BJ$29), AB44))), ABS($BJ$7:$BJ$29 - MEDIAN(MIN($BJ$7:$BJ$29), MAX($BJ$7:$BJ$29), AB44)), $BK$7:$BK$29, "Error", 0)</f>
        <v/>
      </c>
      <c r="AC45" s="171">
        <f>_xlfn.XLOOKUP(MIN(ABS($BJ$7:$BJ$29 - MEDIAN(MIN($BJ$7:$BJ$29), MAX($BJ$7:$BJ$29), AC44))), ABS($BJ$7:$BJ$29 - MEDIAN(MIN($BJ$7:$BJ$29), MAX($BJ$7:$BJ$29), AC44)), $BK$7:$BK$29, "Error", 0)</f>
        <v/>
      </c>
      <c r="AD45" s="171">
        <f>_xlfn.XLOOKUP(MIN(ABS($BJ$7:$BJ$29 - MEDIAN(MIN($BJ$7:$BJ$29), MAX($BJ$7:$BJ$29), AD44))), ABS($BJ$7:$BJ$29 - MEDIAN(MIN($BJ$7:$BJ$29), MAX($BJ$7:$BJ$29), AD44)), $BK$7:$BK$29, "Error", 0)</f>
        <v/>
      </c>
      <c r="AE45" s="171">
        <f>_xlfn.XLOOKUP(MIN(ABS($BJ$7:$BJ$29 - MEDIAN(MIN($BJ$7:$BJ$29), MAX($BJ$7:$BJ$29), AE44))), ABS($BJ$7:$BJ$29 - MEDIAN(MIN($BJ$7:$BJ$29), MAX($BJ$7:$BJ$29), AE44)), $BK$7:$BK$29, "Error", 0)</f>
        <v/>
      </c>
      <c r="AF45" s="171">
        <f>_xlfn.XLOOKUP(MIN(ABS($BJ$7:$BJ$29 - MEDIAN(MIN($BJ$7:$BJ$29), MAX($BJ$7:$BJ$29), AF44))), ABS($BJ$7:$BJ$29 - MEDIAN(MIN($BJ$7:$BJ$29), MAX($BJ$7:$BJ$29), AF44)), $BK$7:$BK$29, "Error", 0)</f>
        <v/>
      </c>
      <c r="AG45" s="171">
        <f>_xlfn.XLOOKUP(MIN(ABS($BJ$7:$BJ$29 - MEDIAN(MIN($BJ$7:$BJ$29), MAX($BJ$7:$BJ$29), AG44))), ABS($BJ$7:$BJ$29 - MEDIAN(MIN($BJ$7:$BJ$29), MAX($BJ$7:$BJ$29), AG44)), $BK$7:$BK$29, "Error", 0)</f>
        <v/>
      </c>
      <c r="AH45" s="171">
        <f>_xlfn.XLOOKUP(MIN(ABS($BJ$7:$BJ$29 - MEDIAN(MIN($BJ$7:$BJ$29), MAX($BJ$7:$BJ$29), AH44))), ABS($BJ$7:$BJ$29 - MEDIAN(MIN($BJ$7:$BJ$29), MAX($BJ$7:$BJ$29), AH44)), $BK$7:$BK$29, "Error", 0)</f>
        <v/>
      </c>
      <c r="AI45" s="171">
        <f>_xlfn.XLOOKUP(MIN(ABS($BJ$7:$BJ$29 - MEDIAN(MIN($BJ$7:$BJ$29), MAX($BJ$7:$BJ$29), AI44))), ABS($BJ$7:$BJ$29 - MEDIAN(MIN($BJ$7:$BJ$29), MAX($BJ$7:$BJ$29), AI44)), $BK$7:$BK$29, "Error", 0)</f>
        <v/>
      </c>
      <c r="AJ45" s="171">
        <f>_xlfn.XLOOKUP(MIN(ABS($BJ$7:$BJ$29 - MEDIAN(MIN($BJ$7:$BJ$29), MAX($BJ$7:$BJ$29), AJ44))), ABS($BJ$7:$BJ$29 - MEDIAN(MIN($BJ$7:$BJ$29), MAX($BJ$7:$BJ$29), AJ44)), $BK$7:$BK$29, "Error", 0)</f>
        <v/>
      </c>
      <c r="AK45" s="171">
        <f>_xlfn.XLOOKUP(MIN(ABS($BJ$7:$BJ$29 - MEDIAN(MIN($BJ$7:$BJ$29), MAX($BJ$7:$BJ$29), AK44))), ABS($BJ$7:$BJ$29 - MEDIAN(MIN($BJ$7:$BJ$29), MAX($BJ$7:$BJ$29), AK44)), $BK$7:$BK$29, "Error", 0)</f>
        <v/>
      </c>
      <c r="AL45" s="171">
        <f>_xlfn.XLOOKUP(MIN(ABS($BJ$7:$BJ$29 - MEDIAN(MIN($BJ$7:$BJ$29), MAX($BJ$7:$BJ$29), AL44))), ABS($BJ$7:$BJ$29 - MEDIAN(MIN($BJ$7:$BJ$29), MAX($BJ$7:$BJ$29), AL44)), $BK$7:$BK$29, "Error", 0)</f>
        <v/>
      </c>
      <c r="AM45" s="171">
        <f>_xlfn.XLOOKUP(MIN(ABS($BJ$7:$BJ$29 - MEDIAN(MIN($BJ$7:$BJ$29), MAX($BJ$7:$BJ$29), AM44))), ABS($BJ$7:$BJ$29 - MEDIAN(MIN($BJ$7:$BJ$29), MAX($BJ$7:$BJ$29), AM44)), $BK$7:$BK$29, "Error", 0)</f>
        <v/>
      </c>
      <c r="AN45" s="171">
        <f>_xlfn.XLOOKUP(MIN(ABS($BJ$7:$BJ$29 - MEDIAN(MIN($BJ$7:$BJ$29), MAX($BJ$7:$BJ$29), AN44))), ABS($BJ$7:$BJ$29 - MEDIAN(MIN($BJ$7:$BJ$29), MAX($BJ$7:$BJ$29), AN44)), $BK$7:$BK$29, "Error", 0)</f>
        <v/>
      </c>
      <c r="AO45" s="171">
        <f>_xlfn.XLOOKUP(MIN(ABS($BJ$7:$BJ$29 - MEDIAN(MIN($BJ$7:$BJ$29), MAX($BJ$7:$BJ$29), AO44))), ABS($BJ$7:$BJ$29 - MEDIAN(MIN($BJ$7:$BJ$29), MAX($BJ$7:$BJ$29), AO44)), $BK$7:$BK$29, "Error", 0)</f>
        <v/>
      </c>
      <c r="AP45" s="171">
        <f>_xlfn.XLOOKUP(MIN(ABS($BJ$7:$BJ$29 - MEDIAN(MIN($BJ$7:$BJ$29), MAX($BJ$7:$BJ$29), AP44))), ABS($BJ$7:$BJ$29 - MEDIAN(MIN($BJ$7:$BJ$29), MAX($BJ$7:$BJ$29), AP44)), $BK$7:$BK$29, "Error", 0)</f>
        <v/>
      </c>
      <c r="AQ45" s="171">
        <f>_xlfn.XLOOKUP(MIN(ABS($BJ$7:$BJ$29 - MEDIAN(MIN($BJ$7:$BJ$29), MAX($BJ$7:$BJ$29), AQ44))), ABS($BJ$7:$BJ$29 - MEDIAN(MIN($BJ$7:$BJ$29), MAX($BJ$7:$BJ$29), AQ44)), $BK$7:$BK$29, "Error", 0)</f>
        <v/>
      </c>
      <c r="AR45" s="171">
        <f>_xlfn.XLOOKUP(MIN(ABS($BJ$7:$BJ$29 - MEDIAN(MIN($BJ$7:$BJ$29), MAX($BJ$7:$BJ$29), AR44))), ABS($BJ$7:$BJ$29 - MEDIAN(MIN($BJ$7:$BJ$29), MAX($BJ$7:$BJ$29), AR44)), $BK$7:$BK$29, "Error", 0)</f>
        <v/>
      </c>
      <c r="AS45" s="171">
        <f>_xlfn.XLOOKUP(MIN(ABS($BJ$7:$BJ$29 - MEDIAN(MIN($BJ$7:$BJ$29), MAX($BJ$7:$BJ$29), AS44))), ABS($BJ$7:$BJ$29 - MEDIAN(MIN($BJ$7:$BJ$29), MAX($BJ$7:$BJ$29), AS44)), $BK$7:$BK$29, "Error", 0)</f>
        <v/>
      </c>
      <c r="AT45" s="171">
        <f>_xlfn.XLOOKUP(MIN(ABS($BJ$7:$BJ$29 - MEDIAN(MIN($BJ$7:$BJ$29), MAX($BJ$7:$BJ$29), AT44))), ABS($BJ$7:$BJ$29 - MEDIAN(MIN($BJ$7:$BJ$29), MAX($BJ$7:$BJ$29), AT44)), $BK$7:$BK$29, "Error", 0)</f>
        <v/>
      </c>
      <c r="AU45" s="171">
        <f>_xlfn.XLOOKUP(MIN(ABS($BJ$7:$BJ$29 - MEDIAN(MIN($BJ$7:$BJ$29), MAX($BJ$7:$BJ$29), AU44))), ABS($BJ$7:$BJ$29 - MEDIAN(MIN($BJ$7:$BJ$29), MAX($BJ$7:$BJ$29), AU44)), $BK$7:$BK$29, "Error", 0)</f>
        <v/>
      </c>
      <c r="AV45" s="206">
        <f>_xlfn.XLOOKUP(MIN(ABS($BJ$7:$BJ$29 - MEDIAN(MIN($BJ$7:$BJ$29), MAX($BJ$7:$BJ$29), AV44))), ABS($BJ$7:$BJ$29 - MEDIAN(MIN($BJ$7:$BJ$29), MAX($BJ$7:$BJ$29), AV44)), $BK$7:$BK$29, "Error", 0)</f>
        <v/>
      </c>
      <c r="AW45" s="184">
        <f>_xlfn.XLOOKUP(MIN(ABS($BJ$7:$BJ$29 - MEDIAN(MIN($BJ$7:$BJ$29), MAX($BJ$7:$BJ$29), AW44))), ABS($BJ$7:$BJ$29 - MEDIAN(MIN($BJ$7:$BJ$29), MAX($BJ$7:$BJ$29), AW44)), $BK$7:$BK$29, "Error", 0)</f>
        <v/>
      </c>
      <c r="AX45" s="184">
        <f>_xlfn.XLOOKUP(MIN(ABS($BJ$7:$BJ$29 - MEDIAN(MIN($BJ$7:$BJ$29), MAX($BJ$7:$BJ$29), AX44))), ABS($BJ$7:$BJ$29 - MEDIAN(MIN($BJ$7:$BJ$29), MAX($BJ$7:$BJ$29), AX44)), $BK$7:$BK$29, "Error", 0)</f>
        <v/>
      </c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7574.872353172395</v>
      </c>
      <c r="D46" s="233" t="n">
        <v>7574.872353172395</v>
      </c>
      <c r="E46" s="233" t="n">
        <v>7574.872353172395</v>
      </c>
      <c r="F46" s="233" t="n">
        <v>7574.872353172395</v>
      </c>
      <c r="G46" s="233" t="n">
        <v>7574.872353172395</v>
      </c>
      <c r="H46" s="233" t="n">
        <v>7574.872353172395</v>
      </c>
      <c r="I46" s="233" t="n">
        <v>7574.872353172395</v>
      </c>
      <c r="J46" s="233" t="n">
        <v>7574.872353172395</v>
      </c>
      <c r="K46" s="233" t="n">
        <v>7574.872353172395</v>
      </c>
      <c r="L46" s="233" t="n">
        <v>7574.872353172395</v>
      </c>
      <c r="M46" s="233" t="n">
        <v>7574.872353172395</v>
      </c>
      <c r="N46" s="233" t="n">
        <v>7574.872353172395</v>
      </c>
      <c r="O46" s="233" t="n">
        <v>7574.872353172395</v>
      </c>
      <c r="P46" s="233" t="n">
        <v>7574.872353172395</v>
      </c>
      <c r="Q46" s="233" t="n">
        <v>7574.872353172395</v>
      </c>
      <c r="R46" s="233" t="n">
        <v>7574.872353172395</v>
      </c>
      <c r="S46" s="233" t="n">
        <v>7574.872353172395</v>
      </c>
      <c r="T46" s="233" t="n">
        <v>7574.872353172395</v>
      </c>
      <c r="U46" s="233" t="n">
        <v>7574.872353172395</v>
      </c>
      <c r="V46" s="233" t="n">
        <v>7574.872353172395</v>
      </c>
      <c r="W46" s="233" t="n">
        <v>7574.872353172395</v>
      </c>
      <c r="X46" s="233" t="n">
        <v>7574.872353172395</v>
      </c>
      <c r="Y46" s="233" t="n">
        <v>7574.872353172395</v>
      </c>
      <c r="Z46" s="233" t="n">
        <v>7574.872353172395</v>
      </c>
      <c r="AA46" s="204" t="n">
        <v>7574.872353172395</v>
      </c>
      <c r="AB46" s="204" t="n">
        <v>7574.872353172395</v>
      </c>
      <c r="AC46" s="204" t="n">
        <v>7574.872353172395</v>
      </c>
      <c r="AD46" s="204" t="n">
        <v>7574.872353172395</v>
      </c>
      <c r="AE46" s="204" t="n">
        <v>7574.872353172395</v>
      </c>
      <c r="AF46" s="204" t="n">
        <v>7574.872353172395</v>
      </c>
      <c r="AG46" s="204" t="n">
        <v>7574.872353172395</v>
      </c>
      <c r="AH46" s="204" t="n">
        <v>7574.872353172395</v>
      </c>
      <c r="AI46" s="204" t="n">
        <v>7574.872353172395</v>
      </c>
      <c r="AJ46" s="204" t="n">
        <v>7574.872353172395</v>
      </c>
      <c r="AK46" s="204" t="n">
        <v>7574.872353172395</v>
      </c>
      <c r="AL46" s="204" t="n">
        <v>7574.872353172395</v>
      </c>
      <c r="AM46" s="204" t="n">
        <v>7574.872353172395</v>
      </c>
      <c r="AN46" s="204" t="n">
        <v>7574.872353172395</v>
      </c>
      <c r="AO46" s="204" t="n">
        <v>7574.872353172395</v>
      </c>
      <c r="AP46" s="204" t="n">
        <v>7574.872353172395</v>
      </c>
      <c r="AQ46" s="204" t="n">
        <v>7574.872353172395</v>
      </c>
      <c r="AR46" s="204" t="n">
        <v>7574.872353172395</v>
      </c>
      <c r="AS46" s="204" t="n">
        <v>7574.872353172395</v>
      </c>
      <c r="AT46" s="204" t="n">
        <v>7574.872353172395</v>
      </c>
      <c r="AU46" s="204" t="n">
        <v>7574.872353172395</v>
      </c>
      <c r="AV46" s="200" t="n">
        <v>7574.872353172395</v>
      </c>
      <c r="AW46" s="184" t="n">
        <v>7574.872353172395</v>
      </c>
      <c r="AX46" s="184" t="n">
        <v>7574.872353172395</v>
      </c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4179.979204875766</v>
      </c>
      <c r="D47" s="233" t="n">
        <v>4207.185485128779</v>
      </c>
      <c r="E47" s="233" t="n">
        <v>4297.789570489957</v>
      </c>
      <c r="F47" s="233" t="n">
        <v>4298.802772121155</v>
      </c>
      <c r="G47" s="233" t="n">
        <v>4100.778426617442</v>
      </c>
      <c r="H47" s="233" t="n">
        <v>4298.614530360326</v>
      </c>
      <c r="I47" s="233" t="n">
        <v>4287.40504765496</v>
      </c>
      <c r="J47" s="233" t="n">
        <v>4123.850483013055</v>
      </c>
      <c r="K47" s="233" t="n">
        <v>4033.640224874485</v>
      </c>
      <c r="L47" s="233" t="n">
        <v>3888.563101099804</v>
      </c>
      <c r="M47" s="233" t="n">
        <v>4199.940342515911</v>
      </c>
      <c r="N47" s="233" t="n">
        <v>4220.77930507774</v>
      </c>
      <c r="O47" s="233" t="n">
        <v>4343.929611212923</v>
      </c>
      <c r="P47" s="233" t="n">
        <v>4645.149292619404</v>
      </c>
      <c r="Q47" s="233" t="n">
        <v>4977.684815617977</v>
      </c>
      <c r="R47" s="233" t="n">
        <v>4803.110983659775</v>
      </c>
      <c r="S47" s="233" t="n">
        <v>4876.421252571745</v>
      </c>
      <c r="T47" s="233" t="n">
        <v>4709.025994183641</v>
      </c>
      <c r="U47" s="233" t="n">
        <v>4648.735889937263</v>
      </c>
      <c r="V47" s="233" t="n">
        <v>4652.617914698232</v>
      </c>
      <c r="W47" s="233" t="n">
        <v>4698.273038556159</v>
      </c>
      <c r="X47" s="233" t="n">
        <v>4541.882589476241</v>
      </c>
      <c r="Y47" s="233" t="n">
        <v>4476.980126431998</v>
      </c>
      <c r="Z47" s="233" t="n">
        <v>4579.654967717797</v>
      </c>
      <c r="AA47" s="204" t="n">
        <v>4999.317181632214</v>
      </c>
      <c r="AB47" s="204" t="n">
        <v>5110.704496100952</v>
      </c>
      <c r="AC47" s="204" t="n">
        <v>5003.815239434887</v>
      </c>
      <c r="AD47" s="204" t="n">
        <v>4839.048085247108</v>
      </c>
      <c r="AE47" s="204" t="n">
        <v>5018.888431680389</v>
      </c>
      <c r="AF47" s="204" t="n">
        <v>4964.416320188902</v>
      </c>
      <c r="AG47" s="204" t="n">
        <v>4944.280446509714</v>
      </c>
      <c r="AH47" s="204" t="n">
        <v>5010.878261979815</v>
      </c>
      <c r="AI47" s="204" t="n">
        <v>5172.558803605789</v>
      </c>
      <c r="AJ47" s="204" t="n">
        <v>5251.881699016434</v>
      </c>
      <c r="AK47" s="204" t="n">
        <v>5289.93281584885</v>
      </c>
      <c r="AL47" s="204" t="n">
        <v>5383.355481996114</v>
      </c>
      <c r="AM47" s="204" t="n">
        <v>5440.223811151227</v>
      </c>
      <c r="AN47" s="204" t="n">
        <v>5601.728954415768</v>
      </c>
      <c r="AO47" s="204" t="n">
        <v>5104.044866681535</v>
      </c>
      <c r="AP47" s="204" t="n">
        <v>5433.338672124781</v>
      </c>
      <c r="AQ47" s="204" t="n">
        <v>5525.897856300697</v>
      </c>
      <c r="AR47" s="204" t="n">
        <v>5837.030057391152</v>
      </c>
      <c r="AS47" s="204" t="n">
        <v>5904.683480155654</v>
      </c>
      <c r="AT47" s="204" t="n">
        <v>6018.001251446782</v>
      </c>
      <c r="AU47" s="204" t="n">
        <v>6000.490488007548</v>
      </c>
      <c r="AV47" s="201" t="n">
        <v>6000.490488007548</v>
      </c>
      <c r="AW47" s="184" t="n">
        <v>6000.490488007548</v>
      </c>
      <c r="AX47" s="184" t="n">
        <v>6000.490488007548</v>
      </c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>
        <f>+(AV47-AV46)/AV46</f>
        <v/>
      </c>
      <c r="AW48" s="184">
        <f>+(AW47-AW46)/AW46</f>
        <v/>
      </c>
      <c r="AX48" s="184">
        <f>+(AX47-AX46)/AX46</f>
        <v/>
      </c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4572.81982421875</v>
      </c>
      <c r="D49" s="233" t="n">
        <v>4572.81982421875</v>
      </c>
      <c r="E49" s="233" t="n">
        <v>4572.81982421875</v>
      </c>
      <c r="F49" s="233" t="n">
        <v>4572.81982421875</v>
      </c>
      <c r="G49" s="233" t="n">
        <v>4572.81982421875</v>
      </c>
      <c r="H49" s="233" t="n">
        <v>4572.81982421875</v>
      </c>
      <c r="I49" s="233" t="n">
        <v>4572.81982421875</v>
      </c>
      <c r="J49" s="233" t="n">
        <v>4572.81982421875</v>
      </c>
      <c r="K49" s="233" t="n">
        <v>4572.81982421875</v>
      </c>
      <c r="L49" s="233" t="n">
        <v>4572.81982421875</v>
      </c>
      <c r="M49" s="233" t="n">
        <v>4572.81982421875</v>
      </c>
      <c r="N49" s="233" t="n">
        <v>4572.81982421875</v>
      </c>
      <c r="O49" s="233" t="n">
        <v>4667.419921875</v>
      </c>
      <c r="P49" s="233" t="n">
        <v>4887.85009765625</v>
      </c>
      <c r="Q49" s="233" t="n">
        <v>5095.10986328125</v>
      </c>
      <c r="R49" s="233" t="n">
        <v>5095.10986328125</v>
      </c>
      <c r="S49" s="233" t="n">
        <v>5102.2998046875</v>
      </c>
      <c r="T49" s="233" t="n">
        <v>5102.2998046875</v>
      </c>
      <c r="U49" s="233" t="n">
        <v>5102.2998046875</v>
      </c>
      <c r="V49" s="233" t="n">
        <v>5102.2998046875</v>
      </c>
      <c r="W49" s="233" t="n">
        <v>5102.2998046875</v>
      </c>
      <c r="X49" s="233" t="n">
        <v>5102.2998046875</v>
      </c>
      <c r="Y49" s="233" t="n">
        <v>5102.2998046875</v>
      </c>
      <c r="Z49" s="233" t="n">
        <v>5102.2998046875</v>
      </c>
      <c r="AA49" s="231" t="n">
        <v>5285.22021484375</v>
      </c>
      <c r="AB49" s="203" t="n">
        <v>5544.1201171875</v>
      </c>
      <c r="AC49" s="203" t="n">
        <v>5568.18994140625</v>
      </c>
      <c r="AD49" s="203" t="n">
        <v>5568.18994140625</v>
      </c>
      <c r="AE49" s="203" t="n">
        <v>5568.18994140625</v>
      </c>
      <c r="AF49" s="203" t="n">
        <v>5568.18994140625</v>
      </c>
      <c r="AG49" s="203" t="n">
        <v>5568.18994140625</v>
      </c>
      <c r="AH49" s="203" t="n">
        <v>5568.18994140625</v>
      </c>
      <c r="AI49" s="203" t="n">
        <v>5568.18994140625</v>
      </c>
      <c r="AJ49" s="203" t="n">
        <v>5734.27978515625</v>
      </c>
      <c r="AK49" s="203" t="n">
        <v>5804.66015625</v>
      </c>
      <c r="AL49" s="203" t="n">
        <v>5804.66015625</v>
      </c>
      <c r="AM49" s="203" t="n">
        <v>6053.68017578125</v>
      </c>
      <c r="AN49" s="203" t="n">
        <v>6176.8701171875</v>
      </c>
      <c r="AO49" s="203" t="n">
        <v>6176.8701171875</v>
      </c>
      <c r="AP49" s="203" t="n">
        <v>6176.8701171875</v>
      </c>
      <c r="AQ49" s="203" t="n">
        <v>6176.8701171875</v>
      </c>
      <c r="AR49" s="203" t="n">
        <v>6334.5498046875</v>
      </c>
      <c r="AS49" s="203" t="n">
        <v>6421.740234375</v>
      </c>
      <c r="AT49" s="203" t="n">
        <v>6576.2998046875</v>
      </c>
      <c r="AU49" s="203" t="n">
        <v>6576.2998046875</v>
      </c>
      <c r="AV49" s="201" t="n">
        <v>6576.2998046875</v>
      </c>
      <c r="AW49" s="184" t="n">
        <v>6576.2998046875</v>
      </c>
      <c r="AX49" s="184" t="n">
        <v>6576.2998046875</v>
      </c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4521.64990234375</v>
      </c>
      <c r="O50" s="233" t="n">
        <v>4648.39990234375</v>
      </c>
      <c r="P50" s="233" t="n">
        <v>4877.77001953125</v>
      </c>
      <c r="Q50" s="233" t="n">
        <v>5083.419921875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4869.27978515625</v>
      </c>
      <c r="AA50" s="231" t="n">
        <v>5286.8701171875</v>
      </c>
      <c r="AB50" s="203" t="n">
        <v>5463.5400390625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5662.0400390625</v>
      </c>
      <c r="AK50" s="203" t="n">
        <v>5668.169921875</v>
      </c>
      <c r="AL50" s="203" t="n">
        <v>5796.22021484375</v>
      </c>
      <c r="AM50" s="203" t="n">
        <v>5947.81005859375</v>
      </c>
      <c r="AN50" s="203" t="n">
        <v>6138.41015625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6328.08984375</v>
      </c>
      <c r="AS50" s="203" t="n">
        <v>6358.009765625</v>
      </c>
      <c r="AT50" s="203" t="n">
        <v>6420.16015625</v>
      </c>
      <c r="AU50" s="203" t="n">
        <v>6343.080078125</v>
      </c>
      <c r="AV50" s="201" t="n">
        <v>6343.080078125</v>
      </c>
      <c r="AW50" s="184" t="n">
        <v>6343.080078125</v>
      </c>
      <c r="AX50" s="184" t="n">
        <v>6343.080078125</v>
      </c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>
        <f>+(AV50-AV49)/AV49</f>
        <v/>
      </c>
      <c r="AW51" s="184">
        <f>+(AW50-AW49)/AW49</f>
        <v/>
      </c>
      <c r="AX51" s="184">
        <f>+(AX50-AX49)/AX49</f>
        <v/>
      </c>
      <c r="AY51" s="184" t="n"/>
    </row>
    <row r="52" ht="22" customHeight="1">
      <c r="A52" s="303" t="n"/>
      <c r="B52" s="201" t="inlineStr">
        <is>
          <t>real % change</t>
        </is>
      </c>
      <c r="C52" s="230">
        <f>+C51-C48</f>
        <v/>
      </c>
      <c r="D52" s="230">
        <f>+D51-D48</f>
        <v/>
      </c>
      <c r="E52" s="230">
        <f>+E51-E48</f>
        <v/>
      </c>
      <c r="F52" s="230">
        <f>+F51-F48</f>
        <v/>
      </c>
      <c r="G52" s="230">
        <f>+G51-G48</f>
        <v/>
      </c>
      <c r="H52" s="230">
        <f>+H51-H48</f>
        <v/>
      </c>
      <c r="I52" s="230">
        <f>+I51-I48</f>
        <v/>
      </c>
      <c r="J52" s="230">
        <f>+J51-J48</f>
        <v/>
      </c>
      <c r="K52" s="230">
        <f>+K51-K48</f>
        <v/>
      </c>
      <c r="L52" s="230">
        <f>+L51-L48</f>
        <v/>
      </c>
      <c r="M52" s="230">
        <f>+M51-M48</f>
        <v/>
      </c>
      <c r="N52" s="230">
        <f>+N51-N48</f>
        <v/>
      </c>
      <c r="O52" s="230">
        <f>+O51-O48</f>
        <v/>
      </c>
      <c r="P52" s="230">
        <f>+P51-P48</f>
        <v/>
      </c>
      <c r="Q52" s="230">
        <f>+Q51-Q48</f>
        <v/>
      </c>
      <c r="R52" s="230">
        <f>+R51-R48</f>
        <v/>
      </c>
      <c r="S52" s="230">
        <f>+S51-S48</f>
        <v/>
      </c>
      <c r="T52" s="230">
        <f>+T51-T48</f>
        <v/>
      </c>
      <c r="U52" s="230">
        <f>+U51-U48</f>
        <v/>
      </c>
      <c r="V52" s="230">
        <f>+V51-V48</f>
        <v/>
      </c>
      <c r="W52" s="230">
        <f>+W51-W48</f>
        <v/>
      </c>
      <c r="X52" s="230">
        <f>+X51-X48</f>
        <v/>
      </c>
      <c r="Y52" s="230">
        <f>+Y51-Y48</f>
        <v/>
      </c>
      <c r="Z52" s="230">
        <f>+Z51-Z48</f>
        <v/>
      </c>
      <c r="AA52" s="230">
        <f>+AA51-AA48</f>
        <v/>
      </c>
      <c r="AB52" s="205">
        <f>+AB51-AB48</f>
        <v/>
      </c>
      <c r="AC52" s="205">
        <f>+AC51-AC48</f>
        <v/>
      </c>
      <c r="AD52" s="205">
        <f>+AD51-AD48</f>
        <v/>
      </c>
      <c r="AE52" s="205">
        <f>+AE51-AE48</f>
        <v/>
      </c>
      <c r="AF52" s="205">
        <f>+AF51-AF48</f>
        <v/>
      </c>
      <c r="AG52" s="205">
        <f>+AG51-AG48</f>
        <v/>
      </c>
      <c r="AH52" s="205">
        <f>+AH51-AH48</f>
        <v/>
      </c>
      <c r="AI52" s="205">
        <f>+AI51-AI48</f>
        <v/>
      </c>
      <c r="AJ52" s="205">
        <f>+AJ51-AJ48</f>
        <v/>
      </c>
      <c r="AK52" s="205">
        <f>+AK51-AK48</f>
        <v/>
      </c>
      <c r="AL52" s="205">
        <f>+AL51-AL48</f>
        <v/>
      </c>
      <c r="AM52" s="205">
        <f>+AM51-AM48</f>
        <v/>
      </c>
      <c r="AN52" s="205">
        <f>+AN51-AN48</f>
        <v/>
      </c>
      <c r="AO52" s="205">
        <f>+AO51-AO48</f>
        <v/>
      </c>
      <c r="AP52" s="205">
        <f>+AP51-AP48</f>
        <v/>
      </c>
      <c r="AQ52" s="205">
        <f>+AQ51-AQ48</f>
        <v/>
      </c>
      <c r="AR52" s="205">
        <f>+AR51-AR48</f>
        <v/>
      </c>
      <c r="AS52" s="205">
        <f>+AS51-AS48</f>
        <v/>
      </c>
      <c r="AT52" s="205">
        <f>+AT51-AT48</f>
        <v/>
      </c>
      <c r="AU52" s="205">
        <f>+AU51-AU48</f>
        <v/>
      </c>
      <c r="AV52" s="201">
        <f>+AV51-AV48</f>
        <v/>
      </c>
      <c r="AW52" s="184">
        <f>+AW51-AW48</f>
        <v/>
      </c>
      <c r="AX52" s="184">
        <f>+AX51-AX48</f>
        <v/>
      </c>
      <c r="AY52" s="184" t="n"/>
    </row>
    <row r="53" ht="22" customHeight="1">
      <c r="A53" s="304" t="n"/>
      <c r="B53" s="206" t="inlineStr">
        <is>
          <t>Rating</t>
        </is>
      </c>
      <c r="C53" s="232">
        <f>_xlfn.XLOOKUP(MIN(ABS($BJ$7:$BJ$29 - MEDIAN(MIN($BJ$7:$BJ$29), MAX($BJ$7:$BJ$29), C52))), ABS($BJ$7:$BJ$29 - MEDIAN(MIN($BJ$7:$BJ$29), MAX($BJ$7:$BJ$29), C52)), $BK$7:$BK$29, "Error", 0)</f>
        <v/>
      </c>
      <c r="D53" s="232">
        <f>_xlfn.XLOOKUP(MIN(ABS($BJ$7:$BJ$29 - MEDIAN(MIN($BJ$7:$BJ$29), MAX($BJ$7:$BJ$29), D52))), ABS($BJ$7:$BJ$29 - MEDIAN(MIN($BJ$7:$BJ$29), MAX($BJ$7:$BJ$29), D52)), $BK$7:$BK$29, "Error", 0)</f>
        <v/>
      </c>
      <c r="E53" s="232">
        <f>_xlfn.XLOOKUP(MIN(ABS($BJ$7:$BJ$29 - MEDIAN(MIN($BJ$7:$BJ$29), MAX($BJ$7:$BJ$29), E52))), ABS($BJ$7:$BJ$29 - MEDIAN(MIN($BJ$7:$BJ$29), MAX($BJ$7:$BJ$29), E52)), $BK$7:$BK$29, "Error", 0)</f>
        <v/>
      </c>
      <c r="F53" s="232">
        <f>_xlfn.XLOOKUP(MIN(ABS($BJ$7:$BJ$29 - MEDIAN(MIN($BJ$7:$BJ$29), MAX($BJ$7:$BJ$29), F52))), ABS($BJ$7:$BJ$29 - MEDIAN(MIN($BJ$7:$BJ$29), MAX($BJ$7:$BJ$29), F52)), $BK$7:$BK$29, "Error", 0)</f>
        <v/>
      </c>
      <c r="G53" s="232">
        <f>_xlfn.XLOOKUP(MIN(ABS($BJ$7:$BJ$29 - MEDIAN(MIN($BJ$7:$BJ$29), MAX($BJ$7:$BJ$29), G52))), ABS($BJ$7:$BJ$29 - MEDIAN(MIN($BJ$7:$BJ$29), MAX($BJ$7:$BJ$29), G52)), $BK$7:$BK$29, "Error", 0)</f>
        <v/>
      </c>
      <c r="H53" s="232">
        <f>_xlfn.XLOOKUP(MIN(ABS($BJ$7:$BJ$29 - MEDIAN(MIN($BJ$7:$BJ$29), MAX($BJ$7:$BJ$29), H52))), ABS($BJ$7:$BJ$29 - MEDIAN(MIN($BJ$7:$BJ$29), MAX($BJ$7:$BJ$29), H52)), $BK$7:$BK$29, "Error", 0)</f>
        <v/>
      </c>
      <c r="I53" s="232">
        <f>_xlfn.XLOOKUP(MIN(ABS($BJ$7:$BJ$29 - MEDIAN(MIN($BJ$7:$BJ$29), MAX($BJ$7:$BJ$29), I52))), ABS($BJ$7:$BJ$29 - MEDIAN(MIN($BJ$7:$BJ$29), MAX($BJ$7:$BJ$29), I52)), $BK$7:$BK$29, "Error", 0)</f>
        <v/>
      </c>
      <c r="J53" s="232">
        <f>_xlfn.XLOOKUP(MIN(ABS($BJ$7:$BJ$29 - MEDIAN(MIN($BJ$7:$BJ$29), MAX($BJ$7:$BJ$29), J52))), ABS($BJ$7:$BJ$29 - MEDIAN(MIN($BJ$7:$BJ$29), MAX($BJ$7:$BJ$29), J52)), $BK$7:$BK$29, "Error", 0)</f>
        <v/>
      </c>
      <c r="K53" s="232">
        <f>_xlfn.XLOOKUP(MIN(ABS($BJ$7:$BJ$29 - MEDIAN(MIN($BJ$7:$BJ$29), MAX($BJ$7:$BJ$29), K52))), ABS($BJ$7:$BJ$29 - MEDIAN(MIN($BJ$7:$BJ$29), MAX($BJ$7:$BJ$29), K52)), $BK$7:$BK$29, "Error", 0)</f>
        <v/>
      </c>
      <c r="L53" s="232">
        <f>_xlfn.XLOOKUP(MIN(ABS($BJ$7:$BJ$29 - MEDIAN(MIN($BJ$7:$BJ$29), MAX($BJ$7:$BJ$29), L52))), ABS($BJ$7:$BJ$29 - MEDIAN(MIN($BJ$7:$BJ$29), MAX($BJ$7:$BJ$29), L52)), $BK$7:$BK$29, "Error", 0)</f>
        <v/>
      </c>
      <c r="M53" s="232">
        <f>_xlfn.XLOOKUP(MIN(ABS($BJ$7:$BJ$29 - MEDIAN(MIN($BJ$7:$BJ$29), MAX($BJ$7:$BJ$29), M52))), ABS($BJ$7:$BJ$29 - MEDIAN(MIN($BJ$7:$BJ$29), MAX($BJ$7:$BJ$29), M52)), $BK$7:$BK$29, "Error", 0)</f>
        <v/>
      </c>
      <c r="N53" s="232">
        <f>_xlfn.XLOOKUP(MIN(ABS($BJ$7:$BJ$29 - MEDIAN(MIN($BJ$7:$BJ$29), MAX($BJ$7:$BJ$29), N52))), ABS($BJ$7:$BJ$29 - MEDIAN(MIN($BJ$7:$BJ$29), MAX($BJ$7:$BJ$29), N52)), $BK$7:$BK$29, "Error", 0)</f>
        <v/>
      </c>
      <c r="O53" s="232">
        <f>_xlfn.XLOOKUP(MIN(ABS($BJ$7:$BJ$29 - MEDIAN(MIN($BJ$7:$BJ$29), MAX($BJ$7:$BJ$29), O52))), ABS($BJ$7:$BJ$29 - MEDIAN(MIN($BJ$7:$BJ$29), MAX($BJ$7:$BJ$29), O52)), $BK$7:$BK$29, "Error", 0)</f>
        <v/>
      </c>
      <c r="P53" s="232">
        <f>_xlfn.XLOOKUP(MIN(ABS($BJ$7:$BJ$29 - MEDIAN(MIN($BJ$7:$BJ$29), MAX($BJ$7:$BJ$29), P52))), ABS($BJ$7:$BJ$29 - MEDIAN(MIN($BJ$7:$BJ$29), MAX($BJ$7:$BJ$29), P52)), $BK$7:$BK$29, "Error", 0)</f>
        <v/>
      </c>
      <c r="Q53" s="232">
        <f>_xlfn.XLOOKUP(MIN(ABS($BJ$7:$BJ$29 - MEDIAN(MIN($BJ$7:$BJ$29), MAX($BJ$7:$BJ$29), Q52))), ABS($BJ$7:$BJ$29 - MEDIAN(MIN($BJ$7:$BJ$29), MAX($BJ$7:$BJ$29), Q52)), $BK$7:$BK$29, "Error", 0)</f>
        <v/>
      </c>
      <c r="R53" s="232">
        <f>_xlfn.XLOOKUP(MIN(ABS($BJ$7:$BJ$29 - MEDIAN(MIN($BJ$7:$BJ$29), MAX($BJ$7:$BJ$29), R52))), ABS($BJ$7:$BJ$29 - MEDIAN(MIN($BJ$7:$BJ$29), MAX($BJ$7:$BJ$29), R52)), $BK$7:$BK$29, "Error", 0)</f>
        <v/>
      </c>
      <c r="S53" s="232">
        <f>_xlfn.XLOOKUP(MIN(ABS($BJ$7:$BJ$29 - MEDIAN(MIN($BJ$7:$BJ$29), MAX($BJ$7:$BJ$29), S52))), ABS($BJ$7:$BJ$29 - MEDIAN(MIN($BJ$7:$BJ$29), MAX($BJ$7:$BJ$29), S52)), $BK$7:$BK$29, "Error", 0)</f>
        <v/>
      </c>
      <c r="T53" s="232">
        <f>_xlfn.XLOOKUP(MIN(ABS($BJ$7:$BJ$29 - MEDIAN(MIN($BJ$7:$BJ$29), MAX($BJ$7:$BJ$29), T52))), ABS($BJ$7:$BJ$29 - MEDIAN(MIN($BJ$7:$BJ$29), MAX($BJ$7:$BJ$29), T52)), $BK$7:$BK$29, "Error", 0)</f>
        <v/>
      </c>
      <c r="U53" s="232">
        <f>_xlfn.XLOOKUP(MIN(ABS($BJ$7:$BJ$29 - MEDIAN(MIN($BJ$7:$BJ$29), MAX($BJ$7:$BJ$29), U52))), ABS($BJ$7:$BJ$29 - MEDIAN(MIN($BJ$7:$BJ$29), MAX($BJ$7:$BJ$29), U52)), $BK$7:$BK$29, "Error", 0)</f>
        <v/>
      </c>
      <c r="V53" s="232">
        <f>_xlfn.XLOOKUP(MIN(ABS($BJ$7:$BJ$29 - MEDIAN(MIN($BJ$7:$BJ$29), MAX($BJ$7:$BJ$29), V52))), ABS($BJ$7:$BJ$29 - MEDIAN(MIN($BJ$7:$BJ$29), MAX($BJ$7:$BJ$29), V52)), $BK$7:$BK$29, "Error", 0)</f>
        <v/>
      </c>
      <c r="W53" s="232">
        <f>_xlfn.XLOOKUP(MIN(ABS($BJ$7:$BJ$29 - MEDIAN(MIN($BJ$7:$BJ$29), MAX($BJ$7:$BJ$29), W52))), ABS($BJ$7:$BJ$29 - MEDIAN(MIN($BJ$7:$BJ$29), MAX($BJ$7:$BJ$29), W52)), $BK$7:$BK$29, "Error", 0)</f>
        <v/>
      </c>
      <c r="X53" s="232">
        <f>_xlfn.XLOOKUP(MIN(ABS($BJ$7:$BJ$29 - MEDIAN(MIN($BJ$7:$BJ$29), MAX($BJ$7:$BJ$29), X52))), ABS($BJ$7:$BJ$29 - MEDIAN(MIN($BJ$7:$BJ$29), MAX($BJ$7:$BJ$29), X52)), $BK$7:$BK$29, "Error", 0)</f>
        <v/>
      </c>
      <c r="Y53" s="232">
        <f>_xlfn.XLOOKUP(MIN(ABS($BJ$7:$BJ$29 - MEDIAN(MIN($BJ$7:$BJ$29), MAX($BJ$7:$BJ$29), Y52))), ABS($BJ$7:$BJ$29 - MEDIAN(MIN($BJ$7:$BJ$29), MAX($BJ$7:$BJ$29), Y52)), $BK$7:$BK$29, "Error", 0)</f>
        <v/>
      </c>
      <c r="Z53" s="232">
        <f>_xlfn.XLOOKUP(MIN(ABS($BJ$7:$BJ$29 - MEDIAN(MIN($BJ$7:$BJ$29), MAX($BJ$7:$BJ$29), Z52))), ABS($BJ$7:$BJ$29 - MEDIAN(MIN($BJ$7:$BJ$29), MAX($BJ$7:$BJ$29), Z52)), $BK$7:$BK$29, "Error", 0)</f>
        <v/>
      </c>
      <c r="AA53" s="232">
        <f>_xlfn.XLOOKUP(MIN(ABS($BJ$7:$BJ$29 - MEDIAN(MIN($BJ$7:$BJ$29), MAX($BJ$7:$BJ$29), AA52))), ABS($BJ$7:$BJ$29 - MEDIAN(MIN($BJ$7:$BJ$29), MAX($BJ$7:$BJ$29), AA52)), $BK$7:$BK$29, "Error", 0)</f>
        <v/>
      </c>
      <c r="AB53" s="171">
        <f>_xlfn.XLOOKUP(MIN(ABS($BJ$7:$BJ$29 - MEDIAN(MIN($BJ$7:$BJ$29), MAX($BJ$7:$BJ$29), AB52))), ABS($BJ$7:$BJ$29 - MEDIAN(MIN($BJ$7:$BJ$29), MAX($BJ$7:$BJ$29), AB52)), $BK$7:$BK$29, "Error", 0)</f>
        <v/>
      </c>
      <c r="AC53" s="171">
        <f>_xlfn.XLOOKUP(MIN(ABS($BJ$7:$BJ$29 - MEDIAN(MIN($BJ$7:$BJ$29), MAX($BJ$7:$BJ$29), AC52))), ABS($BJ$7:$BJ$29 - MEDIAN(MIN($BJ$7:$BJ$29), MAX($BJ$7:$BJ$29), AC52)), $BK$7:$BK$29, "Error", 0)</f>
        <v/>
      </c>
      <c r="AD53" s="171">
        <f>_xlfn.XLOOKUP(MIN(ABS($BJ$7:$BJ$29 - MEDIAN(MIN($BJ$7:$BJ$29), MAX($BJ$7:$BJ$29), AD52))), ABS($BJ$7:$BJ$29 - MEDIAN(MIN($BJ$7:$BJ$29), MAX($BJ$7:$BJ$29), AD52)), $BK$7:$BK$29, "Error", 0)</f>
        <v/>
      </c>
      <c r="AE53" s="171">
        <f>_xlfn.XLOOKUP(MIN(ABS($BJ$7:$BJ$29 - MEDIAN(MIN($BJ$7:$BJ$29), MAX($BJ$7:$BJ$29), AE52))), ABS($BJ$7:$BJ$29 - MEDIAN(MIN($BJ$7:$BJ$29), MAX($BJ$7:$BJ$29), AE52)), $BK$7:$BK$29, "Error", 0)</f>
        <v/>
      </c>
      <c r="AF53" s="171">
        <f>_xlfn.XLOOKUP(MIN(ABS($BJ$7:$BJ$29 - MEDIAN(MIN($BJ$7:$BJ$29), MAX($BJ$7:$BJ$29), AF52))), ABS($BJ$7:$BJ$29 - MEDIAN(MIN($BJ$7:$BJ$29), MAX($BJ$7:$BJ$29), AF52)), $BK$7:$BK$29, "Error", 0)</f>
        <v/>
      </c>
      <c r="AG53" s="171">
        <f>_xlfn.XLOOKUP(MIN(ABS($BJ$7:$BJ$29 - MEDIAN(MIN($BJ$7:$BJ$29), MAX($BJ$7:$BJ$29), AG52))), ABS($BJ$7:$BJ$29 - MEDIAN(MIN($BJ$7:$BJ$29), MAX($BJ$7:$BJ$29), AG52)), $BK$7:$BK$29, "Error", 0)</f>
        <v/>
      </c>
      <c r="AH53" s="171">
        <f>_xlfn.XLOOKUP(MIN(ABS($BJ$7:$BJ$29 - MEDIAN(MIN($BJ$7:$BJ$29), MAX($BJ$7:$BJ$29), AH52))), ABS($BJ$7:$BJ$29 - MEDIAN(MIN($BJ$7:$BJ$29), MAX($BJ$7:$BJ$29), AH52)), $BK$7:$BK$29, "Error", 0)</f>
        <v/>
      </c>
      <c r="AI53" s="171">
        <f>_xlfn.XLOOKUP(MIN(ABS($BJ$7:$BJ$29 - MEDIAN(MIN($BJ$7:$BJ$29), MAX($BJ$7:$BJ$29), AI52))), ABS($BJ$7:$BJ$29 - MEDIAN(MIN($BJ$7:$BJ$29), MAX($BJ$7:$BJ$29), AI52)), $BK$7:$BK$29, "Error", 0)</f>
        <v/>
      </c>
      <c r="AJ53" s="171">
        <f>_xlfn.XLOOKUP(MIN(ABS($BJ$7:$BJ$29 - MEDIAN(MIN($BJ$7:$BJ$29), MAX($BJ$7:$BJ$29), AJ52))), ABS($BJ$7:$BJ$29 - MEDIAN(MIN($BJ$7:$BJ$29), MAX($BJ$7:$BJ$29), AJ52)), $BK$7:$BK$29, "Error", 0)</f>
        <v/>
      </c>
      <c r="AK53" s="171">
        <f>_xlfn.XLOOKUP(MIN(ABS($BJ$7:$BJ$29 - MEDIAN(MIN($BJ$7:$BJ$29), MAX($BJ$7:$BJ$29), AK52))), ABS($BJ$7:$BJ$29 - MEDIAN(MIN($BJ$7:$BJ$29), MAX($BJ$7:$BJ$29), AK52)), $BK$7:$BK$29, "Error", 0)</f>
        <v/>
      </c>
      <c r="AL53" s="171">
        <f>_xlfn.XLOOKUP(MIN(ABS($BJ$7:$BJ$29 - MEDIAN(MIN($BJ$7:$BJ$29), MAX($BJ$7:$BJ$29), AL52))), ABS($BJ$7:$BJ$29 - MEDIAN(MIN($BJ$7:$BJ$29), MAX($BJ$7:$BJ$29), AL52)), $BK$7:$BK$29, "Error", 0)</f>
        <v/>
      </c>
      <c r="AM53" s="171">
        <f>_xlfn.XLOOKUP(MIN(ABS($BJ$7:$BJ$29 - MEDIAN(MIN($BJ$7:$BJ$29), MAX($BJ$7:$BJ$29), AM52))), ABS($BJ$7:$BJ$29 - MEDIAN(MIN($BJ$7:$BJ$29), MAX($BJ$7:$BJ$29), AM52)), $BK$7:$BK$29, "Error", 0)</f>
        <v/>
      </c>
      <c r="AN53" s="171">
        <f>_xlfn.XLOOKUP(MIN(ABS($BJ$7:$BJ$29 - MEDIAN(MIN($BJ$7:$BJ$29), MAX($BJ$7:$BJ$29), AN52))), ABS($BJ$7:$BJ$29 - MEDIAN(MIN($BJ$7:$BJ$29), MAX($BJ$7:$BJ$29), AN52)), $BK$7:$BK$29, "Error", 0)</f>
        <v/>
      </c>
      <c r="AO53" s="171">
        <f>_xlfn.XLOOKUP(MIN(ABS($BJ$7:$BJ$29 - MEDIAN(MIN($BJ$7:$BJ$29), MAX($BJ$7:$BJ$29), AO52))), ABS($BJ$7:$BJ$29 - MEDIAN(MIN($BJ$7:$BJ$29), MAX($BJ$7:$BJ$29), AO52)), $BK$7:$BK$29, "Error", 0)</f>
        <v/>
      </c>
      <c r="AP53" s="171">
        <f>_xlfn.XLOOKUP(MIN(ABS($BJ$7:$BJ$29 - MEDIAN(MIN($BJ$7:$BJ$29), MAX($BJ$7:$BJ$29), AP52))), ABS($BJ$7:$BJ$29 - MEDIAN(MIN($BJ$7:$BJ$29), MAX($BJ$7:$BJ$29), AP52)), $BK$7:$BK$29, "Error", 0)</f>
        <v/>
      </c>
      <c r="AQ53" s="171">
        <f>_xlfn.XLOOKUP(MIN(ABS($BJ$7:$BJ$29 - MEDIAN(MIN($BJ$7:$BJ$29), MAX($BJ$7:$BJ$29), AQ52))), ABS($BJ$7:$BJ$29 - MEDIAN(MIN($BJ$7:$BJ$29), MAX($BJ$7:$BJ$29), AQ52)), $BK$7:$BK$29, "Error", 0)</f>
        <v/>
      </c>
      <c r="AR53" s="171">
        <f>_xlfn.XLOOKUP(MIN(ABS($BJ$7:$BJ$29 - MEDIAN(MIN($BJ$7:$BJ$29), MAX($BJ$7:$BJ$29), AR52))), ABS($BJ$7:$BJ$29 - MEDIAN(MIN($BJ$7:$BJ$29), MAX($BJ$7:$BJ$29), AR52)), $BK$7:$BK$29, "Error", 0)</f>
        <v/>
      </c>
      <c r="AS53" s="171">
        <f>_xlfn.XLOOKUP(MIN(ABS($BJ$7:$BJ$29 - MEDIAN(MIN($BJ$7:$BJ$29), MAX($BJ$7:$BJ$29), AS52))), ABS($BJ$7:$BJ$29 - MEDIAN(MIN($BJ$7:$BJ$29), MAX($BJ$7:$BJ$29), AS52)), $BK$7:$BK$29, "Error", 0)</f>
        <v/>
      </c>
      <c r="AT53" s="171">
        <f>_xlfn.XLOOKUP(MIN(ABS($BJ$7:$BJ$29 - MEDIAN(MIN($BJ$7:$BJ$29), MAX($BJ$7:$BJ$29), AT52))), ABS($BJ$7:$BJ$29 - MEDIAN(MIN($BJ$7:$BJ$29), MAX($BJ$7:$BJ$29), AT52)), $BK$7:$BK$29, "Error", 0)</f>
        <v/>
      </c>
      <c r="AU53" s="171">
        <f>_xlfn.XLOOKUP(MIN(ABS($BJ$7:$BJ$29 - MEDIAN(MIN($BJ$7:$BJ$29), MAX($BJ$7:$BJ$29), AU52))), ABS($BJ$7:$BJ$29 - MEDIAN(MIN($BJ$7:$BJ$29), MAX($BJ$7:$BJ$29), AU52)), $BK$7:$BK$29, "Error", 0)</f>
        <v/>
      </c>
      <c r="AV53" s="206">
        <f>_xlfn.XLOOKUP(MIN(ABS($BJ$7:$BJ$29 - MEDIAN(MIN($BJ$7:$BJ$29), MAX($BJ$7:$BJ$29), AV52))), ABS($BJ$7:$BJ$29 - MEDIAN(MIN($BJ$7:$BJ$29), MAX($BJ$7:$BJ$29), AV52)), $BK$7:$BK$29, "Error", 0)</f>
        <v/>
      </c>
      <c r="AW53" s="184">
        <f>_xlfn.XLOOKUP(MIN(ABS($BJ$7:$BJ$29 - MEDIAN(MIN($BJ$7:$BJ$29), MAX($BJ$7:$BJ$29), AW52))), ABS($BJ$7:$BJ$29 - MEDIAN(MIN($BJ$7:$BJ$29), MAX($BJ$7:$BJ$29), AW52)), $BK$7:$BK$29, "Error", 0)</f>
        <v/>
      </c>
      <c r="AX53" s="184">
        <f>_xlfn.XLOOKUP(MIN(ABS($BJ$7:$BJ$29 - MEDIAN(MIN($BJ$7:$BJ$29), MAX($BJ$7:$BJ$29), AX52))), ABS($BJ$7:$BJ$29 - MEDIAN(MIN($BJ$7:$BJ$29), MAX($BJ$7:$BJ$29), AX52)), $BK$7:$BK$29, "Error", 0)</f>
        <v/>
      </c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3759.865748291602</v>
      </c>
      <c r="D54" s="233" t="n">
        <v>3845.016787106288</v>
      </c>
      <c r="E54" s="233" t="n">
        <v>3845.016787106288</v>
      </c>
      <c r="F54" s="233" t="n">
        <v>3908.210121444426</v>
      </c>
      <c r="G54" s="233" t="n">
        <v>3908.210121444426</v>
      </c>
      <c r="H54" s="233" t="n">
        <v>3908.210121444426</v>
      </c>
      <c r="I54" s="233" t="n">
        <v>3908.210121444426</v>
      </c>
      <c r="J54" s="233" t="n">
        <v>3908.210121444426</v>
      </c>
      <c r="K54" s="233" t="n">
        <v>3908.210121444426</v>
      </c>
      <c r="L54" s="233" t="n">
        <v>3908.210121444426</v>
      </c>
      <c r="M54" s="233" t="n">
        <v>3908.210121444426</v>
      </c>
      <c r="N54" s="233" t="n">
        <v>3951.10051281075</v>
      </c>
      <c r="O54" s="233" t="n">
        <v>3998.578661759268</v>
      </c>
      <c r="P54" s="233" t="n">
        <v>4187.22570586513</v>
      </c>
      <c r="Q54" s="233" t="n">
        <v>4374.151837063255</v>
      </c>
      <c r="R54" s="233" t="n">
        <v>4374.151837063255</v>
      </c>
      <c r="S54" s="233" t="n">
        <v>4388.932188597129</v>
      </c>
      <c r="T54" s="233" t="n">
        <v>4388.932188597129</v>
      </c>
      <c r="U54" s="233" t="n">
        <v>4388.932188597129</v>
      </c>
      <c r="V54" s="233" t="n">
        <v>4388.932188597129</v>
      </c>
      <c r="W54" s="233" t="n">
        <v>4388.932188597129</v>
      </c>
      <c r="X54" s="233" t="n">
        <v>4388.932188597129</v>
      </c>
      <c r="Y54" s="233" t="n">
        <v>4388.932188597129</v>
      </c>
      <c r="Z54" s="233" t="n">
        <v>4388.932188597129</v>
      </c>
      <c r="AA54" s="204" t="n">
        <v>4433.242785264127</v>
      </c>
      <c r="AB54" s="204" t="n">
        <v>4606.688630202552</v>
      </c>
      <c r="AC54" s="204" t="n">
        <v>4659.550194928888</v>
      </c>
      <c r="AD54" s="204" t="n">
        <v>4659.550194928888</v>
      </c>
      <c r="AE54" s="204" t="n">
        <v>4659.550194928888</v>
      </c>
      <c r="AF54" s="204" t="n">
        <v>4659.550194928888</v>
      </c>
      <c r="AG54" s="204" t="n">
        <v>4705.362396461132</v>
      </c>
      <c r="AH54" s="204" t="n">
        <v>4776.335335488315</v>
      </c>
      <c r="AI54" s="204" t="n">
        <v>4835.397098483634</v>
      </c>
      <c r="AJ54" s="204" t="n">
        <v>5055.513106783765</v>
      </c>
      <c r="AK54" s="204" t="n">
        <v>5130.216598255327</v>
      </c>
      <c r="AL54" s="204" t="n">
        <v>5130.216598255327</v>
      </c>
      <c r="AM54" s="204" t="n">
        <v>5253.202144167299</v>
      </c>
      <c r="AN54" s="204" t="n">
        <v>5393.025192694331</v>
      </c>
      <c r="AO54" s="204" t="n">
        <v>5393.025192694331</v>
      </c>
      <c r="AP54" s="204" t="n">
        <v>5393.025192694331</v>
      </c>
      <c r="AQ54" s="204" t="n">
        <v>5393.025192694331</v>
      </c>
      <c r="AR54" s="204" t="n">
        <v>5495.855560970202</v>
      </c>
      <c r="AS54" s="204" t="n">
        <v>5504.88520637402</v>
      </c>
      <c r="AT54" s="204" t="n">
        <v>5628.078140920843</v>
      </c>
      <c r="AU54" s="204" t="n">
        <v>5628.078140920843</v>
      </c>
      <c r="AV54" s="200" t="n">
        <v>5628.078140920843</v>
      </c>
      <c r="AW54" s="184" t="n">
        <v>5628.078140920843</v>
      </c>
      <c r="AX54" s="184" t="n">
        <v>5628.078140920843</v>
      </c>
      <c r="AY54" s="184" t="n"/>
    </row>
    <row r="55" ht="22" customHeight="1">
      <c r="A55" s="303" t="n"/>
      <c r="B55" s="201" t="inlineStr">
        <is>
          <t>current price</t>
        </is>
      </c>
      <c r="C55" s="233" t="n">
        <v>3657.632624095771</v>
      </c>
      <c r="D55" s="233" t="n">
        <v>3727.824753123161</v>
      </c>
      <c r="E55" s="233" t="n">
        <v>3798.279539911717</v>
      </c>
      <c r="F55" s="233" t="n">
        <v>3847.875797613844</v>
      </c>
      <c r="G55" s="233" t="n">
        <v>3646.832954073616</v>
      </c>
      <c r="H55" s="233" t="n">
        <v>3789.727908189408</v>
      </c>
      <c r="I55" s="233" t="n">
        <v>3834.59538855881</v>
      </c>
      <c r="J55" s="233" t="n">
        <v>3694.44008816182</v>
      </c>
      <c r="K55" s="233" t="n">
        <v>3612.709164003609</v>
      </c>
      <c r="L55" s="233" t="n">
        <v>3542.921132526884</v>
      </c>
      <c r="M55" s="233" t="n">
        <v>3787.725177640677</v>
      </c>
      <c r="N55" s="233" t="n">
        <v>3929.946927040874</v>
      </c>
      <c r="O55" s="233" t="n">
        <v>3969.873029420211</v>
      </c>
      <c r="P55" s="233" t="n">
        <v>4175.468564101495</v>
      </c>
      <c r="Q55" s="233" t="n">
        <v>4356.389335639426</v>
      </c>
      <c r="R55" s="233" t="n">
        <v>4198.489797008398</v>
      </c>
      <c r="S55" s="233" t="n">
        <v>4240.50519677368</v>
      </c>
      <c r="T55" s="233" t="n">
        <v>4144.158282500081</v>
      </c>
      <c r="U55" s="233" t="n">
        <v>4104.96467681331</v>
      </c>
      <c r="V55" s="233" t="n">
        <v>4172.239369809075</v>
      </c>
      <c r="W55" s="233" t="n">
        <v>4173.17560026265</v>
      </c>
      <c r="X55" s="233" t="n">
        <v>4045.070996397233</v>
      </c>
      <c r="Y55" s="233" t="n">
        <v>3996.444089527708</v>
      </c>
      <c r="Z55" s="233" t="n">
        <v>4037.022414250241</v>
      </c>
      <c r="AA55" s="204" t="n">
        <v>4424.158685145085</v>
      </c>
      <c r="AB55" s="204" t="n">
        <v>4507.52988629014</v>
      </c>
      <c r="AC55" s="204" t="n">
        <v>4390.540754857357</v>
      </c>
      <c r="AD55" s="204" t="n">
        <v>4382.110731873545</v>
      </c>
      <c r="AE55" s="204" t="n">
        <v>4522.479024672881</v>
      </c>
      <c r="AF55" s="204" t="n">
        <v>4532.838578732917</v>
      </c>
      <c r="AG55" s="204" t="n">
        <v>4585.877454665489</v>
      </c>
      <c r="AH55" s="204" t="n">
        <v>4626.784535034152</v>
      </c>
      <c r="AI55" s="204" t="n">
        <v>4828.207946439099</v>
      </c>
      <c r="AJ55" s="204" t="n">
        <v>4978.91494560783</v>
      </c>
      <c r="AK55" s="204" t="n">
        <v>4965.430295936647</v>
      </c>
      <c r="AL55" s="204" t="n">
        <v>5050.826287476055</v>
      </c>
      <c r="AM55" s="204" t="n">
        <v>5154.729058801022</v>
      </c>
      <c r="AN55" s="204" t="n">
        <v>5369.69696445507</v>
      </c>
      <c r="AO55" s="204" t="n">
        <v>4843.994245282811</v>
      </c>
      <c r="AP55" s="204" t="n">
        <v>5094.799163863994</v>
      </c>
      <c r="AQ55" s="204" t="n">
        <v>5242.248498185305</v>
      </c>
      <c r="AR55" s="204" t="n">
        <v>5450.826919982443</v>
      </c>
      <c r="AS55" s="204" t="n">
        <v>5442.583352703601</v>
      </c>
      <c r="AT55" s="204" t="n">
        <v>5494.630043602781</v>
      </c>
      <c r="AU55" s="204" t="n">
        <v>5419.730562330893</v>
      </c>
      <c r="AV55" s="201" t="n">
        <v>5419.730562330893</v>
      </c>
      <c r="AW55" s="184" t="n">
        <v>5419.730562330893</v>
      </c>
      <c r="AX55" s="184" t="n">
        <v>5419.730562330893</v>
      </c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>
        <f>+(AV55-AV54)/AV54</f>
        <v/>
      </c>
      <c r="AW56" s="184">
        <f>+(AW55-AW54)/AW54</f>
        <v/>
      </c>
      <c r="AX56" s="184">
        <f>+(AX55-AX54)/AX54</f>
        <v/>
      </c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4572.81982421875</v>
      </c>
      <c r="D57" s="233" t="n">
        <v>4572.81982421875</v>
      </c>
      <c r="E57" s="233" t="n">
        <v>4572.81982421875</v>
      </c>
      <c r="F57" s="233" t="n">
        <v>4572.81982421875</v>
      </c>
      <c r="G57" s="233" t="n">
        <v>4572.81982421875</v>
      </c>
      <c r="H57" s="233" t="n">
        <v>4572.81982421875</v>
      </c>
      <c r="I57" s="233" t="n">
        <v>4572.81982421875</v>
      </c>
      <c r="J57" s="233" t="n">
        <v>4572.81982421875</v>
      </c>
      <c r="K57" s="233" t="n">
        <v>4572.81982421875</v>
      </c>
      <c r="L57" s="233" t="n">
        <v>4572.81982421875</v>
      </c>
      <c r="M57" s="233" t="n">
        <v>4572.81982421875</v>
      </c>
      <c r="N57" s="233" t="n">
        <v>4572.81982421875</v>
      </c>
      <c r="O57" s="233" t="n">
        <v>4667.419921875</v>
      </c>
      <c r="P57" s="233" t="n">
        <v>4887.85009765625</v>
      </c>
      <c r="Q57" s="233" t="n">
        <v>5095.10986328125</v>
      </c>
      <c r="R57" s="233" t="n">
        <v>5095.10986328125</v>
      </c>
      <c r="S57" s="233" t="n">
        <v>5102.2998046875</v>
      </c>
      <c r="T57" s="233" t="n">
        <v>5102.2998046875</v>
      </c>
      <c r="U57" s="233" t="n">
        <v>5102.2998046875</v>
      </c>
      <c r="V57" s="233" t="n">
        <v>5102.2998046875</v>
      </c>
      <c r="W57" s="233" t="n">
        <v>5102.2998046875</v>
      </c>
      <c r="X57" s="233" t="n">
        <v>5102.2998046875</v>
      </c>
      <c r="Y57" s="233" t="n">
        <v>5102.2998046875</v>
      </c>
      <c r="Z57" s="233" t="n">
        <v>5102.2998046875</v>
      </c>
      <c r="AA57" s="231" t="n">
        <v>5285.22021484375</v>
      </c>
      <c r="AB57" s="203" t="n">
        <v>5544.1201171875</v>
      </c>
      <c r="AC57" s="203" t="n">
        <v>5568.18994140625</v>
      </c>
      <c r="AD57" s="203" t="n">
        <v>5568.18994140625</v>
      </c>
      <c r="AE57" s="203" t="n">
        <v>5568.18994140625</v>
      </c>
      <c r="AF57" s="203" t="n">
        <v>5568.18994140625</v>
      </c>
      <c r="AG57" s="203" t="n">
        <v>5568.18994140625</v>
      </c>
      <c r="AH57" s="203" t="n">
        <v>5568.18994140625</v>
      </c>
      <c r="AI57" s="203" t="n">
        <v>5568.18994140625</v>
      </c>
      <c r="AJ57" s="203" t="n">
        <v>5734.27978515625</v>
      </c>
      <c r="AK57" s="203" t="n">
        <v>5804.66015625</v>
      </c>
      <c r="AL57" s="203" t="n">
        <v>5804.66015625</v>
      </c>
      <c r="AM57" s="203" t="n">
        <v>6053.68017578125</v>
      </c>
      <c r="AN57" s="203" t="n">
        <v>6176.8701171875</v>
      </c>
      <c r="AO57" s="203" t="n">
        <v>6176.8701171875</v>
      </c>
      <c r="AP57" s="203" t="n">
        <v>6176.8701171875</v>
      </c>
      <c r="AQ57" s="203" t="n">
        <v>6176.8701171875</v>
      </c>
      <c r="AR57" s="203" t="n">
        <v>6334.5498046875</v>
      </c>
      <c r="AS57" s="203" t="n">
        <v>6421.740234375</v>
      </c>
      <c r="AT57" s="203" t="n">
        <v>6576.2998046875</v>
      </c>
      <c r="AU57" s="203" t="n">
        <v>6576.2998046875</v>
      </c>
      <c r="AV57" s="201" t="n">
        <v>6576.2998046875</v>
      </c>
      <c r="AW57" s="184" t="n">
        <v>6576.2998046875</v>
      </c>
      <c r="AX57" s="184" t="n">
        <v>6576.2998046875</v>
      </c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4521.64990234375</v>
      </c>
      <c r="O58" s="233" t="n">
        <v>4648.39990234375</v>
      </c>
      <c r="P58" s="233" t="n">
        <v>4877.77001953125</v>
      </c>
      <c r="Q58" s="233" t="n">
        <v>5083.419921875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4869.27978515625</v>
      </c>
      <c r="AA58" s="231" t="n">
        <v>5286.8701171875</v>
      </c>
      <c r="AB58" s="203" t="n">
        <v>5463.5400390625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5662.0400390625</v>
      </c>
      <c r="AK58" s="203" t="n">
        <v>5668.169921875</v>
      </c>
      <c r="AL58" s="203" t="n">
        <v>5796.22021484375</v>
      </c>
      <c r="AM58" s="203" t="n">
        <v>5947.81005859375</v>
      </c>
      <c r="AN58" s="203" t="n">
        <v>6138.41015625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6328.08984375</v>
      </c>
      <c r="AS58" s="203" t="n">
        <v>6358.009765625</v>
      </c>
      <c r="AT58" s="203" t="n">
        <v>6420.16015625</v>
      </c>
      <c r="AU58" s="203" t="n">
        <v>6301.27978515625</v>
      </c>
      <c r="AV58" s="201" t="n">
        <v>6301.27978515625</v>
      </c>
      <c r="AW58" s="184" t="n">
        <v>6301.27978515625</v>
      </c>
      <c r="AX58" s="184" t="n">
        <v>6301.27978515625</v>
      </c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>
        <f>+(AV58-AV57)/AV57</f>
        <v/>
      </c>
      <c r="AW59" s="184">
        <f>+(AW58-AW57)/AW57</f>
        <v/>
      </c>
      <c r="AX59" s="184">
        <f>+(AX58-AX57)/AX57</f>
        <v/>
      </c>
      <c r="AY59" s="184" t="n"/>
    </row>
    <row r="60" ht="22" customHeight="1">
      <c r="A60" s="303" t="n"/>
      <c r="B60" s="201" t="inlineStr">
        <is>
          <t>real % change</t>
        </is>
      </c>
      <c r="C60" s="230">
        <f>+C59-C56</f>
        <v/>
      </c>
      <c r="D60" s="230">
        <f>+D59-D56</f>
        <v/>
      </c>
      <c r="E60" s="230">
        <f>+E59-E56</f>
        <v/>
      </c>
      <c r="F60" s="230">
        <f>+F59-F56</f>
        <v/>
      </c>
      <c r="G60" s="230">
        <f>+G59-G56</f>
        <v/>
      </c>
      <c r="H60" s="230">
        <f>+H59-H56</f>
        <v/>
      </c>
      <c r="I60" s="230">
        <f>+I59-I56</f>
        <v/>
      </c>
      <c r="J60" s="230">
        <f>+J59-J56</f>
        <v/>
      </c>
      <c r="K60" s="230">
        <f>+K59-K56</f>
        <v/>
      </c>
      <c r="L60" s="230">
        <f>+L59-L56</f>
        <v/>
      </c>
      <c r="M60" s="230">
        <f>+M59-M56</f>
        <v/>
      </c>
      <c r="N60" s="230">
        <f>+N59-N56</f>
        <v/>
      </c>
      <c r="O60" s="230">
        <f>+O59-O56</f>
        <v/>
      </c>
      <c r="P60" s="230">
        <f>+P59-P56</f>
        <v/>
      </c>
      <c r="Q60" s="230">
        <f>+Q59-Q56</f>
        <v/>
      </c>
      <c r="R60" s="230">
        <f>+R59-R56</f>
        <v/>
      </c>
      <c r="S60" s="230">
        <f>+S59-S56</f>
        <v/>
      </c>
      <c r="T60" s="230">
        <f>+T59-T56</f>
        <v/>
      </c>
      <c r="U60" s="230">
        <f>+U59-U56</f>
        <v/>
      </c>
      <c r="V60" s="230">
        <f>+V59-V56</f>
        <v/>
      </c>
      <c r="W60" s="230">
        <f>+W59-W56</f>
        <v/>
      </c>
      <c r="X60" s="230">
        <f>+X59-X56</f>
        <v/>
      </c>
      <c r="Y60" s="230">
        <f>+Y59-Y56</f>
        <v/>
      </c>
      <c r="Z60" s="230">
        <f>+Z59-Z56</f>
        <v/>
      </c>
      <c r="AA60" s="230">
        <f>+AA59-AA56</f>
        <v/>
      </c>
      <c r="AB60" s="205">
        <f>+AB59-AB56</f>
        <v/>
      </c>
      <c r="AC60" s="205">
        <f>+AC59-AC56</f>
        <v/>
      </c>
      <c r="AD60" s="205">
        <f>+AD59-AD56</f>
        <v/>
      </c>
      <c r="AE60" s="205">
        <f>+AE59-AE56</f>
        <v/>
      </c>
      <c r="AF60" s="205">
        <f>+AF59-AF56</f>
        <v/>
      </c>
      <c r="AG60" s="205">
        <f>+AG59-AG56</f>
        <v/>
      </c>
      <c r="AH60" s="205">
        <f>+AH59-AH56</f>
        <v/>
      </c>
      <c r="AI60" s="205">
        <f>+AI59-AI56</f>
        <v/>
      </c>
      <c r="AJ60" s="205">
        <f>+AJ59-AJ56</f>
        <v/>
      </c>
      <c r="AK60" s="205">
        <f>+AK59-AK56</f>
        <v/>
      </c>
      <c r="AL60" s="205">
        <f>+AL59-AL56</f>
        <v/>
      </c>
      <c r="AM60" s="205">
        <f>+AM59-AM56</f>
        <v/>
      </c>
      <c r="AN60" s="205">
        <f>+AN59-AN56</f>
        <v/>
      </c>
      <c r="AO60" s="205">
        <f>+AO59-AO56</f>
        <v/>
      </c>
      <c r="AP60" s="205">
        <f>+AP59-AP56</f>
        <v/>
      </c>
      <c r="AQ60" s="205">
        <f>+AQ59-AQ56</f>
        <v/>
      </c>
      <c r="AR60" s="205">
        <f>+AR59-AR56</f>
        <v/>
      </c>
      <c r="AS60" s="205">
        <f>+AS59-AS56</f>
        <v/>
      </c>
      <c r="AT60" s="205">
        <f>+AT59-AT56</f>
        <v/>
      </c>
      <c r="AU60" s="205">
        <f>+AU59-AU56</f>
        <v/>
      </c>
      <c r="AV60" s="201">
        <f>+AV59-AV56</f>
        <v/>
      </c>
      <c r="AW60" s="184">
        <f>+AW59-AW56</f>
        <v/>
      </c>
      <c r="AX60" s="184">
        <f>+AX59-AX56</f>
        <v/>
      </c>
      <c r="AY60" s="184" t="n"/>
    </row>
    <row r="61" ht="22" customHeight="1">
      <c r="A61" s="304" t="n"/>
      <c r="B61" s="206" t="inlineStr">
        <is>
          <t>Rating</t>
        </is>
      </c>
      <c r="C61" s="232">
        <f>_xlfn.XLOOKUP(MIN(ABS($BJ$7:$BJ$29 - MEDIAN(MIN($BJ$7:$BJ$29), MAX($BJ$7:$BJ$29), C60))), ABS($BJ$7:$BJ$29 - MEDIAN(MIN($BJ$7:$BJ$29), MAX($BJ$7:$BJ$29), C60)), $BK$7:$BK$29, "Error", 0)</f>
        <v/>
      </c>
      <c r="D61" s="232">
        <f>_xlfn.XLOOKUP(MIN(ABS($BJ$7:$BJ$29 - MEDIAN(MIN($BJ$7:$BJ$29), MAX($BJ$7:$BJ$29), D60))), ABS($BJ$7:$BJ$29 - MEDIAN(MIN($BJ$7:$BJ$29), MAX($BJ$7:$BJ$29), D60)), $BK$7:$BK$29, "Error", 0)</f>
        <v/>
      </c>
      <c r="E61" s="232">
        <f>_xlfn.XLOOKUP(MIN(ABS($BJ$7:$BJ$29 - MEDIAN(MIN($BJ$7:$BJ$29), MAX($BJ$7:$BJ$29), E60))), ABS($BJ$7:$BJ$29 - MEDIAN(MIN($BJ$7:$BJ$29), MAX($BJ$7:$BJ$29), E60)), $BK$7:$BK$29, "Error", 0)</f>
        <v/>
      </c>
      <c r="F61" s="232">
        <f>_xlfn.XLOOKUP(MIN(ABS($BJ$7:$BJ$29 - MEDIAN(MIN($BJ$7:$BJ$29), MAX($BJ$7:$BJ$29), F60))), ABS($BJ$7:$BJ$29 - MEDIAN(MIN($BJ$7:$BJ$29), MAX($BJ$7:$BJ$29), F60)), $BK$7:$BK$29, "Error", 0)</f>
        <v/>
      </c>
      <c r="G61" s="232">
        <f>_xlfn.XLOOKUP(MIN(ABS($BJ$7:$BJ$29 - MEDIAN(MIN($BJ$7:$BJ$29), MAX($BJ$7:$BJ$29), G60))), ABS($BJ$7:$BJ$29 - MEDIAN(MIN($BJ$7:$BJ$29), MAX($BJ$7:$BJ$29), G60)), $BK$7:$BK$29, "Error", 0)</f>
        <v/>
      </c>
      <c r="H61" s="232">
        <f>_xlfn.XLOOKUP(MIN(ABS($BJ$7:$BJ$29 - MEDIAN(MIN($BJ$7:$BJ$29), MAX($BJ$7:$BJ$29), H60))), ABS($BJ$7:$BJ$29 - MEDIAN(MIN($BJ$7:$BJ$29), MAX($BJ$7:$BJ$29), H60)), $BK$7:$BK$29, "Error", 0)</f>
        <v/>
      </c>
      <c r="I61" s="232">
        <f>_xlfn.XLOOKUP(MIN(ABS($BJ$7:$BJ$29 - MEDIAN(MIN($BJ$7:$BJ$29), MAX($BJ$7:$BJ$29), I60))), ABS($BJ$7:$BJ$29 - MEDIAN(MIN($BJ$7:$BJ$29), MAX($BJ$7:$BJ$29), I60)), $BK$7:$BK$29, "Error", 0)</f>
        <v/>
      </c>
      <c r="J61" s="232">
        <f>_xlfn.XLOOKUP(MIN(ABS($BJ$7:$BJ$29 - MEDIAN(MIN($BJ$7:$BJ$29), MAX($BJ$7:$BJ$29), J60))), ABS($BJ$7:$BJ$29 - MEDIAN(MIN($BJ$7:$BJ$29), MAX($BJ$7:$BJ$29), J60)), $BK$7:$BK$29, "Error", 0)</f>
        <v/>
      </c>
      <c r="K61" s="232">
        <f>_xlfn.XLOOKUP(MIN(ABS($BJ$7:$BJ$29 - MEDIAN(MIN($BJ$7:$BJ$29), MAX($BJ$7:$BJ$29), K60))), ABS($BJ$7:$BJ$29 - MEDIAN(MIN($BJ$7:$BJ$29), MAX($BJ$7:$BJ$29), K60)), $BK$7:$BK$29, "Error", 0)</f>
        <v/>
      </c>
      <c r="L61" s="232">
        <f>_xlfn.XLOOKUP(MIN(ABS($BJ$7:$BJ$29 - MEDIAN(MIN($BJ$7:$BJ$29), MAX($BJ$7:$BJ$29), L60))), ABS($BJ$7:$BJ$29 - MEDIAN(MIN($BJ$7:$BJ$29), MAX($BJ$7:$BJ$29), L60)), $BK$7:$BK$29, "Error", 0)</f>
        <v/>
      </c>
      <c r="M61" s="232">
        <f>_xlfn.XLOOKUP(MIN(ABS($BJ$7:$BJ$29 - MEDIAN(MIN($BJ$7:$BJ$29), MAX($BJ$7:$BJ$29), M60))), ABS($BJ$7:$BJ$29 - MEDIAN(MIN($BJ$7:$BJ$29), MAX($BJ$7:$BJ$29), M60)), $BK$7:$BK$29, "Error", 0)</f>
        <v/>
      </c>
      <c r="N61" s="232">
        <f>_xlfn.XLOOKUP(MIN(ABS($BJ$7:$BJ$29 - MEDIAN(MIN($BJ$7:$BJ$29), MAX($BJ$7:$BJ$29), N60))), ABS($BJ$7:$BJ$29 - MEDIAN(MIN($BJ$7:$BJ$29), MAX($BJ$7:$BJ$29), N60)), $BK$7:$BK$29, "Error", 0)</f>
        <v/>
      </c>
      <c r="O61" s="232">
        <f>_xlfn.XLOOKUP(MIN(ABS($BJ$7:$BJ$29 - MEDIAN(MIN($BJ$7:$BJ$29), MAX($BJ$7:$BJ$29), O60))), ABS($BJ$7:$BJ$29 - MEDIAN(MIN($BJ$7:$BJ$29), MAX($BJ$7:$BJ$29), O60)), $BK$7:$BK$29, "Error", 0)</f>
        <v/>
      </c>
      <c r="P61" s="232">
        <f>_xlfn.XLOOKUP(MIN(ABS($BJ$7:$BJ$29 - MEDIAN(MIN($BJ$7:$BJ$29), MAX($BJ$7:$BJ$29), P60))), ABS($BJ$7:$BJ$29 - MEDIAN(MIN($BJ$7:$BJ$29), MAX($BJ$7:$BJ$29), P60)), $BK$7:$BK$29, "Error", 0)</f>
        <v/>
      </c>
      <c r="Q61" s="232">
        <f>_xlfn.XLOOKUP(MIN(ABS($BJ$7:$BJ$29 - MEDIAN(MIN($BJ$7:$BJ$29), MAX($BJ$7:$BJ$29), Q60))), ABS($BJ$7:$BJ$29 - MEDIAN(MIN($BJ$7:$BJ$29), MAX($BJ$7:$BJ$29), Q60)), $BK$7:$BK$29, "Error", 0)</f>
        <v/>
      </c>
      <c r="R61" s="232">
        <f>_xlfn.XLOOKUP(MIN(ABS($BJ$7:$BJ$29 - MEDIAN(MIN($BJ$7:$BJ$29), MAX($BJ$7:$BJ$29), R60))), ABS($BJ$7:$BJ$29 - MEDIAN(MIN($BJ$7:$BJ$29), MAX($BJ$7:$BJ$29), R60)), $BK$7:$BK$29, "Error", 0)</f>
        <v/>
      </c>
      <c r="S61" s="232">
        <f>_xlfn.XLOOKUP(MIN(ABS($BJ$7:$BJ$29 - MEDIAN(MIN($BJ$7:$BJ$29), MAX($BJ$7:$BJ$29), S60))), ABS($BJ$7:$BJ$29 - MEDIAN(MIN($BJ$7:$BJ$29), MAX($BJ$7:$BJ$29), S60)), $BK$7:$BK$29, "Error", 0)</f>
        <v/>
      </c>
      <c r="T61" s="232">
        <f>_xlfn.XLOOKUP(MIN(ABS($BJ$7:$BJ$29 - MEDIAN(MIN($BJ$7:$BJ$29), MAX($BJ$7:$BJ$29), T60))), ABS($BJ$7:$BJ$29 - MEDIAN(MIN($BJ$7:$BJ$29), MAX($BJ$7:$BJ$29), T60)), $BK$7:$BK$29, "Error", 0)</f>
        <v/>
      </c>
      <c r="U61" s="232">
        <f>_xlfn.XLOOKUP(MIN(ABS($BJ$7:$BJ$29 - MEDIAN(MIN($BJ$7:$BJ$29), MAX($BJ$7:$BJ$29), U60))), ABS($BJ$7:$BJ$29 - MEDIAN(MIN($BJ$7:$BJ$29), MAX($BJ$7:$BJ$29), U60)), $BK$7:$BK$29, "Error", 0)</f>
        <v/>
      </c>
      <c r="V61" s="232">
        <f>_xlfn.XLOOKUP(MIN(ABS($BJ$7:$BJ$29 - MEDIAN(MIN($BJ$7:$BJ$29), MAX($BJ$7:$BJ$29), V60))), ABS($BJ$7:$BJ$29 - MEDIAN(MIN($BJ$7:$BJ$29), MAX($BJ$7:$BJ$29), V60)), $BK$7:$BK$29, "Error", 0)</f>
        <v/>
      </c>
      <c r="W61" s="232">
        <f>_xlfn.XLOOKUP(MIN(ABS($BJ$7:$BJ$29 - MEDIAN(MIN($BJ$7:$BJ$29), MAX($BJ$7:$BJ$29), W60))), ABS($BJ$7:$BJ$29 - MEDIAN(MIN($BJ$7:$BJ$29), MAX($BJ$7:$BJ$29), W60)), $BK$7:$BK$29, "Error", 0)</f>
        <v/>
      </c>
      <c r="X61" s="232">
        <f>_xlfn.XLOOKUP(MIN(ABS($BJ$7:$BJ$29 - MEDIAN(MIN($BJ$7:$BJ$29), MAX($BJ$7:$BJ$29), X60))), ABS($BJ$7:$BJ$29 - MEDIAN(MIN($BJ$7:$BJ$29), MAX($BJ$7:$BJ$29), X60)), $BK$7:$BK$29, "Error", 0)</f>
        <v/>
      </c>
      <c r="Y61" s="232">
        <f>_xlfn.XLOOKUP(MIN(ABS($BJ$7:$BJ$29 - MEDIAN(MIN($BJ$7:$BJ$29), MAX($BJ$7:$BJ$29), Y60))), ABS($BJ$7:$BJ$29 - MEDIAN(MIN($BJ$7:$BJ$29), MAX($BJ$7:$BJ$29), Y60)), $BK$7:$BK$29, "Error", 0)</f>
        <v/>
      </c>
      <c r="Z61" s="232">
        <f>_xlfn.XLOOKUP(MIN(ABS($BJ$7:$BJ$29 - MEDIAN(MIN($BJ$7:$BJ$29), MAX($BJ$7:$BJ$29), Z60))), ABS($BJ$7:$BJ$29 - MEDIAN(MIN($BJ$7:$BJ$29), MAX($BJ$7:$BJ$29), Z60)), $BK$7:$BK$29, "Error", 0)</f>
        <v/>
      </c>
      <c r="AA61" s="232">
        <f>_xlfn.XLOOKUP(MIN(ABS($BJ$7:$BJ$29 - MEDIAN(MIN($BJ$7:$BJ$29), MAX($BJ$7:$BJ$29), AA60))), ABS($BJ$7:$BJ$29 - MEDIAN(MIN($BJ$7:$BJ$29), MAX($BJ$7:$BJ$29), AA60)), $BK$7:$BK$29, "Error", 0)</f>
        <v/>
      </c>
      <c r="AB61" s="171">
        <f>_xlfn.XLOOKUP(MIN(ABS($BJ$7:$BJ$29 - MEDIAN(MIN($BJ$7:$BJ$29), MAX($BJ$7:$BJ$29), AB60))), ABS($BJ$7:$BJ$29 - MEDIAN(MIN($BJ$7:$BJ$29), MAX($BJ$7:$BJ$29), AB60)), $BK$7:$BK$29, "Error", 0)</f>
        <v/>
      </c>
      <c r="AC61" s="171">
        <f>_xlfn.XLOOKUP(MIN(ABS($BJ$7:$BJ$29 - MEDIAN(MIN($BJ$7:$BJ$29), MAX($BJ$7:$BJ$29), AC60))), ABS($BJ$7:$BJ$29 - MEDIAN(MIN($BJ$7:$BJ$29), MAX($BJ$7:$BJ$29), AC60)), $BK$7:$BK$29, "Error", 0)</f>
        <v/>
      </c>
      <c r="AD61" s="171">
        <f>_xlfn.XLOOKUP(MIN(ABS($BJ$7:$BJ$29 - MEDIAN(MIN($BJ$7:$BJ$29), MAX($BJ$7:$BJ$29), AD60))), ABS($BJ$7:$BJ$29 - MEDIAN(MIN($BJ$7:$BJ$29), MAX($BJ$7:$BJ$29), AD60)), $BK$7:$BK$29, "Error", 0)</f>
        <v/>
      </c>
      <c r="AE61" s="171">
        <f>_xlfn.XLOOKUP(MIN(ABS($BJ$7:$BJ$29 - MEDIAN(MIN($BJ$7:$BJ$29), MAX($BJ$7:$BJ$29), AE60))), ABS($BJ$7:$BJ$29 - MEDIAN(MIN($BJ$7:$BJ$29), MAX($BJ$7:$BJ$29), AE60)), $BK$7:$BK$29, "Error", 0)</f>
        <v/>
      </c>
      <c r="AF61" s="171">
        <f>_xlfn.XLOOKUP(MIN(ABS($BJ$7:$BJ$29 - MEDIAN(MIN($BJ$7:$BJ$29), MAX($BJ$7:$BJ$29), AF60))), ABS($BJ$7:$BJ$29 - MEDIAN(MIN($BJ$7:$BJ$29), MAX($BJ$7:$BJ$29), AF60)), $BK$7:$BK$29, "Error", 0)</f>
        <v/>
      </c>
      <c r="AG61" s="171">
        <f>_xlfn.XLOOKUP(MIN(ABS($BJ$7:$BJ$29 - MEDIAN(MIN($BJ$7:$BJ$29), MAX($BJ$7:$BJ$29), AG60))), ABS($BJ$7:$BJ$29 - MEDIAN(MIN($BJ$7:$BJ$29), MAX($BJ$7:$BJ$29), AG60)), $BK$7:$BK$29, "Error", 0)</f>
        <v/>
      </c>
      <c r="AH61" s="171">
        <f>_xlfn.XLOOKUP(MIN(ABS($BJ$7:$BJ$29 - MEDIAN(MIN($BJ$7:$BJ$29), MAX($BJ$7:$BJ$29), AH60))), ABS($BJ$7:$BJ$29 - MEDIAN(MIN($BJ$7:$BJ$29), MAX($BJ$7:$BJ$29), AH60)), $BK$7:$BK$29, "Error", 0)</f>
        <v/>
      </c>
      <c r="AI61" s="171">
        <f>_xlfn.XLOOKUP(MIN(ABS($BJ$7:$BJ$29 - MEDIAN(MIN($BJ$7:$BJ$29), MAX($BJ$7:$BJ$29), AI60))), ABS($BJ$7:$BJ$29 - MEDIAN(MIN($BJ$7:$BJ$29), MAX($BJ$7:$BJ$29), AI60)), $BK$7:$BK$29, "Error", 0)</f>
        <v/>
      </c>
      <c r="AJ61" s="171">
        <f>_xlfn.XLOOKUP(MIN(ABS($BJ$7:$BJ$29 - MEDIAN(MIN($BJ$7:$BJ$29), MAX($BJ$7:$BJ$29), AJ60))), ABS($BJ$7:$BJ$29 - MEDIAN(MIN($BJ$7:$BJ$29), MAX($BJ$7:$BJ$29), AJ60)), $BK$7:$BK$29, "Error", 0)</f>
        <v/>
      </c>
      <c r="AK61" s="171">
        <f>_xlfn.XLOOKUP(MIN(ABS($BJ$7:$BJ$29 - MEDIAN(MIN($BJ$7:$BJ$29), MAX($BJ$7:$BJ$29), AK60))), ABS($BJ$7:$BJ$29 - MEDIAN(MIN($BJ$7:$BJ$29), MAX($BJ$7:$BJ$29), AK60)), $BK$7:$BK$29, "Error", 0)</f>
        <v/>
      </c>
      <c r="AL61" s="171">
        <f>_xlfn.XLOOKUP(MIN(ABS($BJ$7:$BJ$29 - MEDIAN(MIN($BJ$7:$BJ$29), MAX($BJ$7:$BJ$29), AL60))), ABS($BJ$7:$BJ$29 - MEDIAN(MIN($BJ$7:$BJ$29), MAX($BJ$7:$BJ$29), AL60)), $BK$7:$BK$29, "Error", 0)</f>
        <v/>
      </c>
      <c r="AM61" s="171">
        <f>_xlfn.XLOOKUP(MIN(ABS($BJ$7:$BJ$29 - MEDIAN(MIN($BJ$7:$BJ$29), MAX($BJ$7:$BJ$29), AM60))), ABS($BJ$7:$BJ$29 - MEDIAN(MIN($BJ$7:$BJ$29), MAX($BJ$7:$BJ$29), AM60)), $BK$7:$BK$29, "Error", 0)</f>
        <v/>
      </c>
      <c r="AN61" s="171">
        <f>_xlfn.XLOOKUP(MIN(ABS($BJ$7:$BJ$29 - MEDIAN(MIN($BJ$7:$BJ$29), MAX($BJ$7:$BJ$29), AN60))), ABS($BJ$7:$BJ$29 - MEDIAN(MIN($BJ$7:$BJ$29), MAX($BJ$7:$BJ$29), AN60)), $BK$7:$BK$29, "Error", 0)</f>
        <v/>
      </c>
      <c r="AO61" s="171">
        <f>_xlfn.XLOOKUP(MIN(ABS($BJ$7:$BJ$29 - MEDIAN(MIN($BJ$7:$BJ$29), MAX($BJ$7:$BJ$29), AO60))), ABS($BJ$7:$BJ$29 - MEDIAN(MIN($BJ$7:$BJ$29), MAX($BJ$7:$BJ$29), AO60)), $BK$7:$BK$29, "Error", 0)</f>
        <v/>
      </c>
      <c r="AP61" s="171">
        <f>_xlfn.XLOOKUP(MIN(ABS($BJ$7:$BJ$29 - MEDIAN(MIN($BJ$7:$BJ$29), MAX($BJ$7:$BJ$29), AP60))), ABS($BJ$7:$BJ$29 - MEDIAN(MIN($BJ$7:$BJ$29), MAX($BJ$7:$BJ$29), AP60)), $BK$7:$BK$29, "Error", 0)</f>
        <v/>
      </c>
      <c r="AQ61" s="171">
        <f>_xlfn.XLOOKUP(MIN(ABS($BJ$7:$BJ$29 - MEDIAN(MIN($BJ$7:$BJ$29), MAX($BJ$7:$BJ$29), AQ60))), ABS($BJ$7:$BJ$29 - MEDIAN(MIN($BJ$7:$BJ$29), MAX($BJ$7:$BJ$29), AQ60)), $BK$7:$BK$29, "Error", 0)</f>
        <v/>
      </c>
      <c r="AR61" s="171">
        <f>_xlfn.XLOOKUP(MIN(ABS($BJ$7:$BJ$29 - MEDIAN(MIN($BJ$7:$BJ$29), MAX($BJ$7:$BJ$29), AR60))), ABS($BJ$7:$BJ$29 - MEDIAN(MIN($BJ$7:$BJ$29), MAX($BJ$7:$BJ$29), AR60)), $BK$7:$BK$29, "Error", 0)</f>
        <v/>
      </c>
      <c r="AS61" s="171">
        <f>_xlfn.XLOOKUP(MIN(ABS($BJ$7:$BJ$29 - MEDIAN(MIN($BJ$7:$BJ$29), MAX($BJ$7:$BJ$29), AS60))), ABS($BJ$7:$BJ$29 - MEDIAN(MIN($BJ$7:$BJ$29), MAX($BJ$7:$BJ$29), AS60)), $BK$7:$BK$29, "Error", 0)</f>
        <v/>
      </c>
      <c r="AT61" s="171">
        <f>_xlfn.XLOOKUP(MIN(ABS($BJ$7:$BJ$29 - MEDIAN(MIN($BJ$7:$BJ$29), MAX($BJ$7:$BJ$29), AT60))), ABS($BJ$7:$BJ$29 - MEDIAN(MIN($BJ$7:$BJ$29), MAX($BJ$7:$BJ$29), AT60)), $BK$7:$BK$29, "Error", 0)</f>
        <v/>
      </c>
      <c r="AU61" s="171">
        <f>_xlfn.XLOOKUP(MIN(ABS($BJ$7:$BJ$29 - MEDIAN(MIN($BJ$7:$BJ$29), MAX($BJ$7:$BJ$29), AU60))), ABS($BJ$7:$BJ$29 - MEDIAN(MIN($BJ$7:$BJ$29), MAX($BJ$7:$BJ$29), AU60)), $BK$7:$BK$29, "Error", 0)</f>
        <v/>
      </c>
      <c r="AV61" s="206">
        <f>_xlfn.XLOOKUP(MIN(ABS($BJ$7:$BJ$29 - MEDIAN(MIN($BJ$7:$BJ$29), MAX($BJ$7:$BJ$29), AV60))), ABS($BJ$7:$BJ$29 - MEDIAN(MIN($BJ$7:$BJ$29), MAX($BJ$7:$BJ$29), AV60)), $BK$7:$BK$29, "Error", 0)</f>
        <v/>
      </c>
      <c r="AW61" s="184">
        <f>_xlfn.XLOOKUP(MIN(ABS($BJ$7:$BJ$29 - MEDIAN(MIN($BJ$7:$BJ$29), MAX($BJ$7:$BJ$29), AW60))), ABS($BJ$7:$BJ$29 - MEDIAN(MIN($BJ$7:$BJ$29), MAX($BJ$7:$BJ$29), AW60)), $BK$7:$BK$29, "Error", 0)</f>
        <v/>
      </c>
      <c r="AX61" s="184">
        <f>_xlfn.XLOOKUP(MIN(ABS($BJ$7:$BJ$29 - MEDIAN(MIN($BJ$7:$BJ$29), MAX($BJ$7:$BJ$29), AX60))), ABS($BJ$7:$BJ$29 - MEDIAN(MIN($BJ$7:$BJ$29), MAX($BJ$7:$BJ$29), AX60)), $BK$7:$BK$29, "Error", 0)</f>
        <v/>
      </c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6817.601109666983</v>
      </c>
      <c r="D62" s="233" t="n">
        <v>6817.601109666983</v>
      </c>
      <c r="E62" s="233" t="n">
        <v>6817.601109666983</v>
      </c>
      <c r="F62" s="233" t="n">
        <v>6817.601109666983</v>
      </c>
      <c r="G62" s="233" t="n">
        <v>6817.601109666983</v>
      </c>
      <c r="H62" s="233" t="n">
        <v>6817.601109666983</v>
      </c>
      <c r="I62" s="233" t="n">
        <v>6817.601109666983</v>
      </c>
      <c r="J62" s="233" t="n">
        <v>6817.601109666983</v>
      </c>
      <c r="K62" s="233" t="n">
        <v>6817.601109666983</v>
      </c>
      <c r="L62" s="233" t="n">
        <v>6817.601109666983</v>
      </c>
      <c r="M62" s="233" t="n">
        <v>6817.601109666983</v>
      </c>
      <c r="N62" s="233" t="n">
        <v>6817.601109666983</v>
      </c>
      <c r="O62" s="233" t="n">
        <v>6817.601109666983</v>
      </c>
      <c r="P62" s="233" t="n">
        <v>7177.368035736261</v>
      </c>
      <c r="Q62" s="233" t="n">
        <v>7507.440370404511</v>
      </c>
      <c r="R62" s="233" t="n">
        <v>7507.440370404511</v>
      </c>
      <c r="S62" s="233" t="n">
        <v>7558.444812262896</v>
      </c>
      <c r="T62" s="233" t="n">
        <v>7583.007276369841</v>
      </c>
      <c r="U62" s="233" t="n">
        <v>7583.007276369841</v>
      </c>
      <c r="V62" s="233" t="n">
        <v>7583.007276369841</v>
      </c>
      <c r="W62" s="233" t="n">
        <v>7651.743794647977</v>
      </c>
      <c r="X62" s="233" t="n">
        <v>7651.743794647977</v>
      </c>
      <c r="Y62" s="233" t="n">
        <v>7651.743794647977</v>
      </c>
      <c r="Z62" s="233" t="n">
        <v>7651.743794647977</v>
      </c>
      <c r="AA62" s="204" t="n">
        <v>7967.09928325779</v>
      </c>
      <c r="AB62" s="204" t="n">
        <v>8348.461830994347</v>
      </c>
      <c r="AC62" s="204" t="n">
        <v>8632.928293531761</v>
      </c>
      <c r="AD62" s="204" t="n">
        <v>8632.928293531761</v>
      </c>
      <c r="AE62" s="204" t="n">
        <v>8632.928293531761</v>
      </c>
      <c r="AF62" s="204" t="n">
        <v>8632.928293531761</v>
      </c>
      <c r="AG62" s="204" t="n">
        <v>8747.743934376282</v>
      </c>
      <c r="AH62" s="204" t="n">
        <v>8939.826905447466</v>
      </c>
      <c r="AI62" s="204" t="n">
        <v>9043.862299306667</v>
      </c>
      <c r="AJ62" s="204" t="n">
        <v>9325.517411038745</v>
      </c>
      <c r="AK62" s="204" t="n">
        <v>9426.0717012682</v>
      </c>
      <c r="AL62" s="204" t="n">
        <v>9426.0717012682</v>
      </c>
      <c r="AM62" s="204" t="n">
        <v>9802.892228475073</v>
      </c>
      <c r="AN62" s="204" t="n">
        <v>9977.62163552572</v>
      </c>
      <c r="AO62" s="204" t="n">
        <v>9977.62163552572</v>
      </c>
      <c r="AP62" s="204" t="n">
        <v>9977.62163552572</v>
      </c>
      <c r="AQ62" s="204" t="n">
        <v>9977.62163552572</v>
      </c>
      <c r="AR62" s="204" t="n">
        <v>10299.53425777273</v>
      </c>
      <c r="AS62" s="204" t="n">
        <v>10439.82775415108</v>
      </c>
      <c r="AT62" s="204" t="n">
        <v>10603.37117039831</v>
      </c>
      <c r="AU62" s="204" t="n">
        <v>10603.37117039831</v>
      </c>
      <c r="AV62" s="200" t="n">
        <v>10603.37117039831</v>
      </c>
      <c r="AW62" s="184" t="n">
        <v>10603.37117039831</v>
      </c>
      <c r="AX62" s="184" t="n">
        <v>10603.37117039831</v>
      </c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6046.037530003232</v>
      </c>
      <c r="D63" s="233" t="n">
        <v>6103.902883624425</v>
      </c>
      <c r="E63" s="233" t="n">
        <v>6362.281941679423</v>
      </c>
      <c r="F63" s="233" t="n">
        <v>6539.837094578543</v>
      </c>
      <c r="G63" s="233" t="n">
        <v>6155.891849315492</v>
      </c>
      <c r="H63" s="233" t="n">
        <v>6334.425322880968</v>
      </c>
      <c r="I63" s="233" t="n">
        <v>6531.510869422287</v>
      </c>
      <c r="J63" s="233" t="n">
        <v>6354.566316620563</v>
      </c>
      <c r="K63" s="233" t="n">
        <v>5948.514791598078</v>
      </c>
      <c r="L63" s="233" t="n">
        <v>5960.912193988101</v>
      </c>
      <c r="M63" s="233" t="n">
        <v>6535.271106628701</v>
      </c>
      <c r="N63" s="233" t="n">
        <v>6620.102358778415</v>
      </c>
      <c r="O63" s="233" t="n">
        <v>6754.589740278781</v>
      </c>
      <c r="P63" s="233" t="n">
        <v>7177.54108658043</v>
      </c>
      <c r="Q63" s="233" t="n">
        <v>7467.340766179841</v>
      </c>
      <c r="R63" s="233" t="n">
        <v>7206.5858645275</v>
      </c>
      <c r="S63" s="233" t="n">
        <v>7386.247336260974</v>
      </c>
      <c r="T63" s="233" t="n">
        <v>7179.184942765452</v>
      </c>
      <c r="U63" s="233" t="n">
        <v>7299.517770974373</v>
      </c>
      <c r="V63" s="233" t="n">
        <v>7410.246220491303</v>
      </c>
      <c r="W63" s="233" t="n">
        <v>7544.779548293445</v>
      </c>
      <c r="X63" s="233" t="n">
        <v>7290.686763202306</v>
      </c>
      <c r="Y63" s="233" t="n">
        <v>7107.004554102663</v>
      </c>
      <c r="Z63" s="233" t="n">
        <v>7314.145120703615</v>
      </c>
      <c r="AA63" s="204" t="n">
        <v>7966.044424025458</v>
      </c>
      <c r="AB63" s="204" t="n">
        <v>8202.303117442061</v>
      </c>
      <c r="AC63" s="204" t="n">
        <v>8128.444449479633</v>
      </c>
      <c r="AD63" s="204" t="n">
        <v>8125.541015236056</v>
      </c>
      <c r="AE63" s="204" t="n">
        <v>8429.409770498984</v>
      </c>
      <c r="AF63" s="204" t="n">
        <v>8508.306419680128</v>
      </c>
      <c r="AG63" s="204" t="n">
        <v>8405.207347641466</v>
      </c>
      <c r="AH63" s="204" t="n">
        <v>8594.878062819596</v>
      </c>
      <c r="AI63" s="204" t="n">
        <v>9027.16221322678</v>
      </c>
      <c r="AJ63" s="204" t="n">
        <v>9158.349466197775</v>
      </c>
      <c r="AK63" s="204" t="n">
        <v>9220.922411864623</v>
      </c>
      <c r="AL63" s="204" t="n">
        <v>9337.536997136427</v>
      </c>
      <c r="AM63" s="204" t="n">
        <v>9601.31161696685</v>
      </c>
      <c r="AN63" s="204" t="n">
        <v>9906.902755930088</v>
      </c>
      <c r="AO63" s="204" t="n">
        <v>8887.562499249238</v>
      </c>
      <c r="AP63" s="204" t="n">
        <v>9393.47715104511</v>
      </c>
      <c r="AQ63" s="204" t="n">
        <v>9716.017979637603</v>
      </c>
      <c r="AR63" s="204" t="n">
        <v>10268.52787053678</v>
      </c>
      <c r="AS63" s="204" t="n">
        <v>10265.00705764815</v>
      </c>
      <c r="AT63" s="204" t="n">
        <v>10340.50277973711</v>
      </c>
      <c r="AU63" s="204" t="n">
        <v>10146.9504906956</v>
      </c>
      <c r="AV63" s="201" t="n">
        <v>10146.9504906956</v>
      </c>
      <c r="AW63" s="184" t="n">
        <v>10146.9504906956</v>
      </c>
      <c r="AX63" s="184" t="n">
        <v>10146.9504906956</v>
      </c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>
        <f>+(AV63-AV62)/AV62</f>
        <v/>
      </c>
      <c r="AW64" s="184">
        <f>+(AW63-AW62)/AW62</f>
        <v/>
      </c>
      <c r="AX64" s="184">
        <f>+(AX63-AX62)/AX62</f>
        <v/>
      </c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4572.81982421875</v>
      </c>
      <c r="D65" s="233" t="n">
        <v>4572.81982421875</v>
      </c>
      <c r="E65" s="233" t="n">
        <v>4572.81982421875</v>
      </c>
      <c r="F65" s="233" t="n">
        <v>4572.81982421875</v>
      </c>
      <c r="G65" s="233" t="n">
        <v>4572.81982421875</v>
      </c>
      <c r="H65" s="233" t="n">
        <v>4572.81982421875</v>
      </c>
      <c r="I65" s="233" t="n">
        <v>4572.81982421875</v>
      </c>
      <c r="J65" s="233" t="n">
        <v>4572.81982421875</v>
      </c>
      <c r="K65" s="233" t="n">
        <v>4572.81982421875</v>
      </c>
      <c r="L65" s="233" t="n">
        <v>4572.81982421875</v>
      </c>
      <c r="M65" s="233" t="n">
        <v>4572.81982421875</v>
      </c>
      <c r="N65" s="233" t="n">
        <v>4572.81982421875</v>
      </c>
      <c r="O65" s="233" t="n">
        <v>4667.419921875</v>
      </c>
      <c r="P65" s="233" t="n">
        <v>4887.85009765625</v>
      </c>
      <c r="Q65" s="233" t="n">
        <v>5095.10986328125</v>
      </c>
      <c r="R65" s="233" t="n">
        <v>5095.10986328125</v>
      </c>
      <c r="S65" s="233" t="n">
        <v>5102.2998046875</v>
      </c>
      <c r="T65" s="233" t="n">
        <v>5102.2998046875</v>
      </c>
      <c r="U65" s="233" t="n">
        <v>5102.2998046875</v>
      </c>
      <c r="V65" s="233" t="n">
        <v>5102.2998046875</v>
      </c>
      <c r="W65" s="233" t="n">
        <v>5102.2998046875</v>
      </c>
      <c r="X65" s="233" t="n">
        <v>5102.2998046875</v>
      </c>
      <c r="Y65" s="233" t="n">
        <v>5102.2998046875</v>
      </c>
      <c r="Z65" s="233" t="n">
        <v>5102.2998046875</v>
      </c>
      <c r="AA65" s="231" t="n">
        <v>5285.22021484375</v>
      </c>
      <c r="AB65" s="203" t="n">
        <v>5544.1201171875</v>
      </c>
      <c r="AC65" s="203" t="n">
        <v>5568.18994140625</v>
      </c>
      <c r="AD65" s="203" t="n">
        <v>5568.18994140625</v>
      </c>
      <c r="AE65" s="203" t="n">
        <v>5568.18994140625</v>
      </c>
      <c r="AF65" s="203" t="n">
        <v>5568.18994140625</v>
      </c>
      <c r="AG65" s="203" t="n">
        <v>5568.18994140625</v>
      </c>
      <c r="AH65" s="203" t="n">
        <v>5568.18994140625</v>
      </c>
      <c r="AI65" s="203" t="n">
        <v>5568.18994140625</v>
      </c>
      <c r="AJ65" s="203" t="n">
        <v>5734.27978515625</v>
      </c>
      <c r="AK65" s="203" t="n">
        <v>5804.66015625</v>
      </c>
      <c r="AL65" s="203" t="n">
        <v>5804.66015625</v>
      </c>
      <c r="AM65" s="203" t="n">
        <v>6053.68017578125</v>
      </c>
      <c r="AN65" s="203" t="n">
        <v>6176.8701171875</v>
      </c>
      <c r="AO65" s="203" t="n">
        <v>6176.8701171875</v>
      </c>
      <c r="AP65" s="203" t="n">
        <v>6176.8701171875</v>
      </c>
      <c r="AQ65" s="203" t="n">
        <v>6176.8701171875</v>
      </c>
      <c r="AR65" s="203" t="n">
        <v>6334.5498046875</v>
      </c>
      <c r="AS65" s="203" t="n">
        <v>6421.740234375</v>
      </c>
      <c r="AT65" s="203" t="n">
        <v>6576.2998046875</v>
      </c>
      <c r="AU65" s="203" t="n">
        <v>6576.2998046875</v>
      </c>
      <c r="AV65" s="201" t="n">
        <v>6576.2998046875</v>
      </c>
      <c r="AW65" s="184" t="n">
        <v>6576.2998046875</v>
      </c>
      <c r="AX65" s="184" t="n">
        <v>6576.2998046875</v>
      </c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4521.64990234375</v>
      </c>
      <c r="O66" s="233" t="n">
        <v>4648.39990234375</v>
      </c>
      <c r="P66" s="233" t="n">
        <v>4877.77001953125</v>
      </c>
      <c r="Q66" s="233" t="n">
        <v>5083.419921875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4869.27978515625</v>
      </c>
      <c r="AA66" s="231" t="n">
        <v>5286.8701171875</v>
      </c>
      <c r="AB66" s="203" t="n">
        <v>5463.5400390625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5662.0400390625</v>
      </c>
      <c r="AK66" s="203" t="n">
        <v>5668.169921875</v>
      </c>
      <c r="AL66" s="203" t="n">
        <v>5796.22021484375</v>
      </c>
      <c r="AM66" s="203" t="n">
        <v>5947.81005859375</v>
      </c>
      <c r="AN66" s="203" t="n">
        <v>6138.41015625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6328.08984375</v>
      </c>
      <c r="AS66" s="203" t="n">
        <v>6358.009765625</v>
      </c>
      <c r="AT66" s="203" t="n">
        <v>6420.16015625</v>
      </c>
      <c r="AU66" s="203" t="n">
        <v>6301.27978515625</v>
      </c>
      <c r="AV66" s="201" t="n">
        <v>6301.27978515625</v>
      </c>
      <c r="AW66" s="184" t="n">
        <v>6301.27978515625</v>
      </c>
      <c r="AX66" s="184" t="n">
        <v>6301.27978515625</v>
      </c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>
        <f>+(AV66-AV65)/AV65</f>
        <v/>
      </c>
      <c r="AW67" s="184">
        <f>+(AW66-AW65)/AW65</f>
        <v/>
      </c>
      <c r="AX67" s="184">
        <f>+(AX66-AX65)/AX65</f>
        <v/>
      </c>
      <c r="AY67" s="184" t="n"/>
    </row>
    <row r="68" ht="22" customHeight="1">
      <c r="A68" s="303" t="n"/>
      <c r="B68" s="201" t="inlineStr">
        <is>
          <t>real % change</t>
        </is>
      </c>
      <c r="C68" s="230">
        <f>+C67-C64</f>
        <v/>
      </c>
      <c r="D68" s="230">
        <f>+D67-D64</f>
        <v/>
      </c>
      <c r="E68" s="230">
        <f>+E67-E64</f>
        <v/>
      </c>
      <c r="F68" s="230">
        <f>+F67-F64</f>
        <v/>
      </c>
      <c r="G68" s="230">
        <f>+G67-G64</f>
        <v/>
      </c>
      <c r="H68" s="230">
        <f>+H67-H64</f>
        <v/>
      </c>
      <c r="I68" s="230">
        <f>+I67-I64</f>
        <v/>
      </c>
      <c r="J68" s="230">
        <f>+J67-J64</f>
        <v/>
      </c>
      <c r="K68" s="230">
        <f>+K67-K64</f>
        <v/>
      </c>
      <c r="L68" s="230">
        <f>+L67-L64</f>
        <v/>
      </c>
      <c r="M68" s="230">
        <f>+M67-M64</f>
        <v/>
      </c>
      <c r="N68" s="230">
        <f>+N67-N64</f>
        <v/>
      </c>
      <c r="O68" s="230">
        <f>+O67-O64</f>
        <v/>
      </c>
      <c r="P68" s="230">
        <f>+P67-P64</f>
        <v/>
      </c>
      <c r="Q68" s="230">
        <f>+Q67-Q64</f>
        <v/>
      </c>
      <c r="R68" s="230">
        <f>+R67-R64</f>
        <v/>
      </c>
      <c r="S68" s="230">
        <f>+S67-S64</f>
        <v/>
      </c>
      <c r="T68" s="230">
        <f>+T67-T64</f>
        <v/>
      </c>
      <c r="U68" s="230">
        <f>+U67-U64</f>
        <v/>
      </c>
      <c r="V68" s="230">
        <f>+V67-V64</f>
        <v/>
      </c>
      <c r="W68" s="230">
        <f>+W67-W64</f>
        <v/>
      </c>
      <c r="X68" s="230">
        <f>+X67-X64</f>
        <v/>
      </c>
      <c r="Y68" s="230">
        <f>+Y67-Y64</f>
        <v/>
      </c>
      <c r="Z68" s="230">
        <f>+Z67-Z64</f>
        <v/>
      </c>
      <c r="AA68" s="230">
        <f>+AA67-AA64</f>
        <v/>
      </c>
      <c r="AB68" s="205">
        <f>+AB67-AB64</f>
        <v/>
      </c>
      <c r="AC68" s="205">
        <f>+AC67-AC64</f>
        <v/>
      </c>
      <c r="AD68" s="205">
        <f>+AD67-AD64</f>
        <v/>
      </c>
      <c r="AE68" s="205">
        <f>+AE67-AE64</f>
        <v/>
      </c>
      <c r="AF68" s="205">
        <f>+AF67-AF64</f>
        <v/>
      </c>
      <c r="AG68" s="205">
        <f>+AG67-AG64</f>
        <v/>
      </c>
      <c r="AH68" s="205">
        <f>+AH67-AH64</f>
        <v/>
      </c>
      <c r="AI68" s="205">
        <f>+AI67-AI64</f>
        <v/>
      </c>
      <c r="AJ68" s="205">
        <f>+AJ67-AJ64</f>
        <v/>
      </c>
      <c r="AK68" s="205">
        <f>+AK67-AK64</f>
        <v/>
      </c>
      <c r="AL68" s="205">
        <f>+AL67-AL64</f>
        <v/>
      </c>
      <c r="AM68" s="205">
        <f>+AM67-AM64</f>
        <v/>
      </c>
      <c r="AN68" s="205">
        <f>+AN67-AN64</f>
        <v/>
      </c>
      <c r="AO68" s="205">
        <f>+AO67-AO64</f>
        <v/>
      </c>
      <c r="AP68" s="205">
        <f>+AP67-AP64</f>
        <v/>
      </c>
      <c r="AQ68" s="205">
        <f>+AQ67-AQ64</f>
        <v/>
      </c>
      <c r="AR68" s="205">
        <f>+AR67-AR64</f>
        <v/>
      </c>
      <c r="AS68" s="205">
        <f>+AS67-AS64</f>
        <v/>
      </c>
      <c r="AT68" s="205">
        <f>+AT67-AT64</f>
        <v/>
      </c>
      <c r="AU68" s="205">
        <f>+AU67-AU64</f>
        <v/>
      </c>
      <c r="AV68" s="201">
        <f>+AV67-AV64</f>
        <v/>
      </c>
      <c r="AW68" s="184">
        <f>+AW67-AW64</f>
        <v/>
      </c>
      <c r="AX68" s="184">
        <f>+AX67-AX64</f>
        <v/>
      </c>
      <c r="AY68" s="184" t="n"/>
    </row>
    <row r="69" ht="22" customHeight="1">
      <c r="A69" s="304" t="n"/>
      <c r="B69" s="206" t="inlineStr">
        <is>
          <t>Rating</t>
        </is>
      </c>
      <c r="C69" s="232">
        <f>_xlfn.XLOOKUP(MIN(ABS($BJ$7:$BJ$29 - MEDIAN(MIN($BJ$7:$BJ$29), MAX($BJ$7:$BJ$29), C68))), ABS($BJ$7:$BJ$29 - MEDIAN(MIN($BJ$7:$BJ$29), MAX($BJ$7:$BJ$29), C68)), $BK$7:$BK$29, "Error", 0)</f>
        <v/>
      </c>
      <c r="D69" s="232">
        <f>_xlfn.XLOOKUP(MIN(ABS($BJ$7:$BJ$29 - MEDIAN(MIN($BJ$7:$BJ$29), MAX($BJ$7:$BJ$29), D68))), ABS($BJ$7:$BJ$29 - MEDIAN(MIN($BJ$7:$BJ$29), MAX($BJ$7:$BJ$29), D68)), $BK$7:$BK$29, "Error", 0)</f>
        <v/>
      </c>
      <c r="E69" s="232">
        <f>_xlfn.XLOOKUP(MIN(ABS($BJ$7:$BJ$29 - MEDIAN(MIN($BJ$7:$BJ$29), MAX($BJ$7:$BJ$29), E68))), ABS($BJ$7:$BJ$29 - MEDIAN(MIN($BJ$7:$BJ$29), MAX($BJ$7:$BJ$29), E68)), $BK$7:$BK$29, "Error", 0)</f>
        <v/>
      </c>
      <c r="F69" s="232">
        <f>_xlfn.XLOOKUP(MIN(ABS($BJ$7:$BJ$29 - MEDIAN(MIN($BJ$7:$BJ$29), MAX($BJ$7:$BJ$29), F68))), ABS($BJ$7:$BJ$29 - MEDIAN(MIN($BJ$7:$BJ$29), MAX($BJ$7:$BJ$29), F68)), $BK$7:$BK$29, "Error", 0)</f>
        <v/>
      </c>
      <c r="G69" s="232">
        <f>_xlfn.XLOOKUP(MIN(ABS($BJ$7:$BJ$29 - MEDIAN(MIN($BJ$7:$BJ$29), MAX($BJ$7:$BJ$29), G68))), ABS($BJ$7:$BJ$29 - MEDIAN(MIN($BJ$7:$BJ$29), MAX($BJ$7:$BJ$29), G68)), $BK$7:$BK$29, "Error", 0)</f>
        <v/>
      </c>
      <c r="H69" s="232">
        <f>_xlfn.XLOOKUP(MIN(ABS($BJ$7:$BJ$29 - MEDIAN(MIN($BJ$7:$BJ$29), MAX($BJ$7:$BJ$29), H68))), ABS($BJ$7:$BJ$29 - MEDIAN(MIN($BJ$7:$BJ$29), MAX($BJ$7:$BJ$29), H68)), $BK$7:$BK$29, "Error", 0)</f>
        <v/>
      </c>
      <c r="I69" s="232">
        <f>_xlfn.XLOOKUP(MIN(ABS($BJ$7:$BJ$29 - MEDIAN(MIN($BJ$7:$BJ$29), MAX($BJ$7:$BJ$29), I68))), ABS($BJ$7:$BJ$29 - MEDIAN(MIN($BJ$7:$BJ$29), MAX($BJ$7:$BJ$29), I68)), $BK$7:$BK$29, "Error", 0)</f>
        <v/>
      </c>
      <c r="J69" s="232">
        <f>_xlfn.XLOOKUP(MIN(ABS($BJ$7:$BJ$29 - MEDIAN(MIN($BJ$7:$BJ$29), MAX($BJ$7:$BJ$29), J68))), ABS($BJ$7:$BJ$29 - MEDIAN(MIN($BJ$7:$BJ$29), MAX($BJ$7:$BJ$29), J68)), $BK$7:$BK$29, "Error", 0)</f>
        <v/>
      </c>
      <c r="K69" s="232">
        <f>_xlfn.XLOOKUP(MIN(ABS($BJ$7:$BJ$29 - MEDIAN(MIN($BJ$7:$BJ$29), MAX($BJ$7:$BJ$29), K68))), ABS($BJ$7:$BJ$29 - MEDIAN(MIN($BJ$7:$BJ$29), MAX($BJ$7:$BJ$29), K68)), $BK$7:$BK$29, "Error", 0)</f>
        <v/>
      </c>
      <c r="L69" s="232">
        <f>_xlfn.XLOOKUP(MIN(ABS($BJ$7:$BJ$29 - MEDIAN(MIN($BJ$7:$BJ$29), MAX($BJ$7:$BJ$29), L68))), ABS($BJ$7:$BJ$29 - MEDIAN(MIN($BJ$7:$BJ$29), MAX($BJ$7:$BJ$29), L68)), $BK$7:$BK$29, "Error", 0)</f>
        <v/>
      </c>
      <c r="M69" s="232">
        <f>_xlfn.XLOOKUP(MIN(ABS($BJ$7:$BJ$29 - MEDIAN(MIN($BJ$7:$BJ$29), MAX($BJ$7:$BJ$29), M68))), ABS($BJ$7:$BJ$29 - MEDIAN(MIN($BJ$7:$BJ$29), MAX($BJ$7:$BJ$29), M68)), $BK$7:$BK$29, "Error", 0)</f>
        <v/>
      </c>
      <c r="N69" s="232">
        <f>_xlfn.XLOOKUP(MIN(ABS($BJ$7:$BJ$29 - MEDIAN(MIN($BJ$7:$BJ$29), MAX($BJ$7:$BJ$29), N68))), ABS($BJ$7:$BJ$29 - MEDIAN(MIN($BJ$7:$BJ$29), MAX($BJ$7:$BJ$29), N68)), $BK$7:$BK$29, "Error", 0)</f>
        <v/>
      </c>
      <c r="O69" s="232">
        <f>_xlfn.XLOOKUP(MIN(ABS($BJ$7:$BJ$29 - MEDIAN(MIN($BJ$7:$BJ$29), MAX($BJ$7:$BJ$29), O68))), ABS($BJ$7:$BJ$29 - MEDIAN(MIN($BJ$7:$BJ$29), MAX($BJ$7:$BJ$29), O68)), $BK$7:$BK$29, "Error", 0)</f>
        <v/>
      </c>
      <c r="P69" s="232">
        <f>_xlfn.XLOOKUP(MIN(ABS($BJ$7:$BJ$29 - MEDIAN(MIN($BJ$7:$BJ$29), MAX($BJ$7:$BJ$29), P68))), ABS($BJ$7:$BJ$29 - MEDIAN(MIN($BJ$7:$BJ$29), MAX($BJ$7:$BJ$29), P68)), $BK$7:$BK$29, "Error", 0)</f>
        <v/>
      </c>
      <c r="Q69" s="232">
        <f>_xlfn.XLOOKUP(MIN(ABS($BJ$7:$BJ$29 - MEDIAN(MIN($BJ$7:$BJ$29), MAX($BJ$7:$BJ$29), Q68))), ABS($BJ$7:$BJ$29 - MEDIAN(MIN($BJ$7:$BJ$29), MAX($BJ$7:$BJ$29), Q68)), $BK$7:$BK$29, "Error", 0)</f>
        <v/>
      </c>
      <c r="R69" s="232">
        <f>_xlfn.XLOOKUP(MIN(ABS($BJ$7:$BJ$29 - MEDIAN(MIN($BJ$7:$BJ$29), MAX($BJ$7:$BJ$29), R68))), ABS($BJ$7:$BJ$29 - MEDIAN(MIN($BJ$7:$BJ$29), MAX($BJ$7:$BJ$29), R68)), $BK$7:$BK$29, "Error", 0)</f>
        <v/>
      </c>
      <c r="S69" s="232">
        <f>_xlfn.XLOOKUP(MIN(ABS($BJ$7:$BJ$29 - MEDIAN(MIN($BJ$7:$BJ$29), MAX($BJ$7:$BJ$29), S68))), ABS($BJ$7:$BJ$29 - MEDIAN(MIN($BJ$7:$BJ$29), MAX($BJ$7:$BJ$29), S68)), $BK$7:$BK$29, "Error", 0)</f>
        <v/>
      </c>
      <c r="T69" s="232">
        <f>_xlfn.XLOOKUP(MIN(ABS($BJ$7:$BJ$29 - MEDIAN(MIN($BJ$7:$BJ$29), MAX($BJ$7:$BJ$29), T68))), ABS($BJ$7:$BJ$29 - MEDIAN(MIN($BJ$7:$BJ$29), MAX($BJ$7:$BJ$29), T68)), $BK$7:$BK$29, "Error", 0)</f>
        <v/>
      </c>
      <c r="U69" s="232">
        <f>_xlfn.XLOOKUP(MIN(ABS($BJ$7:$BJ$29 - MEDIAN(MIN($BJ$7:$BJ$29), MAX($BJ$7:$BJ$29), U68))), ABS($BJ$7:$BJ$29 - MEDIAN(MIN($BJ$7:$BJ$29), MAX($BJ$7:$BJ$29), U68)), $BK$7:$BK$29, "Error", 0)</f>
        <v/>
      </c>
      <c r="V69" s="232">
        <f>_xlfn.XLOOKUP(MIN(ABS($BJ$7:$BJ$29 - MEDIAN(MIN($BJ$7:$BJ$29), MAX($BJ$7:$BJ$29), V68))), ABS($BJ$7:$BJ$29 - MEDIAN(MIN($BJ$7:$BJ$29), MAX($BJ$7:$BJ$29), V68)), $BK$7:$BK$29, "Error", 0)</f>
        <v/>
      </c>
      <c r="W69" s="232">
        <f>_xlfn.XLOOKUP(MIN(ABS($BJ$7:$BJ$29 - MEDIAN(MIN($BJ$7:$BJ$29), MAX($BJ$7:$BJ$29), W68))), ABS($BJ$7:$BJ$29 - MEDIAN(MIN($BJ$7:$BJ$29), MAX($BJ$7:$BJ$29), W68)), $BK$7:$BK$29, "Error", 0)</f>
        <v/>
      </c>
      <c r="X69" s="232">
        <f>_xlfn.XLOOKUP(MIN(ABS($BJ$7:$BJ$29 - MEDIAN(MIN($BJ$7:$BJ$29), MAX($BJ$7:$BJ$29), X68))), ABS($BJ$7:$BJ$29 - MEDIAN(MIN($BJ$7:$BJ$29), MAX($BJ$7:$BJ$29), X68)), $BK$7:$BK$29, "Error", 0)</f>
        <v/>
      </c>
      <c r="Y69" s="232">
        <f>_xlfn.XLOOKUP(MIN(ABS($BJ$7:$BJ$29 - MEDIAN(MIN($BJ$7:$BJ$29), MAX($BJ$7:$BJ$29), Y68))), ABS($BJ$7:$BJ$29 - MEDIAN(MIN($BJ$7:$BJ$29), MAX($BJ$7:$BJ$29), Y68)), $BK$7:$BK$29, "Error", 0)</f>
        <v/>
      </c>
      <c r="Z69" s="232">
        <f>_xlfn.XLOOKUP(MIN(ABS($BJ$7:$BJ$29 - MEDIAN(MIN($BJ$7:$BJ$29), MAX($BJ$7:$BJ$29), Z68))), ABS($BJ$7:$BJ$29 - MEDIAN(MIN($BJ$7:$BJ$29), MAX($BJ$7:$BJ$29), Z68)), $BK$7:$BK$29, "Error", 0)</f>
        <v/>
      </c>
      <c r="AA69" s="232">
        <f>_xlfn.XLOOKUP(MIN(ABS($BJ$7:$BJ$29 - MEDIAN(MIN($BJ$7:$BJ$29), MAX($BJ$7:$BJ$29), AA68))), ABS($BJ$7:$BJ$29 - MEDIAN(MIN($BJ$7:$BJ$29), MAX($BJ$7:$BJ$29), AA68)), $BK$7:$BK$29, "Error", 0)</f>
        <v/>
      </c>
      <c r="AB69" s="171">
        <f>_xlfn.XLOOKUP(MIN(ABS($BJ$7:$BJ$29 - MEDIAN(MIN($BJ$7:$BJ$29), MAX($BJ$7:$BJ$29), AB68))), ABS($BJ$7:$BJ$29 - MEDIAN(MIN($BJ$7:$BJ$29), MAX($BJ$7:$BJ$29), AB68)), $BK$7:$BK$29, "Error", 0)</f>
        <v/>
      </c>
      <c r="AC69" s="171">
        <f>_xlfn.XLOOKUP(MIN(ABS($BJ$7:$BJ$29 - MEDIAN(MIN($BJ$7:$BJ$29), MAX($BJ$7:$BJ$29), AC68))), ABS($BJ$7:$BJ$29 - MEDIAN(MIN($BJ$7:$BJ$29), MAX($BJ$7:$BJ$29), AC68)), $BK$7:$BK$29, "Error", 0)</f>
        <v/>
      </c>
      <c r="AD69" s="171">
        <f>_xlfn.XLOOKUP(MIN(ABS($BJ$7:$BJ$29 - MEDIAN(MIN($BJ$7:$BJ$29), MAX($BJ$7:$BJ$29), AD68))), ABS($BJ$7:$BJ$29 - MEDIAN(MIN($BJ$7:$BJ$29), MAX($BJ$7:$BJ$29), AD68)), $BK$7:$BK$29, "Error", 0)</f>
        <v/>
      </c>
      <c r="AE69" s="171">
        <f>_xlfn.XLOOKUP(MIN(ABS($BJ$7:$BJ$29 - MEDIAN(MIN($BJ$7:$BJ$29), MAX($BJ$7:$BJ$29), AE68))), ABS($BJ$7:$BJ$29 - MEDIAN(MIN($BJ$7:$BJ$29), MAX($BJ$7:$BJ$29), AE68)), $BK$7:$BK$29, "Error", 0)</f>
        <v/>
      </c>
      <c r="AF69" s="171">
        <f>_xlfn.XLOOKUP(MIN(ABS($BJ$7:$BJ$29 - MEDIAN(MIN($BJ$7:$BJ$29), MAX($BJ$7:$BJ$29), AF68))), ABS($BJ$7:$BJ$29 - MEDIAN(MIN($BJ$7:$BJ$29), MAX($BJ$7:$BJ$29), AF68)), $BK$7:$BK$29, "Error", 0)</f>
        <v/>
      </c>
      <c r="AG69" s="171">
        <f>_xlfn.XLOOKUP(MIN(ABS($BJ$7:$BJ$29 - MEDIAN(MIN($BJ$7:$BJ$29), MAX($BJ$7:$BJ$29), AG68))), ABS($BJ$7:$BJ$29 - MEDIAN(MIN($BJ$7:$BJ$29), MAX($BJ$7:$BJ$29), AG68)), $BK$7:$BK$29, "Error", 0)</f>
        <v/>
      </c>
      <c r="AH69" s="171">
        <f>_xlfn.XLOOKUP(MIN(ABS($BJ$7:$BJ$29 - MEDIAN(MIN($BJ$7:$BJ$29), MAX($BJ$7:$BJ$29), AH68))), ABS($BJ$7:$BJ$29 - MEDIAN(MIN($BJ$7:$BJ$29), MAX($BJ$7:$BJ$29), AH68)), $BK$7:$BK$29, "Error", 0)</f>
        <v/>
      </c>
      <c r="AI69" s="171">
        <f>_xlfn.XLOOKUP(MIN(ABS($BJ$7:$BJ$29 - MEDIAN(MIN($BJ$7:$BJ$29), MAX($BJ$7:$BJ$29), AI68))), ABS($BJ$7:$BJ$29 - MEDIAN(MIN($BJ$7:$BJ$29), MAX($BJ$7:$BJ$29), AI68)), $BK$7:$BK$29, "Error", 0)</f>
        <v/>
      </c>
      <c r="AJ69" s="171">
        <f>_xlfn.XLOOKUP(MIN(ABS($BJ$7:$BJ$29 - MEDIAN(MIN($BJ$7:$BJ$29), MAX($BJ$7:$BJ$29), AJ68))), ABS($BJ$7:$BJ$29 - MEDIAN(MIN($BJ$7:$BJ$29), MAX($BJ$7:$BJ$29), AJ68)), $BK$7:$BK$29, "Error", 0)</f>
        <v/>
      </c>
      <c r="AK69" s="171">
        <f>_xlfn.XLOOKUP(MIN(ABS($BJ$7:$BJ$29 - MEDIAN(MIN($BJ$7:$BJ$29), MAX($BJ$7:$BJ$29), AK68))), ABS($BJ$7:$BJ$29 - MEDIAN(MIN($BJ$7:$BJ$29), MAX($BJ$7:$BJ$29), AK68)), $BK$7:$BK$29, "Error", 0)</f>
        <v/>
      </c>
      <c r="AL69" s="171">
        <f>_xlfn.XLOOKUP(MIN(ABS($BJ$7:$BJ$29 - MEDIAN(MIN($BJ$7:$BJ$29), MAX($BJ$7:$BJ$29), AL68))), ABS($BJ$7:$BJ$29 - MEDIAN(MIN($BJ$7:$BJ$29), MAX($BJ$7:$BJ$29), AL68)), $BK$7:$BK$29, "Error", 0)</f>
        <v/>
      </c>
      <c r="AM69" s="171">
        <f>_xlfn.XLOOKUP(MIN(ABS($BJ$7:$BJ$29 - MEDIAN(MIN($BJ$7:$BJ$29), MAX($BJ$7:$BJ$29), AM68))), ABS($BJ$7:$BJ$29 - MEDIAN(MIN($BJ$7:$BJ$29), MAX($BJ$7:$BJ$29), AM68)), $BK$7:$BK$29, "Error", 0)</f>
        <v/>
      </c>
      <c r="AN69" s="171">
        <f>_xlfn.XLOOKUP(MIN(ABS($BJ$7:$BJ$29 - MEDIAN(MIN($BJ$7:$BJ$29), MAX($BJ$7:$BJ$29), AN68))), ABS($BJ$7:$BJ$29 - MEDIAN(MIN($BJ$7:$BJ$29), MAX($BJ$7:$BJ$29), AN68)), $BK$7:$BK$29, "Error", 0)</f>
        <v/>
      </c>
      <c r="AO69" s="171">
        <f>_xlfn.XLOOKUP(MIN(ABS($BJ$7:$BJ$29 - MEDIAN(MIN($BJ$7:$BJ$29), MAX($BJ$7:$BJ$29), AO68))), ABS($BJ$7:$BJ$29 - MEDIAN(MIN($BJ$7:$BJ$29), MAX($BJ$7:$BJ$29), AO68)), $BK$7:$BK$29, "Error", 0)</f>
        <v/>
      </c>
      <c r="AP69" s="171">
        <f>_xlfn.XLOOKUP(MIN(ABS($BJ$7:$BJ$29 - MEDIAN(MIN($BJ$7:$BJ$29), MAX($BJ$7:$BJ$29), AP68))), ABS($BJ$7:$BJ$29 - MEDIAN(MIN($BJ$7:$BJ$29), MAX($BJ$7:$BJ$29), AP68)), $BK$7:$BK$29, "Error", 0)</f>
        <v/>
      </c>
      <c r="AQ69" s="171">
        <f>_xlfn.XLOOKUP(MIN(ABS($BJ$7:$BJ$29 - MEDIAN(MIN($BJ$7:$BJ$29), MAX($BJ$7:$BJ$29), AQ68))), ABS($BJ$7:$BJ$29 - MEDIAN(MIN($BJ$7:$BJ$29), MAX($BJ$7:$BJ$29), AQ68)), $BK$7:$BK$29, "Error", 0)</f>
        <v/>
      </c>
      <c r="AR69" s="171">
        <f>_xlfn.XLOOKUP(MIN(ABS($BJ$7:$BJ$29 - MEDIAN(MIN($BJ$7:$BJ$29), MAX($BJ$7:$BJ$29), AR68))), ABS($BJ$7:$BJ$29 - MEDIAN(MIN($BJ$7:$BJ$29), MAX($BJ$7:$BJ$29), AR68)), $BK$7:$BK$29, "Error", 0)</f>
        <v/>
      </c>
      <c r="AS69" s="171">
        <f>_xlfn.XLOOKUP(MIN(ABS($BJ$7:$BJ$29 - MEDIAN(MIN($BJ$7:$BJ$29), MAX($BJ$7:$BJ$29), AS68))), ABS($BJ$7:$BJ$29 - MEDIAN(MIN($BJ$7:$BJ$29), MAX($BJ$7:$BJ$29), AS68)), $BK$7:$BK$29, "Error", 0)</f>
        <v/>
      </c>
      <c r="AT69" s="171">
        <f>_xlfn.XLOOKUP(MIN(ABS($BJ$7:$BJ$29 - MEDIAN(MIN($BJ$7:$BJ$29), MAX($BJ$7:$BJ$29), AT68))), ABS($BJ$7:$BJ$29 - MEDIAN(MIN($BJ$7:$BJ$29), MAX($BJ$7:$BJ$29), AT68)), $BK$7:$BK$29, "Error", 0)</f>
        <v/>
      </c>
      <c r="AU69" s="171">
        <f>_xlfn.XLOOKUP(MIN(ABS($BJ$7:$BJ$29 - MEDIAN(MIN($BJ$7:$BJ$29), MAX($BJ$7:$BJ$29), AU68))), ABS($BJ$7:$BJ$29 - MEDIAN(MIN($BJ$7:$BJ$29), MAX($BJ$7:$BJ$29), AU68)), $BK$7:$BK$29, "Error", 0)</f>
        <v/>
      </c>
      <c r="AV69" s="206">
        <f>_xlfn.XLOOKUP(MIN(ABS($BJ$7:$BJ$29 - MEDIAN(MIN($BJ$7:$BJ$29), MAX($BJ$7:$BJ$29), AV68))), ABS($BJ$7:$BJ$29 - MEDIAN(MIN($BJ$7:$BJ$29), MAX($BJ$7:$BJ$29), AV68)), $BK$7:$BK$29, "Error", 0)</f>
        <v/>
      </c>
      <c r="AW69" s="184">
        <f>_xlfn.XLOOKUP(MIN(ABS($BJ$7:$BJ$29 - MEDIAN(MIN($BJ$7:$BJ$29), MAX($BJ$7:$BJ$29), AW68))), ABS($BJ$7:$BJ$29 - MEDIAN(MIN($BJ$7:$BJ$29), MAX($BJ$7:$BJ$29), AW68)), $BK$7:$BK$29, "Error", 0)</f>
        <v/>
      </c>
      <c r="AX69" s="184">
        <f>_xlfn.XLOOKUP(MIN(ABS($BJ$7:$BJ$29 - MEDIAN(MIN($BJ$7:$BJ$29), MAX($BJ$7:$BJ$29), AX68))), ABS($BJ$7:$BJ$29 - MEDIAN(MIN($BJ$7:$BJ$29), MAX($BJ$7:$BJ$29), AX68)), $BK$7:$BK$29, "Error", 0)</f>
        <v/>
      </c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7542.324418585515</v>
      </c>
      <c r="D70" s="233" t="n">
        <v>7542.324418585515</v>
      </c>
      <c r="E70" s="233" t="n">
        <v>7542.324418585515</v>
      </c>
      <c r="F70" s="233" t="n">
        <v>7542.324418585515</v>
      </c>
      <c r="G70" s="233" t="n">
        <v>7542.324418585515</v>
      </c>
      <c r="H70" s="233" t="n">
        <v>7542.324418585515</v>
      </c>
      <c r="I70" s="233" t="n">
        <v>7542.324418585515</v>
      </c>
      <c r="J70" s="233" t="n">
        <v>7542.324418585515</v>
      </c>
      <c r="K70" s="233" t="n">
        <v>7542.324418585515</v>
      </c>
      <c r="L70" s="233" t="n">
        <v>7542.324418585515</v>
      </c>
      <c r="M70" s="233" t="n">
        <v>7542.324418585515</v>
      </c>
      <c r="N70" s="233" t="n">
        <v>7542.324418585515</v>
      </c>
      <c r="O70" s="233" t="n">
        <v>7689.854368442902</v>
      </c>
      <c r="P70" s="233" t="n">
        <v>8126.637077089341</v>
      </c>
      <c r="Q70" s="233" t="n">
        <v>8468.174332094495</v>
      </c>
      <c r="R70" s="233" t="n">
        <v>8468.174332094495</v>
      </c>
      <c r="S70" s="233" t="n">
        <v>8468.174332094495</v>
      </c>
      <c r="T70" s="233" t="n">
        <v>8468.174332094495</v>
      </c>
      <c r="U70" s="233" t="n">
        <v>8468.174332094495</v>
      </c>
      <c r="V70" s="233" t="n">
        <v>8468.174332094495</v>
      </c>
      <c r="W70" s="233" t="n">
        <v>8468.174332094495</v>
      </c>
      <c r="X70" s="233" t="n">
        <v>8468.174332094495</v>
      </c>
      <c r="Y70" s="233" t="n">
        <v>8468.174332094495</v>
      </c>
      <c r="Z70" s="233" t="n">
        <v>8468.174332094495</v>
      </c>
      <c r="AA70" s="204" t="n">
        <v>8867.912627769052</v>
      </c>
      <c r="AB70" s="204" t="n">
        <v>9213.695035861456</v>
      </c>
      <c r="AC70" s="204" t="n">
        <v>9507.284347211709</v>
      </c>
      <c r="AD70" s="204" t="n">
        <v>9507.284347211709</v>
      </c>
      <c r="AE70" s="204" t="n">
        <v>9625.364799676463</v>
      </c>
      <c r="AF70" s="204" t="n">
        <v>9625.364799676463</v>
      </c>
      <c r="AG70" s="204" t="n">
        <v>9799.26740594802</v>
      </c>
      <c r="AH70" s="204" t="n">
        <v>9963.658331052342</v>
      </c>
      <c r="AI70" s="204" t="n">
        <v>9963.658331052342</v>
      </c>
      <c r="AJ70" s="204" t="n">
        <v>10226.91733057669</v>
      </c>
      <c r="AK70" s="204" t="n">
        <v>10309.54088183446</v>
      </c>
      <c r="AL70" s="204" t="n">
        <v>10309.54088183446</v>
      </c>
      <c r="AM70" s="204" t="n">
        <v>10566.2143258627</v>
      </c>
      <c r="AN70" s="204" t="n">
        <v>10566.2143258627</v>
      </c>
      <c r="AO70" s="204" t="n">
        <v>10566.2143258627</v>
      </c>
      <c r="AP70" s="204" t="n">
        <v>10566.2143258627</v>
      </c>
      <c r="AQ70" s="204" t="n">
        <v>10566.2143258627</v>
      </c>
      <c r="AR70" s="204" t="n">
        <v>10566.2143258627</v>
      </c>
      <c r="AS70" s="204" t="n">
        <v>10609.84150907019</v>
      </c>
      <c r="AT70" s="204" t="n">
        <v>10776.97687501379</v>
      </c>
      <c r="AU70" s="204" t="n">
        <v>10776.97687501379</v>
      </c>
      <c r="AV70" s="200" t="n">
        <v>10776.97687501379</v>
      </c>
      <c r="AW70" s="184" t="n">
        <v>10776.97687501379</v>
      </c>
      <c r="AX70" s="184" t="n">
        <v>10776.97687501379</v>
      </c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6400.388564256369</v>
      </c>
      <c r="D71" s="233" t="n">
        <v>6668.666994925123</v>
      </c>
      <c r="E71" s="233" t="n">
        <v>7006.518787808949</v>
      </c>
      <c r="F71" s="233" t="n">
        <v>7252.453120228893</v>
      </c>
      <c r="G71" s="233" t="n">
        <v>6944.707727163099</v>
      </c>
      <c r="H71" s="233" t="n">
        <v>7222.205654484686</v>
      </c>
      <c r="I71" s="233" t="n">
        <v>7400.107566692284</v>
      </c>
      <c r="J71" s="233" t="n">
        <v>7248.751683334063</v>
      </c>
      <c r="K71" s="233" t="n">
        <v>6861.387772077695</v>
      </c>
      <c r="L71" s="233" t="n">
        <v>6767.856562976376</v>
      </c>
      <c r="M71" s="233" t="n">
        <v>7266.968338045641</v>
      </c>
      <c r="N71" s="233" t="n">
        <v>7330.725055101153</v>
      </c>
      <c r="O71" s="233" t="n">
        <v>7642.759880578029</v>
      </c>
      <c r="P71" s="233" t="n">
        <v>8139.778952682973</v>
      </c>
      <c r="Q71" s="233" t="n">
        <v>8427.141235282877</v>
      </c>
      <c r="R71" s="233" t="n">
        <v>8036.106295455422</v>
      </c>
      <c r="S71" s="233" t="n">
        <v>8141.472880402114</v>
      </c>
      <c r="T71" s="233" t="n">
        <v>7879.910791330389</v>
      </c>
      <c r="U71" s="233" t="n">
        <v>8057.065014451277</v>
      </c>
      <c r="V71" s="233" t="n">
        <v>8083.688863090123</v>
      </c>
      <c r="W71" s="233" t="n">
        <v>8072.276885650819</v>
      </c>
      <c r="X71" s="233" t="n">
        <v>7975.196560637676</v>
      </c>
      <c r="Y71" s="233" t="n">
        <v>7797.396837480424</v>
      </c>
      <c r="Z71" s="233" t="n">
        <v>8157.406916439941</v>
      </c>
      <c r="AA71" s="204" t="n">
        <v>8843.87604060641</v>
      </c>
      <c r="AB71" s="204" t="n">
        <v>9112.365350022446</v>
      </c>
      <c r="AC71" s="204" t="n">
        <v>9041.349132348143</v>
      </c>
      <c r="AD71" s="204" t="n">
        <v>9203.768634449865</v>
      </c>
      <c r="AE71" s="204" t="n">
        <v>9471.816682082601</v>
      </c>
      <c r="AF71" s="204" t="n">
        <v>9518.944894353859</v>
      </c>
      <c r="AG71" s="204" t="n">
        <v>9430.249524885323</v>
      </c>
      <c r="AH71" s="204" t="n">
        <v>9569.374810554902</v>
      </c>
      <c r="AI71" s="204" t="n">
        <v>9860.416281222948</v>
      </c>
      <c r="AJ71" s="204" t="n">
        <v>9988.065072493628</v>
      </c>
      <c r="AK71" s="204" t="n">
        <v>10059.35817741347</v>
      </c>
      <c r="AL71" s="204" t="n">
        <v>10191.49369531375</v>
      </c>
      <c r="AM71" s="204" t="n">
        <v>10098.54880105879</v>
      </c>
      <c r="AN71" s="204" t="n">
        <v>10200.9330976666</v>
      </c>
      <c r="AO71" s="204" t="n">
        <v>9321.054344177304</v>
      </c>
      <c r="AP71" s="204" t="n">
        <v>9639.206599437166</v>
      </c>
      <c r="AQ71" s="204" t="n">
        <v>9841.80859141401</v>
      </c>
      <c r="AR71" s="204" t="n">
        <v>10499.18692518258</v>
      </c>
      <c r="AS71" s="204" t="n">
        <v>10429.2338855064</v>
      </c>
      <c r="AT71" s="204" t="n">
        <v>10391.34985475847</v>
      </c>
      <c r="AU71" s="204" t="n">
        <v>10228.48936095857</v>
      </c>
      <c r="AV71" s="201" t="n">
        <v>10228.48936095857</v>
      </c>
      <c r="AW71" s="184" t="n">
        <v>10228.48936095857</v>
      </c>
      <c r="AX71" s="184" t="n">
        <v>10228.48936095857</v>
      </c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>
        <f>+(AV71-AV70)/AV70</f>
        <v/>
      </c>
      <c r="AW72" s="184">
        <f>+(AW71-AW70)/AW70</f>
        <v/>
      </c>
      <c r="AX72" s="184">
        <f>+(AX71-AX70)/AX70</f>
        <v/>
      </c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4572.81982421875</v>
      </c>
      <c r="D73" s="233" t="n">
        <v>4572.81982421875</v>
      </c>
      <c r="E73" s="233" t="n">
        <v>4572.81982421875</v>
      </c>
      <c r="F73" s="233" t="n">
        <v>4572.81982421875</v>
      </c>
      <c r="G73" s="233" t="n">
        <v>4572.81982421875</v>
      </c>
      <c r="H73" s="233" t="n">
        <v>4572.81982421875</v>
      </c>
      <c r="I73" s="233" t="n">
        <v>4572.81982421875</v>
      </c>
      <c r="J73" s="233" t="n">
        <v>4572.81982421875</v>
      </c>
      <c r="K73" s="233" t="n">
        <v>4572.81982421875</v>
      </c>
      <c r="L73" s="233" t="n">
        <v>4572.81982421875</v>
      </c>
      <c r="M73" s="233" t="n">
        <v>4572.81982421875</v>
      </c>
      <c r="N73" s="233" t="n">
        <v>4572.81982421875</v>
      </c>
      <c r="O73" s="233" t="n">
        <v>4667.419921875</v>
      </c>
      <c r="P73" s="233" t="n">
        <v>4887.85009765625</v>
      </c>
      <c r="Q73" s="233" t="n">
        <v>5095.10986328125</v>
      </c>
      <c r="R73" s="233" t="n">
        <v>5095.10986328125</v>
      </c>
      <c r="S73" s="233" t="n">
        <v>5102.2998046875</v>
      </c>
      <c r="T73" s="233" t="n">
        <v>5102.2998046875</v>
      </c>
      <c r="U73" s="233" t="n">
        <v>5102.2998046875</v>
      </c>
      <c r="V73" s="233" t="n">
        <v>5102.2998046875</v>
      </c>
      <c r="W73" s="233" t="n">
        <v>5102.2998046875</v>
      </c>
      <c r="X73" s="233" t="n">
        <v>5102.2998046875</v>
      </c>
      <c r="Y73" s="233" t="n">
        <v>5102.2998046875</v>
      </c>
      <c r="Z73" s="233" t="n">
        <v>5102.2998046875</v>
      </c>
      <c r="AA73" s="231" t="n">
        <v>5285.22021484375</v>
      </c>
      <c r="AB73" s="203" t="n">
        <v>5544.1201171875</v>
      </c>
      <c r="AC73" s="203" t="n">
        <v>5568.18994140625</v>
      </c>
      <c r="AD73" s="203" t="n">
        <v>5568.18994140625</v>
      </c>
      <c r="AE73" s="203" t="n">
        <v>5568.18994140625</v>
      </c>
      <c r="AF73" s="203" t="n">
        <v>5568.18994140625</v>
      </c>
      <c r="AG73" s="203" t="n">
        <v>5568.18994140625</v>
      </c>
      <c r="AH73" s="203" t="n">
        <v>5568.18994140625</v>
      </c>
      <c r="AI73" s="203" t="n">
        <v>5568.18994140625</v>
      </c>
      <c r="AJ73" s="203" t="n">
        <v>5734.27978515625</v>
      </c>
      <c r="AK73" s="203" t="n">
        <v>5804.66015625</v>
      </c>
      <c r="AL73" s="203" t="n">
        <v>5804.66015625</v>
      </c>
      <c r="AM73" s="203" t="n">
        <v>6053.68017578125</v>
      </c>
      <c r="AN73" s="203" t="n">
        <v>6176.8701171875</v>
      </c>
      <c r="AO73" s="203" t="n">
        <v>6176.8701171875</v>
      </c>
      <c r="AP73" s="203" t="n">
        <v>6176.8701171875</v>
      </c>
      <c r="AQ73" s="203" t="n">
        <v>6176.8701171875</v>
      </c>
      <c r="AR73" s="203" t="n">
        <v>6334.5498046875</v>
      </c>
      <c r="AS73" s="203" t="n">
        <v>6421.740234375</v>
      </c>
      <c r="AT73" s="203" t="n">
        <v>6576.2998046875</v>
      </c>
      <c r="AU73" s="203" t="n">
        <v>6576.2998046875</v>
      </c>
      <c r="AV73" s="201" t="n">
        <v>6576.2998046875</v>
      </c>
      <c r="AW73" s="184" t="n">
        <v>6576.2998046875</v>
      </c>
      <c r="AX73" s="184" t="n">
        <v>6576.2998046875</v>
      </c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4521.64990234375</v>
      </c>
      <c r="O74" s="233" t="n">
        <v>4648.39990234375</v>
      </c>
      <c r="P74" s="233" t="n">
        <v>4877.77001953125</v>
      </c>
      <c r="Q74" s="233" t="n">
        <v>5083.419921875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4869.27978515625</v>
      </c>
      <c r="AA74" s="231" t="n">
        <v>5286.8701171875</v>
      </c>
      <c r="AB74" s="203" t="n">
        <v>5463.5400390625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5662.0400390625</v>
      </c>
      <c r="AK74" s="203" t="n">
        <v>5668.169921875</v>
      </c>
      <c r="AL74" s="203" t="n">
        <v>5796.22021484375</v>
      </c>
      <c r="AM74" s="203" t="n">
        <v>5947.81005859375</v>
      </c>
      <c r="AN74" s="203" t="n">
        <v>6138.41015625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6328.08984375</v>
      </c>
      <c r="AS74" s="203" t="n">
        <v>6358.009765625</v>
      </c>
      <c r="AT74" s="203" t="n">
        <v>6420.16015625</v>
      </c>
      <c r="AU74" s="203" t="n">
        <v>6301.27978515625</v>
      </c>
      <c r="AV74" s="201" t="n">
        <v>6301.27978515625</v>
      </c>
      <c r="AW74" s="184" t="n">
        <v>6301.27978515625</v>
      </c>
      <c r="AX74" s="184" t="n">
        <v>6301.27978515625</v>
      </c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>
        <f>+(AV74-AV73)/AV73</f>
        <v/>
      </c>
      <c r="AW75" s="184">
        <f>+(AW74-AW73)/AW73</f>
        <v/>
      </c>
      <c r="AX75" s="184">
        <f>+(AX74-AX73)/AX73</f>
        <v/>
      </c>
      <c r="AY75" s="184" t="n"/>
    </row>
    <row r="76" ht="22" customHeight="1">
      <c r="A76" s="303" t="n"/>
      <c r="B76" s="201" t="inlineStr">
        <is>
          <t>real % change</t>
        </is>
      </c>
      <c r="C76" s="230">
        <f>+C75-C72</f>
        <v/>
      </c>
      <c r="D76" s="230">
        <f>+D75-D72</f>
        <v/>
      </c>
      <c r="E76" s="230">
        <f>+E75-E72</f>
        <v/>
      </c>
      <c r="F76" s="230">
        <f>+F75-F72</f>
        <v/>
      </c>
      <c r="G76" s="230">
        <f>+G75-G72</f>
        <v/>
      </c>
      <c r="H76" s="230">
        <f>+H75-H72</f>
        <v/>
      </c>
      <c r="I76" s="230">
        <f>+I75-I72</f>
        <v/>
      </c>
      <c r="J76" s="230">
        <f>+J75-J72</f>
        <v/>
      </c>
      <c r="K76" s="230">
        <f>+K75-K72</f>
        <v/>
      </c>
      <c r="L76" s="230">
        <f>+L75-L72</f>
        <v/>
      </c>
      <c r="M76" s="230">
        <f>+M75-M72</f>
        <v/>
      </c>
      <c r="N76" s="230">
        <f>+N75-N72</f>
        <v/>
      </c>
      <c r="O76" s="230">
        <f>+O75-O72</f>
        <v/>
      </c>
      <c r="P76" s="230">
        <f>+P75-P72</f>
        <v/>
      </c>
      <c r="Q76" s="230">
        <f>+Q75-Q72</f>
        <v/>
      </c>
      <c r="R76" s="230">
        <f>+R75-R72</f>
        <v/>
      </c>
      <c r="S76" s="230">
        <f>+S75-S72</f>
        <v/>
      </c>
      <c r="T76" s="230">
        <f>+T75-T72</f>
        <v/>
      </c>
      <c r="U76" s="230">
        <f>+U75-U72</f>
        <v/>
      </c>
      <c r="V76" s="230">
        <f>+V75-V72</f>
        <v/>
      </c>
      <c r="W76" s="230">
        <f>+W75-W72</f>
        <v/>
      </c>
      <c r="X76" s="230">
        <f>+X75-X72</f>
        <v/>
      </c>
      <c r="Y76" s="230">
        <f>+Y75-Y72</f>
        <v/>
      </c>
      <c r="Z76" s="230">
        <f>+Z75-Z72</f>
        <v/>
      </c>
      <c r="AA76" s="230">
        <f>+AA75-AA72</f>
        <v/>
      </c>
      <c r="AB76" s="205">
        <f>+AB75-AB72</f>
        <v/>
      </c>
      <c r="AC76" s="205">
        <f>+AC75-AC72</f>
        <v/>
      </c>
      <c r="AD76" s="205">
        <f>+AD75-AD72</f>
        <v/>
      </c>
      <c r="AE76" s="205">
        <f>+AE75-AE72</f>
        <v/>
      </c>
      <c r="AF76" s="205">
        <f>+AF75-AF72</f>
        <v/>
      </c>
      <c r="AG76" s="205">
        <f>+AG75-AG72</f>
        <v/>
      </c>
      <c r="AH76" s="205">
        <f>+AH75-AH72</f>
        <v/>
      </c>
      <c r="AI76" s="205">
        <f>+AI75-AI72</f>
        <v/>
      </c>
      <c r="AJ76" s="205">
        <f>+AJ75-AJ72</f>
        <v/>
      </c>
      <c r="AK76" s="205">
        <f>+AK75-AK72</f>
        <v/>
      </c>
      <c r="AL76" s="205">
        <f>+AL75-AL72</f>
        <v/>
      </c>
      <c r="AM76" s="205">
        <f>+AM75-AM72</f>
        <v/>
      </c>
      <c r="AN76" s="205">
        <f>+AN75-AN72</f>
        <v/>
      </c>
      <c r="AO76" s="205">
        <f>+AO75-AO72</f>
        <v/>
      </c>
      <c r="AP76" s="205">
        <f>+AP75-AP72</f>
        <v/>
      </c>
      <c r="AQ76" s="205">
        <f>+AQ75-AQ72</f>
        <v/>
      </c>
      <c r="AR76" s="205">
        <f>+AR75-AR72</f>
        <v/>
      </c>
      <c r="AS76" s="205">
        <f>+AS75-AS72</f>
        <v/>
      </c>
      <c r="AT76" s="205">
        <f>+AT75-AT72</f>
        <v/>
      </c>
      <c r="AU76" s="205">
        <f>+AU75-AU72</f>
        <v/>
      </c>
      <c r="AV76" s="201">
        <f>+AV75-AV72</f>
        <v/>
      </c>
      <c r="AW76" s="184">
        <f>+AW75-AW72</f>
        <v/>
      </c>
      <c r="AX76" s="184">
        <f>+AX75-AX72</f>
        <v/>
      </c>
      <c r="AY76" s="184" t="n"/>
    </row>
    <row r="77" ht="22" customHeight="1">
      <c r="A77" s="303" t="n"/>
      <c r="B77" s="206" t="inlineStr">
        <is>
          <t>Rating</t>
        </is>
      </c>
      <c r="C77" s="232">
        <f>_xlfn.XLOOKUP(MIN(ABS($BJ$7:$BJ$29 - MEDIAN(MIN($BJ$7:$BJ$29), MAX($BJ$7:$BJ$29), C76))), ABS($BJ$7:$BJ$29 - MEDIAN(MIN($BJ$7:$BJ$29), MAX($BJ$7:$BJ$29), C76)), $BK$7:$BK$29, "Error", 0)</f>
        <v/>
      </c>
      <c r="D77" s="232">
        <f>_xlfn.XLOOKUP(MIN(ABS($BJ$7:$BJ$29 - MEDIAN(MIN($BJ$7:$BJ$29), MAX($BJ$7:$BJ$29), D76))), ABS($BJ$7:$BJ$29 - MEDIAN(MIN($BJ$7:$BJ$29), MAX($BJ$7:$BJ$29), D76)), $BK$7:$BK$29, "Error", 0)</f>
        <v/>
      </c>
      <c r="E77" s="232">
        <f>_xlfn.XLOOKUP(MIN(ABS($BJ$7:$BJ$29 - MEDIAN(MIN($BJ$7:$BJ$29), MAX($BJ$7:$BJ$29), E76))), ABS($BJ$7:$BJ$29 - MEDIAN(MIN($BJ$7:$BJ$29), MAX($BJ$7:$BJ$29), E76)), $BK$7:$BK$29, "Error", 0)</f>
        <v/>
      </c>
      <c r="F77" s="232">
        <f>_xlfn.XLOOKUP(MIN(ABS($BJ$7:$BJ$29 - MEDIAN(MIN($BJ$7:$BJ$29), MAX($BJ$7:$BJ$29), F76))), ABS($BJ$7:$BJ$29 - MEDIAN(MIN($BJ$7:$BJ$29), MAX($BJ$7:$BJ$29), F76)), $BK$7:$BK$29, "Error", 0)</f>
        <v/>
      </c>
      <c r="G77" s="232">
        <f>_xlfn.XLOOKUP(MIN(ABS($BJ$7:$BJ$29 - MEDIAN(MIN($BJ$7:$BJ$29), MAX($BJ$7:$BJ$29), G76))), ABS($BJ$7:$BJ$29 - MEDIAN(MIN($BJ$7:$BJ$29), MAX($BJ$7:$BJ$29), G76)), $BK$7:$BK$29, "Error", 0)</f>
        <v/>
      </c>
      <c r="H77" s="232">
        <f>_xlfn.XLOOKUP(MIN(ABS($BJ$7:$BJ$29 - MEDIAN(MIN($BJ$7:$BJ$29), MAX($BJ$7:$BJ$29), H76))), ABS($BJ$7:$BJ$29 - MEDIAN(MIN($BJ$7:$BJ$29), MAX($BJ$7:$BJ$29), H76)), $BK$7:$BK$29, "Error", 0)</f>
        <v/>
      </c>
      <c r="I77" s="232">
        <f>_xlfn.XLOOKUP(MIN(ABS($BJ$7:$BJ$29 - MEDIAN(MIN($BJ$7:$BJ$29), MAX($BJ$7:$BJ$29), I76))), ABS($BJ$7:$BJ$29 - MEDIAN(MIN($BJ$7:$BJ$29), MAX($BJ$7:$BJ$29), I76)), $BK$7:$BK$29, "Error", 0)</f>
        <v/>
      </c>
      <c r="J77" s="232">
        <f>_xlfn.XLOOKUP(MIN(ABS($BJ$7:$BJ$29 - MEDIAN(MIN($BJ$7:$BJ$29), MAX($BJ$7:$BJ$29), J76))), ABS($BJ$7:$BJ$29 - MEDIAN(MIN($BJ$7:$BJ$29), MAX($BJ$7:$BJ$29), J76)), $BK$7:$BK$29, "Error", 0)</f>
        <v/>
      </c>
      <c r="K77" s="232">
        <f>_xlfn.XLOOKUP(MIN(ABS($BJ$7:$BJ$29 - MEDIAN(MIN($BJ$7:$BJ$29), MAX($BJ$7:$BJ$29), K76))), ABS($BJ$7:$BJ$29 - MEDIAN(MIN($BJ$7:$BJ$29), MAX($BJ$7:$BJ$29), K76)), $BK$7:$BK$29, "Error", 0)</f>
        <v/>
      </c>
      <c r="L77" s="232">
        <f>_xlfn.XLOOKUP(MIN(ABS($BJ$7:$BJ$29 - MEDIAN(MIN($BJ$7:$BJ$29), MAX($BJ$7:$BJ$29), L76))), ABS($BJ$7:$BJ$29 - MEDIAN(MIN($BJ$7:$BJ$29), MAX($BJ$7:$BJ$29), L76)), $BK$7:$BK$29, "Error", 0)</f>
        <v/>
      </c>
      <c r="M77" s="232">
        <f>_xlfn.XLOOKUP(MIN(ABS($BJ$7:$BJ$29 - MEDIAN(MIN($BJ$7:$BJ$29), MAX($BJ$7:$BJ$29), M76))), ABS($BJ$7:$BJ$29 - MEDIAN(MIN($BJ$7:$BJ$29), MAX($BJ$7:$BJ$29), M76)), $BK$7:$BK$29, "Error", 0)</f>
        <v/>
      </c>
      <c r="N77" s="232">
        <f>_xlfn.XLOOKUP(MIN(ABS($BJ$7:$BJ$29 - MEDIAN(MIN($BJ$7:$BJ$29), MAX($BJ$7:$BJ$29), N76))), ABS($BJ$7:$BJ$29 - MEDIAN(MIN($BJ$7:$BJ$29), MAX($BJ$7:$BJ$29), N76)), $BK$7:$BK$29, "Error", 0)</f>
        <v/>
      </c>
      <c r="O77" s="232">
        <f>_xlfn.XLOOKUP(MIN(ABS($BJ$7:$BJ$29 - MEDIAN(MIN($BJ$7:$BJ$29), MAX($BJ$7:$BJ$29), O76))), ABS($BJ$7:$BJ$29 - MEDIAN(MIN($BJ$7:$BJ$29), MAX($BJ$7:$BJ$29), O76)), $BK$7:$BK$29, "Error", 0)</f>
        <v/>
      </c>
      <c r="P77" s="232">
        <f>_xlfn.XLOOKUP(MIN(ABS($BJ$7:$BJ$29 - MEDIAN(MIN($BJ$7:$BJ$29), MAX($BJ$7:$BJ$29), P76))), ABS($BJ$7:$BJ$29 - MEDIAN(MIN($BJ$7:$BJ$29), MAX($BJ$7:$BJ$29), P76)), $BK$7:$BK$29, "Error", 0)</f>
        <v/>
      </c>
      <c r="Q77" s="232">
        <f>_xlfn.XLOOKUP(MIN(ABS($BJ$7:$BJ$29 - MEDIAN(MIN($BJ$7:$BJ$29), MAX($BJ$7:$BJ$29), Q76))), ABS($BJ$7:$BJ$29 - MEDIAN(MIN($BJ$7:$BJ$29), MAX($BJ$7:$BJ$29), Q76)), $BK$7:$BK$29, "Error", 0)</f>
        <v/>
      </c>
      <c r="R77" s="232">
        <f>_xlfn.XLOOKUP(MIN(ABS($BJ$7:$BJ$29 - MEDIAN(MIN($BJ$7:$BJ$29), MAX($BJ$7:$BJ$29), R76))), ABS($BJ$7:$BJ$29 - MEDIAN(MIN($BJ$7:$BJ$29), MAX($BJ$7:$BJ$29), R76)), $BK$7:$BK$29, "Error", 0)</f>
        <v/>
      </c>
      <c r="S77" s="232">
        <f>_xlfn.XLOOKUP(MIN(ABS($BJ$7:$BJ$29 - MEDIAN(MIN($BJ$7:$BJ$29), MAX($BJ$7:$BJ$29), S76))), ABS($BJ$7:$BJ$29 - MEDIAN(MIN($BJ$7:$BJ$29), MAX($BJ$7:$BJ$29), S76)), $BK$7:$BK$29, "Error", 0)</f>
        <v/>
      </c>
      <c r="T77" s="232">
        <f>_xlfn.XLOOKUP(MIN(ABS($BJ$7:$BJ$29 - MEDIAN(MIN($BJ$7:$BJ$29), MAX($BJ$7:$BJ$29), T76))), ABS($BJ$7:$BJ$29 - MEDIAN(MIN($BJ$7:$BJ$29), MAX($BJ$7:$BJ$29), T76)), $BK$7:$BK$29, "Error", 0)</f>
        <v/>
      </c>
      <c r="U77" s="232">
        <f>_xlfn.XLOOKUP(MIN(ABS($BJ$7:$BJ$29 - MEDIAN(MIN($BJ$7:$BJ$29), MAX($BJ$7:$BJ$29), U76))), ABS($BJ$7:$BJ$29 - MEDIAN(MIN($BJ$7:$BJ$29), MAX($BJ$7:$BJ$29), U76)), $BK$7:$BK$29, "Error", 0)</f>
        <v/>
      </c>
      <c r="V77" s="232">
        <f>_xlfn.XLOOKUP(MIN(ABS($BJ$7:$BJ$29 - MEDIAN(MIN($BJ$7:$BJ$29), MAX($BJ$7:$BJ$29), V76))), ABS($BJ$7:$BJ$29 - MEDIAN(MIN($BJ$7:$BJ$29), MAX($BJ$7:$BJ$29), V76)), $BK$7:$BK$29, "Error", 0)</f>
        <v/>
      </c>
      <c r="W77" s="232">
        <f>_xlfn.XLOOKUP(MIN(ABS($BJ$7:$BJ$29 - MEDIAN(MIN($BJ$7:$BJ$29), MAX($BJ$7:$BJ$29), W76))), ABS($BJ$7:$BJ$29 - MEDIAN(MIN($BJ$7:$BJ$29), MAX($BJ$7:$BJ$29), W76)), $BK$7:$BK$29, "Error", 0)</f>
        <v/>
      </c>
      <c r="X77" s="232">
        <f>_xlfn.XLOOKUP(MIN(ABS($BJ$7:$BJ$29 - MEDIAN(MIN($BJ$7:$BJ$29), MAX($BJ$7:$BJ$29), X76))), ABS($BJ$7:$BJ$29 - MEDIAN(MIN($BJ$7:$BJ$29), MAX($BJ$7:$BJ$29), X76)), $BK$7:$BK$29, "Error", 0)</f>
        <v/>
      </c>
      <c r="Y77" s="232">
        <f>_xlfn.XLOOKUP(MIN(ABS($BJ$7:$BJ$29 - MEDIAN(MIN($BJ$7:$BJ$29), MAX($BJ$7:$BJ$29), Y76))), ABS($BJ$7:$BJ$29 - MEDIAN(MIN($BJ$7:$BJ$29), MAX($BJ$7:$BJ$29), Y76)), $BK$7:$BK$29, "Error", 0)</f>
        <v/>
      </c>
      <c r="Z77" s="232">
        <f>_xlfn.XLOOKUP(MIN(ABS($BJ$7:$BJ$29 - MEDIAN(MIN($BJ$7:$BJ$29), MAX($BJ$7:$BJ$29), Z76))), ABS($BJ$7:$BJ$29 - MEDIAN(MIN($BJ$7:$BJ$29), MAX($BJ$7:$BJ$29), Z76)), $BK$7:$BK$29, "Error", 0)</f>
        <v/>
      </c>
      <c r="AA77" s="232">
        <f>_xlfn.XLOOKUP(MIN(ABS($BJ$7:$BJ$29 - MEDIAN(MIN($BJ$7:$BJ$29), MAX($BJ$7:$BJ$29), AA76))), ABS($BJ$7:$BJ$29 - MEDIAN(MIN($BJ$7:$BJ$29), MAX($BJ$7:$BJ$29), AA76)), $BK$7:$BK$29, "Error", 0)</f>
        <v/>
      </c>
      <c r="AB77" s="171">
        <f>_xlfn.XLOOKUP(MIN(ABS($BJ$7:$BJ$29 - MEDIAN(MIN($BJ$7:$BJ$29), MAX($BJ$7:$BJ$29), AB76))), ABS($BJ$7:$BJ$29 - MEDIAN(MIN($BJ$7:$BJ$29), MAX($BJ$7:$BJ$29), AB76)), $BK$7:$BK$29, "Error", 0)</f>
        <v/>
      </c>
      <c r="AC77" s="171">
        <f>_xlfn.XLOOKUP(MIN(ABS($BJ$7:$BJ$29 - MEDIAN(MIN($BJ$7:$BJ$29), MAX($BJ$7:$BJ$29), AC76))), ABS($BJ$7:$BJ$29 - MEDIAN(MIN($BJ$7:$BJ$29), MAX($BJ$7:$BJ$29), AC76)), $BK$7:$BK$29, "Error", 0)</f>
        <v/>
      </c>
      <c r="AD77" s="171">
        <f>_xlfn.XLOOKUP(MIN(ABS($BJ$7:$BJ$29 - MEDIAN(MIN($BJ$7:$BJ$29), MAX($BJ$7:$BJ$29), AD76))), ABS($BJ$7:$BJ$29 - MEDIAN(MIN($BJ$7:$BJ$29), MAX($BJ$7:$BJ$29), AD76)), $BK$7:$BK$29, "Error", 0)</f>
        <v/>
      </c>
      <c r="AE77" s="171">
        <f>_xlfn.XLOOKUP(MIN(ABS($BJ$7:$BJ$29 - MEDIAN(MIN($BJ$7:$BJ$29), MAX($BJ$7:$BJ$29), AE76))), ABS($BJ$7:$BJ$29 - MEDIAN(MIN($BJ$7:$BJ$29), MAX($BJ$7:$BJ$29), AE76)), $BK$7:$BK$29, "Error", 0)</f>
        <v/>
      </c>
      <c r="AF77" s="171">
        <f>_xlfn.XLOOKUP(MIN(ABS($BJ$7:$BJ$29 - MEDIAN(MIN($BJ$7:$BJ$29), MAX($BJ$7:$BJ$29), AF76))), ABS($BJ$7:$BJ$29 - MEDIAN(MIN($BJ$7:$BJ$29), MAX($BJ$7:$BJ$29), AF76)), $BK$7:$BK$29, "Error", 0)</f>
        <v/>
      </c>
      <c r="AG77" s="171">
        <f>_xlfn.XLOOKUP(MIN(ABS($BJ$7:$BJ$29 - MEDIAN(MIN($BJ$7:$BJ$29), MAX($BJ$7:$BJ$29), AG76))), ABS($BJ$7:$BJ$29 - MEDIAN(MIN($BJ$7:$BJ$29), MAX($BJ$7:$BJ$29), AG76)), $BK$7:$BK$29, "Error", 0)</f>
        <v/>
      </c>
      <c r="AH77" s="171">
        <f>_xlfn.XLOOKUP(MIN(ABS($BJ$7:$BJ$29 - MEDIAN(MIN($BJ$7:$BJ$29), MAX($BJ$7:$BJ$29), AH76))), ABS($BJ$7:$BJ$29 - MEDIAN(MIN($BJ$7:$BJ$29), MAX($BJ$7:$BJ$29), AH76)), $BK$7:$BK$29, "Error", 0)</f>
        <v/>
      </c>
      <c r="AI77" s="171">
        <f>_xlfn.XLOOKUP(MIN(ABS($BJ$7:$BJ$29 - MEDIAN(MIN($BJ$7:$BJ$29), MAX($BJ$7:$BJ$29), AI76))), ABS($BJ$7:$BJ$29 - MEDIAN(MIN($BJ$7:$BJ$29), MAX($BJ$7:$BJ$29), AI76)), $BK$7:$BK$29, "Error", 0)</f>
        <v/>
      </c>
      <c r="AJ77" s="171">
        <f>_xlfn.XLOOKUP(MIN(ABS($BJ$7:$BJ$29 - MEDIAN(MIN($BJ$7:$BJ$29), MAX($BJ$7:$BJ$29), AJ76))), ABS($BJ$7:$BJ$29 - MEDIAN(MIN($BJ$7:$BJ$29), MAX($BJ$7:$BJ$29), AJ76)), $BK$7:$BK$29, "Error", 0)</f>
        <v/>
      </c>
      <c r="AK77" s="171">
        <f>_xlfn.XLOOKUP(MIN(ABS($BJ$7:$BJ$29 - MEDIAN(MIN($BJ$7:$BJ$29), MAX($BJ$7:$BJ$29), AK76))), ABS($BJ$7:$BJ$29 - MEDIAN(MIN($BJ$7:$BJ$29), MAX($BJ$7:$BJ$29), AK76)), $BK$7:$BK$29, "Error", 0)</f>
        <v/>
      </c>
      <c r="AL77" s="171">
        <f>_xlfn.XLOOKUP(MIN(ABS($BJ$7:$BJ$29 - MEDIAN(MIN($BJ$7:$BJ$29), MAX($BJ$7:$BJ$29), AL76))), ABS($BJ$7:$BJ$29 - MEDIAN(MIN($BJ$7:$BJ$29), MAX($BJ$7:$BJ$29), AL76)), $BK$7:$BK$29, "Error", 0)</f>
        <v/>
      </c>
      <c r="AM77" s="171">
        <f>_xlfn.XLOOKUP(MIN(ABS($BJ$7:$BJ$29 - MEDIAN(MIN($BJ$7:$BJ$29), MAX($BJ$7:$BJ$29), AM76))), ABS($BJ$7:$BJ$29 - MEDIAN(MIN($BJ$7:$BJ$29), MAX($BJ$7:$BJ$29), AM76)), $BK$7:$BK$29, "Error", 0)</f>
        <v/>
      </c>
      <c r="AN77" s="171">
        <f>_xlfn.XLOOKUP(MIN(ABS($BJ$7:$BJ$29 - MEDIAN(MIN($BJ$7:$BJ$29), MAX($BJ$7:$BJ$29), AN76))), ABS($BJ$7:$BJ$29 - MEDIAN(MIN($BJ$7:$BJ$29), MAX($BJ$7:$BJ$29), AN76)), $BK$7:$BK$29, "Error", 0)</f>
        <v/>
      </c>
      <c r="AO77" s="171">
        <f>_xlfn.XLOOKUP(MIN(ABS($BJ$7:$BJ$29 - MEDIAN(MIN($BJ$7:$BJ$29), MAX($BJ$7:$BJ$29), AO76))), ABS($BJ$7:$BJ$29 - MEDIAN(MIN($BJ$7:$BJ$29), MAX($BJ$7:$BJ$29), AO76)), $BK$7:$BK$29, "Error", 0)</f>
        <v/>
      </c>
      <c r="AP77" s="171">
        <f>_xlfn.XLOOKUP(MIN(ABS($BJ$7:$BJ$29 - MEDIAN(MIN($BJ$7:$BJ$29), MAX($BJ$7:$BJ$29), AP76))), ABS($BJ$7:$BJ$29 - MEDIAN(MIN($BJ$7:$BJ$29), MAX($BJ$7:$BJ$29), AP76)), $BK$7:$BK$29, "Error", 0)</f>
        <v/>
      </c>
      <c r="AQ77" s="171">
        <f>_xlfn.XLOOKUP(MIN(ABS($BJ$7:$BJ$29 - MEDIAN(MIN($BJ$7:$BJ$29), MAX($BJ$7:$BJ$29), AQ76))), ABS($BJ$7:$BJ$29 - MEDIAN(MIN($BJ$7:$BJ$29), MAX($BJ$7:$BJ$29), AQ76)), $BK$7:$BK$29, "Error", 0)</f>
        <v/>
      </c>
      <c r="AR77" s="171">
        <f>_xlfn.XLOOKUP(MIN(ABS($BJ$7:$BJ$29 - MEDIAN(MIN($BJ$7:$BJ$29), MAX($BJ$7:$BJ$29), AR76))), ABS($BJ$7:$BJ$29 - MEDIAN(MIN($BJ$7:$BJ$29), MAX($BJ$7:$BJ$29), AR76)), $BK$7:$BK$29, "Error", 0)</f>
        <v/>
      </c>
      <c r="AS77" s="171">
        <f>_xlfn.XLOOKUP(MIN(ABS($BJ$7:$BJ$29 - MEDIAN(MIN($BJ$7:$BJ$29), MAX($BJ$7:$BJ$29), AS76))), ABS($BJ$7:$BJ$29 - MEDIAN(MIN($BJ$7:$BJ$29), MAX($BJ$7:$BJ$29), AS76)), $BK$7:$BK$29, "Error", 0)</f>
        <v/>
      </c>
      <c r="AT77" s="171">
        <f>_xlfn.XLOOKUP(MIN(ABS($BJ$7:$BJ$29 - MEDIAN(MIN($BJ$7:$BJ$29), MAX($BJ$7:$BJ$29), AT76))), ABS($BJ$7:$BJ$29 - MEDIAN(MIN($BJ$7:$BJ$29), MAX($BJ$7:$BJ$29), AT76)), $BK$7:$BK$29, "Error", 0)</f>
        <v/>
      </c>
      <c r="AU77" s="171">
        <f>_xlfn.XLOOKUP(MIN(ABS($BJ$7:$BJ$29 - MEDIAN(MIN($BJ$7:$BJ$29), MAX($BJ$7:$BJ$29), AU76))), ABS($BJ$7:$BJ$29 - MEDIAN(MIN($BJ$7:$BJ$29), MAX($BJ$7:$BJ$29), AU76)), $BK$7:$BK$29, "Error", 0)</f>
        <v/>
      </c>
      <c r="AV77" s="206">
        <f>_xlfn.XLOOKUP(MIN(ABS($BJ$7:$BJ$29 - MEDIAN(MIN($BJ$7:$BJ$29), MAX($BJ$7:$BJ$29), AV76))), ABS($BJ$7:$BJ$29 - MEDIAN(MIN($BJ$7:$BJ$29), MAX($BJ$7:$BJ$29), AV76)), $BK$7:$BK$29, "Error", 0)</f>
        <v/>
      </c>
      <c r="AW77" s="184">
        <f>_xlfn.XLOOKUP(MIN(ABS($BJ$7:$BJ$29 - MEDIAN(MIN($BJ$7:$BJ$29), MAX($BJ$7:$BJ$29), AW76))), ABS($BJ$7:$BJ$29 - MEDIAN(MIN($BJ$7:$BJ$29), MAX($BJ$7:$BJ$29), AW76)), $BK$7:$BK$29, "Error", 0)</f>
        <v/>
      </c>
      <c r="AX77" s="184">
        <f>_xlfn.XLOOKUP(MIN(ABS($BJ$7:$BJ$29 - MEDIAN(MIN($BJ$7:$BJ$29), MAX($BJ$7:$BJ$29), AX76))), ABS($BJ$7:$BJ$29 - MEDIAN(MIN($BJ$7:$BJ$29), MAX($BJ$7:$BJ$29), AX76)), $BK$7:$BK$29, "Error", 0)</f>
        <v/>
      </c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8511.539218889433</v>
      </c>
      <c r="D78" s="233" t="n">
        <v>8511.539218889433</v>
      </c>
      <c r="E78" s="233" t="n">
        <v>8511.539218889433</v>
      </c>
      <c r="F78" s="233" t="n">
        <v>8511.539218889433</v>
      </c>
      <c r="G78" s="233" t="n">
        <v>8511.539218889433</v>
      </c>
      <c r="H78" s="233" t="n">
        <v>8511.539218889433</v>
      </c>
      <c r="I78" s="233" t="n">
        <v>8511.539218889433</v>
      </c>
      <c r="J78" s="233" t="n">
        <v>8511.539218889433</v>
      </c>
      <c r="K78" s="233" t="n">
        <v>8511.539218889433</v>
      </c>
      <c r="L78" s="233" t="n">
        <v>8511.539218889433</v>
      </c>
      <c r="M78" s="233" t="n">
        <v>8511.539218889433</v>
      </c>
      <c r="N78" s="233" t="n">
        <v>8511.539218889433</v>
      </c>
      <c r="O78" s="233" t="n">
        <v>8511.539218889433</v>
      </c>
      <c r="P78" s="233" t="n">
        <v>8618.550596942019</v>
      </c>
      <c r="Q78" s="233" t="n">
        <v>9209.767636834877</v>
      </c>
      <c r="R78" s="233" t="n">
        <v>9209.767636834877</v>
      </c>
      <c r="S78" s="233" t="n">
        <v>9209.767636834877</v>
      </c>
      <c r="T78" s="233" t="n">
        <v>9209.767636834877</v>
      </c>
      <c r="U78" s="233" t="n">
        <v>9209.767636834877</v>
      </c>
      <c r="V78" s="233" t="n">
        <v>9209.767636834877</v>
      </c>
      <c r="W78" s="233" t="n">
        <v>9209.767636834877</v>
      </c>
      <c r="X78" s="233" t="n">
        <v>9209.767636834877</v>
      </c>
      <c r="Y78" s="233" t="n">
        <v>9209.767636834877</v>
      </c>
      <c r="Z78" s="233" t="n">
        <v>9209.767636834877</v>
      </c>
      <c r="AA78" s="204" t="n">
        <v>9772.108066438639</v>
      </c>
      <c r="AB78" s="204" t="n">
        <v>10199.62333793461</v>
      </c>
      <c r="AC78" s="204" t="n">
        <v>10464.89745332021</v>
      </c>
      <c r="AD78" s="204" t="n">
        <v>10464.89745332021</v>
      </c>
      <c r="AE78" s="204" t="n">
        <v>10464.89745332021</v>
      </c>
      <c r="AF78" s="204" t="n">
        <v>10464.89745332021</v>
      </c>
      <c r="AG78" s="204" t="n">
        <v>10675.51920184074</v>
      </c>
      <c r="AH78" s="204" t="n">
        <v>11018.67991928349</v>
      </c>
      <c r="AI78" s="204" t="n">
        <v>11224.15995843266</v>
      </c>
      <c r="AJ78" s="204" t="n">
        <v>11596.87377026095</v>
      </c>
      <c r="AK78" s="204" t="n">
        <v>11896.12917886768</v>
      </c>
      <c r="AL78" s="204" t="n">
        <v>11896.12917886768</v>
      </c>
      <c r="AM78" s="204" t="n">
        <v>12292.6640134831</v>
      </c>
      <c r="AN78" s="204" t="n">
        <v>12292.6640134831</v>
      </c>
      <c r="AO78" s="204" t="n">
        <v>12292.6640134831</v>
      </c>
      <c r="AP78" s="204" t="n">
        <v>12292.6640134831</v>
      </c>
      <c r="AQ78" s="204" t="n">
        <v>12292.6640134831</v>
      </c>
      <c r="AR78" s="204" t="n">
        <v>12801.8843259369</v>
      </c>
      <c r="AS78" s="204" t="n">
        <v>12886.91419276188</v>
      </c>
      <c r="AT78" s="204" t="n">
        <v>13000.48340862873</v>
      </c>
      <c r="AU78" s="204" t="n">
        <v>13000.48340862873</v>
      </c>
      <c r="AV78" s="200" t="n">
        <v>13000.48340862873</v>
      </c>
      <c r="AW78" s="184" t="n">
        <v>13000.48340862873</v>
      </c>
      <c r="AX78" s="184" t="n">
        <v>13000.48340862873</v>
      </c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6983.188646277529</v>
      </c>
      <c r="D79" s="233" t="n">
        <v>7294.378916458925</v>
      </c>
      <c r="E79" s="233" t="n">
        <v>7504.993343221722</v>
      </c>
      <c r="F79" s="233" t="n">
        <v>7823.87161956972</v>
      </c>
      <c r="G79" s="233" t="n">
        <v>7482.803234451334</v>
      </c>
      <c r="H79" s="233" t="n">
        <v>7879.957741943188</v>
      </c>
      <c r="I79" s="233" t="n">
        <v>8001.543662792421</v>
      </c>
      <c r="J79" s="233" t="n">
        <v>7888.89217359887</v>
      </c>
      <c r="K79" s="233" t="n">
        <v>7393.114235701505</v>
      </c>
      <c r="L79" s="233" t="n">
        <v>7381.04512727086</v>
      </c>
      <c r="M79" s="233" t="n">
        <v>7811.753283342463</v>
      </c>
      <c r="N79" s="233" t="n">
        <v>7899.051156122296</v>
      </c>
      <c r="O79" s="233" t="n">
        <v>8219.904896996508</v>
      </c>
      <c r="P79" s="233" t="n">
        <v>8671.114400532853</v>
      </c>
      <c r="Q79" s="233" t="n">
        <v>9168.455935484497</v>
      </c>
      <c r="R79" s="233" t="n">
        <v>8829.161414604052</v>
      </c>
      <c r="S79" s="233" t="n">
        <v>8825.830047576455</v>
      </c>
      <c r="T79" s="233" t="n">
        <v>8612.985704488994</v>
      </c>
      <c r="U79" s="233" t="n">
        <v>8930.003337811853</v>
      </c>
      <c r="V79" s="233" t="n">
        <v>8770.964141981269</v>
      </c>
      <c r="W79" s="233" t="n">
        <v>8795.692063476192</v>
      </c>
      <c r="X79" s="233" t="n">
        <v>8779.382961988798</v>
      </c>
      <c r="Y79" s="233" t="n">
        <v>8605.352650296467</v>
      </c>
      <c r="Z79" s="233" t="n">
        <v>9004.710478717752</v>
      </c>
      <c r="AA79" s="204" t="n">
        <v>9751.896346253925</v>
      </c>
      <c r="AB79" s="204" t="n">
        <v>10092.14193791675</v>
      </c>
      <c r="AC79" s="204" t="n">
        <v>9953.466738887422</v>
      </c>
      <c r="AD79" s="204" t="n">
        <v>9899.005008131382</v>
      </c>
      <c r="AE79" s="204" t="n">
        <v>10212.99598900415</v>
      </c>
      <c r="AF79" s="204" t="n">
        <v>10255.56518341834</v>
      </c>
      <c r="AG79" s="204" t="n">
        <v>10291.33170580538</v>
      </c>
      <c r="AH79" s="204" t="n">
        <v>10622.3815140691</v>
      </c>
      <c r="AI79" s="204" t="n">
        <v>11220.89680657163</v>
      </c>
      <c r="AJ79" s="204" t="n">
        <v>11403.85856872285</v>
      </c>
      <c r="AK79" s="204" t="n">
        <v>11474.3593726852</v>
      </c>
      <c r="AL79" s="204" t="n">
        <v>11748.47514264064</v>
      </c>
      <c r="AM79" s="204" t="n">
        <v>11713.67626625113</v>
      </c>
      <c r="AN79" s="204" t="n">
        <v>12114.21399277914</v>
      </c>
      <c r="AO79" s="204" t="n">
        <v>11160.90332787624</v>
      </c>
      <c r="AP79" s="204" t="n">
        <v>11766.60791766411</v>
      </c>
      <c r="AQ79" s="204" t="n">
        <v>11858.09074883466</v>
      </c>
      <c r="AR79" s="204" t="n">
        <v>12782.74136367626</v>
      </c>
      <c r="AS79" s="204" t="n">
        <v>12468.62917214516</v>
      </c>
      <c r="AT79" s="204" t="n">
        <v>12567.01412722142</v>
      </c>
      <c r="AU79" s="204" t="n">
        <v>12734.93814297672</v>
      </c>
      <c r="AV79" s="201" t="n">
        <v>12734.93814297672</v>
      </c>
      <c r="AW79" s="184" t="n">
        <v>12734.93814297672</v>
      </c>
      <c r="AX79" s="184" t="n">
        <v>12734.93814297672</v>
      </c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>
        <f>+(AV79-AV78)/AV78</f>
        <v/>
      </c>
      <c r="AW80" s="184">
        <f>+(AW79-AW78)/AW78</f>
        <v/>
      </c>
      <c r="AX80" s="184">
        <f>+(AX79-AX78)/AX78</f>
        <v/>
      </c>
      <c r="AY80" s="184" t="n"/>
    </row>
    <row r="81" ht="44" customHeight="1">
      <c r="A81" s="303" t="n"/>
      <c r="B81" s="201" t="inlineStr">
        <is>
          <t>All time High STOXX50</t>
        </is>
      </c>
      <c r="C81" s="233" t="n">
        <v>4572.81982421875</v>
      </c>
      <c r="D81" s="233" t="n">
        <v>4572.81982421875</v>
      </c>
      <c r="E81" s="233" t="n">
        <v>4572.81982421875</v>
      </c>
      <c r="F81" s="233" t="n">
        <v>4572.81982421875</v>
      </c>
      <c r="G81" s="233" t="n">
        <v>4572.81982421875</v>
      </c>
      <c r="H81" s="233" t="n">
        <v>4572.81982421875</v>
      </c>
      <c r="I81" s="233" t="n">
        <v>4572.81982421875</v>
      </c>
      <c r="J81" s="233" t="n">
        <v>4572.81982421875</v>
      </c>
      <c r="K81" s="233" t="n">
        <v>4572.81982421875</v>
      </c>
      <c r="L81" s="233" t="n">
        <v>4572.81982421875</v>
      </c>
      <c r="M81" s="233" t="n">
        <v>4572.81982421875</v>
      </c>
      <c r="N81" s="233" t="n">
        <v>4572.81982421875</v>
      </c>
      <c r="O81" s="233" t="n">
        <v>4667.419921875</v>
      </c>
      <c r="P81" s="233" t="n">
        <v>4887.85009765625</v>
      </c>
      <c r="Q81" s="233" t="n">
        <v>5095.10986328125</v>
      </c>
      <c r="R81" s="233" t="n">
        <v>5095.10986328125</v>
      </c>
      <c r="S81" s="233" t="n">
        <v>5102.2998046875</v>
      </c>
      <c r="T81" s="233" t="n">
        <v>5102.2998046875</v>
      </c>
      <c r="U81" s="233" t="n">
        <v>5102.2998046875</v>
      </c>
      <c r="V81" s="233" t="n">
        <v>5102.2998046875</v>
      </c>
      <c r="W81" s="233" t="n">
        <v>5102.2998046875</v>
      </c>
      <c r="X81" s="233" t="n">
        <v>5102.2998046875</v>
      </c>
      <c r="Y81" s="233" t="n">
        <v>5102.2998046875</v>
      </c>
      <c r="Z81" s="233" t="n">
        <v>5102.2998046875</v>
      </c>
      <c r="AA81" s="231" t="n">
        <v>5285.22021484375</v>
      </c>
      <c r="AB81" s="203" t="n">
        <v>5544.1201171875</v>
      </c>
      <c r="AC81" s="203" t="n">
        <v>5568.18994140625</v>
      </c>
      <c r="AD81" s="203" t="n">
        <v>5568.18994140625</v>
      </c>
      <c r="AE81" s="203" t="n">
        <v>5568.18994140625</v>
      </c>
      <c r="AF81" s="203" t="n">
        <v>5568.18994140625</v>
      </c>
      <c r="AG81" s="203" t="n">
        <v>5568.18994140625</v>
      </c>
      <c r="AH81" s="203" t="n">
        <v>5568.18994140625</v>
      </c>
      <c r="AI81" s="203" t="n">
        <v>5568.18994140625</v>
      </c>
      <c r="AJ81" s="203" t="n">
        <v>5734.27978515625</v>
      </c>
      <c r="AK81" s="203" t="n">
        <v>5804.66015625</v>
      </c>
      <c r="AL81" s="203" t="n">
        <v>5804.66015625</v>
      </c>
      <c r="AM81" s="203" t="n">
        <v>6053.68017578125</v>
      </c>
      <c r="AN81" s="203" t="n">
        <v>6176.8701171875</v>
      </c>
      <c r="AO81" s="203" t="n">
        <v>6176.8701171875</v>
      </c>
      <c r="AP81" s="203" t="n">
        <v>6176.8701171875</v>
      </c>
      <c r="AQ81" s="203" t="n">
        <v>6176.8701171875</v>
      </c>
      <c r="AR81" s="203" t="n">
        <v>6334.5498046875</v>
      </c>
      <c r="AS81" s="203" t="n">
        <v>6421.740234375</v>
      </c>
      <c r="AT81" s="203" t="n">
        <v>6576.2998046875</v>
      </c>
      <c r="AU81" s="203" t="n">
        <v>6576.2998046875</v>
      </c>
      <c r="AV81" s="201" t="n">
        <v>6576.2998046875</v>
      </c>
      <c r="AW81" s="184" t="n">
        <v>6576.2998046875</v>
      </c>
      <c r="AX81" s="184" t="n">
        <v>6576.2998046875</v>
      </c>
      <c r="AY81" s="184" t="n"/>
    </row>
    <row r="82" ht="44" customHeight="1">
      <c r="A82" s="303" t="n"/>
      <c r="B82" s="201" t="inlineStr">
        <is>
          <t>current price STOXX50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4521.64990234375</v>
      </c>
      <c r="O82" s="233" t="n">
        <v>4648.39990234375</v>
      </c>
      <c r="P82" s="233" t="n">
        <v>4877.77001953125</v>
      </c>
      <c r="Q82" s="233" t="n">
        <v>5083.419921875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4869.27978515625</v>
      </c>
      <c r="AA82" s="231" t="n">
        <v>5286.8701171875</v>
      </c>
      <c r="AB82" s="203" t="n">
        <v>5463.5400390625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5662.0400390625</v>
      </c>
      <c r="AK82" s="203" t="n">
        <v>5668.169921875</v>
      </c>
      <c r="AL82" s="203" t="n">
        <v>5796.22021484375</v>
      </c>
      <c r="AM82" s="203" t="n">
        <v>5947.81005859375</v>
      </c>
      <c r="AN82" s="203" t="n">
        <v>6138.41015625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6328.08984375</v>
      </c>
      <c r="AS82" s="203" t="n">
        <v>6358.009765625</v>
      </c>
      <c r="AT82" s="203" t="n">
        <v>6420.16015625</v>
      </c>
      <c r="AU82" s="203" t="n">
        <v>6343.080078125</v>
      </c>
      <c r="AV82" s="201" t="n">
        <v>6343.080078125</v>
      </c>
      <c r="AW82" s="184" t="n">
        <v>6343.080078125</v>
      </c>
      <c r="AX82" s="184" t="n">
        <v>6343.080078125</v>
      </c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>
        <f>+(AV82-AV81)/AV81</f>
        <v/>
      </c>
      <c r="AW83" s="184">
        <f>+(AW82-AW81)/AW81</f>
        <v/>
      </c>
      <c r="AX83" s="184">
        <f>+(AX82-AX81)/AX81</f>
        <v/>
      </c>
      <c r="AY83" s="184" t="n"/>
    </row>
    <row r="84" ht="22" customHeight="1">
      <c r="A84" s="303" t="n"/>
      <c r="B84" s="201" t="inlineStr">
        <is>
          <t>real % change</t>
        </is>
      </c>
      <c r="C84" s="230">
        <f>+C83-C80</f>
        <v/>
      </c>
      <c r="D84" s="230">
        <f>+D83-D80</f>
        <v/>
      </c>
      <c r="E84" s="230">
        <f>+E83-E80</f>
        <v/>
      </c>
      <c r="F84" s="230">
        <f>+F83-F80</f>
        <v/>
      </c>
      <c r="G84" s="230">
        <f>+G83-G80</f>
        <v/>
      </c>
      <c r="H84" s="230">
        <f>+H83-H80</f>
        <v/>
      </c>
      <c r="I84" s="230">
        <f>+I83-I80</f>
        <v/>
      </c>
      <c r="J84" s="230">
        <f>+J83-J80</f>
        <v/>
      </c>
      <c r="K84" s="230">
        <f>+K83-K80</f>
        <v/>
      </c>
      <c r="L84" s="230">
        <f>+L83-L80</f>
        <v/>
      </c>
      <c r="M84" s="230">
        <f>+M83-M80</f>
        <v/>
      </c>
      <c r="N84" s="230">
        <f>+N83-N80</f>
        <v/>
      </c>
      <c r="O84" s="230">
        <f>+O83-O80</f>
        <v/>
      </c>
      <c r="P84" s="230">
        <f>+P83-P80</f>
        <v/>
      </c>
      <c r="Q84" s="230">
        <f>+Q83-Q80</f>
        <v/>
      </c>
      <c r="R84" s="230">
        <f>+R83-R80</f>
        <v/>
      </c>
      <c r="S84" s="230">
        <f>+S83-S80</f>
        <v/>
      </c>
      <c r="T84" s="230">
        <f>+T83-T80</f>
        <v/>
      </c>
      <c r="U84" s="230">
        <f>+U83-U80</f>
        <v/>
      </c>
      <c r="V84" s="230">
        <f>+V83-V80</f>
        <v/>
      </c>
      <c r="W84" s="230">
        <f>+W83-W80</f>
        <v/>
      </c>
      <c r="X84" s="230">
        <f>+X83-X80</f>
        <v/>
      </c>
      <c r="Y84" s="230">
        <f>+Y83-Y80</f>
        <v/>
      </c>
      <c r="Z84" s="230">
        <f>+Z83-Z80</f>
        <v/>
      </c>
      <c r="AA84" s="230">
        <f>+AA83-AA80</f>
        <v/>
      </c>
      <c r="AB84" s="205">
        <f>+AB83-AB80</f>
        <v/>
      </c>
      <c r="AC84" s="205">
        <f>+AC83-AC80</f>
        <v/>
      </c>
      <c r="AD84" s="205">
        <f>+AD83-AD80</f>
        <v/>
      </c>
      <c r="AE84" s="205">
        <f>+AE83-AE80</f>
        <v/>
      </c>
      <c r="AF84" s="205">
        <f>+AF83-AF80</f>
        <v/>
      </c>
      <c r="AG84" s="205">
        <f>+AG83-AG80</f>
        <v/>
      </c>
      <c r="AH84" s="205">
        <f>+AH83-AH80</f>
        <v/>
      </c>
      <c r="AI84" s="205">
        <f>+AI83-AI80</f>
        <v/>
      </c>
      <c r="AJ84" s="205">
        <f>+AJ83-AJ80</f>
        <v/>
      </c>
      <c r="AK84" s="205">
        <f>+AK83-AK80</f>
        <v/>
      </c>
      <c r="AL84" s="205">
        <f>+AL83-AL80</f>
        <v/>
      </c>
      <c r="AM84" s="205">
        <f>+AM83-AM80</f>
        <v/>
      </c>
      <c r="AN84" s="205">
        <f>+AN83-AN80</f>
        <v/>
      </c>
      <c r="AO84" s="205">
        <f>+AO83-AO80</f>
        <v/>
      </c>
      <c r="AP84" s="205">
        <f>+AP83-AP80</f>
        <v/>
      </c>
      <c r="AQ84" s="205">
        <f>+AQ83-AQ80</f>
        <v/>
      </c>
      <c r="AR84" s="205">
        <f>+AR83-AR80</f>
        <v/>
      </c>
      <c r="AS84" s="205">
        <f>+AS83-AS80</f>
        <v/>
      </c>
      <c r="AT84" s="205">
        <f>+AT83-AT80</f>
        <v/>
      </c>
      <c r="AU84" s="205">
        <f>+AU83-AU80</f>
        <v/>
      </c>
      <c r="AV84" s="201">
        <f>+AV83-AV80</f>
        <v/>
      </c>
      <c r="AW84" s="184">
        <f>+AW83-AW80</f>
        <v/>
      </c>
      <c r="AX84" s="184">
        <f>+AX83-AX80</f>
        <v/>
      </c>
      <c r="AY84" s="184" t="n"/>
    </row>
    <row r="85" ht="22" customHeight="1">
      <c r="A85" s="304" t="n"/>
      <c r="B85" s="206" t="inlineStr">
        <is>
          <t>Rating</t>
        </is>
      </c>
      <c r="C85" s="232">
        <f>_xlfn.XLOOKUP(MIN(ABS($BJ$7:$BJ$29 - MEDIAN(MIN($BJ$7:$BJ$29), MAX($BJ$7:$BJ$29), C84))), ABS($BJ$7:$BJ$29 - MEDIAN(MIN($BJ$7:$BJ$29), MAX($BJ$7:$BJ$29), C84)), $BK$7:$BK$29, "Error", 0)</f>
        <v/>
      </c>
      <c r="D85" s="232">
        <f>_xlfn.XLOOKUP(MIN(ABS($BJ$7:$BJ$29 - MEDIAN(MIN($BJ$7:$BJ$29), MAX($BJ$7:$BJ$29), D84))), ABS($BJ$7:$BJ$29 - MEDIAN(MIN($BJ$7:$BJ$29), MAX($BJ$7:$BJ$29), D84)), $BK$7:$BK$29, "Error", 0)</f>
        <v/>
      </c>
      <c r="E85" s="232">
        <f>_xlfn.XLOOKUP(MIN(ABS($BJ$7:$BJ$29 - MEDIAN(MIN($BJ$7:$BJ$29), MAX($BJ$7:$BJ$29), E84))), ABS($BJ$7:$BJ$29 - MEDIAN(MIN($BJ$7:$BJ$29), MAX($BJ$7:$BJ$29), E84)), $BK$7:$BK$29, "Error", 0)</f>
        <v/>
      </c>
      <c r="F85" s="232">
        <f>_xlfn.XLOOKUP(MIN(ABS($BJ$7:$BJ$29 - MEDIAN(MIN($BJ$7:$BJ$29), MAX($BJ$7:$BJ$29), F84))), ABS($BJ$7:$BJ$29 - MEDIAN(MIN($BJ$7:$BJ$29), MAX($BJ$7:$BJ$29), F84)), $BK$7:$BK$29, "Error", 0)</f>
        <v/>
      </c>
      <c r="G85" s="232">
        <f>_xlfn.XLOOKUP(MIN(ABS($BJ$7:$BJ$29 - MEDIAN(MIN($BJ$7:$BJ$29), MAX($BJ$7:$BJ$29), G84))), ABS($BJ$7:$BJ$29 - MEDIAN(MIN($BJ$7:$BJ$29), MAX($BJ$7:$BJ$29), G84)), $BK$7:$BK$29, "Error", 0)</f>
        <v/>
      </c>
      <c r="H85" s="232">
        <f>_xlfn.XLOOKUP(MIN(ABS($BJ$7:$BJ$29 - MEDIAN(MIN($BJ$7:$BJ$29), MAX($BJ$7:$BJ$29), H84))), ABS($BJ$7:$BJ$29 - MEDIAN(MIN($BJ$7:$BJ$29), MAX($BJ$7:$BJ$29), H84)), $BK$7:$BK$29, "Error", 0)</f>
        <v/>
      </c>
      <c r="I85" s="232">
        <f>_xlfn.XLOOKUP(MIN(ABS($BJ$7:$BJ$29 - MEDIAN(MIN($BJ$7:$BJ$29), MAX($BJ$7:$BJ$29), I84))), ABS($BJ$7:$BJ$29 - MEDIAN(MIN($BJ$7:$BJ$29), MAX($BJ$7:$BJ$29), I84)), $BK$7:$BK$29, "Error", 0)</f>
        <v/>
      </c>
      <c r="J85" s="232">
        <f>_xlfn.XLOOKUP(MIN(ABS($BJ$7:$BJ$29 - MEDIAN(MIN($BJ$7:$BJ$29), MAX($BJ$7:$BJ$29), J84))), ABS($BJ$7:$BJ$29 - MEDIAN(MIN($BJ$7:$BJ$29), MAX($BJ$7:$BJ$29), J84)), $BK$7:$BK$29, "Error", 0)</f>
        <v/>
      </c>
      <c r="K85" s="232">
        <f>_xlfn.XLOOKUP(MIN(ABS($BJ$7:$BJ$29 - MEDIAN(MIN($BJ$7:$BJ$29), MAX($BJ$7:$BJ$29), K84))), ABS($BJ$7:$BJ$29 - MEDIAN(MIN($BJ$7:$BJ$29), MAX($BJ$7:$BJ$29), K84)), $BK$7:$BK$29, "Error", 0)</f>
        <v/>
      </c>
      <c r="L85" s="232">
        <f>_xlfn.XLOOKUP(MIN(ABS($BJ$7:$BJ$29 - MEDIAN(MIN($BJ$7:$BJ$29), MAX($BJ$7:$BJ$29), L84))), ABS($BJ$7:$BJ$29 - MEDIAN(MIN($BJ$7:$BJ$29), MAX($BJ$7:$BJ$29), L84)), $BK$7:$BK$29, "Error", 0)</f>
        <v/>
      </c>
      <c r="M85" s="232">
        <f>_xlfn.XLOOKUP(MIN(ABS($BJ$7:$BJ$29 - MEDIAN(MIN($BJ$7:$BJ$29), MAX($BJ$7:$BJ$29), M84))), ABS($BJ$7:$BJ$29 - MEDIAN(MIN($BJ$7:$BJ$29), MAX($BJ$7:$BJ$29), M84)), $BK$7:$BK$29, "Error", 0)</f>
        <v/>
      </c>
      <c r="N85" s="232">
        <f>_xlfn.XLOOKUP(MIN(ABS($BJ$7:$BJ$29 - MEDIAN(MIN($BJ$7:$BJ$29), MAX($BJ$7:$BJ$29), N84))), ABS($BJ$7:$BJ$29 - MEDIAN(MIN($BJ$7:$BJ$29), MAX($BJ$7:$BJ$29), N84)), $BK$7:$BK$29, "Error", 0)</f>
        <v/>
      </c>
      <c r="O85" s="232">
        <f>_xlfn.XLOOKUP(MIN(ABS($BJ$7:$BJ$29 - MEDIAN(MIN($BJ$7:$BJ$29), MAX($BJ$7:$BJ$29), O84))), ABS($BJ$7:$BJ$29 - MEDIAN(MIN($BJ$7:$BJ$29), MAX($BJ$7:$BJ$29), O84)), $BK$7:$BK$29, "Error", 0)</f>
        <v/>
      </c>
      <c r="P85" s="232">
        <f>_xlfn.XLOOKUP(MIN(ABS($BJ$7:$BJ$29 - MEDIAN(MIN($BJ$7:$BJ$29), MAX($BJ$7:$BJ$29), P84))), ABS($BJ$7:$BJ$29 - MEDIAN(MIN($BJ$7:$BJ$29), MAX($BJ$7:$BJ$29), P84)), $BK$7:$BK$29, "Error", 0)</f>
        <v/>
      </c>
      <c r="Q85" s="232">
        <f>_xlfn.XLOOKUP(MIN(ABS($BJ$7:$BJ$29 - MEDIAN(MIN($BJ$7:$BJ$29), MAX($BJ$7:$BJ$29), Q84))), ABS($BJ$7:$BJ$29 - MEDIAN(MIN($BJ$7:$BJ$29), MAX($BJ$7:$BJ$29), Q84)), $BK$7:$BK$29, "Error", 0)</f>
        <v/>
      </c>
      <c r="R85" s="232">
        <f>_xlfn.XLOOKUP(MIN(ABS($BJ$7:$BJ$29 - MEDIAN(MIN($BJ$7:$BJ$29), MAX($BJ$7:$BJ$29), R84))), ABS($BJ$7:$BJ$29 - MEDIAN(MIN($BJ$7:$BJ$29), MAX($BJ$7:$BJ$29), R84)), $BK$7:$BK$29, "Error", 0)</f>
        <v/>
      </c>
      <c r="S85" s="232">
        <f>_xlfn.XLOOKUP(MIN(ABS($BJ$7:$BJ$29 - MEDIAN(MIN($BJ$7:$BJ$29), MAX($BJ$7:$BJ$29), S84))), ABS($BJ$7:$BJ$29 - MEDIAN(MIN($BJ$7:$BJ$29), MAX($BJ$7:$BJ$29), S84)), $BK$7:$BK$29, "Error", 0)</f>
        <v/>
      </c>
      <c r="T85" s="232">
        <f>_xlfn.XLOOKUP(MIN(ABS($BJ$7:$BJ$29 - MEDIAN(MIN($BJ$7:$BJ$29), MAX($BJ$7:$BJ$29), T84))), ABS($BJ$7:$BJ$29 - MEDIAN(MIN($BJ$7:$BJ$29), MAX($BJ$7:$BJ$29), T84)), $BK$7:$BK$29, "Error", 0)</f>
        <v/>
      </c>
      <c r="U85" s="232">
        <f>_xlfn.XLOOKUP(MIN(ABS($BJ$7:$BJ$29 - MEDIAN(MIN($BJ$7:$BJ$29), MAX($BJ$7:$BJ$29), U84))), ABS($BJ$7:$BJ$29 - MEDIAN(MIN($BJ$7:$BJ$29), MAX($BJ$7:$BJ$29), U84)), $BK$7:$BK$29, "Error", 0)</f>
        <v/>
      </c>
      <c r="V85" s="232">
        <f>_xlfn.XLOOKUP(MIN(ABS($BJ$7:$BJ$29 - MEDIAN(MIN($BJ$7:$BJ$29), MAX($BJ$7:$BJ$29), V84))), ABS($BJ$7:$BJ$29 - MEDIAN(MIN($BJ$7:$BJ$29), MAX($BJ$7:$BJ$29), V84)), $BK$7:$BK$29, "Error", 0)</f>
        <v/>
      </c>
      <c r="W85" s="232">
        <f>_xlfn.XLOOKUP(MIN(ABS($BJ$7:$BJ$29 - MEDIAN(MIN($BJ$7:$BJ$29), MAX($BJ$7:$BJ$29), W84))), ABS($BJ$7:$BJ$29 - MEDIAN(MIN($BJ$7:$BJ$29), MAX($BJ$7:$BJ$29), W84)), $BK$7:$BK$29, "Error", 0)</f>
        <v/>
      </c>
      <c r="X85" s="232">
        <f>_xlfn.XLOOKUP(MIN(ABS($BJ$7:$BJ$29 - MEDIAN(MIN($BJ$7:$BJ$29), MAX($BJ$7:$BJ$29), X84))), ABS($BJ$7:$BJ$29 - MEDIAN(MIN($BJ$7:$BJ$29), MAX($BJ$7:$BJ$29), X84)), $BK$7:$BK$29, "Error", 0)</f>
        <v/>
      </c>
      <c r="Y85" s="232">
        <f>_xlfn.XLOOKUP(MIN(ABS($BJ$7:$BJ$29 - MEDIAN(MIN($BJ$7:$BJ$29), MAX($BJ$7:$BJ$29), Y84))), ABS($BJ$7:$BJ$29 - MEDIAN(MIN($BJ$7:$BJ$29), MAX($BJ$7:$BJ$29), Y84)), $BK$7:$BK$29, "Error", 0)</f>
        <v/>
      </c>
      <c r="Z85" s="232">
        <f>_xlfn.XLOOKUP(MIN(ABS($BJ$7:$BJ$29 - MEDIAN(MIN($BJ$7:$BJ$29), MAX($BJ$7:$BJ$29), Z84))), ABS($BJ$7:$BJ$29 - MEDIAN(MIN($BJ$7:$BJ$29), MAX($BJ$7:$BJ$29), Z84)), $BK$7:$BK$29, "Error", 0)</f>
        <v/>
      </c>
      <c r="AA85" s="232">
        <f>_xlfn.XLOOKUP(MIN(ABS($BJ$7:$BJ$29 - MEDIAN(MIN($BJ$7:$BJ$29), MAX($BJ$7:$BJ$29), AA84))), ABS($BJ$7:$BJ$29 - MEDIAN(MIN($BJ$7:$BJ$29), MAX($BJ$7:$BJ$29), AA84)), $BK$7:$BK$29, "Error", 0)</f>
        <v/>
      </c>
      <c r="AB85" s="171">
        <f>_xlfn.XLOOKUP(MIN(ABS($BJ$7:$BJ$29 - MEDIAN(MIN($BJ$7:$BJ$29), MAX($BJ$7:$BJ$29), AB84))), ABS($BJ$7:$BJ$29 - MEDIAN(MIN($BJ$7:$BJ$29), MAX($BJ$7:$BJ$29), AB84)), $BK$7:$BK$29, "Error", 0)</f>
        <v/>
      </c>
      <c r="AC85" s="171">
        <f>_xlfn.XLOOKUP(MIN(ABS($BJ$7:$BJ$29 - MEDIAN(MIN($BJ$7:$BJ$29), MAX($BJ$7:$BJ$29), AC84))), ABS($BJ$7:$BJ$29 - MEDIAN(MIN($BJ$7:$BJ$29), MAX($BJ$7:$BJ$29), AC84)), $BK$7:$BK$29, "Error", 0)</f>
        <v/>
      </c>
      <c r="AD85" s="171">
        <f>_xlfn.XLOOKUP(MIN(ABS($BJ$7:$BJ$29 - MEDIAN(MIN($BJ$7:$BJ$29), MAX($BJ$7:$BJ$29), AD84))), ABS($BJ$7:$BJ$29 - MEDIAN(MIN($BJ$7:$BJ$29), MAX($BJ$7:$BJ$29), AD84)), $BK$7:$BK$29, "Error", 0)</f>
        <v/>
      </c>
      <c r="AE85" s="171">
        <f>_xlfn.XLOOKUP(MIN(ABS($BJ$7:$BJ$29 - MEDIAN(MIN($BJ$7:$BJ$29), MAX($BJ$7:$BJ$29), AE84))), ABS($BJ$7:$BJ$29 - MEDIAN(MIN($BJ$7:$BJ$29), MAX($BJ$7:$BJ$29), AE84)), $BK$7:$BK$29, "Error", 0)</f>
        <v/>
      </c>
      <c r="AF85" s="171">
        <f>_xlfn.XLOOKUP(MIN(ABS($BJ$7:$BJ$29 - MEDIAN(MIN($BJ$7:$BJ$29), MAX($BJ$7:$BJ$29), AF84))), ABS($BJ$7:$BJ$29 - MEDIAN(MIN($BJ$7:$BJ$29), MAX($BJ$7:$BJ$29), AF84)), $BK$7:$BK$29, "Error", 0)</f>
        <v/>
      </c>
      <c r="AG85" s="171">
        <f>_xlfn.XLOOKUP(MIN(ABS($BJ$7:$BJ$29 - MEDIAN(MIN($BJ$7:$BJ$29), MAX($BJ$7:$BJ$29), AG84))), ABS($BJ$7:$BJ$29 - MEDIAN(MIN($BJ$7:$BJ$29), MAX($BJ$7:$BJ$29), AG84)), $BK$7:$BK$29, "Error", 0)</f>
        <v/>
      </c>
      <c r="AH85" s="171">
        <f>_xlfn.XLOOKUP(MIN(ABS($BJ$7:$BJ$29 - MEDIAN(MIN($BJ$7:$BJ$29), MAX($BJ$7:$BJ$29), AH84))), ABS($BJ$7:$BJ$29 - MEDIAN(MIN($BJ$7:$BJ$29), MAX($BJ$7:$BJ$29), AH84)), $BK$7:$BK$29, "Error", 0)</f>
        <v/>
      </c>
      <c r="AI85" s="171">
        <f>_xlfn.XLOOKUP(MIN(ABS($BJ$7:$BJ$29 - MEDIAN(MIN($BJ$7:$BJ$29), MAX($BJ$7:$BJ$29), AI84))), ABS($BJ$7:$BJ$29 - MEDIAN(MIN($BJ$7:$BJ$29), MAX($BJ$7:$BJ$29), AI84)), $BK$7:$BK$29, "Error", 0)</f>
        <v/>
      </c>
      <c r="AJ85" s="171">
        <f>_xlfn.XLOOKUP(MIN(ABS($BJ$7:$BJ$29 - MEDIAN(MIN($BJ$7:$BJ$29), MAX($BJ$7:$BJ$29), AJ84))), ABS($BJ$7:$BJ$29 - MEDIAN(MIN($BJ$7:$BJ$29), MAX($BJ$7:$BJ$29), AJ84)), $BK$7:$BK$29, "Error", 0)</f>
        <v/>
      </c>
      <c r="AK85" s="171">
        <f>_xlfn.XLOOKUP(MIN(ABS($BJ$7:$BJ$29 - MEDIAN(MIN($BJ$7:$BJ$29), MAX($BJ$7:$BJ$29), AK84))), ABS($BJ$7:$BJ$29 - MEDIAN(MIN($BJ$7:$BJ$29), MAX($BJ$7:$BJ$29), AK84)), $BK$7:$BK$29, "Error", 0)</f>
        <v/>
      </c>
      <c r="AL85" s="171">
        <f>_xlfn.XLOOKUP(MIN(ABS($BJ$7:$BJ$29 - MEDIAN(MIN($BJ$7:$BJ$29), MAX($BJ$7:$BJ$29), AL84))), ABS($BJ$7:$BJ$29 - MEDIAN(MIN($BJ$7:$BJ$29), MAX($BJ$7:$BJ$29), AL84)), $BK$7:$BK$29, "Error", 0)</f>
        <v/>
      </c>
      <c r="AM85" s="171">
        <f>_xlfn.XLOOKUP(MIN(ABS($BJ$7:$BJ$29 - MEDIAN(MIN($BJ$7:$BJ$29), MAX($BJ$7:$BJ$29), AM84))), ABS($BJ$7:$BJ$29 - MEDIAN(MIN($BJ$7:$BJ$29), MAX($BJ$7:$BJ$29), AM84)), $BK$7:$BK$29, "Error", 0)</f>
        <v/>
      </c>
      <c r="AN85" s="171">
        <f>_xlfn.XLOOKUP(MIN(ABS($BJ$7:$BJ$29 - MEDIAN(MIN($BJ$7:$BJ$29), MAX($BJ$7:$BJ$29), AN84))), ABS($BJ$7:$BJ$29 - MEDIAN(MIN($BJ$7:$BJ$29), MAX($BJ$7:$BJ$29), AN84)), $BK$7:$BK$29, "Error", 0)</f>
        <v/>
      </c>
      <c r="AO85" s="171">
        <f>_xlfn.XLOOKUP(MIN(ABS($BJ$7:$BJ$29 - MEDIAN(MIN($BJ$7:$BJ$29), MAX($BJ$7:$BJ$29), AO84))), ABS($BJ$7:$BJ$29 - MEDIAN(MIN($BJ$7:$BJ$29), MAX($BJ$7:$BJ$29), AO84)), $BK$7:$BK$29, "Error", 0)</f>
        <v/>
      </c>
      <c r="AP85" s="171">
        <f>_xlfn.XLOOKUP(MIN(ABS($BJ$7:$BJ$29 - MEDIAN(MIN($BJ$7:$BJ$29), MAX($BJ$7:$BJ$29), AP84))), ABS($BJ$7:$BJ$29 - MEDIAN(MIN($BJ$7:$BJ$29), MAX($BJ$7:$BJ$29), AP84)), $BK$7:$BK$29, "Error", 0)</f>
        <v/>
      </c>
      <c r="AQ85" s="171">
        <f>_xlfn.XLOOKUP(MIN(ABS($BJ$7:$BJ$29 - MEDIAN(MIN($BJ$7:$BJ$29), MAX($BJ$7:$BJ$29), AQ84))), ABS($BJ$7:$BJ$29 - MEDIAN(MIN($BJ$7:$BJ$29), MAX($BJ$7:$BJ$29), AQ84)), $BK$7:$BK$29, "Error", 0)</f>
        <v/>
      </c>
      <c r="AR85" s="171">
        <f>_xlfn.XLOOKUP(MIN(ABS($BJ$7:$BJ$29 - MEDIAN(MIN($BJ$7:$BJ$29), MAX($BJ$7:$BJ$29), AR84))), ABS($BJ$7:$BJ$29 - MEDIAN(MIN($BJ$7:$BJ$29), MAX($BJ$7:$BJ$29), AR84)), $BK$7:$BK$29, "Error", 0)</f>
        <v/>
      </c>
      <c r="AS85" s="171">
        <f>_xlfn.XLOOKUP(MIN(ABS($BJ$7:$BJ$29 - MEDIAN(MIN($BJ$7:$BJ$29), MAX($BJ$7:$BJ$29), AS84))), ABS($BJ$7:$BJ$29 - MEDIAN(MIN($BJ$7:$BJ$29), MAX($BJ$7:$BJ$29), AS84)), $BK$7:$BK$29, "Error", 0)</f>
        <v/>
      </c>
      <c r="AT85" s="171">
        <f>_xlfn.XLOOKUP(MIN(ABS($BJ$7:$BJ$29 - MEDIAN(MIN($BJ$7:$BJ$29), MAX($BJ$7:$BJ$29), AT84))), ABS($BJ$7:$BJ$29 - MEDIAN(MIN($BJ$7:$BJ$29), MAX($BJ$7:$BJ$29), AT84)), $BK$7:$BK$29, "Error", 0)</f>
        <v/>
      </c>
      <c r="AU85" s="171">
        <f>_xlfn.XLOOKUP(MIN(ABS($BJ$7:$BJ$29 - MEDIAN(MIN($BJ$7:$BJ$29), MAX($BJ$7:$BJ$29), AU84))), ABS($BJ$7:$BJ$29 - MEDIAN(MIN($BJ$7:$BJ$29), MAX($BJ$7:$BJ$29), AU84)), $BK$7:$BK$29, "Error", 0)</f>
        <v/>
      </c>
      <c r="AV85" s="206">
        <f>_xlfn.XLOOKUP(MIN(ABS($BJ$7:$BJ$29 - MEDIAN(MIN($BJ$7:$BJ$29), MAX($BJ$7:$BJ$29), AV84))), ABS($BJ$7:$BJ$29 - MEDIAN(MIN($BJ$7:$BJ$29), MAX($BJ$7:$BJ$29), AV84)), $BK$7:$BK$29, "Error", 0)</f>
        <v/>
      </c>
      <c r="AW85" s="184">
        <f>_xlfn.XLOOKUP(MIN(ABS($BJ$7:$BJ$29 - MEDIAN(MIN($BJ$7:$BJ$29), MAX($BJ$7:$BJ$29), AW84))), ABS($BJ$7:$BJ$29 - MEDIAN(MIN($BJ$7:$BJ$29), MAX($BJ$7:$BJ$29), AW84)), $BK$7:$BK$29, "Error", 0)</f>
        <v/>
      </c>
      <c r="AX85" s="184">
        <f>_xlfn.XLOOKUP(MIN(ABS($BJ$7:$BJ$29 - MEDIAN(MIN($BJ$7:$BJ$29), MAX($BJ$7:$BJ$29), AX84))), ABS($BJ$7:$BJ$29 - MEDIAN(MIN($BJ$7:$BJ$29), MAX($BJ$7:$BJ$29), AX84)), $BK$7:$BK$29, "Error", 0)</f>
        <v/>
      </c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13995.16959076782</v>
      </c>
      <c r="D86" s="233" t="n">
        <v>13995.16959076782</v>
      </c>
      <c r="E86" s="233" t="n">
        <v>13995.16959076782</v>
      </c>
      <c r="F86" s="233" t="n">
        <v>13995.16959076782</v>
      </c>
      <c r="G86" s="233" t="n">
        <v>13995.16959076782</v>
      </c>
      <c r="H86" s="233" t="n">
        <v>13995.16959076782</v>
      </c>
      <c r="I86" s="233" t="n">
        <v>13995.16959076782</v>
      </c>
      <c r="J86" s="233" t="n">
        <v>13995.16959076782</v>
      </c>
      <c r="K86" s="233" t="n">
        <v>13995.16959076782</v>
      </c>
      <c r="L86" s="233" t="n">
        <v>13995.16959076782</v>
      </c>
      <c r="M86" s="233" t="n">
        <v>13995.16959076782</v>
      </c>
      <c r="N86" s="233" t="n">
        <v>13995.16959076782</v>
      </c>
      <c r="O86" s="233" t="n">
        <v>13995.16959076782</v>
      </c>
      <c r="P86" s="233" t="n">
        <v>13995.16959076782</v>
      </c>
      <c r="Q86" s="233" t="n">
        <v>13995.16959076782</v>
      </c>
      <c r="R86" s="233" t="n">
        <v>13995.16959076782</v>
      </c>
      <c r="S86" s="233" t="n">
        <v>13995.16959076782</v>
      </c>
      <c r="T86" s="233" t="n">
        <v>13995.16959076782</v>
      </c>
      <c r="U86" s="233" t="n">
        <v>13995.16959076782</v>
      </c>
      <c r="V86" s="233" t="n">
        <v>13995.16959076782</v>
      </c>
      <c r="W86" s="233" t="n">
        <v>13995.16959076782</v>
      </c>
      <c r="X86" s="233" t="n">
        <v>13995.16959076782</v>
      </c>
      <c r="Y86" s="233" t="n">
        <v>13995.16959076782</v>
      </c>
      <c r="Z86" s="233" t="n">
        <v>13995.16959076782</v>
      </c>
      <c r="AA86" s="204" t="n">
        <v>13995.16959076782</v>
      </c>
      <c r="AB86" s="204" t="n">
        <v>13995.16959076782</v>
      </c>
      <c r="AC86" s="204" t="n">
        <v>13995.16959076782</v>
      </c>
      <c r="AD86" s="204" t="n">
        <v>13995.16959076782</v>
      </c>
      <c r="AE86" s="204" t="n">
        <v>13995.16959076782</v>
      </c>
      <c r="AF86" s="204" t="n">
        <v>13995.16959076782</v>
      </c>
      <c r="AG86" s="204" t="n">
        <v>13995.16959076782</v>
      </c>
      <c r="AH86" s="204" t="n">
        <v>13995.16959076782</v>
      </c>
      <c r="AI86" s="204" t="n">
        <v>13995.16959076782</v>
      </c>
      <c r="AJ86" s="204" t="n">
        <v>13995.16959076782</v>
      </c>
      <c r="AK86" s="204" t="n">
        <v>13995.16959076782</v>
      </c>
      <c r="AL86" s="204" t="n">
        <v>13995.16959076782</v>
      </c>
      <c r="AM86" s="204" t="n">
        <v>14231.29683809937</v>
      </c>
      <c r="AN86" s="204" t="n">
        <v>14768.11077636201</v>
      </c>
      <c r="AO86" s="204" t="n">
        <v>14768.11077636201</v>
      </c>
      <c r="AP86" s="204" t="n">
        <v>14768.11077636201</v>
      </c>
      <c r="AQ86" s="204" t="n">
        <v>14768.11077636201</v>
      </c>
      <c r="AR86" s="204" t="n">
        <v>14768.11077636201</v>
      </c>
      <c r="AS86" s="204" t="n">
        <v>14768.11077636201</v>
      </c>
      <c r="AT86" s="204" t="n">
        <v>14863.61033320427</v>
      </c>
      <c r="AU86" s="204" t="n">
        <v>14863.61033320427</v>
      </c>
      <c r="AV86" s="200" t="n">
        <v>14863.61033320427</v>
      </c>
      <c r="AW86" s="184" t="n">
        <v>14863.61033320427</v>
      </c>
      <c r="AX86" s="184" t="n">
        <v>14863.61033320427</v>
      </c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9600.855169810704</v>
      </c>
      <c r="D87" s="233" t="n">
        <v>9500.048266343307</v>
      </c>
      <c r="E87" s="233" t="n">
        <v>9453.597434703261</v>
      </c>
      <c r="F87" s="233" t="n">
        <v>9836.282614659693</v>
      </c>
      <c r="G87" s="233" t="n">
        <v>9242.006904647453</v>
      </c>
      <c r="H87" s="233" t="n">
        <v>9500.713420629501</v>
      </c>
      <c r="I87" s="233" t="n">
        <v>9896.782271170989</v>
      </c>
      <c r="J87" s="233" t="n">
        <v>9456.431078666472</v>
      </c>
      <c r="K87" s="233" t="n">
        <v>9285.531021632778</v>
      </c>
      <c r="L87" s="233" t="n">
        <v>8907.394990782253</v>
      </c>
      <c r="M87" s="233" t="n">
        <v>9463.640374877723</v>
      </c>
      <c r="N87" s="233" t="n">
        <v>9847.446594326058</v>
      </c>
      <c r="O87" s="233" t="n">
        <v>9687.437189843215</v>
      </c>
      <c r="P87" s="233" t="n">
        <v>9661.896914243698</v>
      </c>
      <c r="Q87" s="233" t="n">
        <v>10033.56070482259</v>
      </c>
      <c r="R87" s="233" t="n">
        <v>10228.83958227636</v>
      </c>
      <c r="S87" s="233" t="n">
        <v>10534.93294917396</v>
      </c>
      <c r="T87" s="233" t="n">
        <v>10324.11010570993</v>
      </c>
      <c r="U87" s="233" t="n">
        <v>10741.97756958008</v>
      </c>
      <c r="V87" s="233" t="n">
        <v>11028.8074999447</v>
      </c>
      <c r="W87" s="233" t="n">
        <v>11023.82249689102</v>
      </c>
      <c r="X87" s="233" t="n">
        <v>10510.34847735747</v>
      </c>
      <c r="Y87" s="233" t="n">
        <v>10522.21900822595</v>
      </c>
      <c r="Z87" s="233" t="n">
        <v>10256.37839210033</v>
      </c>
      <c r="AA87" s="204" t="n">
        <v>10776.49427938461</v>
      </c>
      <c r="AB87" s="204" t="n">
        <v>11099.25387942838</v>
      </c>
      <c r="AC87" s="204" t="n">
        <v>11104.67088892357</v>
      </c>
      <c r="AD87" s="204" t="n">
        <v>11392.33654325595</v>
      </c>
      <c r="AE87" s="204" t="n">
        <v>11841.85707637668</v>
      </c>
      <c r="AF87" s="204" t="n">
        <v>12019.81191897392</v>
      </c>
      <c r="AG87" s="204" t="n">
        <v>12107.97040985373</v>
      </c>
      <c r="AH87" s="204" t="n">
        <v>12413.08970667538</v>
      </c>
      <c r="AI87" s="204" t="n">
        <v>12564.36533278436</v>
      </c>
      <c r="AJ87" s="204" t="n">
        <v>12787.09875878238</v>
      </c>
      <c r="AK87" s="204" t="n">
        <v>12871.08456033468</v>
      </c>
      <c r="AL87" s="204" t="n">
        <v>13374.81296998635</v>
      </c>
      <c r="AM87" s="204" t="n">
        <v>14115.00747036934</v>
      </c>
      <c r="AN87" s="204" t="n">
        <v>14719.98410936841</v>
      </c>
      <c r="AO87" s="204" t="n">
        <v>13405.30047047138</v>
      </c>
      <c r="AP87" s="204" t="n">
        <v>13999.54445648531</v>
      </c>
      <c r="AQ87" s="204" t="n">
        <v>13994.75703205552</v>
      </c>
      <c r="AR87" s="204" t="n">
        <v>13912.84075198579</v>
      </c>
      <c r="AS87" s="204" t="n">
        <v>14629.48639998655</v>
      </c>
      <c r="AT87" s="204" t="n">
        <v>14717.9265154181</v>
      </c>
      <c r="AU87" s="204" t="n">
        <v>14170.90374072141</v>
      </c>
      <c r="AV87" s="201" t="n">
        <v>14170.90374072141</v>
      </c>
      <c r="AW87" s="184" t="n">
        <v>14170.90374072141</v>
      </c>
      <c r="AX87" s="184" t="n">
        <v>14170.90374072141</v>
      </c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>
        <f>+(AV87-AV86)/AV86</f>
        <v/>
      </c>
      <c r="AW88" s="184">
        <f>+(AW87-AW86)/AW86</f>
        <v/>
      </c>
      <c r="AX88" s="184">
        <f>+(AX87-AX86)/AX86</f>
        <v/>
      </c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8189.10009765625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8810.599609375</v>
      </c>
      <c r="AC89" s="203" t="n">
        <v>8908.7998046875</v>
      </c>
      <c r="AD89" s="203" t="n">
        <v>8908.7998046875</v>
      </c>
      <c r="AE89" s="203" t="n">
        <v>8908.7998046875</v>
      </c>
      <c r="AF89" s="203" t="n">
        <v>8908.7998046875</v>
      </c>
      <c r="AG89" s="203" t="n">
        <v>9163.2001953125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10951.099609375</v>
      </c>
      <c r="AT89" s="203" t="n">
        <v>10959.900390625</v>
      </c>
      <c r="AU89" s="203" t="n">
        <v>10959.900390625</v>
      </c>
      <c r="AV89" s="201" t="n">
        <v>10959.900390625</v>
      </c>
      <c r="AW89" s="184" t="n">
        <v>10959.900390625</v>
      </c>
      <c r="AX89" s="184" t="n">
        <v>10959.900390625</v>
      </c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7876.2998046875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8144.10009765625</v>
      </c>
      <c r="S90" s="233" t="n">
        <v>8275.400390625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8674</v>
      </c>
      <c r="AB90" s="203" t="n">
        <v>8809.7001953125</v>
      </c>
      <c r="AC90" s="203" t="n">
        <v>8582.7998046875</v>
      </c>
      <c r="AD90" s="203" t="n">
        <v>8494.900390625</v>
      </c>
      <c r="AE90" s="203" t="n">
        <v>8772.400390625</v>
      </c>
      <c r="AF90" s="203" t="n">
        <v>8761</v>
      </c>
      <c r="AG90" s="203" t="n">
        <v>9132.7998046875</v>
      </c>
      <c r="AH90" s="203" t="n">
        <v>9187.2998046875</v>
      </c>
      <c r="AI90" s="203" t="n">
        <v>9350.400390625</v>
      </c>
      <c r="AJ90" s="203" t="n">
        <v>9717.2998046875</v>
      </c>
      <c r="AK90" s="203" t="n">
        <v>9720.5</v>
      </c>
      <c r="AL90" s="203" t="n">
        <v>9931.400390625</v>
      </c>
      <c r="AM90" s="203" t="n">
        <v>10223.5</v>
      </c>
      <c r="AN90" s="203" t="n">
        <v>10910.599609375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10497.099609375</v>
      </c>
      <c r="AS90" s="203" t="n">
        <v>10868.099609375</v>
      </c>
      <c r="AT90" s="203" t="n">
        <v>10824.2998046875</v>
      </c>
      <c r="AU90" s="203" t="n">
        <v>10714.6201171875</v>
      </c>
      <c r="AV90" s="201" t="n">
        <v>10714.6201171875</v>
      </c>
      <c r="AW90" s="184" t="n">
        <v>10714.6201171875</v>
      </c>
      <c r="AX90" s="184" t="n">
        <v>10714.6201171875</v>
      </c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>
        <f>+(AV90-AV89)/AV89</f>
        <v/>
      </c>
      <c r="AW91" s="184">
        <f>+(AW90-AW89)/AW89</f>
        <v/>
      </c>
      <c r="AX91" s="184">
        <f>+(AX90-AX89)/AX89</f>
        <v/>
      </c>
      <c r="AY91" s="184" t="n"/>
    </row>
    <row r="92" ht="22" customHeight="1">
      <c r="A92" s="303" t="n"/>
      <c r="B92" s="201" t="inlineStr">
        <is>
          <t>real % change</t>
        </is>
      </c>
      <c r="C92" s="230">
        <f>+C91-C88</f>
        <v/>
      </c>
      <c r="D92" s="230">
        <f>+D91-D88</f>
        <v/>
      </c>
      <c r="E92" s="230">
        <f>+E91-E88</f>
        <v/>
      </c>
      <c r="F92" s="230">
        <f>+F91-F88</f>
        <v/>
      </c>
      <c r="G92" s="230">
        <f>+G91-G88</f>
        <v/>
      </c>
      <c r="H92" s="230">
        <f>+H91-H88</f>
        <v/>
      </c>
      <c r="I92" s="230">
        <f>+I91-I88</f>
        <v/>
      </c>
      <c r="J92" s="230">
        <f>+J91-J88</f>
        <v/>
      </c>
      <c r="K92" s="230">
        <f>+K91-K88</f>
        <v/>
      </c>
      <c r="L92" s="230">
        <f>+L91-L88</f>
        <v/>
      </c>
      <c r="M92" s="230">
        <f>+M91-M88</f>
        <v/>
      </c>
      <c r="N92" s="230">
        <f>+N91-N88</f>
        <v/>
      </c>
      <c r="O92" s="230">
        <f>+O91-O88</f>
        <v/>
      </c>
      <c r="P92" s="230">
        <f>+P91-P88</f>
        <v/>
      </c>
      <c r="Q92" s="230">
        <f>+Q91-Q88</f>
        <v/>
      </c>
      <c r="R92" s="230">
        <f>+R91-R88</f>
        <v/>
      </c>
      <c r="S92" s="230">
        <f>+S91-S88</f>
        <v/>
      </c>
      <c r="T92" s="230">
        <f>+T91-T88</f>
        <v/>
      </c>
      <c r="U92" s="230">
        <f>+U91-U88</f>
        <v/>
      </c>
      <c r="V92" s="230">
        <f>+V91-V88</f>
        <v/>
      </c>
      <c r="W92" s="230">
        <f>+W91-W88</f>
        <v/>
      </c>
      <c r="X92" s="230">
        <f>+X91-X88</f>
        <v/>
      </c>
      <c r="Y92" s="230">
        <f>+Y91-Y88</f>
        <v/>
      </c>
      <c r="Z92" s="230">
        <f>+Z91-Z88</f>
        <v/>
      </c>
      <c r="AA92" s="230">
        <f>+AA91-AA88</f>
        <v/>
      </c>
      <c r="AB92" s="205">
        <f>+AB91-AB88</f>
        <v/>
      </c>
      <c r="AC92" s="205">
        <f>+AC91-AC88</f>
        <v/>
      </c>
      <c r="AD92" s="205">
        <f>+AD91-AD88</f>
        <v/>
      </c>
      <c r="AE92" s="205">
        <f>+AE91-AE88</f>
        <v/>
      </c>
      <c r="AF92" s="205">
        <f>+AF91-AF88</f>
        <v/>
      </c>
      <c r="AG92" s="205">
        <f>+AG91-AG88</f>
        <v/>
      </c>
      <c r="AH92" s="205">
        <f>+AH91-AH88</f>
        <v/>
      </c>
      <c r="AI92" s="205">
        <f>+AI91-AI88</f>
        <v/>
      </c>
      <c r="AJ92" s="205">
        <f>+AJ91-AJ88</f>
        <v/>
      </c>
      <c r="AK92" s="205">
        <f>+AK91-AK88</f>
        <v/>
      </c>
      <c r="AL92" s="205">
        <f>+AL91-AL88</f>
        <v/>
      </c>
      <c r="AM92" s="205">
        <f>+AM91-AM88</f>
        <v/>
      </c>
      <c r="AN92" s="205">
        <f>+AN91-AN88</f>
        <v/>
      </c>
      <c r="AO92" s="205">
        <f>+AO91-AO88</f>
        <v/>
      </c>
      <c r="AP92" s="205">
        <f>+AP91-AP88</f>
        <v/>
      </c>
      <c r="AQ92" s="205">
        <f>+AQ91-AQ88</f>
        <v/>
      </c>
      <c r="AR92" s="205">
        <f>+AR91-AR88</f>
        <v/>
      </c>
      <c r="AS92" s="205">
        <f>+AS91-AS88</f>
        <v/>
      </c>
      <c r="AT92" s="205">
        <f>+AT91-AT88</f>
        <v/>
      </c>
      <c r="AU92" s="205">
        <f>+AU91-AU88</f>
        <v/>
      </c>
      <c r="AV92" s="201">
        <f>+AV91-AV88</f>
        <v/>
      </c>
      <c r="AW92" s="184">
        <f>+AW91-AW88</f>
        <v/>
      </c>
      <c r="AX92" s="184">
        <f>+AX91-AX88</f>
        <v/>
      </c>
      <c r="AY92" s="184" t="n"/>
    </row>
    <row r="93" ht="22" customHeight="1">
      <c r="A93" s="304" t="n"/>
      <c r="B93" s="206" t="inlineStr">
        <is>
          <t>Rating</t>
        </is>
      </c>
      <c r="C93" s="232">
        <f>_xlfn.XLOOKUP(MIN(ABS($BJ$7:$BJ$29 - MEDIAN(MIN($BJ$7:$BJ$29), MAX($BJ$7:$BJ$29), C92))), ABS($BJ$7:$BJ$29 - MEDIAN(MIN($BJ$7:$BJ$29), MAX($BJ$7:$BJ$29), C92)), $BK$7:$BK$29, "Error", 0)</f>
        <v/>
      </c>
      <c r="D93" s="232">
        <f>_xlfn.XLOOKUP(MIN(ABS($BJ$7:$BJ$29 - MEDIAN(MIN($BJ$7:$BJ$29), MAX($BJ$7:$BJ$29), D92))), ABS($BJ$7:$BJ$29 - MEDIAN(MIN($BJ$7:$BJ$29), MAX($BJ$7:$BJ$29), D92)), $BK$7:$BK$29, "Error", 0)</f>
        <v/>
      </c>
      <c r="E93" s="232">
        <f>_xlfn.XLOOKUP(MIN(ABS($BJ$7:$BJ$29 - MEDIAN(MIN($BJ$7:$BJ$29), MAX($BJ$7:$BJ$29), E92))), ABS($BJ$7:$BJ$29 - MEDIAN(MIN($BJ$7:$BJ$29), MAX($BJ$7:$BJ$29), E92)), $BK$7:$BK$29, "Error", 0)</f>
        <v/>
      </c>
      <c r="F93" s="232">
        <f>_xlfn.XLOOKUP(MIN(ABS($BJ$7:$BJ$29 - MEDIAN(MIN($BJ$7:$BJ$29), MAX($BJ$7:$BJ$29), F92))), ABS($BJ$7:$BJ$29 - MEDIAN(MIN($BJ$7:$BJ$29), MAX($BJ$7:$BJ$29), F92)), $BK$7:$BK$29, "Error", 0)</f>
        <v/>
      </c>
      <c r="G93" s="232">
        <f>_xlfn.XLOOKUP(MIN(ABS($BJ$7:$BJ$29 - MEDIAN(MIN($BJ$7:$BJ$29), MAX($BJ$7:$BJ$29), G92))), ABS($BJ$7:$BJ$29 - MEDIAN(MIN($BJ$7:$BJ$29), MAX($BJ$7:$BJ$29), G92)), $BK$7:$BK$29, "Error", 0)</f>
        <v/>
      </c>
      <c r="H93" s="232">
        <f>_xlfn.XLOOKUP(MIN(ABS($BJ$7:$BJ$29 - MEDIAN(MIN($BJ$7:$BJ$29), MAX($BJ$7:$BJ$29), H92))), ABS($BJ$7:$BJ$29 - MEDIAN(MIN($BJ$7:$BJ$29), MAX($BJ$7:$BJ$29), H92)), $BK$7:$BK$29, "Error", 0)</f>
        <v/>
      </c>
      <c r="I93" s="232">
        <f>_xlfn.XLOOKUP(MIN(ABS($BJ$7:$BJ$29 - MEDIAN(MIN($BJ$7:$BJ$29), MAX($BJ$7:$BJ$29), I92))), ABS($BJ$7:$BJ$29 - MEDIAN(MIN($BJ$7:$BJ$29), MAX($BJ$7:$BJ$29), I92)), $BK$7:$BK$29, "Error", 0)</f>
        <v/>
      </c>
      <c r="J93" s="232">
        <f>_xlfn.XLOOKUP(MIN(ABS($BJ$7:$BJ$29 - MEDIAN(MIN($BJ$7:$BJ$29), MAX($BJ$7:$BJ$29), J92))), ABS($BJ$7:$BJ$29 - MEDIAN(MIN($BJ$7:$BJ$29), MAX($BJ$7:$BJ$29), J92)), $BK$7:$BK$29, "Error", 0)</f>
        <v/>
      </c>
      <c r="K93" s="232">
        <f>_xlfn.XLOOKUP(MIN(ABS($BJ$7:$BJ$29 - MEDIAN(MIN($BJ$7:$BJ$29), MAX($BJ$7:$BJ$29), K92))), ABS($BJ$7:$BJ$29 - MEDIAN(MIN($BJ$7:$BJ$29), MAX($BJ$7:$BJ$29), K92)), $BK$7:$BK$29, "Error", 0)</f>
        <v/>
      </c>
      <c r="L93" s="232">
        <f>_xlfn.XLOOKUP(MIN(ABS($BJ$7:$BJ$29 - MEDIAN(MIN($BJ$7:$BJ$29), MAX($BJ$7:$BJ$29), L92))), ABS($BJ$7:$BJ$29 - MEDIAN(MIN($BJ$7:$BJ$29), MAX($BJ$7:$BJ$29), L92)), $BK$7:$BK$29, "Error", 0)</f>
        <v/>
      </c>
      <c r="M93" s="232">
        <f>_xlfn.XLOOKUP(MIN(ABS($BJ$7:$BJ$29 - MEDIAN(MIN($BJ$7:$BJ$29), MAX($BJ$7:$BJ$29), M92))), ABS($BJ$7:$BJ$29 - MEDIAN(MIN($BJ$7:$BJ$29), MAX($BJ$7:$BJ$29), M92)), $BK$7:$BK$29, "Error", 0)</f>
        <v/>
      </c>
      <c r="N93" s="232">
        <f>_xlfn.XLOOKUP(MIN(ABS($BJ$7:$BJ$29 - MEDIAN(MIN($BJ$7:$BJ$29), MAX($BJ$7:$BJ$29), N92))), ABS($BJ$7:$BJ$29 - MEDIAN(MIN($BJ$7:$BJ$29), MAX($BJ$7:$BJ$29), N92)), $BK$7:$BK$29, "Error", 0)</f>
        <v/>
      </c>
      <c r="O93" s="232">
        <f>_xlfn.XLOOKUP(MIN(ABS($BJ$7:$BJ$29 - MEDIAN(MIN($BJ$7:$BJ$29), MAX($BJ$7:$BJ$29), O92))), ABS($BJ$7:$BJ$29 - MEDIAN(MIN($BJ$7:$BJ$29), MAX($BJ$7:$BJ$29), O92)), $BK$7:$BK$29, "Error", 0)</f>
        <v/>
      </c>
      <c r="P93" s="232">
        <f>_xlfn.XLOOKUP(MIN(ABS($BJ$7:$BJ$29 - MEDIAN(MIN($BJ$7:$BJ$29), MAX($BJ$7:$BJ$29), P92))), ABS($BJ$7:$BJ$29 - MEDIAN(MIN($BJ$7:$BJ$29), MAX($BJ$7:$BJ$29), P92)), $BK$7:$BK$29, "Error", 0)</f>
        <v/>
      </c>
      <c r="Q93" s="232">
        <f>_xlfn.XLOOKUP(MIN(ABS($BJ$7:$BJ$29 - MEDIAN(MIN($BJ$7:$BJ$29), MAX($BJ$7:$BJ$29), Q92))), ABS($BJ$7:$BJ$29 - MEDIAN(MIN($BJ$7:$BJ$29), MAX($BJ$7:$BJ$29), Q92)), $BK$7:$BK$29, "Error", 0)</f>
        <v/>
      </c>
      <c r="R93" s="232">
        <f>_xlfn.XLOOKUP(MIN(ABS($BJ$7:$BJ$29 - MEDIAN(MIN($BJ$7:$BJ$29), MAX($BJ$7:$BJ$29), R92))), ABS($BJ$7:$BJ$29 - MEDIAN(MIN($BJ$7:$BJ$29), MAX($BJ$7:$BJ$29), R92)), $BK$7:$BK$29, "Error", 0)</f>
        <v/>
      </c>
      <c r="S93" s="232">
        <f>_xlfn.XLOOKUP(MIN(ABS($BJ$7:$BJ$29 - MEDIAN(MIN($BJ$7:$BJ$29), MAX($BJ$7:$BJ$29), S92))), ABS($BJ$7:$BJ$29 - MEDIAN(MIN($BJ$7:$BJ$29), MAX($BJ$7:$BJ$29), S92)), $BK$7:$BK$29, "Error", 0)</f>
        <v/>
      </c>
      <c r="T93" s="232">
        <f>_xlfn.XLOOKUP(MIN(ABS($BJ$7:$BJ$29 - MEDIAN(MIN($BJ$7:$BJ$29), MAX($BJ$7:$BJ$29), T92))), ABS($BJ$7:$BJ$29 - MEDIAN(MIN($BJ$7:$BJ$29), MAX($BJ$7:$BJ$29), T92)), $BK$7:$BK$29, "Error", 0)</f>
        <v/>
      </c>
      <c r="U93" s="232">
        <f>_xlfn.XLOOKUP(MIN(ABS($BJ$7:$BJ$29 - MEDIAN(MIN($BJ$7:$BJ$29), MAX($BJ$7:$BJ$29), U92))), ABS($BJ$7:$BJ$29 - MEDIAN(MIN($BJ$7:$BJ$29), MAX($BJ$7:$BJ$29), U92)), $BK$7:$BK$29, "Error", 0)</f>
        <v/>
      </c>
      <c r="V93" s="232">
        <f>_xlfn.XLOOKUP(MIN(ABS($BJ$7:$BJ$29 - MEDIAN(MIN($BJ$7:$BJ$29), MAX($BJ$7:$BJ$29), V92))), ABS($BJ$7:$BJ$29 - MEDIAN(MIN($BJ$7:$BJ$29), MAX($BJ$7:$BJ$29), V92)), $BK$7:$BK$29, "Error", 0)</f>
        <v/>
      </c>
      <c r="W93" s="232">
        <f>_xlfn.XLOOKUP(MIN(ABS($BJ$7:$BJ$29 - MEDIAN(MIN($BJ$7:$BJ$29), MAX($BJ$7:$BJ$29), W92))), ABS($BJ$7:$BJ$29 - MEDIAN(MIN($BJ$7:$BJ$29), MAX($BJ$7:$BJ$29), W92)), $BK$7:$BK$29, "Error", 0)</f>
        <v/>
      </c>
      <c r="X93" s="232">
        <f>_xlfn.XLOOKUP(MIN(ABS($BJ$7:$BJ$29 - MEDIAN(MIN($BJ$7:$BJ$29), MAX($BJ$7:$BJ$29), X92))), ABS($BJ$7:$BJ$29 - MEDIAN(MIN($BJ$7:$BJ$29), MAX($BJ$7:$BJ$29), X92)), $BK$7:$BK$29, "Error", 0)</f>
        <v/>
      </c>
      <c r="Y93" s="232">
        <f>_xlfn.XLOOKUP(MIN(ABS($BJ$7:$BJ$29 - MEDIAN(MIN($BJ$7:$BJ$29), MAX($BJ$7:$BJ$29), Y92))), ABS($BJ$7:$BJ$29 - MEDIAN(MIN($BJ$7:$BJ$29), MAX($BJ$7:$BJ$29), Y92)), $BK$7:$BK$29, "Error", 0)</f>
        <v/>
      </c>
      <c r="Z93" s="232">
        <f>_xlfn.XLOOKUP(MIN(ABS($BJ$7:$BJ$29 - MEDIAN(MIN($BJ$7:$BJ$29), MAX($BJ$7:$BJ$29), Z92))), ABS($BJ$7:$BJ$29 - MEDIAN(MIN($BJ$7:$BJ$29), MAX($BJ$7:$BJ$29), Z92)), $BK$7:$BK$29, "Error", 0)</f>
        <v/>
      </c>
      <c r="AA93" s="232">
        <f>_xlfn.XLOOKUP(MIN(ABS($BJ$7:$BJ$29 - MEDIAN(MIN($BJ$7:$BJ$29), MAX($BJ$7:$BJ$29), AA92))), ABS($BJ$7:$BJ$29 - MEDIAN(MIN($BJ$7:$BJ$29), MAX($BJ$7:$BJ$29), AA92)), $BK$7:$BK$29, "Error", 0)</f>
        <v/>
      </c>
      <c r="AB93" s="171">
        <f>_xlfn.XLOOKUP(MIN(ABS($BJ$7:$BJ$29 - MEDIAN(MIN($BJ$7:$BJ$29), MAX($BJ$7:$BJ$29), AB92))), ABS($BJ$7:$BJ$29 - MEDIAN(MIN($BJ$7:$BJ$29), MAX($BJ$7:$BJ$29), AB92)), $BK$7:$BK$29, "Error", 0)</f>
        <v/>
      </c>
      <c r="AC93" s="171">
        <f>_xlfn.XLOOKUP(MIN(ABS($BJ$7:$BJ$29 - MEDIAN(MIN($BJ$7:$BJ$29), MAX($BJ$7:$BJ$29), AC92))), ABS($BJ$7:$BJ$29 - MEDIAN(MIN($BJ$7:$BJ$29), MAX($BJ$7:$BJ$29), AC92)), $BK$7:$BK$29, "Error", 0)</f>
        <v/>
      </c>
      <c r="AD93" s="171">
        <f>_xlfn.XLOOKUP(MIN(ABS($BJ$7:$BJ$29 - MEDIAN(MIN($BJ$7:$BJ$29), MAX($BJ$7:$BJ$29), AD92))), ABS($BJ$7:$BJ$29 - MEDIAN(MIN($BJ$7:$BJ$29), MAX($BJ$7:$BJ$29), AD92)), $BK$7:$BK$29, "Error", 0)</f>
        <v/>
      </c>
      <c r="AE93" s="171">
        <f>_xlfn.XLOOKUP(MIN(ABS($BJ$7:$BJ$29 - MEDIAN(MIN($BJ$7:$BJ$29), MAX($BJ$7:$BJ$29), AE92))), ABS($BJ$7:$BJ$29 - MEDIAN(MIN($BJ$7:$BJ$29), MAX($BJ$7:$BJ$29), AE92)), $BK$7:$BK$29, "Error", 0)</f>
        <v/>
      </c>
      <c r="AF93" s="171">
        <f>_xlfn.XLOOKUP(MIN(ABS($BJ$7:$BJ$29 - MEDIAN(MIN($BJ$7:$BJ$29), MAX($BJ$7:$BJ$29), AF92))), ABS($BJ$7:$BJ$29 - MEDIAN(MIN($BJ$7:$BJ$29), MAX($BJ$7:$BJ$29), AF92)), $BK$7:$BK$29, "Error", 0)</f>
        <v/>
      </c>
      <c r="AG93" s="171">
        <f>_xlfn.XLOOKUP(MIN(ABS($BJ$7:$BJ$29 - MEDIAN(MIN($BJ$7:$BJ$29), MAX($BJ$7:$BJ$29), AG92))), ABS($BJ$7:$BJ$29 - MEDIAN(MIN($BJ$7:$BJ$29), MAX($BJ$7:$BJ$29), AG92)), $BK$7:$BK$29, "Error", 0)</f>
        <v/>
      </c>
      <c r="AH93" s="171">
        <f>_xlfn.XLOOKUP(MIN(ABS($BJ$7:$BJ$29 - MEDIAN(MIN($BJ$7:$BJ$29), MAX($BJ$7:$BJ$29), AH92))), ABS($BJ$7:$BJ$29 - MEDIAN(MIN($BJ$7:$BJ$29), MAX($BJ$7:$BJ$29), AH92)), $BK$7:$BK$29, "Error", 0)</f>
        <v/>
      </c>
      <c r="AI93" s="171">
        <f>_xlfn.XLOOKUP(MIN(ABS($BJ$7:$BJ$29 - MEDIAN(MIN($BJ$7:$BJ$29), MAX($BJ$7:$BJ$29), AI92))), ABS($BJ$7:$BJ$29 - MEDIAN(MIN($BJ$7:$BJ$29), MAX($BJ$7:$BJ$29), AI92)), $BK$7:$BK$29, "Error", 0)</f>
        <v/>
      </c>
      <c r="AJ93" s="171">
        <f>_xlfn.XLOOKUP(MIN(ABS($BJ$7:$BJ$29 - MEDIAN(MIN($BJ$7:$BJ$29), MAX($BJ$7:$BJ$29), AJ92))), ABS($BJ$7:$BJ$29 - MEDIAN(MIN($BJ$7:$BJ$29), MAX($BJ$7:$BJ$29), AJ92)), $BK$7:$BK$29, "Error", 0)</f>
        <v/>
      </c>
      <c r="AK93" s="171">
        <f>_xlfn.XLOOKUP(MIN(ABS($BJ$7:$BJ$29 - MEDIAN(MIN($BJ$7:$BJ$29), MAX($BJ$7:$BJ$29), AK92))), ABS($BJ$7:$BJ$29 - MEDIAN(MIN($BJ$7:$BJ$29), MAX($BJ$7:$BJ$29), AK92)), $BK$7:$BK$29, "Error", 0)</f>
        <v/>
      </c>
      <c r="AL93" s="171">
        <f>_xlfn.XLOOKUP(MIN(ABS($BJ$7:$BJ$29 - MEDIAN(MIN($BJ$7:$BJ$29), MAX($BJ$7:$BJ$29), AL92))), ABS($BJ$7:$BJ$29 - MEDIAN(MIN($BJ$7:$BJ$29), MAX($BJ$7:$BJ$29), AL92)), $BK$7:$BK$29, "Error", 0)</f>
        <v/>
      </c>
      <c r="AM93" s="171">
        <f>_xlfn.XLOOKUP(MIN(ABS($BJ$7:$BJ$29 - MEDIAN(MIN($BJ$7:$BJ$29), MAX($BJ$7:$BJ$29), AM92))), ABS($BJ$7:$BJ$29 - MEDIAN(MIN($BJ$7:$BJ$29), MAX($BJ$7:$BJ$29), AM92)), $BK$7:$BK$29, "Error", 0)</f>
        <v/>
      </c>
      <c r="AN93" s="171">
        <f>_xlfn.XLOOKUP(MIN(ABS($BJ$7:$BJ$29 - MEDIAN(MIN($BJ$7:$BJ$29), MAX($BJ$7:$BJ$29), AN92))), ABS($BJ$7:$BJ$29 - MEDIAN(MIN($BJ$7:$BJ$29), MAX($BJ$7:$BJ$29), AN92)), $BK$7:$BK$29, "Error", 0)</f>
        <v/>
      </c>
      <c r="AO93" s="171">
        <f>_xlfn.XLOOKUP(MIN(ABS($BJ$7:$BJ$29 - MEDIAN(MIN($BJ$7:$BJ$29), MAX($BJ$7:$BJ$29), AO92))), ABS($BJ$7:$BJ$29 - MEDIAN(MIN($BJ$7:$BJ$29), MAX($BJ$7:$BJ$29), AO92)), $BK$7:$BK$29, "Error", 0)</f>
        <v/>
      </c>
      <c r="AP93" s="171">
        <f>_xlfn.XLOOKUP(MIN(ABS($BJ$7:$BJ$29 - MEDIAN(MIN($BJ$7:$BJ$29), MAX($BJ$7:$BJ$29), AP92))), ABS($BJ$7:$BJ$29 - MEDIAN(MIN($BJ$7:$BJ$29), MAX($BJ$7:$BJ$29), AP92)), $BK$7:$BK$29, "Error", 0)</f>
        <v/>
      </c>
      <c r="AQ93" s="171">
        <f>_xlfn.XLOOKUP(MIN(ABS($BJ$7:$BJ$29 - MEDIAN(MIN($BJ$7:$BJ$29), MAX($BJ$7:$BJ$29), AQ92))), ABS($BJ$7:$BJ$29 - MEDIAN(MIN($BJ$7:$BJ$29), MAX($BJ$7:$BJ$29), AQ92)), $BK$7:$BK$29, "Error", 0)</f>
        <v/>
      </c>
      <c r="AR93" s="171">
        <f>_xlfn.XLOOKUP(MIN(ABS($BJ$7:$BJ$29 - MEDIAN(MIN($BJ$7:$BJ$29), MAX($BJ$7:$BJ$29), AR92))), ABS($BJ$7:$BJ$29 - MEDIAN(MIN($BJ$7:$BJ$29), MAX($BJ$7:$BJ$29), AR92)), $BK$7:$BK$29, "Error", 0)</f>
        <v/>
      </c>
      <c r="AS93" s="171">
        <f>_xlfn.XLOOKUP(MIN(ABS($BJ$7:$BJ$29 - MEDIAN(MIN($BJ$7:$BJ$29), MAX($BJ$7:$BJ$29), AS92))), ABS($BJ$7:$BJ$29 - MEDIAN(MIN($BJ$7:$BJ$29), MAX($BJ$7:$BJ$29), AS92)), $BK$7:$BK$29, "Error", 0)</f>
        <v/>
      </c>
      <c r="AT93" s="171">
        <f>_xlfn.XLOOKUP(MIN(ABS($BJ$7:$BJ$29 - MEDIAN(MIN($BJ$7:$BJ$29), MAX($BJ$7:$BJ$29), AT92))), ABS($BJ$7:$BJ$29 - MEDIAN(MIN($BJ$7:$BJ$29), MAX($BJ$7:$BJ$29), AT92)), $BK$7:$BK$29, "Error", 0)</f>
        <v/>
      </c>
      <c r="AU93" s="171">
        <f>_xlfn.XLOOKUP(MIN(ABS($BJ$7:$BJ$29 - MEDIAN(MIN($BJ$7:$BJ$29), MAX($BJ$7:$BJ$29), AU92))), ABS($BJ$7:$BJ$29 - MEDIAN(MIN($BJ$7:$BJ$29), MAX($BJ$7:$BJ$29), AU92)), $BK$7:$BK$29, "Error", 0)</f>
        <v/>
      </c>
      <c r="AV93" s="206">
        <f>_xlfn.XLOOKUP(MIN(ABS($BJ$7:$BJ$29 - MEDIAN(MIN($BJ$7:$BJ$29), MAX($BJ$7:$BJ$29), AV92))), ABS($BJ$7:$BJ$29 - MEDIAN(MIN($BJ$7:$BJ$29), MAX($BJ$7:$BJ$29), AV92)), $BK$7:$BK$29, "Error", 0)</f>
        <v/>
      </c>
      <c r="AW93" s="184">
        <f>_xlfn.XLOOKUP(MIN(ABS($BJ$7:$BJ$29 - MEDIAN(MIN($BJ$7:$BJ$29), MAX($BJ$7:$BJ$29), AW92))), ABS($BJ$7:$BJ$29 - MEDIAN(MIN($BJ$7:$BJ$29), MAX($BJ$7:$BJ$29), AW92)), $BK$7:$BK$29, "Error", 0)</f>
        <v/>
      </c>
      <c r="AX93" s="184">
        <f>_xlfn.XLOOKUP(MIN(ABS($BJ$7:$BJ$29 - MEDIAN(MIN($BJ$7:$BJ$29), MAX($BJ$7:$BJ$29), AX92))), ABS($BJ$7:$BJ$29 - MEDIAN(MIN($BJ$7:$BJ$29), MAX($BJ$7:$BJ$29), AX92)), $BK$7:$BK$29, "Error", 0)</f>
        <v/>
      </c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1680690.243566528</v>
      </c>
      <c r="D94" s="233" t="n">
        <v>1680690.243566528</v>
      </c>
      <c r="E94" s="233" t="n">
        <v>1680690.243566528</v>
      </c>
      <c r="F94" s="233" t="n">
        <v>1680690.243566528</v>
      </c>
      <c r="G94" s="233" t="n">
        <v>1680690.243566528</v>
      </c>
      <c r="H94" s="233" t="n">
        <v>1680690.243566528</v>
      </c>
      <c r="I94" s="233" t="n">
        <v>1680690.243566528</v>
      </c>
      <c r="J94" s="233" t="n">
        <v>1680690.243566528</v>
      </c>
      <c r="K94" s="233" t="n">
        <v>1680690.243566528</v>
      </c>
      <c r="L94" s="233" t="n">
        <v>1680690.243566528</v>
      </c>
      <c r="M94" s="233" t="n">
        <v>1680690.243566528</v>
      </c>
      <c r="N94" s="233" t="n">
        <v>1680690.243566528</v>
      </c>
      <c r="O94" s="233" t="n">
        <v>1680690.243566528</v>
      </c>
      <c r="P94" s="233" t="n">
        <v>1680690.243566528</v>
      </c>
      <c r="Q94" s="233" t="n">
        <v>1680690.243566528</v>
      </c>
      <c r="R94" s="233" t="n">
        <v>1680690.243566528</v>
      </c>
      <c r="S94" s="233" t="n">
        <v>1680690.243566528</v>
      </c>
      <c r="T94" s="233" t="n">
        <v>1683861.923764944</v>
      </c>
      <c r="U94" s="233" t="n">
        <v>1713054.044154271</v>
      </c>
      <c r="V94" s="233" t="n">
        <v>1713054.044154271</v>
      </c>
      <c r="W94" s="233" t="n">
        <v>1713054.044154271</v>
      </c>
      <c r="X94" s="233" t="n">
        <v>1713054.044154271</v>
      </c>
      <c r="Y94" s="233" t="n">
        <v>1713054.044154271</v>
      </c>
      <c r="Z94" s="233" t="n">
        <v>1713054.044154271</v>
      </c>
      <c r="AA94" s="204" t="n">
        <v>1713054.044154271</v>
      </c>
      <c r="AB94" s="204" t="n">
        <v>1713054.044154271</v>
      </c>
      <c r="AC94" s="204" t="n">
        <v>1713054.044154271</v>
      </c>
      <c r="AD94" s="204" t="n">
        <v>1713054.044154271</v>
      </c>
      <c r="AE94" s="204" t="n">
        <v>1725992.092163086</v>
      </c>
      <c r="AF94" s="204" t="n">
        <v>1749080.585175633</v>
      </c>
      <c r="AG94" s="204" t="n">
        <v>1821126.471074</v>
      </c>
      <c r="AH94" s="204" t="n">
        <v>1867064.554138184</v>
      </c>
      <c r="AI94" s="204" t="n">
        <v>1873819.824915528</v>
      </c>
      <c r="AJ94" s="204" t="n">
        <v>1984274.36789614</v>
      </c>
      <c r="AK94" s="204" t="n">
        <v>2021291.655082226</v>
      </c>
      <c r="AL94" s="204" t="n">
        <v>2101406.215003222</v>
      </c>
      <c r="AM94" s="204" t="n">
        <v>2186421.358207703</v>
      </c>
      <c r="AN94" s="204" t="n">
        <v>2305306.625908166</v>
      </c>
      <c r="AO94" s="204" t="n">
        <v>2305306.625908166</v>
      </c>
      <c r="AP94" s="204" t="n">
        <v>2305306.625908166</v>
      </c>
      <c r="AQ94" s="204" t="n">
        <v>2305306.625908166</v>
      </c>
      <c r="AR94" s="204" t="n">
        <v>2305306.625908166</v>
      </c>
      <c r="AS94" s="204" t="n">
        <v>2386189.896172911</v>
      </c>
      <c r="AT94" s="204" t="n">
        <v>2386189.896172911</v>
      </c>
      <c r="AU94" s="204" t="n">
        <v>2386189.896172911</v>
      </c>
      <c r="AV94" s="200" t="n">
        <v>2386189.896172911</v>
      </c>
      <c r="AW94" s="184" t="n">
        <v>2386189.896172911</v>
      </c>
      <c r="AX94" s="184" t="n">
        <v>2386189.896172911</v>
      </c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1252176.297520995</v>
      </c>
      <c r="D95" s="233" t="n">
        <v>1294714.012234852</v>
      </c>
      <c r="E95" s="233" t="n">
        <v>1258925.315456972</v>
      </c>
      <c r="F95" s="233" t="n">
        <v>1314941.215961426</v>
      </c>
      <c r="G95" s="233" t="n">
        <v>1291838.830864698</v>
      </c>
      <c r="H95" s="233" t="n">
        <v>1375477.881774902</v>
      </c>
      <c r="I95" s="233" t="n">
        <v>1392952.389464281</v>
      </c>
      <c r="J95" s="233" t="n">
        <v>1381396.255350366</v>
      </c>
      <c r="K95" s="233" t="n">
        <v>1386561.034956165</v>
      </c>
      <c r="L95" s="233" t="n">
        <v>1328031.914350927</v>
      </c>
      <c r="M95" s="233" t="n">
        <v>1391318.792266309</v>
      </c>
      <c r="N95" s="233" t="n">
        <v>1392293.09919624</v>
      </c>
      <c r="O95" s="233" t="n">
        <v>1427524.995616235</v>
      </c>
      <c r="P95" s="233" t="n">
        <v>1454804.518432617</v>
      </c>
      <c r="Q95" s="233" t="n">
        <v>1517435.605218261</v>
      </c>
      <c r="R95" s="233" t="n">
        <v>1598833.38729912</v>
      </c>
      <c r="S95" s="233" t="n">
        <v>1653309.10506472</v>
      </c>
      <c r="T95" s="233" t="n">
        <v>1658855.296872094</v>
      </c>
      <c r="U95" s="233" t="n">
        <v>1639876.970214844</v>
      </c>
      <c r="V95" s="233" t="n">
        <v>1597777.707592458</v>
      </c>
      <c r="W95" s="233" t="n">
        <v>1573950.609664917</v>
      </c>
      <c r="X95" s="233" t="n">
        <v>1610057.572387084</v>
      </c>
      <c r="Y95" s="233" t="n">
        <v>1590415.735866576</v>
      </c>
      <c r="Z95" s="233" t="n">
        <v>1610072.769134521</v>
      </c>
      <c r="AA95" s="204" t="n">
        <v>1660420.476470947</v>
      </c>
      <c r="AB95" s="204" t="n">
        <v>1664918.806509912</v>
      </c>
      <c r="AC95" s="204" t="n">
        <v>1661329.665148437</v>
      </c>
      <c r="AD95" s="204" t="n">
        <v>1621039.341116637</v>
      </c>
      <c r="AE95" s="204" t="n">
        <v>1702696.59968999</v>
      </c>
      <c r="AF95" s="204" t="n">
        <v>1736754.352722168</v>
      </c>
      <c r="AG95" s="204" t="n">
        <v>1806632.129332423</v>
      </c>
      <c r="AH95" s="204" t="n">
        <v>1822062.093567699</v>
      </c>
      <c r="AI95" s="204" t="n">
        <v>1866769.999861717</v>
      </c>
      <c r="AJ95" s="204" t="n">
        <v>1967840.692243725</v>
      </c>
      <c r="AK95" s="204" t="n">
        <v>2011414.492164612</v>
      </c>
      <c r="AL95" s="204" t="n">
        <v>2091652.242331177</v>
      </c>
      <c r="AM95" s="204" t="n">
        <v>2161554.53012085</v>
      </c>
      <c r="AN95" s="204" t="n">
        <v>2294117.220205933</v>
      </c>
      <c r="AO95" s="204" t="n">
        <v>2142611.173866272</v>
      </c>
      <c r="AP95" s="204" t="n">
        <v>2242391.515785158</v>
      </c>
      <c r="AQ95" s="204" t="n">
        <v>2228839.223353028</v>
      </c>
      <c r="AR95" s="204" t="n">
        <v>2252604.12082091</v>
      </c>
      <c r="AS95" s="204" t="n">
        <v>2343249.239151537</v>
      </c>
      <c r="AT95" s="204" t="n">
        <v>2344510.866117224</v>
      </c>
      <c r="AU95" s="204" t="n">
        <v>2231362.474341899</v>
      </c>
      <c r="AV95" s="201" t="n">
        <v>2231362.474341899</v>
      </c>
      <c r="AW95" s="184" t="n">
        <v>2231362.474341899</v>
      </c>
      <c r="AX95" s="184" t="n">
        <v>2231362.474341899</v>
      </c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>
        <f>+(AV95-AV94)/AV94</f>
        <v/>
      </c>
      <c r="AW96" s="184">
        <f>+(AW95-AW94)/AW94</f>
        <v/>
      </c>
      <c r="AX96" s="184">
        <f>+(AX95-AX94)/AX94</f>
        <v/>
      </c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8189.10009765625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8810.599609375</v>
      </c>
      <c r="AC97" s="203" t="n">
        <v>8908.7998046875</v>
      </c>
      <c r="AD97" s="203" t="n">
        <v>8908.7998046875</v>
      </c>
      <c r="AE97" s="203" t="n">
        <v>8908.7998046875</v>
      </c>
      <c r="AF97" s="203" t="n">
        <v>8908.7998046875</v>
      </c>
      <c r="AG97" s="203" t="n">
        <v>9163.2001953125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10951.099609375</v>
      </c>
      <c r="AT97" s="203" t="n">
        <v>10959.900390625</v>
      </c>
      <c r="AU97" s="203" t="n">
        <v>10959.900390625</v>
      </c>
      <c r="AV97" s="201" t="n">
        <v>10959.900390625</v>
      </c>
      <c r="AW97" s="184" t="n">
        <v>10959.900390625</v>
      </c>
      <c r="AX97" s="184" t="n">
        <v>10959.900390625</v>
      </c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7876.2998046875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8144.10009765625</v>
      </c>
      <c r="S98" s="233" t="n">
        <v>8275.400390625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8674</v>
      </c>
      <c r="AB98" s="203" t="n">
        <v>8809.7001953125</v>
      </c>
      <c r="AC98" s="203" t="n">
        <v>8582.7998046875</v>
      </c>
      <c r="AD98" s="203" t="n">
        <v>8494.900390625</v>
      </c>
      <c r="AE98" s="203" t="n">
        <v>8772.400390625</v>
      </c>
      <c r="AF98" s="203" t="n">
        <v>8761</v>
      </c>
      <c r="AG98" s="203" t="n">
        <v>9132.7998046875</v>
      </c>
      <c r="AH98" s="203" t="n">
        <v>9187.2998046875</v>
      </c>
      <c r="AI98" s="203" t="n">
        <v>9350.400390625</v>
      </c>
      <c r="AJ98" s="203" t="n">
        <v>9717.2998046875</v>
      </c>
      <c r="AK98" s="203" t="n">
        <v>9720.5</v>
      </c>
      <c r="AL98" s="203" t="n">
        <v>9931.400390625</v>
      </c>
      <c r="AM98" s="203" t="n">
        <v>10223.5</v>
      </c>
      <c r="AN98" s="203" t="n">
        <v>10910.599609375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10497.099609375</v>
      </c>
      <c r="AS98" s="203" t="n">
        <v>10868.099609375</v>
      </c>
      <c r="AT98" s="203" t="n">
        <v>10824.2998046875</v>
      </c>
      <c r="AU98" s="203" t="n">
        <v>10714.6201171875</v>
      </c>
      <c r="AV98" s="201" t="n">
        <v>10714.6201171875</v>
      </c>
      <c r="AW98" s="184" t="n">
        <v>10714.6201171875</v>
      </c>
      <c r="AX98" s="184" t="n">
        <v>10714.6201171875</v>
      </c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>
        <f>+(AV98-AV97)/AV97</f>
        <v/>
      </c>
      <c r="AW99" s="184">
        <f>+(AW98-AW97)/AW97</f>
        <v/>
      </c>
      <c r="AX99" s="184">
        <f>+(AX98-AX97)/AX97</f>
        <v/>
      </c>
      <c r="AY99" s="184" t="n"/>
    </row>
    <row r="100" ht="22" customHeight="1">
      <c r="A100" s="303" t="n"/>
      <c r="B100" s="201" t="inlineStr">
        <is>
          <t>real % change</t>
        </is>
      </c>
      <c r="C100" s="230">
        <f>+C99-C96</f>
        <v/>
      </c>
      <c r="D100" s="230">
        <f>+D99-D96</f>
        <v/>
      </c>
      <c r="E100" s="230">
        <f>+E99-E96</f>
        <v/>
      </c>
      <c r="F100" s="230">
        <f>+F99-F96</f>
        <v/>
      </c>
      <c r="G100" s="230">
        <f>+G99-G96</f>
        <v/>
      </c>
      <c r="H100" s="230">
        <f>+H99-H96</f>
        <v/>
      </c>
      <c r="I100" s="230">
        <f>+I99-I96</f>
        <v/>
      </c>
      <c r="J100" s="230">
        <f>+J99-J96</f>
        <v/>
      </c>
      <c r="K100" s="230">
        <f>+K99-K96</f>
        <v/>
      </c>
      <c r="L100" s="230">
        <f>+L99-L96</f>
        <v/>
      </c>
      <c r="M100" s="230">
        <f>+M99-M96</f>
        <v/>
      </c>
      <c r="N100" s="230">
        <f>+N99-N96</f>
        <v/>
      </c>
      <c r="O100" s="230">
        <f>+O99-O96</f>
        <v/>
      </c>
      <c r="P100" s="230">
        <f>+P99-P96</f>
        <v/>
      </c>
      <c r="Q100" s="230">
        <f>+Q99-Q96</f>
        <v/>
      </c>
      <c r="R100" s="230">
        <f>+R99-R96</f>
        <v/>
      </c>
      <c r="S100" s="230">
        <f>+S99-S96</f>
        <v/>
      </c>
      <c r="T100" s="230">
        <f>+T99-T96</f>
        <v/>
      </c>
      <c r="U100" s="230">
        <f>+U99-U96</f>
        <v/>
      </c>
      <c r="V100" s="230">
        <f>+V99-V96</f>
        <v/>
      </c>
      <c r="W100" s="230">
        <f>+W99-W96</f>
        <v/>
      </c>
      <c r="X100" s="230">
        <f>+X99-X96</f>
        <v/>
      </c>
      <c r="Y100" s="230">
        <f>+Y99-Y96</f>
        <v/>
      </c>
      <c r="Z100" s="230">
        <f>+Z99-Z96</f>
        <v/>
      </c>
      <c r="AA100" s="230">
        <f>+AA99-AA96</f>
        <v/>
      </c>
      <c r="AB100" s="205">
        <f>+AB99-AB96</f>
        <v/>
      </c>
      <c r="AC100" s="205">
        <f>+AC99-AC96</f>
        <v/>
      </c>
      <c r="AD100" s="205">
        <f>+AD99-AD96</f>
        <v/>
      </c>
      <c r="AE100" s="205">
        <f>+AE99-AE96</f>
        <v/>
      </c>
      <c r="AF100" s="205">
        <f>+AF99-AF96</f>
        <v/>
      </c>
      <c r="AG100" s="205">
        <f>+AG99-AG96</f>
        <v/>
      </c>
      <c r="AH100" s="205">
        <f>+AH99-AH96</f>
        <v/>
      </c>
      <c r="AI100" s="205">
        <f>+AI99-AI96</f>
        <v/>
      </c>
      <c r="AJ100" s="205">
        <f>+AJ99-AJ96</f>
        <v/>
      </c>
      <c r="AK100" s="205">
        <f>+AK99-AK96</f>
        <v/>
      </c>
      <c r="AL100" s="205">
        <f>+AL99-AL96</f>
        <v/>
      </c>
      <c r="AM100" s="205">
        <f>+AM99-AM96</f>
        <v/>
      </c>
      <c r="AN100" s="205">
        <f>+AN99-AN96</f>
        <v/>
      </c>
      <c r="AO100" s="205">
        <f>+AO99-AO96</f>
        <v/>
      </c>
      <c r="AP100" s="205">
        <f>+AP99-AP96</f>
        <v/>
      </c>
      <c r="AQ100" s="205">
        <f>+AQ99-AQ96</f>
        <v/>
      </c>
      <c r="AR100" s="205">
        <f>+AR99-AR96</f>
        <v/>
      </c>
      <c r="AS100" s="205">
        <f>+AS99-AS96</f>
        <v/>
      </c>
      <c r="AT100" s="205">
        <f>+AT99-AT96</f>
        <v/>
      </c>
      <c r="AU100" s="205">
        <f>+AU99-AU96</f>
        <v/>
      </c>
      <c r="AV100" s="201">
        <f>+AV99-AV96</f>
        <v/>
      </c>
      <c r="AW100" s="184">
        <f>+AW99-AW96</f>
        <v/>
      </c>
      <c r="AX100" s="184">
        <f>+AX99-AX96</f>
        <v/>
      </c>
      <c r="AY100" s="184" t="n"/>
    </row>
    <row r="101" ht="22" customHeight="1">
      <c r="A101" s="304" t="n"/>
      <c r="B101" s="206" t="inlineStr">
        <is>
          <t>Rating</t>
        </is>
      </c>
      <c r="C101" s="232">
        <f>_xlfn.XLOOKUP(MIN(ABS($BJ$7:$BJ$29 - MEDIAN(MIN($BJ$7:$BJ$29), MAX($BJ$7:$BJ$29), C100))), ABS($BJ$7:$BJ$29 - MEDIAN(MIN($BJ$7:$BJ$29), MAX($BJ$7:$BJ$29), C100)), $BK$7:$BK$29, "Error", 0)</f>
        <v/>
      </c>
      <c r="D101" s="232">
        <f>_xlfn.XLOOKUP(MIN(ABS($BJ$7:$BJ$29 - MEDIAN(MIN($BJ$7:$BJ$29), MAX($BJ$7:$BJ$29), D100))), ABS($BJ$7:$BJ$29 - MEDIAN(MIN($BJ$7:$BJ$29), MAX($BJ$7:$BJ$29), D100)), $BK$7:$BK$29, "Error", 0)</f>
        <v/>
      </c>
      <c r="E101" s="232">
        <f>_xlfn.XLOOKUP(MIN(ABS($BJ$7:$BJ$29 - MEDIAN(MIN($BJ$7:$BJ$29), MAX($BJ$7:$BJ$29), E100))), ABS($BJ$7:$BJ$29 - MEDIAN(MIN($BJ$7:$BJ$29), MAX($BJ$7:$BJ$29), E100)), $BK$7:$BK$29, "Error", 0)</f>
        <v/>
      </c>
      <c r="F101" s="232">
        <f>_xlfn.XLOOKUP(MIN(ABS($BJ$7:$BJ$29 - MEDIAN(MIN($BJ$7:$BJ$29), MAX($BJ$7:$BJ$29), F100))), ABS($BJ$7:$BJ$29 - MEDIAN(MIN($BJ$7:$BJ$29), MAX($BJ$7:$BJ$29), F100)), $BK$7:$BK$29, "Error", 0)</f>
        <v/>
      </c>
      <c r="G101" s="232">
        <f>_xlfn.XLOOKUP(MIN(ABS($BJ$7:$BJ$29 - MEDIAN(MIN($BJ$7:$BJ$29), MAX($BJ$7:$BJ$29), G100))), ABS($BJ$7:$BJ$29 - MEDIAN(MIN($BJ$7:$BJ$29), MAX($BJ$7:$BJ$29), G100)), $BK$7:$BK$29, "Error", 0)</f>
        <v/>
      </c>
      <c r="H101" s="232">
        <f>_xlfn.XLOOKUP(MIN(ABS($BJ$7:$BJ$29 - MEDIAN(MIN($BJ$7:$BJ$29), MAX($BJ$7:$BJ$29), H100))), ABS($BJ$7:$BJ$29 - MEDIAN(MIN($BJ$7:$BJ$29), MAX($BJ$7:$BJ$29), H100)), $BK$7:$BK$29, "Error", 0)</f>
        <v/>
      </c>
      <c r="I101" s="232">
        <f>_xlfn.XLOOKUP(MIN(ABS($BJ$7:$BJ$29 - MEDIAN(MIN($BJ$7:$BJ$29), MAX($BJ$7:$BJ$29), I100))), ABS($BJ$7:$BJ$29 - MEDIAN(MIN($BJ$7:$BJ$29), MAX($BJ$7:$BJ$29), I100)), $BK$7:$BK$29, "Error", 0)</f>
        <v/>
      </c>
      <c r="J101" s="232">
        <f>_xlfn.XLOOKUP(MIN(ABS($BJ$7:$BJ$29 - MEDIAN(MIN($BJ$7:$BJ$29), MAX($BJ$7:$BJ$29), J100))), ABS($BJ$7:$BJ$29 - MEDIAN(MIN($BJ$7:$BJ$29), MAX($BJ$7:$BJ$29), J100)), $BK$7:$BK$29, "Error", 0)</f>
        <v/>
      </c>
      <c r="K101" s="232">
        <f>_xlfn.XLOOKUP(MIN(ABS($BJ$7:$BJ$29 - MEDIAN(MIN($BJ$7:$BJ$29), MAX($BJ$7:$BJ$29), K100))), ABS($BJ$7:$BJ$29 - MEDIAN(MIN($BJ$7:$BJ$29), MAX($BJ$7:$BJ$29), K100)), $BK$7:$BK$29, "Error", 0)</f>
        <v/>
      </c>
      <c r="L101" s="232">
        <f>_xlfn.XLOOKUP(MIN(ABS($BJ$7:$BJ$29 - MEDIAN(MIN($BJ$7:$BJ$29), MAX($BJ$7:$BJ$29), L100))), ABS($BJ$7:$BJ$29 - MEDIAN(MIN($BJ$7:$BJ$29), MAX($BJ$7:$BJ$29), L100)), $BK$7:$BK$29, "Error", 0)</f>
        <v/>
      </c>
      <c r="M101" s="232">
        <f>_xlfn.XLOOKUP(MIN(ABS($BJ$7:$BJ$29 - MEDIAN(MIN($BJ$7:$BJ$29), MAX($BJ$7:$BJ$29), M100))), ABS($BJ$7:$BJ$29 - MEDIAN(MIN($BJ$7:$BJ$29), MAX($BJ$7:$BJ$29), M100)), $BK$7:$BK$29, "Error", 0)</f>
        <v/>
      </c>
      <c r="N101" s="232">
        <f>_xlfn.XLOOKUP(MIN(ABS($BJ$7:$BJ$29 - MEDIAN(MIN($BJ$7:$BJ$29), MAX($BJ$7:$BJ$29), N100))), ABS($BJ$7:$BJ$29 - MEDIAN(MIN($BJ$7:$BJ$29), MAX($BJ$7:$BJ$29), N100)), $BK$7:$BK$29, "Error", 0)</f>
        <v/>
      </c>
      <c r="O101" s="232">
        <f>_xlfn.XLOOKUP(MIN(ABS($BJ$7:$BJ$29 - MEDIAN(MIN($BJ$7:$BJ$29), MAX($BJ$7:$BJ$29), O100))), ABS($BJ$7:$BJ$29 - MEDIAN(MIN($BJ$7:$BJ$29), MAX($BJ$7:$BJ$29), O100)), $BK$7:$BK$29, "Error", 0)</f>
        <v/>
      </c>
      <c r="P101" s="232">
        <f>_xlfn.XLOOKUP(MIN(ABS($BJ$7:$BJ$29 - MEDIAN(MIN($BJ$7:$BJ$29), MAX($BJ$7:$BJ$29), P100))), ABS($BJ$7:$BJ$29 - MEDIAN(MIN($BJ$7:$BJ$29), MAX($BJ$7:$BJ$29), P100)), $BK$7:$BK$29, "Error", 0)</f>
        <v/>
      </c>
      <c r="Q101" s="232">
        <f>_xlfn.XLOOKUP(MIN(ABS($BJ$7:$BJ$29 - MEDIAN(MIN($BJ$7:$BJ$29), MAX($BJ$7:$BJ$29), Q100))), ABS($BJ$7:$BJ$29 - MEDIAN(MIN($BJ$7:$BJ$29), MAX($BJ$7:$BJ$29), Q100)), $BK$7:$BK$29, "Error", 0)</f>
        <v/>
      </c>
      <c r="R101" s="232">
        <f>_xlfn.XLOOKUP(MIN(ABS($BJ$7:$BJ$29 - MEDIAN(MIN($BJ$7:$BJ$29), MAX($BJ$7:$BJ$29), R100))), ABS($BJ$7:$BJ$29 - MEDIAN(MIN($BJ$7:$BJ$29), MAX($BJ$7:$BJ$29), R100)), $BK$7:$BK$29, "Error", 0)</f>
        <v/>
      </c>
      <c r="S101" s="232">
        <f>_xlfn.XLOOKUP(MIN(ABS($BJ$7:$BJ$29 - MEDIAN(MIN($BJ$7:$BJ$29), MAX($BJ$7:$BJ$29), S100))), ABS($BJ$7:$BJ$29 - MEDIAN(MIN($BJ$7:$BJ$29), MAX($BJ$7:$BJ$29), S100)), $BK$7:$BK$29, "Error", 0)</f>
        <v/>
      </c>
      <c r="T101" s="232">
        <f>_xlfn.XLOOKUP(MIN(ABS($BJ$7:$BJ$29 - MEDIAN(MIN($BJ$7:$BJ$29), MAX($BJ$7:$BJ$29), T100))), ABS($BJ$7:$BJ$29 - MEDIAN(MIN($BJ$7:$BJ$29), MAX($BJ$7:$BJ$29), T100)), $BK$7:$BK$29, "Error", 0)</f>
        <v/>
      </c>
      <c r="U101" s="232">
        <f>_xlfn.XLOOKUP(MIN(ABS($BJ$7:$BJ$29 - MEDIAN(MIN($BJ$7:$BJ$29), MAX($BJ$7:$BJ$29), U100))), ABS($BJ$7:$BJ$29 - MEDIAN(MIN($BJ$7:$BJ$29), MAX($BJ$7:$BJ$29), U100)), $BK$7:$BK$29, "Error", 0)</f>
        <v/>
      </c>
      <c r="V101" s="232">
        <f>_xlfn.XLOOKUP(MIN(ABS($BJ$7:$BJ$29 - MEDIAN(MIN($BJ$7:$BJ$29), MAX($BJ$7:$BJ$29), V100))), ABS($BJ$7:$BJ$29 - MEDIAN(MIN($BJ$7:$BJ$29), MAX($BJ$7:$BJ$29), V100)), $BK$7:$BK$29, "Error", 0)</f>
        <v/>
      </c>
      <c r="W101" s="232">
        <f>_xlfn.XLOOKUP(MIN(ABS($BJ$7:$BJ$29 - MEDIAN(MIN($BJ$7:$BJ$29), MAX($BJ$7:$BJ$29), W100))), ABS($BJ$7:$BJ$29 - MEDIAN(MIN($BJ$7:$BJ$29), MAX($BJ$7:$BJ$29), W100)), $BK$7:$BK$29, "Error", 0)</f>
        <v/>
      </c>
      <c r="X101" s="232">
        <f>_xlfn.XLOOKUP(MIN(ABS($BJ$7:$BJ$29 - MEDIAN(MIN($BJ$7:$BJ$29), MAX($BJ$7:$BJ$29), X100))), ABS($BJ$7:$BJ$29 - MEDIAN(MIN($BJ$7:$BJ$29), MAX($BJ$7:$BJ$29), X100)), $BK$7:$BK$29, "Error", 0)</f>
        <v/>
      </c>
      <c r="Y101" s="232">
        <f>_xlfn.XLOOKUP(MIN(ABS($BJ$7:$BJ$29 - MEDIAN(MIN($BJ$7:$BJ$29), MAX($BJ$7:$BJ$29), Y100))), ABS($BJ$7:$BJ$29 - MEDIAN(MIN($BJ$7:$BJ$29), MAX($BJ$7:$BJ$29), Y100)), $BK$7:$BK$29, "Error", 0)</f>
        <v/>
      </c>
      <c r="Z101" s="232">
        <f>_xlfn.XLOOKUP(MIN(ABS($BJ$7:$BJ$29 - MEDIAN(MIN($BJ$7:$BJ$29), MAX($BJ$7:$BJ$29), Z100))), ABS($BJ$7:$BJ$29 - MEDIAN(MIN($BJ$7:$BJ$29), MAX($BJ$7:$BJ$29), Z100)), $BK$7:$BK$29, "Error", 0)</f>
        <v/>
      </c>
      <c r="AA101" s="232">
        <f>_xlfn.XLOOKUP(MIN(ABS($BJ$7:$BJ$29 - MEDIAN(MIN($BJ$7:$BJ$29), MAX($BJ$7:$BJ$29), AA100))), ABS($BJ$7:$BJ$29 - MEDIAN(MIN($BJ$7:$BJ$29), MAX($BJ$7:$BJ$29), AA100)), $BK$7:$BK$29, "Error", 0)</f>
        <v/>
      </c>
      <c r="AB101" s="171">
        <f>_xlfn.XLOOKUP(MIN(ABS($BJ$7:$BJ$29 - MEDIAN(MIN($BJ$7:$BJ$29), MAX($BJ$7:$BJ$29), AB100))), ABS($BJ$7:$BJ$29 - MEDIAN(MIN($BJ$7:$BJ$29), MAX($BJ$7:$BJ$29), AB100)), $BK$7:$BK$29, "Error", 0)</f>
        <v/>
      </c>
      <c r="AC101" s="171">
        <f>_xlfn.XLOOKUP(MIN(ABS($BJ$7:$BJ$29 - MEDIAN(MIN($BJ$7:$BJ$29), MAX($BJ$7:$BJ$29), AC100))), ABS($BJ$7:$BJ$29 - MEDIAN(MIN($BJ$7:$BJ$29), MAX($BJ$7:$BJ$29), AC100)), $BK$7:$BK$29, "Error", 0)</f>
        <v/>
      </c>
      <c r="AD101" s="171">
        <f>_xlfn.XLOOKUP(MIN(ABS($BJ$7:$BJ$29 - MEDIAN(MIN($BJ$7:$BJ$29), MAX($BJ$7:$BJ$29), AD100))), ABS($BJ$7:$BJ$29 - MEDIAN(MIN($BJ$7:$BJ$29), MAX($BJ$7:$BJ$29), AD100)), $BK$7:$BK$29, "Error", 0)</f>
        <v/>
      </c>
      <c r="AE101" s="171">
        <f>_xlfn.XLOOKUP(MIN(ABS($BJ$7:$BJ$29 - MEDIAN(MIN($BJ$7:$BJ$29), MAX($BJ$7:$BJ$29), AE100))), ABS($BJ$7:$BJ$29 - MEDIAN(MIN($BJ$7:$BJ$29), MAX($BJ$7:$BJ$29), AE100)), $BK$7:$BK$29, "Error", 0)</f>
        <v/>
      </c>
      <c r="AF101" s="171">
        <f>_xlfn.XLOOKUP(MIN(ABS($BJ$7:$BJ$29 - MEDIAN(MIN($BJ$7:$BJ$29), MAX($BJ$7:$BJ$29), AF100))), ABS($BJ$7:$BJ$29 - MEDIAN(MIN($BJ$7:$BJ$29), MAX($BJ$7:$BJ$29), AF100)), $BK$7:$BK$29, "Error", 0)</f>
        <v/>
      </c>
      <c r="AG101" s="171">
        <f>_xlfn.XLOOKUP(MIN(ABS($BJ$7:$BJ$29 - MEDIAN(MIN($BJ$7:$BJ$29), MAX($BJ$7:$BJ$29), AG100))), ABS($BJ$7:$BJ$29 - MEDIAN(MIN($BJ$7:$BJ$29), MAX($BJ$7:$BJ$29), AG100)), $BK$7:$BK$29, "Error", 0)</f>
        <v/>
      </c>
      <c r="AH101" s="171">
        <f>_xlfn.XLOOKUP(MIN(ABS($BJ$7:$BJ$29 - MEDIAN(MIN($BJ$7:$BJ$29), MAX($BJ$7:$BJ$29), AH100))), ABS($BJ$7:$BJ$29 - MEDIAN(MIN($BJ$7:$BJ$29), MAX($BJ$7:$BJ$29), AH100)), $BK$7:$BK$29, "Error", 0)</f>
        <v/>
      </c>
      <c r="AI101" s="171">
        <f>_xlfn.XLOOKUP(MIN(ABS($BJ$7:$BJ$29 - MEDIAN(MIN($BJ$7:$BJ$29), MAX($BJ$7:$BJ$29), AI100))), ABS($BJ$7:$BJ$29 - MEDIAN(MIN($BJ$7:$BJ$29), MAX($BJ$7:$BJ$29), AI100)), $BK$7:$BK$29, "Error", 0)</f>
        <v/>
      </c>
      <c r="AJ101" s="171">
        <f>_xlfn.XLOOKUP(MIN(ABS($BJ$7:$BJ$29 - MEDIAN(MIN($BJ$7:$BJ$29), MAX($BJ$7:$BJ$29), AJ100))), ABS($BJ$7:$BJ$29 - MEDIAN(MIN($BJ$7:$BJ$29), MAX($BJ$7:$BJ$29), AJ100)), $BK$7:$BK$29, "Error", 0)</f>
        <v/>
      </c>
      <c r="AK101" s="171">
        <f>_xlfn.XLOOKUP(MIN(ABS($BJ$7:$BJ$29 - MEDIAN(MIN($BJ$7:$BJ$29), MAX($BJ$7:$BJ$29), AK100))), ABS($BJ$7:$BJ$29 - MEDIAN(MIN($BJ$7:$BJ$29), MAX($BJ$7:$BJ$29), AK100)), $BK$7:$BK$29, "Error", 0)</f>
        <v/>
      </c>
      <c r="AL101" s="171">
        <f>_xlfn.XLOOKUP(MIN(ABS($BJ$7:$BJ$29 - MEDIAN(MIN($BJ$7:$BJ$29), MAX($BJ$7:$BJ$29), AL100))), ABS($BJ$7:$BJ$29 - MEDIAN(MIN($BJ$7:$BJ$29), MAX($BJ$7:$BJ$29), AL100)), $BK$7:$BK$29, "Error", 0)</f>
        <v/>
      </c>
      <c r="AM101" s="171">
        <f>_xlfn.XLOOKUP(MIN(ABS($BJ$7:$BJ$29 - MEDIAN(MIN($BJ$7:$BJ$29), MAX($BJ$7:$BJ$29), AM100))), ABS($BJ$7:$BJ$29 - MEDIAN(MIN($BJ$7:$BJ$29), MAX($BJ$7:$BJ$29), AM100)), $BK$7:$BK$29, "Error", 0)</f>
        <v/>
      </c>
      <c r="AN101" s="171">
        <f>_xlfn.XLOOKUP(MIN(ABS($BJ$7:$BJ$29 - MEDIAN(MIN($BJ$7:$BJ$29), MAX($BJ$7:$BJ$29), AN100))), ABS($BJ$7:$BJ$29 - MEDIAN(MIN($BJ$7:$BJ$29), MAX($BJ$7:$BJ$29), AN100)), $BK$7:$BK$29, "Error", 0)</f>
        <v/>
      </c>
      <c r="AO101" s="171">
        <f>_xlfn.XLOOKUP(MIN(ABS($BJ$7:$BJ$29 - MEDIAN(MIN($BJ$7:$BJ$29), MAX($BJ$7:$BJ$29), AO100))), ABS($BJ$7:$BJ$29 - MEDIAN(MIN($BJ$7:$BJ$29), MAX($BJ$7:$BJ$29), AO100)), $BK$7:$BK$29, "Error", 0)</f>
        <v/>
      </c>
      <c r="AP101" s="171">
        <f>_xlfn.XLOOKUP(MIN(ABS($BJ$7:$BJ$29 - MEDIAN(MIN($BJ$7:$BJ$29), MAX($BJ$7:$BJ$29), AP100))), ABS($BJ$7:$BJ$29 - MEDIAN(MIN($BJ$7:$BJ$29), MAX($BJ$7:$BJ$29), AP100)), $BK$7:$BK$29, "Error", 0)</f>
        <v/>
      </c>
      <c r="AQ101" s="171">
        <f>_xlfn.XLOOKUP(MIN(ABS($BJ$7:$BJ$29 - MEDIAN(MIN($BJ$7:$BJ$29), MAX($BJ$7:$BJ$29), AQ100))), ABS($BJ$7:$BJ$29 - MEDIAN(MIN($BJ$7:$BJ$29), MAX($BJ$7:$BJ$29), AQ100)), $BK$7:$BK$29, "Error", 0)</f>
        <v/>
      </c>
      <c r="AR101" s="171">
        <f>_xlfn.XLOOKUP(MIN(ABS($BJ$7:$BJ$29 - MEDIAN(MIN($BJ$7:$BJ$29), MAX($BJ$7:$BJ$29), AR100))), ABS($BJ$7:$BJ$29 - MEDIAN(MIN($BJ$7:$BJ$29), MAX($BJ$7:$BJ$29), AR100)), $BK$7:$BK$29, "Error", 0)</f>
        <v/>
      </c>
      <c r="AS101" s="171">
        <f>_xlfn.XLOOKUP(MIN(ABS($BJ$7:$BJ$29 - MEDIAN(MIN($BJ$7:$BJ$29), MAX($BJ$7:$BJ$29), AS100))), ABS($BJ$7:$BJ$29 - MEDIAN(MIN($BJ$7:$BJ$29), MAX($BJ$7:$BJ$29), AS100)), $BK$7:$BK$29, "Error", 0)</f>
        <v/>
      </c>
      <c r="AT101" s="171">
        <f>_xlfn.XLOOKUP(MIN(ABS($BJ$7:$BJ$29 - MEDIAN(MIN($BJ$7:$BJ$29), MAX($BJ$7:$BJ$29), AT100))), ABS($BJ$7:$BJ$29 - MEDIAN(MIN($BJ$7:$BJ$29), MAX($BJ$7:$BJ$29), AT100)), $BK$7:$BK$29, "Error", 0)</f>
        <v/>
      </c>
      <c r="AU101" s="171">
        <f>_xlfn.XLOOKUP(MIN(ABS($BJ$7:$BJ$29 - MEDIAN(MIN($BJ$7:$BJ$29), MAX($BJ$7:$BJ$29), AU100))), ABS($BJ$7:$BJ$29 - MEDIAN(MIN($BJ$7:$BJ$29), MAX($BJ$7:$BJ$29), AU100)), $BK$7:$BK$29, "Error", 0)</f>
        <v/>
      </c>
      <c r="AV101" s="206">
        <f>_xlfn.XLOOKUP(MIN(ABS($BJ$7:$BJ$29 - MEDIAN(MIN($BJ$7:$BJ$29), MAX($BJ$7:$BJ$29), AV100))), ABS($BJ$7:$BJ$29 - MEDIAN(MIN($BJ$7:$BJ$29), MAX($BJ$7:$BJ$29), AV100)), $BK$7:$BK$29, "Error", 0)</f>
        <v/>
      </c>
      <c r="AW101" s="184">
        <f>_xlfn.XLOOKUP(MIN(ABS($BJ$7:$BJ$29 - MEDIAN(MIN($BJ$7:$BJ$29), MAX($BJ$7:$BJ$29), AW100))), ABS($BJ$7:$BJ$29 - MEDIAN(MIN($BJ$7:$BJ$29), MAX($BJ$7:$BJ$29), AW100)), $BK$7:$BK$29, "Error", 0)</f>
        <v/>
      </c>
      <c r="AX101" s="184">
        <f>_xlfn.XLOOKUP(MIN(ABS($BJ$7:$BJ$29 - MEDIAN(MIN($BJ$7:$BJ$29), MAX($BJ$7:$BJ$29), AX100))), ABS($BJ$7:$BJ$29 - MEDIAN(MIN($BJ$7:$BJ$29), MAX($BJ$7:$BJ$29), AX100)), $BK$7:$BK$29, "Error", 0)</f>
        <v/>
      </c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16554.88580047223</v>
      </c>
      <c r="D102" s="233" t="n">
        <v>16554.88580047223</v>
      </c>
      <c r="E102" s="233" t="n">
        <v>16554.88580047223</v>
      </c>
      <c r="F102" s="233" t="n">
        <v>16554.88580047223</v>
      </c>
      <c r="G102" s="233" t="n">
        <v>16554.88580047223</v>
      </c>
      <c r="H102" s="233" t="n">
        <v>16554.88580047223</v>
      </c>
      <c r="I102" s="233" t="n">
        <v>16554.88580047223</v>
      </c>
      <c r="J102" s="233" t="n">
        <v>16554.88580047223</v>
      </c>
      <c r="K102" s="233" t="n">
        <v>16554.88580047223</v>
      </c>
      <c r="L102" s="233" t="n">
        <v>16554.88580047223</v>
      </c>
      <c r="M102" s="233" t="n">
        <v>16554.88580047223</v>
      </c>
      <c r="N102" s="233" t="n">
        <v>16554.88580047223</v>
      </c>
      <c r="O102" s="233" t="n">
        <v>16554.88580047223</v>
      </c>
      <c r="P102" s="233" t="n">
        <v>16554.88580047223</v>
      </c>
      <c r="Q102" s="233" t="n">
        <v>16554.88580047223</v>
      </c>
      <c r="R102" s="233" t="n">
        <v>16554.88580047223</v>
      </c>
      <c r="S102" s="233" t="n">
        <v>16554.88580047223</v>
      </c>
      <c r="T102" s="233" t="n">
        <v>16554.88580047223</v>
      </c>
      <c r="U102" s="233" t="n">
        <v>16554.88580047223</v>
      </c>
      <c r="V102" s="233" t="n">
        <v>16554.88580047223</v>
      </c>
      <c r="W102" s="233" t="n">
        <v>16554.88580047223</v>
      </c>
      <c r="X102" s="233" t="n">
        <v>16554.88580047223</v>
      </c>
      <c r="Y102" s="233" t="n">
        <v>16554.88580047223</v>
      </c>
      <c r="Z102" s="233" t="n">
        <v>16554.88580047223</v>
      </c>
      <c r="AA102" s="204" t="n">
        <v>16554.88580047223</v>
      </c>
      <c r="AB102" s="204" t="n">
        <v>16554.88580047223</v>
      </c>
      <c r="AC102" s="204" t="n">
        <v>16554.88580047223</v>
      </c>
      <c r="AD102" s="204" t="n">
        <v>16554.88580047223</v>
      </c>
      <c r="AE102" s="204" t="n">
        <v>16554.88580047223</v>
      </c>
      <c r="AF102" s="204" t="n">
        <v>16554.88580047223</v>
      </c>
      <c r="AG102" s="204" t="n">
        <v>16554.88580047223</v>
      </c>
      <c r="AH102" s="204" t="n">
        <v>16554.88580047223</v>
      </c>
      <c r="AI102" s="204" t="n">
        <v>16554.88580047223</v>
      </c>
      <c r="AJ102" s="204" t="n">
        <v>16554.88580047223</v>
      </c>
      <c r="AK102" s="204" t="n">
        <v>16554.88580047223</v>
      </c>
      <c r="AL102" s="204" t="n">
        <v>16554.88580047223</v>
      </c>
      <c r="AM102" s="204" t="n">
        <v>16554.88580047223</v>
      </c>
      <c r="AN102" s="204" t="n">
        <v>16554.88580047223</v>
      </c>
      <c r="AO102" s="204" t="n">
        <v>16554.88580047223</v>
      </c>
      <c r="AP102" s="204" t="n">
        <v>16554.88580047223</v>
      </c>
      <c r="AQ102" s="204" t="n">
        <v>16554.88580047223</v>
      </c>
      <c r="AR102" s="204" t="n">
        <v>16554.88580047223</v>
      </c>
      <c r="AS102" s="204" t="n">
        <v>16554.88580047223</v>
      </c>
      <c r="AT102" s="204" t="n">
        <v>16554.88580047223</v>
      </c>
      <c r="AU102" s="204" t="n">
        <v>16554.88580047223</v>
      </c>
      <c r="AV102" s="200" t="n">
        <v>16554.88580047223</v>
      </c>
      <c r="AW102" s="184" t="n">
        <v>16554.88580047223</v>
      </c>
      <c r="AX102" s="184" t="n">
        <v>16554.88580047223</v>
      </c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8880.099824281759</v>
      </c>
      <c r="D103" s="233" t="n">
        <v>8886.514147133683</v>
      </c>
      <c r="E103" s="233" t="n">
        <v>8633.51386918698</v>
      </c>
      <c r="F103" s="233" t="n">
        <v>8791.381368593953</v>
      </c>
      <c r="G103" s="233" t="n">
        <v>8373.214391779737</v>
      </c>
      <c r="H103" s="233" t="n">
        <v>8541.775520324707</v>
      </c>
      <c r="I103" s="233" t="n">
        <v>8607.852227227995</v>
      </c>
      <c r="J103" s="233" t="n">
        <v>8303.151734334242</v>
      </c>
      <c r="K103" s="233" t="n">
        <v>8493.074407528562</v>
      </c>
      <c r="L103" s="233" t="n">
        <v>8034.760984833702</v>
      </c>
      <c r="M103" s="233" t="n">
        <v>8261.791608261759</v>
      </c>
      <c r="N103" s="233" t="n">
        <v>8304.606131775538</v>
      </c>
      <c r="O103" s="233" t="n">
        <v>8347.723549316928</v>
      </c>
      <c r="P103" s="233" t="n">
        <v>8488.069931268692</v>
      </c>
      <c r="Q103" s="233" t="n">
        <v>9084.255168911477</v>
      </c>
      <c r="R103" s="233" t="n">
        <v>9315.140304755303</v>
      </c>
      <c r="S103" s="233" t="n">
        <v>9515.137763583334</v>
      </c>
      <c r="T103" s="233" t="n">
        <v>9275.724098067556</v>
      </c>
      <c r="U103" s="233" t="n">
        <v>9474.667593002319</v>
      </c>
      <c r="V103" s="233" t="n">
        <v>9337.395247453591</v>
      </c>
      <c r="W103" s="233" t="n">
        <v>9272.638320446014</v>
      </c>
      <c r="X103" s="233" t="n">
        <v>9105.127973593189</v>
      </c>
      <c r="Y103" s="233" t="n">
        <v>9282.521702724043</v>
      </c>
      <c r="Z103" s="233" t="n">
        <v>9262.869670033455</v>
      </c>
      <c r="AA103" s="204" t="n">
        <v>9800.31915974617</v>
      </c>
      <c r="AB103" s="204" t="n">
        <v>9987.733660648693</v>
      </c>
      <c r="AC103" s="204" t="n">
        <v>9780.787098993314</v>
      </c>
      <c r="AD103" s="204" t="n">
        <v>9380.154122683452</v>
      </c>
      <c r="AE103" s="204" t="n">
        <v>9734.118546060985</v>
      </c>
      <c r="AF103" s="204" t="n">
        <v>9593.996038079262</v>
      </c>
      <c r="AG103" s="204" t="n">
        <v>9845.52353593579</v>
      </c>
      <c r="AH103" s="204" t="n">
        <v>9949.386286687222</v>
      </c>
      <c r="AI103" s="204" t="n">
        <v>10017.08421669435</v>
      </c>
      <c r="AJ103" s="204" t="n">
        <v>10249.0308788832</v>
      </c>
      <c r="AK103" s="204" t="n">
        <v>10354.66566807032</v>
      </c>
      <c r="AL103" s="204" t="n">
        <v>10589.05817229627</v>
      </c>
      <c r="AM103" s="204" t="n">
        <v>10788.55240118504</v>
      </c>
      <c r="AN103" s="204" t="n">
        <v>11380.40942963376</v>
      </c>
      <c r="AO103" s="204" t="n">
        <v>10720.53570979834</v>
      </c>
      <c r="AP103" s="204" t="n">
        <v>11065.87653784011</v>
      </c>
      <c r="AQ103" s="204" t="n">
        <v>10965.98946121673</v>
      </c>
      <c r="AR103" s="204" t="n">
        <v>11233.99564957246</v>
      </c>
      <c r="AS103" s="204" t="n">
        <v>11786.4535392297</v>
      </c>
      <c r="AT103" s="204" t="n">
        <v>11827.71244613174</v>
      </c>
      <c r="AU103" s="204" t="n">
        <v>11827.86867323611</v>
      </c>
      <c r="AV103" s="201" t="n">
        <v>11827.86867323611</v>
      </c>
      <c r="AW103" s="184" t="n">
        <v>11827.86867323611</v>
      </c>
      <c r="AX103" s="184" t="n">
        <v>11827.86867323611</v>
      </c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>
        <f>+(AV103-AV102)/AV102</f>
        <v/>
      </c>
      <c r="AW104" s="184">
        <f>+(AW103-AW102)/AW102</f>
        <v/>
      </c>
      <c r="AX104" s="184">
        <f>+(AX103-AX102)/AX102</f>
        <v/>
      </c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8189.10009765625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8810.599609375</v>
      </c>
      <c r="AC105" s="203" t="n">
        <v>8908.7998046875</v>
      </c>
      <c r="AD105" s="203" t="n">
        <v>8908.7998046875</v>
      </c>
      <c r="AE105" s="203" t="n">
        <v>8908.7998046875</v>
      </c>
      <c r="AF105" s="203" t="n">
        <v>8908.7998046875</v>
      </c>
      <c r="AG105" s="203" t="n">
        <v>9163.2001953125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10951.099609375</v>
      </c>
      <c r="AT105" s="203" t="n">
        <v>10959.900390625</v>
      </c>
      <c r="AU105" s="203" t="n">
        <v>10959.900390625</v>
      </c>
      <c r="AV105" s="201" t="n">
        <v>10959.900390625</v>
      </c>
      <c r="AW105" s="184" t="n">
        <v>10959.900390625</v>
      </c>
      <c r="AX105" s="184" t="n">
        <v>10959.900390625</v>
      </c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7876.2998046875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8144.10009765625</v>
      </c>
      <c r="S106" s="233" t="n">
        <v>8275.400390625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8674</v>
      </c>
      <c r="AB106" s="203" t="n">
        <v>8809.7001953125</v>
      </c>
      <c r="AC106" s="203" t="n">
        <v>8582.7998046875</v>
      </c>
      <c r="AD106" s="203" t="n">
        <v>8494.900390625</v>
      </c>
      <c r="AE106" s="203" t="n">
        <v>8772.400390625</v>
      </c>
      <c r="AF106" s="203" t="n">
        <v>8761</v>
      </c>
      <c r="AG106" s="203" t="n">
        <v>9132.7998046875</v>
      </c>
      <c r="AH106" s="203" t="n">
        <v>9187.2998046875</v>
      </c>
      <c r="AI106" s="203" t="n">
        <v>9350.400390625</v>
      </c>
      <c r="AJ106" s="203" t="n">
        <v>9717.2998046875</v>
      </c>
      <c r="AK106" s="203" t="n">
        <v>9720.5</v>
      </c>
      <c r="AL106" s="203" t="n">
        <v>9931.400390625</v>
      </c>
      <c r="AM106" s="203" t="n">
        <v>10223.5</v>
      </c>
      <c r="AN106" s="203" t="n">
        <v>10910.599609375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10497.099609375</v>
      </c>
      <c r="AS106" s="203" t="n">
        <v>10868.099609375</v>
      </c>
      <c r="AT106" s="203" t="n">
        <v>10824.2998046875</v>
      </c>
      <c r="AU106" s="203" t="n">
        <v>10714.6201171875</v>
      </c>
      <c r="AV106" s="201" t="n">
        <v>10714.6201171875</v>
      </c>
      <c r="AW106" s="184" t="n">
        <v>10714.6201171875</v>
      </c>
      <c r="AX106" s="184" t="n">
        <v>10714.6201171875</v>
      </c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>
        <f>+(AV106-AV105)/AV105</f>
        <v/>
      </c>
      <c r="AW107" s="184">
        <f>+(AW106-AW105)/AW105</f>
        <v/>
      </c>
      <c r="AX107" s="184">
        <f>+(AX106-AX105)/AX105</f>
        <v/>
      </c>
      <c r="AY107" s="184" t="n"/>
    </row>
    <row r="108" ht="22" customHeight="1">
      <c r="A108" s="303" t="n"/>
      <c r="B108" s="201" t="inlineStr">
        <is>
          <t>real % change</t>
        </is>
      </c>
      <c r="C108" s="230">
        <f>+C107-C104</f>
        <v/>
      </c>
      <c r="D108" s="230">
        <f>+D107-D104</f>
        <v/>
      </c>
      <c r="E108" s="230">
        <f>+E107-E104</f>
        <v/>
      </c>
      <c r="F108" s="230">
        <f>+F107-F104</f>
        <v/>
      </c>
      <c r="G108" s="230">
        <f>+G107-G104</f>
        <v/>
      </c>
      <c r="H108" s="230">
        <f>+H107-H104</f>
        <v/>
      </c>
      <c r="I108" s="230">
        <f>+I107-I104</f>
        <v/>
      </c>
      <c r="J108" s="230">
        <f>+J107-J104</f>
        <v/>
      </c>
      <c r="K108" s="230">
        <f>+K107-K104</f>
        <v/>
      </c>
      <c r="L108" s="230">
        <f>+L107-L104</f>
        <v/>
      </c>
      <c r="M108" s="230">
        <f>+M107-M104</f>
        <v/>
      </c>
      <c r="N108" s="230">
        <f>+N107-N104</f>
        <v/>
      </c>
      <c r="O108" s="230">
        <f>+O107-O104</f>
        <v/>
      </c>
      <c r="P108" s="230">
        <f>+P107-P104</f>
        <v/>
      </c>
      <c r="Q108" s="230">
        <f>+Q107-Q104</f>
        <v/>
      </c>
      <c r="R108" s="230">
        <f>+R107-R104</f>
        <v/>
      </c>
      <c r="S108" s="230">
        <f>+S107-S104</f>
        <v/>
      </c>
      <c r="T108" s="230">
        <f>+T107-T104</f>
        <v/>
      </c>
      <c r="U108" s="230">
        <f>+U107-U104</f>
        <v/>
      </c>
      <c r="V108" s="230">
        <f>+V107-V104</f>
        <v/>
      </c>
      <c r="W108" s="230">
        <f>+W107-W104</f>
        <v/>
      </c>
      <c r="X108" s="230">
        <f>+X107-X104</f>
        <v/>
      </c>
      <c r="Y108" s="230">
        <f>+Y107-Y104</f>
        <v/>
      </c>
      <c r="Z108" s="230">
        <f>+Z107-Z104</f>
        <v/>
      </c>
      <c r="AA108" s="230">
        <f>+AA107-AA104</f>
        <v/>
      </c>
      <c r="AB108" s="205">
        <f>+AB107-AB104</f>
        <v/>
      </c>
      <c r="AC108" s="205">
        <f>+AC107-AC104</f>
        <v/>
      </c>
      <c r="AD108" s="205">
        <f>+AD107-AD104</f>
        <v/>
      </c>
      <c r="AE108" s="205">
        <f>+AE107-AE104</f>
        <v/>
      </c>
      <c r="AF108" s="205">
        <f>+AF107-AF104</f>
        <v/>
      </c>
      <c r="AG108" s="205">
        <f>+AG107-AG104</f>
        <v/>
      </c>
      <c r="AH108" s="205">
        <f>+AH107-AH104</f>
        <v/>
      </c>
      <c r="AI108" s="205">
        <f>+AI107-AI104</f>
        <v/>
      </c>
      <c r="AJ108" s="205">
        <f>+AJ107-AJ104</f>
        <v/>
      </c>
      <c r="AK108" s="205">
        <f>+AK107-AK104</f>
        <v/>
      </c>
      <c r="AL108" s="205">
        <f>+AL107-AL104</f>
        <v/>
      </c>
      <c r="AM108" s="205">
        <f>+AM107-AM104</f>
        <v/>
      </c>
      <c r="AN108" s="205">
        <f>+AN107-AN104</f>
        <v/>
      </c>
      <c r="AO108" s="205">
        <f>+AO107-AO104</f>
        <v/>
      </c>
      <c r="AP108" s="205">
        <f>+AP107-AP104</f>
        <v/>
      </c>
      <c r="AQ108" s="205">
        <f>+AQ107-AQ104</f>
        <v/>
      </c>
      <c r="AR108" s="205">
        <f>+AR107-AR104</f>
        <v/>
      </c>
      <c r="AS108" s="205">
        <f>+AS107-AS104</f>
        <v/>
      </c>
      <c r="AT108" s="205">
        <f>+AT107-AT104</f>
        <v/>
      </c>
      <c r="AU108" s="205">
        <f>+AU107-AU104</f>
        <v/>
      </c>
      <c r="AV108" s="201">
        <f>+AV107-AV104</f>
        <v/>
      </c>
      <c r="AW108" s="184">
        <f>+AW107-AW104</f>
        <v/>
      </c>
      <c r="AX108" s="184">
        <f>+AX107-AX104</f>
        <v/>
      </c>
      <c r="AY108" s="184" t="n"/>
    </row>
    <row r="109" ht="22" customHeight="1">
      <c r="A109" s="304" t="n"/>
      <c r="B109" s="206" t="inlineStr">
        <is>
          <t>Rating</t>
        </is>
      </c>
      <c r="C109" s="232">
        <f>_xlfn.XLOOKUP(MIN(ABS($BJ$7:$BJ$29 - MEDIAN(MIN($BJ$7:$BJ$29), MAX($BJ$7:$BJ$29), C108))), ABS($BJ$7:$BJ$29 - MEDIAN(MIN($BJ$7:$BJ$29), MAX($BJ$7:$BJ$29), C108)), $BK$7:$BK$29, "Error", 0)</f>
        <v/>
      </c>
      <c r="D109" s="232">
        <f>_xlfn.XLOOKUP(MIN(ABS($BJ$7:$BJ$29 - MEDIAN(MIN($BJ$7:$BJ$29), MAX($BJ$7:$BJ$29), D108))), ABS($BJ$7:$BJ$29 - MEDIAN(MIN($BJ$7:$BJ$29), MAX($BJ$7:$BJ$29), D108)), $BK$7:$BK$29, "Error", 0)</f>
        <v/>
      </c>
      <c r="E109" s="232">
        <f>_xlfn.XLOOKUP(MIN(ABS($BJ$7:$BJ$29 - MEDIAN(MIN($BJ$7:$BJ$29), MAX($BJ$7:$BJ$29), E108))), ABS($BJ$7:$BJ$29 - MEDIAN(MIN($BJ$7:$BJ$29), MAX($BJ$7:$BJ$29), E108)), $BK$7:$BK$29, "Error", 0)</f>
        <v/>
      </c>
      <c r="F109" s="232">
        <f>_xlfn.XLOOKUP(MIN(ABS($BJ$7:$BJ$29 - MEDIAN(MIN($BJ$7:$BJ$29), MAX($BJ$7:$BJ$29), F108))), ABS($BJ$7:$BJ$29 - MEDIAN(MIN($BJ$7:$BJ$29), MAX($BJ$7:$BJ$29), F108)), $BK$7:$BK$29, "Error", 0)</f>
        <v/>
      </c>
      <c r="G109" s="232">
        <f>_xlfn.XLOOKUP(MIN(ABS($BJ$7:$BJ$29 - MEDIAN(MIN($BJ$7:$BJ$29), MAX($BJ$7:$BJ$29), G108))), ABS($BJ$7:$BJ$29 - MEDIAN(MIN($BJ$7:$BJ$29), MAX($BJ$7:$BJ$29), G108)), $BK$7:$BK$29, "Error", 0)</f>
        <v/>
      </c>
      <c r="H109" s="232">
        <f>_xlfn.XLOOKUP(MIN(ABS($BJ$7:$BJ$29 - MEDIAN(MIN($BJ$7:$BJ$29), MAX($BJ$7:$BJ$29), H108))), ABS($BJ$7:$BJ$29 - MEDIAN(MIN($BJ$7:$BJ$29), MAX($BJ$7:$BJ$29), H108)), $BK$7:$BK$29, "Error", 0)</f>
        <v/>
      </c>
      <c r="I109" s="232">
        <f>_xlfn.XLOOKUP(MIN(ABS($BJ$7:$BJ$29 - MEDIAN(MIN($BJ$7:$BJ$29), MAX($BJ$7:$BJ$29), I108))), ABS($BJ$7:$BJ$29 - MEDIAN(MIN($BJ$7:$BJ$29), MAX($BJ$7:$BJ$29), I108)), $BK$7:$BK$29, "Error", 0)</f>
        <v/>
      </c>
      <c r="J109" s="232">
        <f>_xlfn.XLOOKUP(MIN(ABS($BJ$7:$BJ$29 - MEDIAN(MIN($BJ$7:$BJ$29), MAX($BJ$7:$BJ$29), J108))), ABS($BJ$7:$BJ$29 - MEDIAN(MIN($BJ$7:$BJ$29), MAX($BJ$7:$BJ$29), J108)), $BK$7:$BK$29, "Error", 0)</f>
        <v/>
      </c>
      <c r="K109" s="232">
        <f>_xlfn.XLOOKUP(MIN(ABS($BJ$7:$BJ$29 - MEDIAN(MIN($BJ$7:$BJ$29), MAX($BJ$7:$BJ$29), K108))), ABS($BJ$7:$BJ$29 - MEDIAN(MIN($BJ$7:$BJ$29), MAX($BJ$7:$BJ$29), K108)), $BK$7:$BK$29, "Error", 0)</f>
        <v/>
      </c>
      <c r="L109" s="232">
        <f>_xlfn.XLOOKUP(MIN(ABS($BJ$7:$BJ$29 - MEDIAN(MIN($BJ$7:$BJ$29), MAX($BJ$7:$BJ$29), L108))), ABS($BJ$7:$BJ$29 - MEDIAN(MIN($BJ$7:$BJ$29), MAX($BJ$7:$BJ$29), L108)), $BK$7:$BK$29, "Error", 0)</f>
        <v/>
      </c>
      <c r="M109" s="232">
        <f>_xlfn.XLOOKUP(MIN(ABS($BJ$7:$BJ$29 - MEDIAN(MIN($BJ$7:$BJ$29), MAX($BJ$7:$BJ$29), M108))), ABS($BJ$7:$BJ$29 - MEDIAN(MIN($BJ$7:$BJ$29), MAX($BJ$7:$BJ$29), M108)), $BK$7:$BK$29, "Error", 0)</f>
        <v/>
      </c>
      <c r="N109" s="232">
        <f>_xlfn.XLOOKUP(MIN(ABS($BJ$7:$BJ$29 - MEDIAN(MIN($BJ$7:$BJ$29), MAX($BJ$7:$BJ$29), N108))), ABS($BJ$7:$BJ$29 - MEDIAN(MIN($BJ$7:$BJ$29), MAX($BJ$7:$BJ$29), N108)), $BK$7:$BK$29, "Error", 0)</f>
        <v/>
      </c>
      <c r="O109" s="232">
        <f>_xlfn.XLOOKUP(MIN(ABS($BJ$7:$BJ$29 - MEDIAN(MIN($BJ$7:$BJ$29), MAX($BJ$7:$BJ$29), O108))), ABS($BJ$7:$BJ$29 - MEDIAN(MIN($BJ$7:$BJ$29), MAX($BJ$7:$BJ$29), O108)), $BK$7:$BK$29, "Error", 0)</f>
        <v/>
      </c>
      <c r="P109" s="232">
        <f>_xlfn.XLOOKUP(MIN(ABS($BJ$7:$BJ$29 - MEDIAN(MIN($BJ$7:$BJ$29), MAX($BJ$7:$BJ$29), P108))), ABS($BJ$7:$BJ$29 - MEDIAN(MIN($BJ$7:$BJ$29), MAX($BJ$7:$BJ$29), P108)), $BK$7:$BK$29, "Error", 0)</f>
        <v/>
      </c>
      <c r="Q109" s="232">
        <f>_xlfn.XLOOKUP(MIN(ABS($BJ$7:$BJ$29 - MEDIAN(MIN($BJ$7:$BJ$29), MAX($BJ$7:$BJ$29), Q108))), ABS($BJ$7:$BJ$29 - MEDIAN(MIN($BJ$7:$BJ$29), MAX($BJ$7:$BJ$29), Q108)), $BK$7:$BK$29, "Error", 0)</f>
        <v/>
      </c>
      <c r="R109" s="232">
        <f>_xlfn.XLOOKUP(MIN(ABS($BJ$7:$BJ$29 - MEDIAN(MIN($BJ$7:$BJ$29), MAX($BJ$7:$BJ$29), R108))), ABS($BJ$7:$BJ$29 - MEDIAN(MIN($BJ$7:$BJ$29), MAX($BJ$7:$BJ$29), R108)), $BK$7:$BK$29, "Error", 0)</f>
        <v/>
      </c>
      <c r="S109" s="232">
        <f>_xlfn.XLOOKUP(MIN(ABS($BJ$7:$BJ$29 - MEDIAN(MIN($BJ$7:$BJ$29), MAX($BJ$7:$BJ$29), S108))), ABS($BJ$7:$BJ$29 - MEDIAN(MIN($BJ$7:$BJ$29), MAX($BJ$7:$BJ$29), S108)), $BK$7:$BK$29, "Error", 0)</f>
        <v/>
      </c>
      <c r="T109" s="232">
        <f>_xlfn.XLOOKUP(MIN(ABS($BJ$7:$BJ$29 - MEDIAN(MIN($BJ$7:$BJ$29), MAX($BJ$7:$BJ$29), T108))), ABS($BJ$7:$BJ$29 - MEDIAN(MIN($BJ$7:$BJ$29), MAX($BJ$7:$BJ$29), T108)), $BK$7:$BK$29, "Error", 0)</f>
        <v/>
      </c>
      <c r="U109" s="232">
        <f>_xlfn.XLOOKUP(MIN(ABS($BJ$7:$BJ$29 - MEDIAN(MIN($BJ$7:$BJ$29), MAX($BJ$7:$BJ$29), U108))), ABS($BJ$7:$BJ$29 - MEDIAN(MIN($BJ$7:$BJ$29), MAX($BJ$7:$BJ$29), U108)), $BK$7:$BK$29, "Error", 0)</f>
        <v/>
      </c>
      <c r="V109" s="232">
        <f>_xlfn.XLOOKUP(MIN(ABS($BJ$7:$BJ$29 - MEDIAN(MIN($BJ$7:$BJ$29), MAX($BJ$7:$BJ$29), V108))), ABS($BJ$7:$BJ$29 - MEDIAN(MIN($BJ$7:$BJ$29), MAX($BJ$7:$BJ$29), V108)), $BK$7:$BK$29, "Error", 0)</f>
        <v/>
      </c>
      <c r="W109" s="232">
        <f>_xlfn.XLOOKUP(MIN(ABS($BJ$7:$BJ$29 - MEDIAN(MIN($BJ$7:$BJ$29), MAX($BJ$7:$BJ$29), W108))), ABS($BJ$7:$BJ$29 - MEDIAN(MIN($BJ$7:$BJ$29), MAX($BJ$7:$BJ$29), W108)), $BK$7:$BK$29, "Error", 0)</f>
        <v/>
      </c>
      <c r="X109" s="232">
        <f>_xlfn.XLOOKUP(MIN(ABS($BJ$7:$BJ$29 - MEDIAN(MIN($BJ$7:$BJ$29), MAX($BJ$7:$BJ$29), X108))), ABS($BJ$7:$BJ$29 - MEDIAN(MIN($BJ$7:$BJ$29), MAX($BJ$7:$BJ$29), X108)), $BK$7:$BK$29, "Error", 0)</f>
        <v/>
      </c>
      <c r="Y109" s="232">
        <f>_xlfn.XLOOKUP(MIN(ABS($BJ$7:$BJ$29 - MEDIAN(MIN($BJ$7:$BJ$29), MAX($BJ$7:$BJ$29), Y108))), ABS($BJ$7:$BJ$29 - MEDIAN(MIN($BJ$7:$BJ$29), MAX($BJ$7:$BJ$29), Y108)), $BK$7:$BK$29, "Error", 0)</f>
        <v/>
      </c>
      <c r="Z109" s="232">
        <f>_xlfn.XLOOKUP(MIN(ABS($BJ$7:$BJ$29 - MEDIAN(MIN($BJ$7:$BJ$29), MAX($BJ$7:$BJ$29), Z108))), ABS($BJ$7:$BJ$29 - MEDIAN(MIN($BJ$7:$BJ$29), MAX($BJ$7:$BJ$29), Z108)), $BK$7:$BK$29, "Error", 0)</f>
        <v/>
      </c>
      <c r="AA109" s="232">
        <f>_xlfn.XLOOKUP(MIN(ABS($BJ$7:$BJ$29 - MEDIAN(MIN($BJ$7:$BJ$29), MAX($BJ$7:$BJ$29), AA108))), ABS($BJ$7:$BJ$29 - MEDIAN(MIN($BJ$7:$BJ$29), MAX($BJ$7:$BJ$29), AA108)), $BK$7:$BK$29, "Error", 0)</f>
        <v/>
      </c>
      <c r="AB109" s="171">
        <f>_xlfn.XLOOKUP(MIN(ABS($BJ$7:$BJ$29 - MEDIAN(MIN($BJ$7:$BJ$29), MAX($BJ$7:$BJ$29), AB108))), ABS($BJ$7:$BJ$29 - MEDIAN(MIN($BJ$7:$BJ$29), MAX($BJ$7:$BJ$29), AB108)), $BK$7:$BK$29, "Error", 0)</f>
        <v/>
      </c>
      <c r="AC109" s="171">
        <f>_xlfn.XLOOKUP(MIN(ABS($BJ$7:$BJ$29 - MEDIAN(MIN($BJ$7:$BJ$29), MAX($BJ$7:$BJ$29), AC108))), ABS($BJ$7:$BJ$29 - MEDIAN(MIN($BJ$7:$BJ$29), MAX($BJ$7:$BJ$29), AC108)), $BK$7:$BK$29, "Error", 0)</f>
        <v/>
      </c>
      <c r="AD109" s="171">
        <f>_xlfn.XLOOKUP(MIN(ABS($BJ$7:$BJ$29 - MEDIAN(MIN($BJ$7:$BJ$29), MAX($BJ$7:$BJ$29), AD108))), ABS($BJ$7:$BJ$29 - MEDIAN(MIN($BJ$7:$BJ$29), MAX($BJ$7:$BJ$29), AD108)), $BK$7:$BK$29, "Error", 0)</f>
        <v/>
      </c>
      <c r="AE109" s="171">
        <f>_xlfn.XLOOKUP(MIN(ABS($BJ$7:$BJ$29 - MEDIAN(MIN($BJ$7:$BJ$29), MAX($BJ$7:$BJ$29), AE108))), ABS($BJ$7:$BJ$29 - MEDIAN(MIN($BJ$7:$BJ$29), MAX($BJ$7:$BJ$29), AE108)), $BK$7:$BK$29, "Error", 0)</f>
        <v/>
      </c>
      <c r="AF109" s="171">
        <f>_xlfn.XLOOKUP(MIN(ABS($BJ$7:$BJ$29 - MEDIAN(MIN($BJ$7:$BJ$29), MAX($BJ$7:$BJ$29), AF108))), ABS($BJ$7:$BJ$29 - MEDIAN(MIN($BJ$7:$BJ$29), MAX($BJ$7:$BJ$29), AF108)), $BK$7:$BK$29, "Error", 0)</f>
        <v/>
      </c>
      <c r="AG109" s="171">
        <f>_xlfn.XLOOKUP(MIN(ABS($BJ$7:$BJ$29 - MEDIAN(MIN($BJ$7:$BJ$29), MAX($BJ$7:$BJ$29), AG108))), ABS($BJ$7:$BJ$29 - MEDIAN(MIN($BJ$7:$BJ$29), MAX($BJ$7:$BJ$29), AG108)), $BK$7:$BK$29, "Error", 0)</f>
        <v/>
      </c>
      <c r="AH109" s="171">
        <f>_xlfn.XLOOKUP(MIN(ABS($BJ$7:$BJ$29 - MEDIAN(MIN($BJ$7:$BJ$29), MAX($BJ$7:$BJ$29), AH108))), ABS($BJ$7:$BJ$29 - MEDIAN(MIN($BJ$7:$BJ$29), MAX($BJ$7:$BJ$29), AH108)), $BK$7:$BK$29, "Error", 0)</f>
        <v/>
      </c>
      <c r="AI109" s="171">
        <f>_xlfn.XLOOKUP(MIN(ABS($BJ$7:$BJ$29 - MEDIAN(MIN($BJ$7:$BJ$29), MAX($BJ$7:$BJ$29), AI108))), ABS($BJ$7:$BJ$29 - MEDIAN(MIN($BJ$7:$BJ$29), MAX($BJ$7:$BJ$29), AI108)), $BK$7:$BK$29, "Error", 0)</f>
        <v/>
      </c>
      <c r="AJ109" s="171">
        <f>_xlfn.XLOOKUP(MIN(ABS($BJ$7:$BJ$29 - MEDIAN(MIN($BJ$7:$BJ$29), MAX($BJ$7:$BJ$29), AJ108))), ABS($BJ$7:$BJ$29 - MEDIAN(MIN($BJ$7:$BJ$29), MAX($BJ$7:$BJ$29), AJ108)), $BK$7:$BK$29, "Error", 0)</f>
        <v/>
      </c>
      <c r="AK109" s="171">
        <f>_xlfn.XLOOKUP(MIN(ABS($BJ$7:$BJ$29 - MEDIAN(MIN($BJ$7:$BJ$29), MAX($BJ$7:$BJ$29), AK108))), ABS($BJ$7:$BJ$29 - MEDIAN(MIN($BJ$7:$BJ$29), MAX($BJ$7:$BJ$29), AK108)), $BK$7:$BK$29, "Error", 0)</f>
        <v/>
      </c>
      <c r="AL109" s="171">
        <f>_xlfn.XLOOKUP(MIN(ABS($BJ$7:$BJ$29 - MEDIAN(MIN($BJ$7:$BJ$29), MAX($BJ$7:$BJ$29), AL108))), ABS($BJ$7:$BJ$29 - MEDIAN(MIN($BJ$7:$BJ$29), MAX($BJ$7:$BJ$29), AL108)), $BK$7:$BK$29, "Error", 0)</f>
        <v/>
      </c>
      <c r="AM109" s="171">
        <f>_xlfn.XLOOKUP(MIN(ABS($BJ$7:$BJ$29 - MEDIAN(MIN($BJ$7:$BJ$29), MAX($BJ$7:$BJ$29), AM108))), ABS($BJ$7:$BJ$29 - MEDIAN(MIN($BJ$7:$BJ$29), MAX($BJ$7:$BJ$29), AM108)), $BK$7:$BK$29, "Error", 0)</f>
        <v/>
      </c>
      <c r="AN109" s="171">
        <f>_xlfn.XLOOKUP(MIN(ABS($BJ$7:$BJ$29 - MEDIAN(MIN($BJ$7:$BJ$29), MAX($BJ$7:$BJ$29), AN108))), ABS($BJ$7:$BJ$29 - MEDIAN(MIN($BJ$7:$BJ$29), MAX($BJ$7:$BJ$29), AN108)), $BK$7:$BK$29, "Error", 0)</f>
        <v/>
      </c>
      <c r="AO109" s="171">
        <f>_xlfn.XLOOKUP(MIN(ABS($BJ$7:$BJ$29 - MEDIAN(MIN($BJ$7:$BJ$29), MAX($BJ$7:$BJ$29), AO108))), ABS($BJ$7:$BJ$29 - MEDIAN(MIN($BJ$7:$BJ$29), MAX($BJ$7:$BJ$29), AO108)), $BK$7:$BK$29, "Error", 0)</f>
        <v/>
      </c>
      <c r="AP109" s="171">
        <f>_xlfn.XLOOKUP(MIN(ABS($BJ$7:$BJ$29 - MEDIAN(MIN($BJ$7:$BJ$29), MAX($BJ$7:$BJ$29), AP108))), ABS($BJ$7:$BJ$29 - MEDIAN(MIN($BJ$7:$BJ$29), MAX($BJ$7:$BJ$29), AP108)), $BK$7:$BK$29, "Error", 0)</f>
        <v/>
      </c>
      <c r="AQ109" s="171">
        <f>_xlfn.XLOOKUP(MIN(ABS($BJ$7:$BJ$29 - MEDIAN(MIN($BJ$7:$BJ$29), MAX($BJ$7:$BJ$29), AQ108))), ABS($BJ$7:$BJ$29 - MEDIAN(MIN($BJ$7:$BJ$29), MAX($BJ$7:$BJ$29), AQ108)), $BK$7:$BK$29, "Error", 0)</f>
        <v/>
      </c>
      <c r="AR109" s="171">
        <f>_xlfn.XLOOKUP(MIN(ABS($BJ$7:$BJ$29 - MEDIAN(MIN($BJ$7:$BJ$29), MAX($BJ$7:$BJ$29), AR108))), ABS($BJ$7:$BJ$29 - MEDIAN(MIN($BJ$7:$BJ$29), MAX($BJ$7:$BJ$29), AR108)), $BK$7:$BK$29, "Error", 0)</f>
        <v/>
      </c>
      <c r="AS109" s="171">
        <f>_xlfn.XLOOKUP(MIN(ABS($BJ$7:$BJ$29 - MEDIAN(MIN($BJ$7:$BJ$29), MAX($BJ$7:$BJ$29), AS108))), ABS($BJ$7:$BJ$29 - MEDIAN(MIN($BJ$7:$BJ$29), MAX($BJ$7:$BJ$29), AS108)), $BK$7:$BK$29, "Error", 0)</f>
        <v/>
      </c>
      <c r="AT109" s="171">
        <f>_xlfn.XLOOKUP(MIN(ABS($BJ$7:$BJ$29 - MEDIAN(MIN($BJ$7:$BJ$29), MAX($BJ$7:$BJ$29), AT108))), ABS($BJ$7:$BJ$29 - MEDIAN(MIN($BJ$7:$BJ$29), MAX($BJ$7:$BJ$29), AT108)), $BK$7:$BK$29, "Error", 0)</f>
        <v/>
      </c>
      <c r="AU109" s="171">
        <f>_xlfn.XLOOKUP(MIN(ABS($BJ$7:$BJ$29 - MEDIAN(MIN($BJ$7:$BJ$29), MAX($BJ$7:$BJ$29), AU108))), ABS($BJ$7:$BJ$29 - MEDIAN(MIN($BJ$7:$BJ$29), MAX($BJ$7:$BJ$29), AU108)), $BK$7:$BK$29, "Error", 0)</f>
        <v/>
      </c>
      <c r="AV109" s="206">
        <f>_xlfn.XLOOKUP(MIN(ABS($BJ$7:$BJ$29 - MEDIAN(MIN($BJ$7:$BJ$29), MAX($BJ$7:$BJ$29), AV108))), ABS($BJ$7:$BJ$29 - MEDIAN(MIN($BJ$7:$BJ$29), MAX($BJ$7:$BJ$29), AV108)), $BK$7:$BK$29, "Error", 0)</f>
        <v/>
      </c>
      <c r="AW109" s="184">
        <f>_xlfn.XLOOKUP(MIN(ABS($BJ$7:$BJ$29 - MEDIAN(MIN($BJ$7:$BJ$29), MAX($BJ$7:$BJ$29), AW108))), ABS($BJ$7:$BJ$29 - MEDIAN(MIN($BJ$7:$BJ$29), MAX($BJ$7:$BJ$29), AW108)), $BK$7:$BK$29, "Error", 0)</f>
        <v/>
      </c>
      <c r="AX109" s="184">
        <f>_xlfn.XLOOKUP(MIN(ABS($BJ$7:$BJ$29 - MEDIAN(MIN($BJ$7:$BJ$29), MAX($BJ$7:$BJ$29), AX108))), ABS($BJ$7:$BJ$29 - MEDIAN(MIN($BJ$7:$BJ$29), MAX($BJ$7:$BJ$29), AX108)), $BK$7:$BK$29, "Error", 0)</f>
        <v/>
      </c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14922.3873191548</v>
      </c>
      <c r="D110" s="233" t="n">
        <v>14922.3873191548</v>
      </c>
      <c r="E110" s="233" t="n">
        <v>14922.3873191548</v>
      </c>
      <c r="F110" s="233" t="n">
        <v>14922.3873191548</v>
      </c>
      <c r="G110" s="233" t="n">
        <v>14922.3873191548</v>
      </c>
      <c r="H110" s="233" t="n">
        <v>14922.3873191548</v>
      </c>
      <c r="I110" s="233" t="n">
        <v>14922.3873191548</v>
      </c>
      <c r="J110" s="233" t="n">
        <v>14922.3873191548</v>
      </c>
      <c r="K110" s="233" t="n">
        <v>14922.3873191548</v>
      </c>
      <c r="L110" s="233" t="n">
        <v>14922.3873191548</v>
      </c>
      <c r="M110" s="233" t="n">
        <v>14922.3873191548</v>
      </c>
      <c r="N110" s="233" t="n">
        <v>14922.3873191548</v>
      </c>
      <c r="O110" s="233" t="n">
        <v>14922.3873191548</v>
      </c>
      <c r="P110" s="233" t="n">
        <v>14922.3873191548</v>
      </c>
      <c r="Q110" s="233" t="n">
        <v>14922.3873191548</v>
      </c>
      <c r="R110" s="233" t="n">
        <v>14922.3873191548</v>
      </c>
      <c r="S110" s="233" t="n">
        <v>14922.3873191548</v>
      </c>
      <c r="T110" s="233" t="n">
        <v>14922.3873191548</v>
      </c>
      <c r="U110" s="233" t="n">
        <v>14943.33905034</v>
      </c>
      <c r="V110" s="233" t="n">
        <v>14977.91383239441</v>
      </c>
      <c r="W110" s="233" t="n">
        <v>15087.49105513096</v>
      </c>
      <c r="X110" s="233" t="n">
        <v>15087.49105513096</v>
      </c>
      <c r="Y110" s="233" t="n">
        <v>15087.49105513096</v>
      </c>
      <c r="Z110" s="233" t="n">
        <v>15131.7327349796</v>
      </c>
      <c r="AA110" s="204" t="n">
        <v>15669.72820112749</v>
      </c>
      <c r="AB110" s="204" t="n">
        <v>16044.62507045269</v>
      </c>
      <c r="AC110" s="204" t="n">
        <v>16309.87434946094</v>
      </c>
      <c r="AD110" s="204" t="n">
        <v>16309.87434946094</v>
      </c>
      <c r="AE110" s="204" t="n">
        <v>16473.70203018188</v>
      </c>
      <c r="AF110" s="204" t="n">
        <v>16522.78910238459</v>
      </c>
      <c r="AG110" s="204" t="n">
        <v>16922.61417749547</v>
      </c>
      <c r="AH110" s="204" t="n">
        <v>17527.8136369586</v>
      </c>
      <c r="AI110" s="204" t="n">
        <v>17543.35899580549</v>
      </c>
      <c r="AJ110" s="204" t="n">
        <v>18192.30272074929</v>
      </c>
      <c r="AK110" s="204" t="n">
        <v>18322.21212260425</v>
      </c>
      <c r="AL110" s="204" t="n">
        <v>18427.69867919025</v>
      </c>
      <c r="AM110" s="204" t="n">
        <v>19240.16329971957</v>
      </c>
      <c r="AN110" s="204" t="n">
        <v>20184.84146740171</v>
      </c>
      <c r="AO110" s="204" t="n">
        <v>20184.84146740171</v>
      </c>
      <c r="AP110" s="204" t="n">
        <v>20184.84146740171</v>
      </c>
      <c r="AQ110" s="204" t="n">
        <v>20184.84146740171</v>
      </c>
      <c r="AR110" s="204" t="n">
        <v>20184.84146740171</v>
      </c>
      <c r="AS110" s="204" t="n">
        <v>20541.30648303125</v>
      </c>
      <c r="AT110" s="204" t="n">
        <v>20755.15627965331</v>
      </c>
      <c r="AU110" s="204" t="n">
        <v>20755.15627965331</v>
      </c>
      <c r="AV110" s="200" t="n">
        <v>20755.15627965331</v>
      </c>
      <c r="AW110" s="184" t="n">
        <v>20755.15627965331</v>
      </c>
      <c r="AX110" s="184" t="n">
        <v>20755.15627965331</v>
      </c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12893.10909147514</v>
      </c>
      <c r="E111" s="233" t="n">
        <v>12780.88490367471</v>
      </c>
      <c r="F111" s="233" t="n">
        <v>13375.2195229936</v>
      </c>
      <c r="G111" s="233" t="n">
        <v>12567.1553048974</v>
      </c>
      <c r="H111" s="233" t="n">
        <v>12587.39635366201</v>
      </c>
      <c r="I111" s="233" t="n">
        <v>13113.31030363694</v>
      </c>
      <c r="J111" s="233" t="n">
        <v>12798.37661186076</v>
      </c>
      <c r="K111" s="233" t="n">
        <v>12525.74816322402</v>
      </c>
      <c r="L111" s="233" t="n">
        <v>12316.41797892854</v>
      </c>
      <c r="M111" s="233" t="n">
        <v>12859.59351646504</v>
      </c>
      <c r="N111" s="233" t="n">
        <v>13023.63756929187</v>
      </c>
      <c r="O111" s="233" t="n">
        <v>12980.71940204786</v>
      </c>
      <c r="P111" s="233" t="n">
        <v>13114.82562661171</v>
      </c>
      <c r="Q111" s="233" t="n">
        <v>13630.91572920384</v>
      </c>
      <c r="R111" s="233" t="n">
        <v>13978.61518134869</v>
      </c>
      <c r="S111" s="233" t="n">
        <v>14413.67864615517</v>
      </c>
      <c r="T111" s="233" t="n">
        <v>14141.77265373588</v>
      </c>
      <c r="U111" s="233" t="n">
        <v>14877.46703720093</v>
      </c>
      <c r="V111" s="233" t="n">
        <v>14874.49546059617</v>
      </c>
      <c r="W111" s="233" t="n">
        <v>14891.09551298618</v>
      </c>
      <c r="X111" s="233" t="n">
        <v>14616.10328074341</v>
      </c>
      <c r="Y111" s="233" t="n">
        <v>14736.06183631171</v>
      </c>
      <c r="Z111" s="233" t="n">
        <v>14716.63061368465</v>
      </c>
      <c r="AA111" s="204" t="n">
        <v>15616.49604654312</v>
      </c>
      <c r="AB111" s="204" t="n">
        <v>16030.13035272749</v>
      </c>
      <c r="AC111" s="204" t="n">
        <v>15889.16539912974</v>
      </c>
      <c r="AD111" s="204" t="n">
        <v>15751.15928691742</v>
      </c>
      <c r="AE111" s="204" t="n">
        <v>16350.08707377105</v>
      </c>
      <c r="AF111" s="204" t="n">
        <v>16443.43280005455</v>
      </c>
      <c r="AG111" s="204" t="n">
        <v>16737.86523500341</v>
      </c>
      <c r="AH111" s="204" t="n">
        <v>17066.60386865842</v>
      </c>
      <c r="AI111" s="204" t="n">
        <v>17482.81771339942</v>
      </c>
      <c r="AJ111" s="204" t="n">
        <v>17876.81898632669</v>
      </c>
      <c r="AK111" s="204" t="n">
        <v>18048.05180120468</v>
      </c>
      <c r="AL111" s="204" t="n">
        <v>18312.70773326838</v>
      </c>
      <c r="AM111" s="204" t="n">
        <v>19041.0842333436</v>
      </c>
      <c r="AN111" s="204" t="n">
        <v>20129.07460460649</v>
      </c>
      <c r="AO111" s="204" t="n">
        <v>18670.51872199774</v>
      </c>
      <c r="AP111" s="204" t="n">
        <v>19133.31762800331</v>
      </c>
      <c r="AQ111" s="204" t="n">
        <v>19287.80759850063</v>
      </c>
      <c r="AR111" s="204" t="n">
        <v>19768.34747868357</v>
      </c>
      <c r="AS111" s="204" t="n">
        <v>20495.1711154792</v>
      </c>
      <c r="AT111" s="204" t="n">
        <v>20382.69736733567</v>
      </c>
      <c r="AU111" s="204" t="n">
        <v>20120.55599823373</v>
      </c>
      <c r="AV111" s="201" t="n">
        <v>20120.55599823373</v>
      </c>
      <c r="AW111" s="184" t="n">
        <v>20120.55599823373</v>
      </c>
      <c r="AX111" s="184" t="n">
        <v>20120.55599823373</v>
      </c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>
        <f>+(AV111-AV110)/AV110</f>
        <v/>
      </c>
      <c r="AW112" s="184">
        <f>+(AW111-AW110)/AW110</f>
        <v/>
      </c>
      <c r="AX112" s="184">
        <f>+(AX111-AX110)/AX110</f>
        <v/>
      </c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8189.10009765625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8810.599609375</v>
      </c>
      <c r="AC113" s="203" t="n">
        <v>8908.7998046875</v>
      </c>
      <c r="AD113" s="203" t="n">
        <v>8908.7998046875</v>
      </c>
      <c r="AE113" s="203" t="n">
        <v>8908.7998046875</v>
      </c>
      <c r="AF113" s="203" t="n">
        <v>8908.7998046875</v>
      </c>
      <c r="AG113" s="203" t="n">
        <v>9163.2001953125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10951.099609375</v>
      </c>
      <c r="AT113" s="203" t="n">
        <v>10959.900390625</v>
      </c>
      <c r="AU113" s="203" t="n">
        <v>10959.900390625</v>
      </c>
      <c r="AV113" s="201" t="n">
        <v>10959.900390625</v>
      </c>
      <c r="AW113" s="184" t="n">
        <v>10959.900390625</v>
      </c>
      <c r="AX113" s="184" t="n">
        <v>10959.900390625</v>
      </c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7876.2998046875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8144.10009765625</v>
      </c>
      <c r="S114" s="233" t="n">
        <v>8275.400390625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8674</v>
      </c>
      <c r="AB114" s="203" t="n">
        <v>8809.7001953125</v>
      </c>
      <c r="AC114" s="203" t="n">
        <v>8582.7998046875</v>
      </c>
      <c r="AD114" s="203" t="n">
        <v>8494.900390625</v>
      </c>
      <c r="AE114" s="203" t="n">
        <v>8772.400390625</v>
      </c>
      <c r="AF114" s="203" t="n">
        <v>8761</v>
      </c>
      <c r="AG114" s="203" t="n">
        <v>9132.7998046875</v>
      </c>
      <c r="AH114" s="203" t="n">
        <v>9187.2998046875</v>
      </c>
      <c r="AI114" s="203" t="n">
        <v>9350.400390625</v>
      </c>
      <c r="AJ114" s="203" t="n">
        <v>9717.2998046875</v>
      </c>
      <c r="AK114" s="203" t="n">
        <v>9720.5</v>
      </c>
      <c r="AL114" s="203" t="n">
        <v>9931.400390625</v>
      </c>
      <c r="AM114" s="203" t="n">
        <v>10223.5</v>
      </c>
      <c r="AN114" s="203" t="n">
        <v>10910.599609375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10497.099609375</v>
      </c>
      <c r="AS114" s="203" t="n">
        <v>10868.099609375</v>
      </c>
      <c r="AT114" s="203" t="n">
        <v>10824.2998046875</v>
      </c>
      <c r="AU114" s="203" t="n">
        <v>10714.6201171875</v>
      </c>
      <c r="AV114" s="201" t="n">
        <v>10714.6201171875</v>
      </c>
      <c r="AW114" s="184" t="n">
        <v>10714.6201171875</v>
      </c>
      <c r="AX114" s="184" t="n">
        <v>10714.6201171875</v>
      </c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>
        <f>+(AV114-AV113)/AV113</f>
        <v/>
      </c>
      <c r="AW115" s="184">
        <f>+(AW114-AW113)/AW113</f>
        <v/>
      </c>
      <c r="AX115" s="184">
        <f>+(AX114-AX113)/AX113</f>
        <v/>
      </c>
      <c r="AY115" s="184" t="n"/>
    </row>
    <row r="116" ht="22" customHeight="1">
      <c r="A116" s="303" t="n"/>
      <c r="B116" s="201" t="inlineStr">
        <is>
          <t>real % change</t>
        </is>
      </c>
      <c r="C116" s="230">
        <f>+C115-C112</f>
        <v/>
      </c>
      <c r="D116" s="230">
        <f>+D115-D112</f>
        <v/>
      </c>
      <c r="E116" s="230">
        <f>+E115-E112</f>
        <v/>
      </c>
      <c r="F116" s="230">
        <f>+F115-F112</f>
        <v/>
      </c>
      <c r="G116" s="230">
        <f>+G115-G112</f>
        <v/>
      </c>
      <c r="H116" s="230">
        <f>+H115-H112</f>
        <v/>
      </c>
      <c r="I116" s="230">
        <f>+I115-I112</f>
        <v/>
      </c>
      <c r="J116" s="230">
        <f>+J115-J112</f>
        <v/>
      </c>
      <c r="K116" s="230">
        <f>+K115-K112</f>
        <v/>
      </c>
      <c r="L116" s="230">
        <f>+L115-L112</f>
        <v/>
      </c>
      <c r="M116" s="230">
        <f>+M115-M112</f>
        <v/>
      </c>
      <c r="N116" s="230">
        <f>+N115-N112</f>
        <v/>
      </c>
      <c r="O116" s="230">
        <f>+O115-O112</f>
        <v/>
      </c>
      <c r="P116" s="230">
        <f>+P115-P112</f>
        <v/>
      </c>
      <c r="Q116" s="230">
        <f>+Q115-Q112</f>
        <v/>
      </c>
      <c r="R116" s="230">
        <f>+R115-R112</f>
        <v/>
      </c>
      <c r="S116" s="230">
        <f>+S115-S112</f>
        <v/>
      </c>
      <c r="T116" s="230">
        <f>+T115-T112</f>
        <v/>
      </c>
      <c r="U116" s="230">
        <f>+U115-U112</f>
        <v/>
      </c>
      <c r="V116" s="230">
        <f>+V115-V112</f>
        <v/>
      </c>
      <c r="W116" s="230">
        <f>+W115-W112</f>
        <v/>
      </c>
      <c r="X116" s="230">
        <f>+X115-X112</f>
        <v/>
      </c>
      <c r="Y116" s="230">
        <f>+Y115-Y112</f>
        <v/>
      </c>
      <c r="Z116" s="230">
        <f>+Z115-Z112</f>
        <v/>
      </c>
      <c r="AA116" s="230">
        <f>+AA115-AA112</f>
        <v/>
      </c>
      <c r="AB116" s="205">
        <f>+AB115-AB112</f>
        <v/>
      </c>
      <c r="AC116" s="205">
        <f>+AC115-AC112</f>
        <v/>
      </c>
      <c r="AD116" s="205">
        <f>+AD115-AD112</f>
        <v/>
      </c>
      <c r="AE116" s="205">
        <f>+AE115-AE112</f>
        <v/>
      </c>
      <c r="AF116" s="205">
        <f>+AF115-AF112</f>
        <v/>
      </c>
      <c r="AG116" s="205">
        <f>+AG115-AG112</f>
        <v/>
      </c>
      <c r="AH116" s="205">
        <f>+AH115-AH112</f>
        <v/>
      </c>
      <c r="AI116" s="205">
        <f>+AI115-AI112</f>
        <v/>
      </c>
      <c r="AJ116" s="205">
        <f>+AJ115-AJ112</f>
        <v/>
      </c>
      <c r="AK116" s="205">
        <f>+AK115-AK112</f>
        <v/>
      </c>
      <c r="AL116" s="205">
        <f>+AL115-AL112</f>
        <v/>
      </c>
      <c r="AM116" s="205">
        <f>+AM115-AM112</f>
        <v/>
      </c>
      <c r="AN116" s="205">
        <f>+AN115-AN112</f>
        <v/>
      </c>
      <c r="AO116" s="205">
        <f>+AO115-AO112</f>
        <v/>
      </c>
      <c r="AP116" s="205">
        <f>+AP115-AP112</f>
        <v/>
      </c>
      <c r="AQ116" s="205">
        <f>+AQ115-AQ112</f>
        <v/>
      </c>
      <c r="AR116" s="205">
        <f>+AR115-AR112</f>
        <v/>
      </c>
      <c r="AS116" s="205">
        <f>+AS115-AS112</f>
        <v/>
      </c>
      <c r="AT116" s="205">
        <f>+AT115-AT112</f>
        <v/>
      </c>
      <c r="AU116" s="205">
        <f>+AU115-AU112</f>
        <v/>
      </c>
      <c r="AV116" s="201">
        <f>+AV115-AV112</f>
        <v/>
      </c>
      <c r="AW116" s="184">
        <f>+AW115-AW112</f>
        <v/>
      </c>
      <c r="AX116" s="184">
        <f>+AX115-AX112</f>
        <v/>
      </c>
      <c r="AY116" s="184" t="n"/>
    </row>
    <row r="117" ht="22" customHeight="1">
      <c r="A117" s="304" t="n"/>
      <c r="B117" s="206" t="inlineStr">
        <is>
          <t>Rating</t>
        </is>
      </c>
      <c r="C117" s="232">
        <f>_xlfn.XLOOKUP(MIN(ABS($BJ$7:$BJ$29 - MEDIAN(MIN($BJ$7:$BJ$29), MAX($BJ$7:$BJ$29), C116))), ABS($BJ$7:$BJ$29 - MEDIAN(MIN($BJ$7:$BJ$29), MAX($BJ$7:$BJ$29), C116)), $BK$7:$BK$29, "Error", 0)</f>
        <v/>
      </c>
      <c r="D117" s="232">
        <f>_xlfn.XLOOKUP(MIN(ABS($BJ$7:$BJ$29 - MEDIAN(MIN($BJ$7:$BJ$29), MAX($BJ$7:$BJ$29), D116))), ABS($BJ$7:$BJ$29 - MEDIAN(MIN($BJ$7:$BJ$29), MAX($BJ$7:$BJ$29), D116)), $BK$7:$BK$29, "Error", 0)</f>
        <v/>
      </c>
      <c r="E117" s="232">
        <f>_xlfn.XLOOKUP(MIN(ABS($BJ$7:$BJ$29 - MEDIAN(MIN($BJ$7:$BJ$29), MAX($BJ$7:$BJ$29), E116))), ABS($BJ$7:$BJ$29 - MEDIAN(MIN($BJ$7:$BJ$29), MAX($BJ$7:$BJ$29), E116)), $BK$7:$BK$29, "Error", 0)</f>
        <v/>
      </c>
      <c r="F117" s="232">
        <f>_xlfn.XLOOKUP(MIN(ABS($BJ$7:$BJ$29 - MEDIAN(MIN($BJ$7:$BJ$29), MAX($BJ$7:$BJ$29), F116))), ABS($BJ$7:$BJ$29 - MEDIAN(MIN($BJ$7:$BJ$29), MAX($BJ$7:$BJ$29), F116)), $BK$7:$BK$29, "Error", 0)</f>
        <v/>
      </c>
      <c r="G117" s="232">
        <f>_xlfn.XLOOKUP(MIN(ABS($BJ$7:$BJ$29 - MEDIAN(MIN($BJ$7:$BJ$29), MAX($BJ$7:$BJ$29), G116))), ABS($BJ$7:$BJ$29 - MEDIAN(MIN($BJ$7:$BJ$29), MAX($BJ$7:$BJ$29), G116)), $BK$7:$BK$29, "Error", 0)</f>
        <v/>
      </c>
      <c r="H117" s="232">
        <f>_xlfn.XLOOKUP(MIN(ABS($BJ$7:$BJ$29 - MEDIAN(MIN($BJ$7:$BJ$29), MAX($BJ$7:$BJ$29), H116))), ABS($BJ$7:$BJ$29 - MEDIAN(MIN($BJ$7:$BJ$29), MAX($BJ$7:$BJ$29), H116)), $BK$7:$BK$29, "Error", 0)</f>
        <v/>
      </c>
      <c r="I117" s="232">
        <f>_xlfn.XLOOKUP(MIN(ABS($BJ$7:$BJ$29 - MEDIAN(MIN($BJ$7:$BJ$29), MAX($BJ$7:$BJ$29), I116))), ABS($BJ$7:$BJ$29 - MEDIAN(MIN($BJ$7:$BJ$29), MAX($BJ$7:$BJ$29), I116)), $BK$7:$BK$29, "Error", 0)</f>
        <v/>
      </c>
      <c r="J117" s="232">
        <f>_xlfn.XLOOKUP(MIN(ABS($BJ$7:$BJ$29 - MEDIAN(MIN($BJ$7:$BJ$29), MAX($BJ$7:$BJ$29), J116))), ABS($BJ$7:$BJ$29 - MEDIAN(MIN($BJ$7:$BJ$29), MAX($BJ$7:$BJ$29), J116)), $BK$7:$BK$29, "Error", 0)</f>
        <v/>
      </c>
      <c r="K117" s="232">
        <f>_xlfn.XLOOKUP(MIN(ABS($BJ$7:$BJ$29 - MEDIAN(MIN($BJ$7:$BJ$29), MAX($BJ$7:$BJ$29), K116))), ABS($BJ$7:$BJ$29 - MEDIAN(MIN($BJ$7:$BJ$29), MAX($BJ$7:$BJ$29), K116)), $BK$7:$BK$29, "Error", 0)</f>
        <v/>
      </c>
      <c r="L117" s="232">
        <f>_xlfn.XLOOKUP(MIN(ABS($BJ$7:$BJ$29 - MEDIAN(MIN($BJ$7:$BJ$29), MAX($BJ$7:$BJ$29), L116))), ABS($BJ$7:$BJ$29 - MEDIAN(MIN($BJ$7:$BJ$29), MAX($BJ$7:$BJ$29), L116)), $BK$7:$BK$29, "Error", 0)</f>
        <v/>
      </c>
      <c r="M117" s="232">
        <f>_xlfn.XLOOKUP(MIN(ABS($BJ$7:$BJ$29 - MEDIAN(MIN($BJ$7:$BJ$29), MAX($BJ$7:$BJ$29), M116))), ABS($BJ$7:$BJ$29 - MEDIAN(MIN($BJ$7:$BJ$29), MAX($BJ$7:$BJ$29), M116)), $BK$7:$BK$29, "Error", 0)</f>
        <v/>
      </c>
      <c r="N117" s="232">
        <f>_xlfn.XLOOKUP(MIN(ABS($BJ$7:$BJ$29 - MEDIAN(MIN($BJ$7:$BJ$29), MAX($BJ$7:$BJ$29), N116))), ABS($BJ$7:$BJ$29 - MEDIAN(MIN($BJ$7:$BJ$29), MAX($BJ$7:$BJ$29), N116)), $BK$7:$BK$29, "Error", 0)</f>
        <v/>
      </c>
      <c r="O117" s="232">
        <f>_xlfn.XLOOKUP(MIN(ABS($BJ$7:$BJ$29 - MEDIAN(MIN($BJ$7:$BJ$29), MAX($BJ$7:$BJ$29), O116))), ABS($BJ$7:$BJ$29 - MEDIAN(MIN($BJ$7:$BJ$29), MAX($BJ$7:$BJ$29), O116)), $BK$7:$BK$29, "Error", 0)</f>
        <v/>
      </c>
      <c r="P117" s="232">
        <f>_xlfn.XLOOKUP(MIN(ABS($BJ$7:$BJ$29 - MEDIAN(MIN($BJ$7:$BJ$29), MAX($BJ$7:$BJ$29), P116))), ABS($BJ$7:$BJ$29 - MEDIAN(MIN($BJ$7:$BJ$29), MAX($BJ$7:$BJ$29), P116)), $BK$7:$BK$29, "Error", 0)</f>
        <v/>
      </c>
      <c r="Q117" s="232">
        <f>_xlfn.XLOOKUP(MIN(ABS($BJ$7:$BJ$29 - MEDIAN(MIN($BJ$7:$BJ$29), MAX($BJ$7:$BJ$29), Q116))), ABS($BJ$7:$BJ$29 - MEDIAN(MIN($BJ$7:$BJ$29), MAX($BJ$7:$BJ$29), Q116)), $BK$7:$BK$29, "Error", 0)</f>
        <v/>
      </c>
      <c r="R117" s="232">
        <f>_xlfn.XLOOKUP(MIN(ABS($BJ$7:$BJ$29 - MEDIAN(MIN($BJ$7:$BJ$29), MAX($BJ$7:$BJ$29), R116))), ABS($BJ$7:$BJ$29 - MEDIAN(MIN($BJ$7:$BJ$29), MAX($BJ$7:$BJ$29), R116)), $BK$7:$BK$29, "Error", 0)</f>
        <v/>
      </c>
      <c r="S117" s="232">
        <f>_xlfn.XLOOKUP(MIN(ABS($BJ$7:$BJ$29 - MEDIAN(MIN($BJ$7:$BJ$29), MAX($BJ$7:$BJ$29), S116))), ABS($BJ$7:$BJ$29 - MEDIAN(MIN($BJ$7:$BJ$29), MAX($BJ$7:$BJ$29), S116)), $BK$7:$BK$29, "Error", 0)</f>
        <v/>
      </c>
      <c r="T117" s="232">
        <f>_xlfn.XLOOKUP(MIN(ABS($BJ$7:$BJ$29 - MEDIAN(MIN($BJ$7:$BJ$29), MAX($BJ$7:$BJ$29), T116))), ABS($BJ$7:$BJ$29 - MEDIAN(MIN($BJ$7:$BJ$29), MAX($BJ$7:$BJ$29), T116)), $BK$7:$BK$29, "Error", 0)</f>
        <v/>
      </c>
      <c r="U117" s="232">
        <f>_xlfn.XLOOKUP(MIN(ABS($BJ$7:$BJ$29 - MEDIAN(MIN($BJ$7:$BJ$29), MAX($BJ$7:$BJ$29), U116))), ABS($BJ$7:$BJ$29 - MEDIAN(MIN($BJ$7:$BJ$29), MAX($BJ$7:$BJ$29), U116)), $BK$7:$BK$29, "Error", 0)</f>
        <v/>
      </c>
      <c r="V117" s="232">
        <f>_xlfn.XLOOKUP(MIN(ABS($BJ$7:$BJ$29 - MEDIAN(MIN($BJ$7:$BJ$29), MAX($BJ$7:$BJ$29), V116))), ABS($BJ$7:$BJ$29 - MEDIAN(MIN($BJ$7:$BJ$29), MAX($BJ$7:$BJ$29), V116)), $BK$7:$BK$29, "Error", 0)</f>
        <v/>
      </c>
      <c r="W117" s="232">
        <f>_xlfn.XLOOKUP(MIN(ABS($BJ$7:$BJ$29 - MEDIAN(MIN($BJ$7:$BJ$29), MAX($BJ$7:$BJ$29), W116))), ABS($BJ$7:$BJ$29 - MEDIAN(MIN($BJ$7:$BJ$29), MAX($BJ$7:$BJ$29), W116)), $BK$7:$BK$29, "Error", 0)</f>
        <v/>
      </c>
      <c r="X117" s="232">
        <f>_xlfn.XLOOKUP(MIN(ABS($BJ$7:$BJ$29 - MEDIAN(MIN($BJ$7:$BJ$29), MAX($BJ$7:$BJ$29), X116))), ABS($BJ$7:$BJ$29 - MEDIAN(MIN($BJ$7:$BJ$29), MAX($BJ$7:$BJ$29), X116)), $BK$7:$BK$29, "Error", 0)</f>
        <v/>
      </c>
      <c r="Y117" s="232">
        <f>_xlfn.XLOOKUP(MIN(ABS($BJ$7:$BJ$29 - MEDIAN(MIN($BJ$7:$BJ$29), MAX($BJ$7:$BJ$29), Y116))), ABS($BJ$7:$BJ$29 - MEDIAN(MIN($BJ$7:$BJ$29), MAX($BJ$7:$BJ$29), Y116)), $BK$7:$BK$29, "Error", 0)</f>
        <v/>
      </c>
      <c r="Z117" s="232">
        <f>_xlfn.XLOOKUP(MIN(ABS($BJ$7:$BJ$29 - MEDIAN(MIN($BJ$7:$BJ$29), MAX($BJ$7:$BJ$29), Z116))), ABS($BJ$7:$BJ$29 - MEDIAN(MIN($BJ$7:$BJ$29), MAX($BJ$7:$BJ$29), Z116)), $BK$7:$BK$29, "Error", 0)</f>
        <v/>
      </c>
      <c r="AA117" s="232">
        <f>_xlfn.XLOOKUP(MIN(ABS($BJ$7:$BJ$29 - MEDIAN(MIN($BJ$7:$BJ$29), MAX($BJ$7:$BJ$29), AA116))), ABS($BJ$7:$BJ$29 - MEDIAN(MIN($BJ$7:$BJ$29), MAX($BJ$7:$BJ$29), AA116)), $BK$7:$BK$29, "Error", 0)</f>
        <v/>
      </c>
      <c r="AB117" s="171">
        <f>_xlfn.XLOOKUP(MIN(ABS($BJ$7:$BJ$29 - MEDIAN(MIN($BJ$7:$BJ$29), MAX($BJ$7:$BJ$29), AB116))), ABS($BJ$7:$BJ$29 - MEDIAN(MIN($BJ$7:$BJ$29), MAX($BJ$7:$BJ$29), AB116)), $BK$7:$BK$29, "Error", 0)</f>
        <v/>
      </c>
      <c r="AC117" s="171">
        <f>_xlfn.XLOOKUP(MIN(ABS($BJ$7:$BJ$29 - MEDIAN(MIN($BJ$7:$BJ$29), MAX($BJ$7:$BJ$29), AC116))), ABS($BJ$7:$BJ$29 - MEDIAN(MIN($BJ$7:$BJ$29), MAX($BJ$7:$BJ$29), AC116)), $BK$7:$BK$29, "Error", 0)</f>
        <v/>
      </c>
      <c r="AD117" s="171">
        <f>_xlfn.XLOOKUP(MIN(ABS($BJ$7:$BJ$29 - MEDIAN(MIN($BJ$7:$BJ$29), MAX($BJ$7:$BJ$29), AD116))), ABS($BJ$7:$BJ$29 - MEDIAN(MIN($BJ$7:$BJ$29), MAX($BJ$7:$BJ$29), AD116)), $BK$7:$BK$29, "Error", 0)</f>
        <v/>
      </c>
      <c r="AE117" s="171">
        <f>_xlfn.XLOOKUP(MIN(ABS($BJ$7:$BJ$29 - MEDIAN(MIN($BJ$7:$BJ$29), MAX($BJ$7:$BJ$29), AE116))), ABS($BJ$7:$BJ$29 - MEDIAN(MIN($BJ$7:$BJ$29), MAX($BJ$7:$BJ$29), AE116)), $BK$7:$BK$29, "Error", 0)</f>
        <v/>
      </c>
      <c r="AF117" s="171">
        <f>_xlfn.XLOOKUP(MIN(ABS($BJ$7:$BJ$29 - MEDIAN(MIN($BJ$7:$BJ$29), MAX($BJ$7:$BJ$29), AF116))), ABS($BJ$7:$BJ$29 - MEDIAN(MIN($BJ$7:$BJ$29), MAX($BJ$7:$BJ$29), AF116)), $BK$7:$BK$29, "Error", 0)</f>
        <v/>
      </c>
      <c r="AG117" s="171">
        <f>_xlfn.XLOOKUP(MIN(ABS($BJ$7:$BJ$29 - MEDIAN(MIN($BJ$7:$BJ$29), MAX($BJ$7:$BJ$29), AG116))), ABS($BJ$7:$BJ$29 - MEDIAN(MIN($BJ$7:$BJ$29), MAX($BJ$7:$BJ$29), AG116)), $BK$7:$BK$29, "Error", 0)</f>
        <v/>
      </c>
      <c r="AH117" s="171">
        <f>_xlfn.XLOOKUP(MIN(ABS($BJ$7:$BJ$29 - MEDIAN(MIN($BJ$7:$BJ$29), MAX($BJ$7:$BJ$29), AH116))), ABS($BJ$7:$BJ$29 - MEDIAN(MIN($BJ$7:$BJ$29), MAX($BJ$7:$BJ$29), AH116)), $BK$7:$BK$29, "Error", 0)</f>
        <v/>
      </c>
      <c r="AI117" s="171">
        <f>_xlfn.XLOOKUP(MIN(ABS($BJ$7:$BJ$29 - MEDIAN(MIN($BJ$7:$BJ$29), MAX($BJ$7:$BJ$29), AI116))), ABS($BJ$7:$BJ$29 - MEDIAN(MIN($BJ$7:$BJ$29), MAX($BJ$7:$BJ$29), AI116)), $BK$7:$BK$29, "Error", 0)</f>
        <v/>
      </c>
      <c r="AJ117" s="171">
        <f>_xlfn.XLOOKUP(MIN(ABS($BJ$7:$BJ$29 - MEDIAN(MIN($BJ$7:$BJ$29), MAX($BJ$7:$BJ$29), AJ116))), ABS($BJ$7:$BJ$29 - MEDIAN(MIN($BJ$7:$BJ$29), MAX($BJ$7:$BJ$29), AJ116)), $BK$7:$BK$29, "Error", 0)</f>
        <v/>
      </c>
      <c r="AK117" s="171">
        <f>_xlfn.XLOOKUP(MIN(ABS($BJ$7:$BJ$29 - MEDIAN(MIN($BJ$7:$BJ$29), MAX($BJ$7:$BJ$29), AK116))), ABS($BJ$7:$BJ$29 - MEDIAN(MIN($BJ$7:$BJ$29), MAX($BJ$7:$BJ$29), AK116)), $BK$7:$BK$29, "Error", 0)</f>
        <v/>
      </c>
      <c r="AL117" s="171">
        <f>_xlfn.XLOOKUP(MIN(ABS($BJ$7:$BJ$29 - MEDIAN(MIN($BJ$7:$BJ$29), MAX($BJ$7:$BJ$29), AL116))), ABS($BJ$7:$BJ$29 - MEDIAN(MIN($BJ$7:$BJ$29), MAX($BJ$7:$BJ$29), AL116)), $BK$7:$BK$29, "Error", 0)</f>
        <v/>
      </c>
      <c r="AM117" s="171">
        <f>_xlfn.XLOOKUP(MIN(ABS($BJ$7:$BJ$29 - MEDIAN(MIN($BJ$7:$BJ$29), MAX($BJ$7:$BJ$29), AM116))), ABS($BJ$7:$BJ$29 - MEDIAN(MIN($BJ$7:$BJ$29), MAX($BJ$7:$BJ$29), AM116)), $BK$7:$BK$29, "Error", 0)</f>
        <v/>
      </c>
      <c r="AN117" s="171">
        <f>_xlfn.XLOOKUP(MIN(ABS($BJ$7:$BJ$29 - MEDIAN(MIN($BJ$7:$BJ$29), MAX($BJ$7:$BJ$29), AN116))), ABS($BJ$7:$BJ$29 - MEDIAN(MIN($BJ$7:$BJ$29), MAX($BJ$7:$BJ$29), AN116)), $BK$7:$BK$29, "Error", 0)</f>
        <v/>
      </c>
      <c r="AO117" s="171">
        <f>_xlfn.XLOOKUP(MIN(ABS($BJ$7:$BJ$29 - MEDIAN(MIN($BJ$7:$BJ$29), MAX($BJ$7:$BJ$29), AO116))), ABS($BJ$7:$BJ$29 - MEDIAN(MIN($BJ$7:$BJ$29), MAX($BJ$7:$BJ$29), AO116)), $BK$7:$BK$29, "Error", 0)</f>
        <v/>
      </c>
      <c r="AP117" s="171">
        <f>_xlfn.XLOOKUP(MIN(ABS($BJ$7:$BJ$29 - MEDIAN(MIN($BJ$7:$BJ$29), MAX($BJ$7:$BJ$29), AP116))), ABS($BJ$7:$BJ$29 - MEDIAN(MIN($BJ$7:$BJ$29), MAX($BJ$7:$BJ$29), AP116)), $BK$7:$BK$29, "Error", 0)</f>
        <v/>
      </c>
      <c r="AQ117" s="171">
        <f>_xlfn.XLOOKUP(MIN(ABS($BJ$7:$BJ$29 - MEDIAN(MIN($BJ$7:$BJ$29), MAX($BJ$7:$BJ$29), AQ116))), ABS($BJ$7:$BJ$29 - MEDIAN(MIN($BJ$7:$BJ$29), MAX($BJ$7:$BJ$29), AQ116)), $BK$7:$BK$29, "Error", 0)</f>
        <v/>
      </c>
      <c r="AR117" s="171">
        <f>_xlfn.XLOOKUP(MIN(ABS($BJ$7:$BJ$29 - MEDIAN(MIN($BJ$7:$BJ$29), MAX($BJ$7:$BJ$29), AR116))), ABS($BJ$7:$BJ$29 - MEDIAN(MIN($BJ$7:$BJ$29), MAX($BJ$7:$BJ$29), AR116)), $BK$7:$BK$29, "Error", 0)</f>
        <v/>
      </c>
      <c r="AS117" s="171">
        <f>_xlfn.XLOOKUP(MIN(ABS($BJ$7:$BJ$29 - MEDIAN(MIN($BJ$7:$BJ$29), MAX($BJ$7:$BJ$29), AS116))), ABS($BJ$7:$BJ$29 - MEDIAN(MIN($BJ$7:$BJ$29), MAX($BJ$7:$BJ$29), AS116)), $BK$7:$BK$29, "Error", 0)</f>
        <v/>
      </c>
      <c r="AT117" s="171">
        <f>_xlfn.XLOOKUP(MIN(ABS($BJ$7:$BJ$29 - MEDIAN(MIN($BJ$7:$BJ$29), MAX($BJ$7:$BJ$29), AT116))), ABS($BJ$7:$BJ$29 - MEDIAN(MIN($BJ$7:$BJ$29), MAX($BJ$7:$BJ$29), AT116)), $BK$7:$BK$29, "Error", 0)</f>
        <v/>
      </c>
      <c r="AU117" s="171">
        <f>_xlfn.XLOOKUP(MIN(ABS($BJ$7:$BJ$29 - MEDIAN(MIN($BJ$7:$BJ$29), MAX($BJ$7:$BJ$29), AU116))), ABS($BJ$7:$BJ$29 - MEDIAN(MIN($BJ$7:$BJ$29), MAX($BJ$7:$BJ$29), AU116)), $BK$7:$BK$29, "Error", 0)</f>
        <v/>
      </c>
      <c r="AV117" s="206">
        <f>_xlfn.XLOOKUP(MIN(ABS($BJ$7:$BJ$29 - MEDIAN(MIN($BJ$7:$BJ$29), MAX($BJ$7:$BJ$29), AV116))), ABS($BJ$7:$BJ$29 - MEDIAN(MIN($BJ$7:$BJ$29), MAX($BJ$7:$BJ$29), AV116)), $BK$7:$BK$29, "Error", 0)</f>
        <v/>
      </c>
      <c r="AW117" s="184">
        <f>_xlfn.XLOOKUP(MIN(ABS($BJ$7:$BJ$29 - MEDIAN(MIN($BJ$7:$BJ$29), MAX($BJ$7:$BJ$29), AW116))), ABS($BJ$7:$BJ$29 - MEDIAN(MIN($BJ$7:$BJ$29), MAX($BJ$7:$BJ$29), AW116)), $BK$7:$BK$29, "Error", 0)</f>
        <v/>
      </c>
      <c r="AX117" s="184">
        <f>_xlfn.XLOOKUP(MIN(ABS($BJ$7:$BJ$29 - MEDIAN(MIN($BJ$7:$BJ$29), MAX($BJ$7:$BJ$29), AX116))), ABS($BJ$7:$BJ$29 - MEDIAN(MIN($BJ$7:$BJ$29), MAX($BJ$7:$BJ$29), AX116)), $BK$7:$BK$29, "Error", 0)</f>
        <v/>
      </c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16394.60718612443</v>
      </c>
      <c r="D118" s="233" t="n">
        <v>16394.60718612443</v>
      </c>
      <c r="E118" s="233" t="n">
        <v>16394.60718612443</v>
      </c>
      <c r="F118" s="233" t="n">
        <v>16394.60718612443</v>
      </c>
      <c r="G118" s="233" t="n">
        <v>16394.60718612443</v>
      </c>
      <c r="H118" s="233" t="n">
        <v>16394.60718612443</v>
      </c>
      <c r="I118" s="233" t="n">
        <v>16394.60718612443</v>
      </c>
      <c r="J118" s="233" t="n">
        <v>16394.60718612443</v>
      </c>
      <c r="K118" s="233" t="n">
        <v>16394.60718612443</v>
      </c>
      <c r="L118" s="233" t="n">
        <v>16394.60718612443</v>
      </c>
      <c r="M118" s="233" t="n">
        <v>16394.60718612443</v>
      </c>
      <c r="N118" s="233" t="n">
        <v>16394.60718612443</v>
      </c>
      <c r="O118" s="233" t="n">
        <v>16394.60718612443</v>
      </c>
      <c r="P118" s="233" t="n">
        <v>16394.60718612443</v>
      </c>
      <c r="Q118" s="233" t="n">
        <v>16394.60718612443</v>
      </c>
      <c r="R118" s="233" t="n">
        <v>16394.60718612443</v>
      </c>
      <c r="S118" s="233" t="n">
        <v>16394.60718612443</v>
      </c>
      <c r="T118" s="233" t="n">
        <v>16394.60718612443</v>
      </c>
      <c r="U118" s="233" t="n">
        <v>16639.36309714476</v>
      </c>
      <c r="V118" s="233" t="n">
        <v>16639.36309714476</v>
      </c>
      <c r="W118" s="233" t="n">
        <v>16639.36309714476</v>
      </c>
      <c r="X118" s="233" t="n">
        <v>16639.36309714476</v>
      </c>
      <c r="Y118" s="233" t="n">
        <v>16639.36309714476</v>
      </c>
      <c r="Z118" s="233" t="n">
        <v>16703.43678918527</v>
      </c>
      <c r="AA118" s="204" t="n">
        <v>17390.6420626461</v>
      </c>
      <c r="AB118" s="204" t="n">
        <v>17892.53866624832</v>
      </c>
      <c r="AC118" s="204" t="n">
        <v>18152.74926023046</v>
      </c>
      <c r="AD118" s="204" t="n">
        <v>18152.74926023046</v>
      </c>
      <c r="AE118" s="204" t="n">
        <v>18559.25495529175</v>
      </c>
      <c r="AF118" s="204" t="n">
        <v>18631.88787151268</v>
      </c>
      <c r="AG118" s="204" t="n">
        <v>18862.98697257158</v>
      </c>
      <c r="AH118" s="204" t="n">
        <v>19558.11121761799</v>
      </c>
      <c r="AI118" s="204" t="n">
        <v>19558.11121761799</v>
      </c>
      <c r="AJ118" s="204" t="n">
        <v>19837.05831058323</v>
      </c>
      <c r="AK118" s="204" t="n">
        <v>20028.12368174549</v>
      </c>
      <c r="AL118" s="204" t="n">
        <v>20086.4824426081</v>
      </c>
      <c r="AM118" s="204" t="n">
        <v>20641.32929182053</v>
      </c>
      <c r="AN118" s="204" t="n">
        <v>20776.31048147916</v>
      </c>
      <c r="AO118" s="204" t="n">
        <v>20776.31048147916</v>
      </c>
      <c r="AP118" s="204" t="n">
        <v>20776.31048147916</v>
      </c>
      <c r="AQ118" s="204" t="n">
        <v>20776.31048147916</v>
      </c>
      <c r="AR118" s="204" t="n">
        <v>20776.31048147916</v>
      </c>
      <c r="AS118" s="204" t="n">
        <v>21016.03644639952</v>
      </c>
      <c r="AT118" s="204" t="n">
        <v>21016.03644639952</v>
      </c>
      <c r="AU118" s="204" t="n">
        <v>21016.03644639952</v>
      </c>
      <c r="AV118" s="200" t="n">
        <v>21016.03644639952</v>
      </c>
      <c r="AW118" s="184" t="n">
        <v>21016.03644639952</v>
      </c>
      <c r="AX118" s="184" t="n">
        <v>21016.03644639952</v>
      </c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13596.82231451629</v>
      </c>
      <c r="D119" s="233" t="n">
        <v>14089.67625043576</v>
      </c>
      <c r="E119" s="233" t="n">
        <v>14074.76280863513</v>
      </c>
      <c r="F119" s="233" t="n">
        <v>14832.1460942009</v>
      </c>
      <c r="G119" s="233" t="n">
        <v>14177.89595979621</v>
      </c>
      <c r="H119" s="233" t="n">
        <v>14351.34817886353</v>
      </c>
      <c r="I119" s="233" t="n">
        <v>14856.99335017765</v>
      </c>
      <c r="J119" s="233" t="n">
        <v>14594.9194344288</v>
      </c>
      <c r="K119" s="233" t="n">
        <v>14447.40153388021</v>
      </c>
      <c r="L119" s="233" t="n">
        <v>13987.0097125551</v>
      </c>
      <c r="M119" s="233" t="n">
        <v>14298.62440844264</v>
      </c>
      <c r="N119" s="233" t="n">
        <v>14421.1812894051</v>
      </c>
      <c r="O119" s="233" t="n">
        <v>14687.15013162751</v>
      </c>
      <c r="P119" s="233" t="n">
        <v>14872.93017625809</v>
      </c>
      <c r="Q119" s="233" t="n">
        <v>15383.03247411386</v>
      </c>
      <c r="R119" s="233" t="n">
        <v>15587.15642456809</v>
      </c>
      <c r="S119" s="233" t="n">
        <v>15886.86542748241</v>
      </c>
      <c r="T119" s="233" t="n">
        <v>15521.99534959841</v>
      </c>
      <c r="U119" s="233" t="n">
        <v>16420.94489097595</v>
      </c>
      <c r="V119" s="233" t="n">
        <v>16226.47830682341</v>
      </c>
      <c r="W119" s="233" t="n">
        <v>15927.06277894974</v>
      </c>
      <c r="X119" s="233" t="n">
        <v>15988.08909277373</v>
      </c>
      <c r="Y119" s="233" t="n">
        <v>16167.19592062756</v>
      </c>
      <c r="Z119" s="233" t="n">
        <v>16490.49806571007</v>
      </c>
      <c r="AA119" s="204" t="n">
        <v>17337.15725183487</v>
      </c>
      <c r="AB119" s="204" t="n">
        <v>17808.28061956493</v>
      </c>
      <c r="AC119" s="204" t="n">
        <v>17673.78771817568</v>
      </c>
      <c r="AD119" s="204" t="n">
        <v>17841.32952965098</v>
      </c>
      <c r="AE119" s="204" t="n">
        <v>18372.03841583757</v>
      </c>
      <c r="AF119" s="204" t="n">
        <v>18395.47147274017</v>
      </c>
      <c r="AG119" s="204" t="n">
        <v>18779.0461132871</v>
      </c>
      <c r="AH119" s="204" t="n">
        <v>19000.16250401037</v>
      </c>
      <c r="AI119" s="204" t="n">
        <v>19095.85443087155</v>
      </c>
      <c r="AJ119" s="204" t="n">
        <v>19492.31998618459</v>
      </c>
      <c r="AK119" s="204" t="n">
        <v>19690.91508436203</v>
      </c>
      <c r="AL119" s="204" t="n">
        <v>19970.25765908416</v>
      </c>
      <c r="AM119" s="204" t="n">
        <v>20026.50798982382</v>
      </c>
      <c r="AN119" s="204" t="n">
        <v>20723.92061476083</v>
      </c>
      <c r="AO119" s="204" t="n">
        <v>19581.21427726746</v>
      </c>
      <c r="AP119" s="204" t="n">
        <v>19638.66099021863</v>
      </c>
      <c r="AQ119" s="204" t="n">
        <v>19534.71646067861</v>
      </c>
      <c r="AR119" s="204" t="n">
        <v>20213.2155524008</v>
      </c>
      <c r="AS119" s="204" t="n">
        <v>20823.38777343254</v>
      </c>
      <c r="AT119" s="204" t="n">
        <v>20454.57154758356</v>
      </c>
      <c r="AU119" s="204" t="n">
        <v>20163.5823215344</v>
      </c>
      <c r="AV119" s="201" t="n">
        <v>20163.5823215344</v>
      </c>
      <c r="AW119" s="184" t="n">
        <v>20163.5823215344</v>
      </c>
      <c r="AX119" s="184" t="n">
        <v>20163.5823215344</v>
      </c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>
        <f>+(AV119-AV118)/AV118</f>
        <v/>
      </c>
      <c r="AW120" s="184">
        <f>+(AW119-AW118)/AW118</f>
        <v/>
      </c>
      <c r="AX120" s="184">
        <f>+(AX119-AX118)/AX118</f>
        <v/>
      </c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8189.10009765625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8810.599609375</v>
      </c>
      <c r="AC121" s="203" t="n">
        <v>8908.7998046875</v>
      </c>
      <c r="AD121" s="203" t="n">
        <v>8908.7998046875</v>
      </c>
      <c r="AE121" s="203" t="n">
        <v>8908.7998046875</v>
      </c>
      <c r="AF121" s="203" t="n">
        <v>8908.7998046875</v>
      </c>
      <c r="AG121" s="203" t="n">
        <v>9163.2001953125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10951.099609375</v>
      </c>
      <c r="AT121" s="203" t="n">
        <v>10959.900390625</v>
      </c>
      <c r="AU121" s="203" t="n">
        <v>10959.900390625</v>
      </c>
      <c r="AV121" s="201" t="n">
        <v>10959.900390625</v>
      </c>
      <c r="AW121" s="184" t="n">
        <v>10959.900390625</v>
      </c>
      <c r="AX121" s="184" t="n">
        <v>10959.900390625</v>
      </c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7876.2998046875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8144.10009765625</v>
      </c>
      <c r="S122" s="233" t="n">
        <v>8275.400390625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8674</v>
      </c>
      <c r="AB122" s="203" t="n">
        <v>8809.7001953125</v>
      </c>
      <c r="AC122" s="203" t="n">
        <v>8582.7998046875</v>
      </c>
      <c r="AD122" s="203" t="n">
        <v>8494.900390625</v>
      </c>
      <c r="AE122" s="203" t="n">
        <v>8772.400390625</v>
      </c>
      <c r="AF122" s="203" t="n">
        <v>8761</v>
      </c>
      <c r="AG122" s="203" t="n">
        <v>9132.7998046875</v>
      </c>
      <c r="AH122" s="203" t="n">
        <v>9187.2998046875</v>
      </c>
      <c r="AI122" s="203" t="n">
        <v>9350.400390625</v>
      </c>
      <c r="AJ122" s="203" t="n">
        <v>9717.2998046875</v>
      </c>
      <c r="AK122" s="203" t="n">
        <v>9720.5</v>
      </c>
      <c r="AL122" s="203" t="n">
        <v>9931.400390625</v>
      </c>
      <c r="AM122" s="203" t="n">
        <v>10223.5</v>
      </c>
      <c r="AN122" s="203" t="n">
        <v>10910.599609375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10497.099609375</v>
      </c>
      <c r="AS122" s="203" t="n">
        <v>10868.099609375</v>
      </c>
      <c r="AT122" s="203" t="n">
        <v>10824.2998046875</v>
      </c>
      <c r="AU122" s="203" t="n">
        <v>10684.900390625</v>
      </c>
      <c r="AV122" s="201" t="n">
        <v>10684.900390625</v>
      </c>
      <c r="AW122" s="184" t="n">
        <v>10684.900390625</v>
      </c>
      <c r="AX122" s="184" t="n">
        <v>10684.900390625</v>
      </c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>
        <f>+(AV122-AV121)/AV121</f>
        <v/>
      </c>
      <c r="AW123" s="184">
        <f>+(AW122-AW121)/AW121</f>
        <v/>
      </c>
      <c r="AX123" s="184">
        <f>+(AX122-AX121)/AX121</f>
        <v/>
      </c>
      <c r="AY123" s="184" t="n"/>
    </row>
    <row r="124" ht="22" customHeight="1">
      <c r="A124" s="303" t="n"/>
      <c r="B124" s="201" t="inlineStr">
        <is>
          <t>real % change</t>
        </is>
      </c>
      <c r="C124" s="230">
        <f>+C123-C120</f>
        <v/>
      </c>
      <c r="D124" s="230">
        <f>+D123-D120</f>
        <v/>
      </c>
      <c r="E124" s="230">
        <f>+E123-E120</f>
        <v/>
      </c>
      <c r="F124" s="230">
        <f>+F123-F120</f>
        <v/>
      </c>
      <c r="G124" s="230">
        <f>+G123-G120</f>
        <v/>
      </c>
      <c r="H124" s="230">
        <f>+H123-H120</f>
        <v/>
      </c>
      <c r="I124" s="230">
        <f>+I123-I120</f>
        <v/>
      </c>
      <c r="J124" s="230">
        <f>+J123-J120</f>
        <v/>
      </c>
      <c r="K124" s="230">
        <f>+K123-K120</f>
        <v/>
      </c>
      <c r="L124" s="230">
        <f>+L123-L120</f>
        <v/>
      </c>
      <c r="M124" s="230">
        <f>+M123-M120</f>
        <v/>
      </c>
      <c r="N124" s="230">
        <f>+N123-N120</f>
        <v/>
      </c>
      <c r="O124" s="230">
        <f>+O123-O120</f>
        <v/>
      </c>
      <c r="P124" s="230">
        <f>+P123-P120</f>
        <v/>
      </c>
      <c r="Q124" s="230">
        <f>+Q123-Q120</f>
        <v/>
      </c>
      <c r="R124" s="230">
        <f>+R123-R120</f>
        <v/>
      </c>
      <c r="S124" s="230">
        <f>+S123-S120</f>
        <v/>
      </c>
      <c r="T124" s="230">
        <f>+T123-T120</f>
        <v/>
      </c>
      <c r="U124" s="230">
        <f>+U123-U120</f>
        <v/>
      </c>
      <c r="V124" s="230">
        <f>+V123-V120</f>
        <v/>
      </c>
      <c r="W124" s="230">
        <f>+W123-W120</f>
        <v/>
      </c>
      <c r="X124" s="230">
        <f>+X123-X120</f>
        <v/>
      </c>
      <c r="Y124" s="230">
        <f>+Y123-Y120</f>
        <v/>
      </c>
      <c r="Z124" s="230">
        <f>+Z123-Z120</f>
        <v/>
      </c>
      <c r="AA124" s="230">
        <f>+AA123-AA120</f>
        <v/>
      </c>
      <c r="AB124" s="205">
        <f>+AB123-AB120</f>
        <v/>
      </c>
      <c r="AC124" s="205">
        <f>+AC123-AC120</f>
        <v/>
      </c>
      <c r="AD124" s="205">
        <f>+AD123-AD120</f>
        <v/>
      </c>
      <c r="AE124" s="205">
        <f>+AE123-AE120</f>
        <v/>
      </c>
      <c r="AF124" s="205">
        <f>+AF123-AF120</f>
        <v/>
      </c>
      <c r="AG124" s="205">
        <f>+AG123-AG120</f>
        <v/>
      </c>
      <c r="AH124" s="205">
        <f>+AH123-AH120</f>
        <v/>
      </c>
      <c r="AI124" s="205">
        <f>+AI123-AI120</f>
        <v/>
      </c>
      <c r="AJ124" s="205">
        <f>+AJ123-AJ120</f>
        <v/>
      </c>
      <c r="AK124" s="205">
        <f>+AK123-AK120</f>
        <v/>
      </c>
      <c r="AL124" s="205">
        <f>+AL123-AL120</f>
        <v/>
      </c>
      <c r="AM124" s="205">
        <f>+AM123-AM120</f>
        <v/>
      </c>
      <c r="AN124" s="205">
        <f>+AN123-AN120</f>
        <v/>
      </c>
      <c r="AO124" s="205">
        <f>+AO123-AO120</f>
        <v/>
      </c>
      <c r="AP124" s="205">
        <f>+AP123-AP120</f>
        <v/>
      </c>
      <c r="AQ124" s="205">
        <f>+AQ123-AQ120</f>
        <v/>
      </c>
      <c r="AR124" s="205">
        <f>+AR123-AR120</f>
        <v/>
      </c>
      <c r="AS124" s="205">
        <f>+AS123-AS120</f>
        <v/>
      </c>
      <c r="AT124" s="205">
        <f>+AT123-AT120</f>
        <v/>
      </c>
      <c r="AU124" s="205">
        <f>+AU123-AU120</f>
        <v/>
      </c>
      <c r="AV124" s="201">
        <f>+AV123-AV120</f>
        <v/>
      </c>
      <c r="AW124" s="184">
        <f>+AW123-AW120</f>
        <v/>
      </c>
      <c r="AX124" s="184">
        <f>+AX123-AX120</f>
        <v/>
      </c>
      <c r="AY124" s="184" t="n"/>
    </row>
    <row r="125" ht="22" customHeight="1">
      <c r="A125" s="304" t="n"/>
      <c r="B125" s="206" t="inlineStr">
        <is>
          <t>Rating</t>
        </is>
      </c>
      <c r="C125" s="232">
        <f>_xlfn.XLOOKUP(MIN(ABS($BJ$7:$BJ$29 - MEDIAN(MIN($BJ$7:$BJ$29), MAX($BJ$7:$BJ$29), C124))), ABS($BJ$7:$BJ$29 - MEDIAN(MIN($BJ$7:$BJ$29), MAX($BJ$7:$BJ$29), C124)), $BK$7:$BK$29, "Error", 0)</f>
        <v/>
      </c>
      <c r="D125" s="232">
        <f>_xlfn.XLOOKUP(MIN(ABS($BJ$7:$BJ$29 - MEDIAN(MIN($BJ$7:$BJ$29), MAX($BJ$7:$BJ$29), D124))), ABS($BJ$7:$BJ$29 - MEDIAN(MIN($BJ$7:$BJ$29), MAX($BJ$7:$BJ$29), D124)), $BK$7:$BK$29, "Error", 0)</f>
        <v/>
      </c>
      <c r="E125" s="232">
        <f>_xlfn.XLOOKUP(MIN(ABS($BJ$7:$BJ$29 - MEDIAN(MIN($BJ$7:$BJ$29), MAX($BJ$7:$BJ$29), E124))), ABS($BJ$7:$BJ$29 - MEDIAN(MIN($BJ$7:$BJ$29), MAX($BJ$7:$BJ$29), E124)), $BK$7:$BK$29, "Error", 0)</f>
        <v/>
      </c>
      <c r="F125" s="232">
        <f>_xlfn.XLOOKUP(MIN(ABS($BJ$7:$BJ$29 - MEDIAN(MIN($BJ$7:$BJ$29), MAX($BJ$7:$BJ$29), F124))), ABS($BJ$7:$BJ$29 - MEDIAN(MIN($BJ$7:$BJ$29), MAX($BJ$7:$BJ$29), F124)), $BK$7:$BK$29, "Error", 0)</f>
        <v/>
      </c>
      <c r="G125" s="232">
        <f>_xlfn.XLOOKUP(MIN(ABS($BJ$7:$BJ$29 - MEDIAN(MIN($BJ$7:$BJ$29), MAX($BJ$7:$BJ$29), G124))), ABS($BJ$7:$BJ$29 - MEDIAN(MIN($BJ$7:$BJ$29), MAX($BJ$7:$BJ$29), G124)), $BK$7:$BK$29, "Error", 0)</f>
        <v/>
      </c>
      <c r="H125" s="232">
        <f>_xlfn.XLOOKUP(MIN(ABS($BJ$7:$BJ$29 - MEDIAN(MIN($BJ$7:$BJ$29), MAX($BJ$7:$BJ$29), H124))), ABS($BJ$7:$BJ$29 - MEDIAN(MIN($BJ$7:$BJ$29), MAX($BJ$7:$BJ$29), H124)), $BK$7:$BK$29, "Error", 0)</f>
        <v/>
      </c>
      <c r="I125" s="232">
        <f>_xlfn.XLOOKUP(MIN(ABS($BJ$7:$BJ$29 - MEDIAN(MIN($BJ$7:$BJ$29), MAX($BJ$7:$BJ$29), I124))), ABS($BJ$7:$BJ$29 - MEDIAN(MIN($BJ$7:$BJ$29), MAX($BJ$7:$BJ$29), I124)), $BK$7:$BK$29, "Error", 0)</f>
        <v/>
      </c>
      <c r="J125" s="232">
        <f>_xlfn.XLOOKUP(MIN(ABS($BJ$7:$BJ$29 - MEDIAN(MIN($BJ$7:$BJ$29), MAX($BJ$7:$BJ$29), J124))), ABS($BJ$7:$BJ$29 - MEDIAN(MIN($BJ$7:$BJ$29), MAX($BJ$7:$BJ$29), J124)), $BK$7:$BK$29, "Error", 0)</f>
        <v/>
      </c>
      <c r="K125" s="232">
        <f>_xlfn.XLOOKUP(MIN(ABS($BJ$7:$BJ$29 - MEDIAN(MIN($BJ$7:$BJ$29), MAX($BJ$7:$BJ$29), K124))), ABS($BJ$7:$BJ$29 - MEDIAN(MIN($BJ$7:$BJ$29), MAX($BJ$7:$BJ$29), K124)), $BK$7:$BK$29, "Error", 0)</f>
        <v/>
      </c>
      <c r="L125" s="232">
        <f>_xlfn.XLOOKUP(MIN(ABS($BJ$7:$BJ$29 - MEDIAN(MIN($BJ$7:$BJ$29), MAX($BJ$7:$BJ$29), L124))), ABS($BJ$7:$BJ$29 - MEDIAN(MIN($BJ$7:$BJ$29), MAX($BJ$7:$BJ$29), L124)), $BK$7:$BK$29, "Error", 0)</f>
        <v/>
      </c>
      <c r="M125" s="232">
        <f>_xlfn.XLOOKUP(MIN(ABS($BJ$7:$BJ$29 - MEDIAN(MIN($BJ$7:$BJ$29), MAX($BJ$7:$BJ$29), M124))), ABS($BJ$7:$BJ$29 - MEDIAN(MIN($BJ$7:$BJ$29), MAX($BJ$7:$BJ$29), M124)), $BK$7:$BK$29, "Error", 0)</f>
        <v/>
      </c>
      <c r="N125" s="232">
        <f>_xlfn.XLOOKUP(MIN(ABS($BJ$7:$BJ$29 - MEDIAN(MIN($BJ$7:$BJ$29), MAX($BJ$7:$BJ$29), N124))), ABS($BJ$7:$BJ$29 - MEDIAN(MIN($BJ$7:$BJ$29), MAX($BJ$7:$BJ$29), N124)), $BK$7:$BK$29, "Error", 0)</f>
        <v/>
      </c>
      <c r="O125" s="232">
        <f>_xlfn.XLOOKUP(MIN(ABS($BJ$7:$BJ$29 - MEDIAN(MIN($BJ$7:$BJ$29), MAX($BJ$7:$BJ$29), O124))), ABS($BJ$7:$BJ$29 - MEDIAN(MIN($BJ$7:$BJ$29), MAX($BJ$7:$BJ$29), O124)), $BK$7:$BK$29, "Error", 0)</f>
        <v/>
      </c>
      <c r="P125" s="232">
        <f>_xlfn.XLOOKUP(MIN(ABS($BJ$7:$BJ$29 - MEDIAN(MIN($BJ$7:$BJ$29), MAX($BJ$7:$BJ$29), P124))), ABS($BJ$7:$BJ$29 - MEDIAN(MIN($BJ$7:$BJ$29), MAX($BJ$7:$BJ$29), P124)), $BK$7:$BK$29, "Error", 0)</f>
        <v/>
      </c>
      <c r="Q125" s="232">
        <f>_xlfn.XLOOKUP(MIN(ABS($BJ$7:$BJ$29 - MEDIAN(MIN($BJ$7:$BJ$29), MAX($BJ$7:$BJ$29), Q124))), ABS($BJ$7:$BJ$29 - MEDIAN(MIN($BJ$7:$BJ$29), MAX($BJ$7:$BJ$29), Q124)), $BK$7:$BK$29, "Error", 0)</f>
        <v/>
      </c>
      <c r="R125" s="232">
        <f>_xlfn.XLOOKUP(MIN(ABS($BJ$7:$BJ$29 - MEDIAN(MIN($BJ$7:$BJ$29), MAX($BJ$7:$BJ$29), R124))), ABS($BJ$7:$BJ$29 - MEDIAN(MIN($BJ$7:$BJ$29), MAX($BJ$7:$BJ$29), R124)), $BK$7:$BK$29, "Error", 0)</f>
        <v/>
      </c>
      <c r="S125" s="232">
        <f>_xlfn.XLOOKUP(MIN(ABS($BJ$7:$BJ$29 - MEDIAN(MIN($BJ$7:$BJ$29), MAX($BJ$7:$BJ$29), S124))), ABS($BJ$7:$BJ$29 - MEDIAN(MIN($BJ$7:$BJ$29), MAX($BJ$7:$BJ$29), S124)), $BK$7:$BK$29, "Error", 0)</f>
        <v/>
      </c>
      <c r="T125" s="232">
        <f>_xlfn.XLOOKUP(MIN(ABS($BJ$7:$BJ$29 - MEDIAN(MIN($BJ$7:$BJ$29), MAX($BJ$7:$BJ$29), T124))), ABS($BJ$7:$BJ$29 - MEDIAN(MIN($BJ$7:$BJ$29), MAX($BJ$7:$BJ$29), T124)), $BK$7:$BK$29, "Error", 0)</f>
        <v/>
      </c>
      <c r="U125" s="232">
        <f>_xlfn.XLOOKUP(MIN(ABS($BJ$7:$BJ$29 - MEDIAN(MIN($BJ$7:$BJ$29), MAX($BJ$7:$BJ$29), U124))), ABS($BJ$7:$BJ$29 - MEDIAN(MIN($BJ$7:$BJ$29), MAX($BJ$7:$BJ$29), U124)), $BK$7:$BK$29, "Error", 0)</f>
        <v/>
      </c>
      <c r="V125" s="232">
        <f>_xlfn.XLOOKUP(MIN(ABS($BJ$7:$BJ$29 - MEDIAN(MIN($BJ$7:$BJ$29), MAX($BJ$7:$BJ$29), V124))), ABS($BJ$7:$BJ$29 - MEDIAN(MIN($BJ$7:$BJ$29), MAX($BJ$7:$BJ$29), V124)), $BK$7:$BK$29, "Error", 0)</f>
        <v/>
      </c>
      <c r="W125" s="232">
        <f>_xlfn.XLOOKUP(MIN(ABS($BJ$7:$BJ$29 - MEDIAN(MIN($BJ$7:$BJ$29), MAX($BJ$7:$BJ$29), W124))), ABS($BJ$7:$BJ$29 - MEDIAN(MIN($BJ$7:$BJ$29), MAX($BJ$7:$BJ$29), W124)), $BK$7:$BK$29, "Error", 0)</f>
        <v/>
      </c>
      <c r="X125" s="232">
        <f>_xlfn.XLOOKUP(MIN(ABS($BJ$7:$BJ$29 - MEDIAN(MIN($BJ$7:$BJ$29), MAX($BJ$7:$BJ$29), X124))), ABS($BJ$7:$BJ$29 - MEDIAN(MIN($BJ$7:$BJ$29), MAX($BJ$7:$BJ$29), X124)), $BK$7:$BK$29, "Error", 0)</f>
        <v/>
      </c>
      <c r="Y125" s="232">
        <f>_xlfn.XLOOKUP(MIN(ABS($BJ$7:$BJ$29 - MEDIAN(MIN($BJ$7:$BJ$29), MAX($BJ$7:$BJ$29), Y124))), ABS($BJ$7:$BJ$29 - MEDIAN(MIN($BJ$7:$BJ$29), MAX($BJ$7:$BJ$29), Y124)), $BK$7:$BK$29, "Error", 0)</f>
        <v/>
      </c>
      <c r="Z125" s="232">
        <f>_xlfn.XLOOKUP(MIN(ABS($BJ$7:$BJ$29 - MEDIAN(MIN($BJ$7:$BJ$29), MAX($BJ$7:$BJ$29), Z124))), ABS($BJ$7:$BJ$29 - MEDIAN(MIN($BJ$7:$BJ$29), MAX($BJ$7:$BJ$29), Z124)), $BK$7:$BK$29, "Error", 0)</f>
        <v/>
      </c>
      <c r="AA125" s="232">
        <f>_xlfn.XLOOKUP(MIN(ABS($BJ$7:$BJ$29 - MEDIAN(MIN($BJ$7:$BJ$29), MAX($BJ$7:$BJ$29), AA124))), ABS($BJ$7:$BJ$29 - MEDIAN(MIN($BJ$7:$BJ$29), MAX($BJ$7:$BJ$29), AA124)), $BK$7:$BK$29, "Error", 0)</f>
        <v/>
      </c>
      <c r="AB125" s="171">
        <f>_xlfn.XLOOKUP(MIN(ABS($BJ$7:$BJ$29 - MEDIAN(MIN($BJ$7:$BJ$29), MAX($BJ$7:$BJ$29), AB124))), ABS($BJ$7:$BJ$29 - MEDIAN(MIN($BJ$7:$BJ$29), MAX($BJ$7:$BJ$29), AB124)), $BK$7:$BK$29, "Error", 0)</f>
        <v/>
      </c>
      <c r="AC125" s="171">
        <f>_xlfn.XLOOKUP(MIN(ABS($BJ$7:$BJ$29 - MEDIAN(MIN($BJ$7:$BJ$29), MAX($BJ$7:$BJ$29), AC124))), ABS($BJ$7:$BJ$29 - MEDIAN(MIN($BJ$7:$BJ$29), MAX($BJ$7:$BJ$29), AC124)), $BK$7:$BK$29, "Error", 0)</f>
        <v/>
      </c>
      <c r="AD125" s="171">
        <f>_xlfn.XLOOKUP(MIN(ABS($BJ$7:$BJ$29 - MEDIAN(MIN($BJ$7:$BJ$29), MAX($BJ$7:$BJ$29), AD124))), ABS($BJ$7:$BJ$29 - MEDIAN(MIN($BJ$7:$BJ$29), MAX($BJ$7:$BJ$29), AD124)), $BK$7:$BK$29, "Error", 0)</f>
        <v/>
      </c>
      <c r="AE125" s="171">
        <f>_xlfn.XLOOKUP(MIN(ABS($BJ$7:$BJ$29 - MEDIAN(MIN($BJ$7:$BJ$29), MAX($BJ$7:$BJ$29), AE124))), ABS($BJ$7:$BJ$29 - MEDIAN(MIN($BJ$7:$BJ$29), MAX($BJ$7:$BJ$29), AE124)), $BK$7:$BK$29, "Error", 0)</f>
        <v/>
      </c>
      <c r="AF125" s="171">
        <f>_xlfn.XLOOKUP(MIN(ABS($BJ$7:$BJ$29 - MEDIAN(MIN($BJ$7:$BJ$29), MAX($BJ$7:$BJ$29), AF124))), ABS($BJ$7:$BJ$29 - MEDIAN(MIN($BJ$7:$BJ$29), MAX($BJ$7:$BJ$29), AF124)), $BK$7:$BK$29, "Error", 0)</f>
        <v/>
      </c>
      <c r="AG125" s="171">
        <f>_xlfn.XLOOKUP(MIN(ABS($BJ$7:$BJ$29 - MEDIAN(MIN($BJ$7:$BJ$29), MAX($BJ$7:$BJ$29), AG124))), ABS($BJ$7:$BJ$29 - MEDIAN(MIN($BJ$7:$BJ$29), MAX($BJ$7:$BJ$29), AG124)), $BK$7:$BK$29, "Error", 0)</f>
        <v/>
      </c>
      <c r="AH125" s="171">
        <f>_xlfn.XLOOKUP(MIN(ABS($BJ$7:$BJ$29 - MEDIAN(MIN($BJ$7:$BJ$29), MAX($BJ$7:$BJ$29), AH124))), ABS($BJ$7:$BJ$29 - MEDIAN(MIN($BJ$7:$BJ$29), MAX($BJ$7:$BJ$29), AH124)), $BK$7:$BK$29, "Error", 0)</f>
        <v/>
      </c>
      <c r="AI125" s="171">
        <f>_xlfn.XLOOKUP(MIN(ABS($BJ$7:$BJ$29 - MEDIAN(MIN($BJ$7:$BJ$29), MAX($BJ$7:$BJ$29), AI124))), ABS($BJ$7:$BJ$29 - MEDIAN(MIN($BJ$7:$BJ$29), MAX($BJ$7:$BJ$29), AI124)), $BK$7:$BK$29, "Error", 0)</f>
        <v/>
      </c>
      <c r="AJ125" s="171">
        <f>_xlfn.XLOOKUP(MIN(ABS($BJ$7:$BJ$29 - MEDIAN(MIN($BJ$7:$BJ$29), MAX($BJ$7:$BJ$29), AJ124))), ABS($BJ$7:$BJ$29 - MEDIAN(MIN($BJ$7:$BJ$29), MAX($BJ$7:$BJ$29), AJ124)), $BK$7:$BK$29, "Error", 0)</f>
        <v/>
      </c>
      <c r="AK125" s="171">
        <f>_xlfn.XLOOKUP(MIN(ABS($BJ$7:$BJ$29 - MEDIAN(MIN($BJ$7:$BJ$29), MAX($BJ$7:$BJ$29), AK124))), ABS($BJ$7:$BJ$29 - MEDIAN(MIN($BJ$7:$BJ$29), MAX($BJ$7:$BJ$29), AK124)), $BK$7:$BK$29, "Error", 0)</f>
        <v/>
      </c>
      <c r="AL125" s="171">
        <f>_xlfn.XLOOKUP(MIN(ABS($BJ$7:$BJ$29 - MEDIAN(MIN($BJ$7:$BJ$29), MAX($BJ$7:$BJ$29), AL124))), ABS($BJ$7:$BJ$29 - MEDIAN(MIN($BJ$7:$BJ$29), MAX($BJ$7:$BJ$29), AL124)), $BK$7:$BK$29, "Error", 0)</f>
        <v/>
      </c>
      <c r="AM125" s="171">
        <f>_xlfn.XLOOKUP(MIN(ABS($BJ$7:$BJ$29 - MEDIAN(MIN($BJ$7:$BJ$29), MAX($BJ$7:$BJ$29), AM124))), ABS($BJ$7:$BJ$29 - MEDIAN(MIN($BJ$7:$BJ$29), MAX($BJ$7:$BJ$29), AM124)), $BK$7:$BK$29, "Error", 0)</f>
        <v/>
      </c>
      <c r="AN125" s="171">
        <f>_xlfn.XLOOKUP(MIN(ABS($BJ$7:$BJ$29 - MEDIAN(MIN($BJ$7:$BJ$29), MAX($BJ$7:$BJ$29), AN124))), ABS($BJ$7:$BJ$29 - MEDIAN(MIN($BJ$7:$BJ$29), MAX($BJ$7:$BJ$29), AN124)), $BK$7:$BK$29, "Error", 0)</f>
        <v/>
      </c>
      <c r="AO125" s="171">
        <f>_xlfn.XLOOKUP(MIN(ABS($BJ$7:$BJ$29 - MEDIAN(MIN($BJ$7:$BJ$29), MAX($BJ$7:$BJ$29), AO124))), ABS($BJ$7:$BJ$29 - MEDIAN(MIN($BJ$7:$BJ$29), MAX($BJ$7:$BJ$29), AO124)), $BK$7:$BK$29, "Error", 0)</f>
        <v/>
      </c>
      <c r="AP125" s="171">
        <f>_xlfn.XLOOKUP(MIN(ABS($BJ$7:$BJ$29 - MEDIAN(MIN($BJ$7:$BJ$29), MAX($BJ$7:$BJ$29), AP124))), ABS($BJ$7:$BJ$29 - MEDIAN(MIN($BJ$7:$BJ$29), MAX($BJ$7:$BJ$29), AP124)), $BK$7:$BK$29, "Error", 0)</f>
        <v/>
      </c>
      <c r="AQ125" s="171">
        <f>_xlfn.XLOOKUP(MIN(ABS($BJ$7:$BJ$29 - MEDIAN(MIN($BJ$7:$BJ$29), MAX($BJ$7:$BJ$29), AQ124))), ABS($BJ$7:$BJ$29 - MEDIAN(MIN($BJ$7:$BJ$29), MAX($BJ$7:$BJ$29), AQ124)), $BK$7:$BK$29, "Error", 0)</f>
        <v/>
      </c>
      <c r="AR125" s="171">
        <f>_xlfn.XLOOKUP(MIN(ABS($BJ$7:$BJ$29 - MEDIAN(MIN($BJ$7:$BJ$29), MAX($BJ$7:$BJ$29), AR124))), ABS($BJ$7:$BJ$29 - MEDIAN(MIN($BJ$7:$BJ$29), MAX($BJ$7:$BJ$29), AR124)), $BK$7:$BK$29, "Error", 0)</f>
        <v/>
      </c>
      <c r="AS125" s="171">
        <f>_xlfn.XLOOKUP(MIN(ABS($BJ$7:$BJ$29 - MEDIAN(MIN($BJ$7:$BJ$29), MAX($BJ$7:$BJ$29), AS124))), ABS($BJ$7:$BJ$29 - MEDIAN(MIN($BJ$7:$BJ$29), MAX($BJ$7:$BJ$29), AS124)), $BK$7:$BK$29, "Error", 0)</f>
        <v/>
      </c>
      <c r="AT125" s="171">
        <f>_xlfn.XLOOKUP(MIN(ABS($BJ$7:$BJ$29 - MEDIAN(MIN($BJ$7:$BJ$29), MAX($BJ$7:$BJ$29), AT124))), ABS($BJ$7:$BJ$29 - MEDIAN(MIN($BJ$7:$BJ$29), MAX($BJ$7:$BJ$29), AT124)), $BK$7:$BK$29, "Error", 0)</f>
        <v/>
      </c>
      <c r="AU125" s="171">
        <f>_xlfn.XLOOKUP(MIN(ABS($BJ$7:$BJ$29 - MEDIAN(MIN($BJ$7:$BJ$29), MAX($BJ$7:$BJ$29), AU124))), ABS($BJ$7:$BJ$29 - MEDIAN(MIN($BJ$7:$BJ$29), MAX($BJ$7:$BJ$29), AU124)), $BK$7:$BK$29, "Error", 0)</f>
        <v/>
      </c>
      <c r="AV125" s="206">
        <f>_xlfn.XLOOKUP(MIN(ABS($BJ$7:$BJ$29 - MEDIAN(MIN($BJ$7:$BJ$29), MAX($BJ$7:$BJ$29), AV124))), ABS($BJ$7:$BJ$29 - MEDIAN(MIN($BJ$7:$BJ$29), MAX($BJ$7:$BJ$29), AV124)), $BK$7:$BK$29, "Error", 0)</f>
        <v/>
      </c>
      <c r="AW125" s="184">
        <f>_xlfn.XLOOKUP(MIN(ABS($BJ$7:$BJ$29 - MEDIAN(MIN($BJ$7:$BJ$29), MAX($BJ$7:$BJ$29), AW124))), ABS($BJ$7:$BJ$29 - MEDIAN(MIN($BJ$7:$BJ$29), MAX($BJ$7:$BJ$29), AW124)), $BK$7:$BK$29, "Error", 0)</f>
        <v/>
      </c>
      <c r="AX125" s="184">
        <f>_xlfn.XLOOKUP(MIN(ABS($BJ$7:$BJ$29 - MEDIAN(MIN($BJ$7:$BJ$29), MAX($BJ$7:$BJ$29), AX124))), ABS($BJ$7:$BJ$29 - MEDIAN(MIN($BJ$7:$BJ$29), MAX($BJ$7:$BJ$29), AX124)), $BK$7:$BK$29, "Error", 0)</f>
        <v/>
      </c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18676.92424654611</v>
      </c>
      <c r="D126" s="233" t="n">
        <v>18676.92424654611</v>
      </c>
      <c r="E126" s="233" t="n">
        <v>18676.92424654611</v>
      </c>
      <c r="F126" s="233" t="n">
        <v>18676.92424654611</v>
      </c>
      <c r="G126" s="233" t="n">
        <v>18676.92424654611</v>
      </c>
      <c r="H126" s="233" t="n">
        <v>18676.92424654611</v>
      </c>
      <c r="I126" s="233" t="n">
        <v>18676.92424654611</v>
      </c>
      <c r="J126" s="233" t="n">
        <v>18676.92424654611</v>
      </c>
      <c r="K126" s="233" t="n">
        <v>18676.92424654611</v>
      </c>
      <c r="L126" s="233" t="n">
        <v>18676.92424654611</v>
      </c>
      <c r="M126" s="233" t="n">
        <v>18676.92424654611</v>
      </c>
      <c r="N126" s="233" t="n">
        <v>18676.92424654611</v>
      </c>
      <c r="O126" s="233" t="n">
        <v>18676.92424654611</v>
      </c>
      <c r="P126" s="233" t="n">
        <v>18676.92424654611</v>
      </c>
      <c r="Q126" s="233" t="n">
        <v>18676.92424654611</v>
      </c>
      <c r="R126" s="233" t="n">
        <v>18676.92424654611</v>
      </c>
      <c r="S126" s="233" t="n">
        <v>18676.92424654611</v>
      </c>
      <c r="T126" s="233" t="n">
        <v>18676.92424654611</v>
      </c>
      <c r="U126" s="233" t="n">
        <v>18676.92424654611</v>
      </c>
      <c r="V126" s="233" t="n">
        <v>18676.92424654611</v>
      </c>
      <c r="W126" s="233" t="n">
        <v>18676.92424654611</v>
      </c>
      <c r="X126" s="233" t="n">
        <v>18676.92424654611</v>
      </c>
      <c r="Y126" s="233" t="n">
        <v>18676.92424654611</v>
      </c>
      <c r="Z126" s="233" t="n">
        <v>18676.92424654611</v>
      </c>
      <c r="AA126" s="204" t="n">
        <v>19179.61868069973</v>
      </c>
      <c r="AB126" s="204" t="n">
        <v>19832.52308607101</v>
      </c>
      <c r="AC126" s="204" t="n">
        <v>20153.6642554258</v>
      </c>
      <c r="AD126" s="204" t="n">
        <v>20153.6642554258</v>
      </c>
      <c r="AE126" s="204" t="n">
        <v>20153.6642554258</v>
      </c>
      <c r="AF126" s="204" t="n">
        <v>20153.6642554258</v>
      </c>
      <c r="AG126" s="204" t="n">
        <v>20569.22640393139</v>
      </c>
      <c r="AH126" s="204" t="n">
        <v>21625.93090295792</v>
      </c>
      <c r="AI126" s="204" t="n">
        <v>21768.87156023551</v>
      </c>
      <c r="AJ126" s="204" t="n">
        <v>22518.91565482365</v>
      </c>
      <c r="AK126" s="204" t="n">
        <v>23161.88811762026</v>
      </c>
      <c r="AL126" s="204" t="n">
        <v>23183.16549442196</v>
      </c>
      <c r="AM126" s="204" t="n">
        <v>24011.89860093594</v>
      </c>
      <c r="AN126" s="204" t="n">
        <v>24676.68063949607</v>
      </c>
      <c r="AO126" s="204" t="n">
        <v>24676.68063949607</v>
      </c>
      <c r="AP126" s="204" t="n">
        <v>24735.54109075805</v>
      </c>
      <c r="AQ126" s="204" t="n">
        <v>24735.54109075805</v>
      </c>
      <c r="AR126" s="204" t="n">
        <v>24904.51106488751</v>
      </c>
      <c r="AS126" s="204" t="n">
        <v>25291.98971390724</v>
      </c>
      <c r="AT126" s="204" t="n">
        <v>25291.98971390724</v>
      </c>
      <c r="AU126" s="204" t="n">
        <v>25341.83822083473</v>
      </c>
      <c r="AV126" s="200" t="n">
        <v>25341.83822083473</v>
      </c>
      <c r="AW126" s="184" t="n">
        <v>25341.83822083473</v>
      </c>
      <c r="AX126" s="184" t="n">
        <v>25341.83822083473</v>
      </c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14836.17597673007</v>
      </c>
      <c r="D127" s="233" t="n">
        <v>15410.29552942573</v>
      </c>
      <c r="E127" s="233" t="n">
        <v>15072.6080676961</v>
      </c>
      <c r="F127" s="233" t="n">
        <v>16002.18906817015</v>
      </c>
      <c r="G127" s="233" t="n">
        <v>15282.6731487225</v>
      </c>
      <c r="H127" s="233" t="n">
        <v>15659.11793482304</v>
      </c>
      <c r="I127" s="233" t="n">
        <v>16064.64315576025</v>
      </c>
      <c r="J127" s="233" t="n">
        <v>15883.9667044587</v>
      </c>
      <c r="K127" s="233" t="n">
        <v>15567.00904245058</v>
      </c>
      <c r="L127" s="233" t="n">
        <v>15247.44051708793</v>
      </c>
      <c r="M127" s="233" t="n">
        <v>15371.00255705602</v>
      </c>
      <c r="N127" s="233" t="n">
        <v>15542.57260724762</v>
      </c>
      <c r="O127" s="233" t="n">
        <v>15790.00029596931</v>
      </c>
      <c r="P127" s="233" t="n">
        <v>15845.14438390732</v>
      </c>
      <c r="Q127" s="233" t="n">
        <v>16742.92712114984</v>
      </c>
      <c r="R127" s="233" t="n">
        <v>17127.85741556401</v>
      </c>
      <c r="S127" s="233" t="n">
        <v>17221.68704643846</v>
      </c>
      <c r="T127" s="233" t="n">
        <v>16960.91880932904</v>
      </c>
      <c r="U127" s="233" t="n">
        <v>18199.56365966797</v>
      </c>
      <c r="V127" s="233" t="n">
        <v>17606.60780302994</v>
      </c>
      <c r="W127" s="233" t="n">
        <v>17353.71225357056</v>
      </c>
      <c r="X127" s="233" t="n">
        <v>17599.89043073205</v>
      </c>
      <c r="Y127" s="233" t="n">
        <v>17835.09862413397</v>
      </c>
      <c r="Z127" s="233" t="n">
        <v>18183.86223626137</v>
      </c>
      <c r="AA127" s="204" t="n">
        <v>19116.80110454559</v>
      </c>
      <c r="AB127" s="204" t="n">
        <v>19722.80436086468</v>
      </c>
      <c r="AC127" s="204" t="n">
        <v>19452.05832533003</v>
      </c>
      <c r="AD127" s="204" t="n">
        <v>19188.79164131079</v>
      </c>
      <c r="AE127" s="204" t="n">
        <v>19808.69408045337</v>
      </c>
      <c r="AF127" s="204" t="n">
        <v>19820.09815597534</v>
      </c>
      <c r="AG127" s="204" t="n">
        <v>20493.63657039357</v>
      </c>
      <c r="AH127" s="204" t="n">
        <v>21091.65063515422</v>
      </c>
      <c r="AI127" s="204" t="n">
        <v>21729.86347645754</v>
      </c>
      <c r="AJ127" s="204" t="n">
        <v>22255.91991719091</v>
      </c>
      <c r="AK127" s="204" t="n">
        <v>22461.35343813896</v>
      </c>
      <c r="AL127" s="204" t="n">
        <v>23092.49299144931</v>
      </c>
      <c r="AM127" s="204" t="n">
        <v>23229.63305211067</v>
      </c>
      <c r="AN127" s="204" t="n">
        <v>24612.67696538335</v>
      </c>
      <c r="AO127" s="204" t="n">
        <v>23438.51486599445</v>
      </c>
      <c r="AP127" s="204" t="n">
        <v>23967.65789781325</v>
      </c>
      <c r="AQ127" s="204" t="n">
        <v>23537.50821009278</v>
      </c>
      <c r="AR127" s="204" t="n">
        <v>24618.21910680737</v>
      </c>
      <c r="AS127" s="204" t="n">
        <v>24899.68563148845</v>
      </c>
      <c r="AT127" s="204" t="n">
        <v>24714.25837070611</v>
      </c>
      <c r="AU127" s="204" t="n">
        <v>25010.68036517734</v>
      </c>
      <c r="AV127" s="201" t="n">
        <v>25010.68036517734</v>
      </c>
      <c r="AW127" s="184" t="n">
        <v>25010.68036517734</v>
      </c>
      <c r="AX127" s="184" t="n">
        <v>25010.68036517734</v>
      </c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>
        <f>+(AV127-AV126)/AV126</f>
        <v/>
      </c>
      <c r="AW128" s="184">
        <f>+(AW127-AW126)/AW126</f>
        <v/>
      </c>
      <c r="AX128" s="184">
        <f>+(AX127-AX126)/AX126</f>
        <v/>
      </c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8189.10009765625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8810.599609375</v>
      </c>
      <c r="AC129" s="203" t="n">
        <v>8908.7998046875</v>
      </c>
      <c r="AD129" s="203" t="n">
        <v>8908.7998046875</v>
      </c>
      <c r="AE129" s="203" t="n">
        <v>8908.7998046875</v>
      </c>
      <c r="AF129" s="203" t="n">
        <v>8908.7998046875</v>
      </c>
      <c r="AG129" s="203" t="n">
        <v>9163.2001953125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10951.099609375</v>
      </c>
      <c r="AT129" s="203" t="n">
        <v>10959.900390625</v>
      </c>
      <c r="AU129" s="203" t="n">
        <v>10959.900390625</v>
      </c>
      <c r="AV129" s="201" t="n">
        <v>10959.900390625</v>
      </c>
      <c r="AW129" s="184" t="n">
        <v>10959.900390625</v>
      </c>
      <c r="AX129" s="184" t="n">
        <v>10959.900390625</v>
      </c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7876.2998046875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8144.10009765625</v>
      </c>
      <c r="S130" s="233" t="n">
        <v>8275.400390625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8674</v>
      </c>
      <c r="AB130" s="203" t="n">
        <v>8809.7001953125</v>
      </c>
      <c r="AC130" s="203" t="n">
        <v>8582.7998046875</v>
      </c>
      <c r="AD130" s="203" t="n">
        <v>8494.900390625</v>
      </c>
      <c r="AE130" s="203" t="n">
        <v>8772.400390625</v>
      </c>
      <c r="AF130" s="203" t="n">
        <v>8761</v>
      </c>
      <c r="AG130" s="203" t="n">
        <v>9132.7998046875</v>
      </c>
      <c r="AH130" s="203" t="n">
        <v>9187.2998046875</v>
      </c>
      <c r="AI130" s="203" t="n">
        <v>9350.400390625</v>
      </c>
      <c r="AJ130" s="203" t="n">
        <v>9717.2998046875</v>
      </c>
      <c r="AK130" s="203" t="n">
        <v>9720.5</v>
      </c>
      <c r="AL130" s="203" t="n">
        <v>9931.400390625</v>
      </c>
      <c r="AM130" s="203" t="n">
        <v>10223.5</v>
      </c>
      <c r="AN130" s="203" t="n">
        <v>10910.599609375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10497.099609375</v>
      </c>
      <c r="AS130" s="203" t="n">
        <v>10868.099609375</v>
      </c>
      <c r="AT130" s="203" t="n">
        <v>10824.2998046875</v>
      </c>
      <c r="AU130" s="203" t="n">
        <v>10684.900390625</v>
      </c>
      <c r="AV130" s="201" t="n">
        <v>10684.900390625</v>
      </c>
      <c r="AW130" s="184" t="n">
        <v>10684.900390625</v>
      </c>
      <c r="AX130" s="184" t="n">
        <v>10684.900390625</v>
      </c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>
        <f>+(AV130-AV129)/AV129</f>
        <v/>
      </c>
      <c r="AW131" s="184">
        <f>+(AW130-AW129)/AW129</f>
        <v/>
      </c>
      <c r="AX131" s="184">
        <f>+(AX130-AX129)/AX129</f>
        <v/>
      </c>
      <c r="AY131" s="184" t="n"/>
    </row>
    <row r="132" ht="22" customHeight="1">
      <c r="A132" s="303" t="n"/>
      <c r="B132" s="201" t="inlineStr">
        <is>
          <t>real % change</t>
        </is>
      </c>
      <c r="C132" s="230">
        <f>+C131-C128</f>
        <v/>
      </c>
      <c r="D132" s="230">
        <f>+D131-D128</f>
        <v/>
      </c>
      <c r="E132" s="230">
        <f>+E131-E128</f>
        <v/>
      </c>
      <c r="F132" s="230">
        <f>+F131-F128</f>
        <v/>
      </c>
      <c r="G132" s="230">
        <f>+G131-G128</f>
        <v/>
      </c>
      <c r="H132" s="230">
        <f>+H131-H128</f>
        <v/>
      </c>
      <c r="I132" s="230">
        <f>+I131-I128</f>
        <v/>
      </c>
      <c r="J132" s="230">
        <f>+J131-J128</f>
        <v/>
      </c>
      <c r="K132" s="230">
        <f>+K131-K128</f>
        <v/>
      </c>
      <c r="L132" s="230">
        <f>+L131-L128</f>
        <v/>
      </c>
      <c r="M132" s="230">
        <f>+M131-M128</f>
        <v/>
      </c>
      <c r="N132" s="230">
        <f>+N131-N128</f>
        <v/>
      </c>
      <c r="O132" s="230">
        <f>+O131-O128</f>
        <v/>
      </c>
      <c r="P132" s="230">
        <f>+P131-P128</f>
        <v/>
      </c>
      <c r="Q132" s="230">
        <f>+Q131-Q128</f>
        <v/>
      </c>
      <c r="R132" s="230">
        <f>+R131-R128</f>
        <v/>
      </c>
      <c r="S132" s="230">
        <f>+S131-S128</f>
        <v/>
      </c>
      <c r="T132" s="230">
        <f>+T131-T128</f>
        <v/>
      </c>
      <c r="U132" s="230">
        <f>+U131-U128</f>
        <v/>
      </c>
      <c r="V132" s="230">
        <f>+V131-V128</f>
        <v/>
      </c>
      <c r="W132" s="230">
        <f>+W131-W128</f>
        <v/>
      </c>
      <c r="X132" s="230">
        <f>+X131-X128</f>
        <v/>
      </c>
      <c r="Y132" s="230">
        <f>+Y131-Y128</f>
        <v/>
      </c>
      <c r="Z132" s="230">
        <f>+Z131-Z128</f>
        <v/>
      </c>
      <c r="AA132" s="230">
        <f>+AA131-AA128</f>
        <v/>
      </c>
      <c r="AB132" s="205">
        <f>+AB131-AB128</f>
        <v/>
      </c>
      <c r="AC132" s="205">
        <f>+AC131-AC128</f>
        <v/>
      </c>
      <c r="AD132" s="205">
        <f>+AD131-AD128</f>
        <v/>
      </c>
      <c r="AE132" s="205">
        <f>+AE131-AE128</f>
        <v/>
      </c>
      <c r="AF132" s="205">
        <f>+AF131-AF128</f>
        <v/>
      </c>
      <c r="AG132" s="205">
        <f>+AG131-AG128</f>
        <v/>
      </c>
      <c r="AH132" s="205">
        <f>+AH131-AH128</f>
        <v/>
      </c>
      <c r="AI132" s="205">
        <f>+AI131-AI128</f>
        <v/>
      </c>
      <c r="AJ132" s="205">
        <f>+AJ131-AJ128</f>
        <v/>
      </c>
      <c r="AK132" s="205">
        <f>+AK131-AK128</f>
        <v/>
      </c>
      <c r="AL132" s="205">
        <f>+AL131-AL128</f>
        <v/>
      </c>
      <c r="AM132" s="205">
        <f>+AM131-AM128</f>
        <v/>
      </c>
      <c r="AN132" s="205">
        <f>+AN131-AN128</f>
        <v/>
      </c>
      <c r="AO132" s="205">
        <f>+AO131-AO128</f>
        <v/>
      </c>
      <c r="AP132" s="205">
        <f>+AP131-AP128</f>
        <v/>
      </c>
      <c r="AQ132" s="205">
        <f>+AQ131-AQ128</f>
        <v/>
      </c>
      <c r="AR132" s="205">
        <f>+AR131-AR128</f>
        <v/>
      </c>
      <c r="AS132" s="205">
        <f>+AS131-AS128</f>
        <v/>
      </c>
      <c r="AT132" s="205">
        <f>+AT131-AT128</f>
        <v/>
      </c>
      <c r="AU132" s="205">
        <f>+AU131-AU128</f>
        <v/>
      </c>
      <c r="AV132" s="201">
        <f>+AV131-AV128</f>
        <v/>
      </c>
      <c r="AW132" s="184">
        <f>+AW131-AW128</f>
        <v/>
      </c>
      <c r="AX132" s="184">
        <f>+AX131-AX128</f>
        <v/>
      </c>
      <c r="AY132" s="184" t="n"/>
    </row>
    <row r="133" ht="22" customHeight="1">
      <c r="A133" s="304" t="n"/>
      <c r="B133" s="206" t="inlineStr">
        <is>
          <t>Rating</t>
        </is>
      </c>
      <c r="C133" s="232">
        <f>_xlfn.XLOOKUP(MIN(ABS($BJ$7:$BJ$29 - MEDIAN(MIN($BJ$7:$BJ$29), MAX($BJ$7:$BJ$29), C132))), ABS($BJ$7:$BJ$29 - MEDIAN(MIN($BJ$7:$BJ$29), MAX($BJ$7:$BJ$29), C132)), $BK$7:$BK$29, "Error", 0)</f>
        <v/>
      </c>
      <c r="D133" s="232">
        <f>_xlfn.XLOOKUP(MIN(ABS($BJ$7:$BJ$29 - MEDIAN(MIN($BJ$7:$BJ$29), MAX($BJ$7:$BJ$29), D132))), ABS($BJ$7:$BJ$29 - MEDIAN(MIN($BJ$7:$BJ$29), MAX($BJ$7:$BJ$29), D132)), $BK$7:$BK$29, "Error", 0)</f>
        <v/>
      </c>
      <c r="E133" s="232">
        <f>_xlfn.XLOOKUP(MIN(ABS($BJ$7:$BJ$29 - MEDIAN(MIN($BJ$7:$BJ$29), MAX($BJ$7:$BJ$29), E132))), ABS($BJ$7:$BJ$29 - MEDIAN(MIN($BJ$7:$BJ$29), MAX($BJ$7:$BJ$29), E132)), $BK$7:$BK$29, "Error", 0)</f>
        <v/>
      </c>
      <c r="F133" s="232">
        <f>_xlfn.XLOOKUP(MIN(ABS($BJ$7:$BJ$29 - MEDIAN(MIN($BJ$7:$BJ$29), MAX($BJ$7:$BJ$29), F132))), ABS($BJ$7:$BJ$29 - MEDIAN(MIN($BJ$7:$BJ$29), MAX($BJ$7:$BJ$29), F132)), $BK$7:$BK$29, "Error", 0)</f>
        <v/>
      </c>
      <c r="G133" s="232">
        <f>_xlfn.XLOOKUP(MIN(ABS($BJ$7:$BJ$29 - MEDIAN(MIN($BJ$7:$BJ$29), MAX($BJ$7:$BJ$29), G132))), ABS($BJ$7:$BJ$29 - MEDIAN(MIN($BJ$7:$BJ$29), MAX($BJ$7:$BJ$29), G132)), $BK$7:$BK$29, "Error", 0)</f>
        <v/>
      </c>
      <c r="H133" s="232">
        <f>_xlfn.XLOOKUP(MIN(ABS($BJ$7:$BJ$29 - MEDIAN(MIN($BJ$7:$BJ$29), MAX($BJ$7:$BJ$29), H132))), ABS($BJ$7:$BJ$29 - MEDIAN(MIN($BJ$7:$BJ$29), MAX($BJ$7:$BJ$29), H132)), $BK$7:$BK$29, "Error", 0)</f>
        <v/>
      </c>
      <c r="I133" s="232">
        <f>_xlfn.XLOOKUP(MIN(ABS($BJ$7:$BJ$29 - MEDIAN(MIN($BJ$7:$BJ$29), MAX($BJ$7:$BJ$29), I132))), ABS($BJ$7:$BJ$29 - MEDIAN(MIN($BJ$7:$BJ$29), MAX($BJ$7:$BJ$29), I132)), $BK$7:$BK$29, "Error", 0)</f>
        <v/>
      </c>
      <c r="J133" s="232">
        <f>_xlfn.XLOOKUP(MIN(ABS($BJ$7:$BJ$29 - MEDIAN(MIN($BJ$7:$BJ$29), MAX($BJ$7:$BJ$29), J132))), ABS($BJ$7:$BJ$29 - MEDIAN(MIN($BJ$7:$BJ$29), MAX($BJ$7:$BJ$29), J132)), $BK$7:$BK$29, "Error", 0)</f>
        <v/>
      </c>
      <c r="K133" s="232">
        <f>_xlfn.XLOOKUP(MIN(ABS($BJ$7:$BJ$29 - MEDIAN(MIN($BJ$7:$BJ$29), MAX($BJ$7:$BJ$29), K132))), ABS($BJ$7:$BJ$29 - MEDIAN(MIN($BJ$7:$BJ$29), MAX($BJ$7:$BJ$29), K132)), $BK$7:$BK$29, "Error", 0)</f>
        <v/>
      </c>
      <c r="L133" s="232">
        <f>_xlfn.XLOOKUP(MIN(ABS($BJ$7:$BJ$29 - MEDIAN(MIN($BJ$7:$BJ$29), MAX($BJ$7:$BJ$29), L132))), ABS($BJ$7:$BJ$29 - MEDIAN(MIN($BJ$7:$BJ$29), MAX($BJ$7:$BJ$29), L132)), $BK$7:$BK$29, "Error", 0)</f>
        <v/>
      </c>
      <c r="M133" s="232">
        <f>_xlfn.XLOOKUP(MIN(ABS($BJ$7:$BJ$29 - MEDIAN(MIN($BJ$7:$BJ$29), MAX($BJ$7:$BJ$29), M132))), ABS($BJ$7:$BJ$29 - MEDIAN(MIN($BJ$7:$BJ$29), MAX($BJ$7:$BJ$29), M132)), $BK$7:$BK$29, "Error", 0)</f>
        <v/>
      </c>
      <c r="N133" s="232">
        <f>_xlfn.XLOOKUP(MIN(ABS($BJ$7:$BJ$29 - MEDIAN(MIN($BJ$7:$BJ$29), MAX($BJ$7:$BJ$29), N132))), ABS($BJ$7:$BJ$29 - MEDIAN(MIN($BJ$7:$BJ$29), MAX($BJ$7:$BJ$29), N132)), $BK$7:$BK$29, "Error", 0)</f>
        <v/>
      </c>
      <c r="O133" s="232">
        <f>_xlfn.XLOOKUP(MIN(ABS($BJ$7:$BJ$29 - MEDIAN(MIN($BJ$7:$BJ$29), MAX($BJ$7:$BJ$29), O132))), ABS($BJ$7:$BJ$29 - MEDIAN(MIN($BJ$7:$BJ$29), MAX($BJ$7:$BJ$29), O132)), $BK$7:$BK$29, "Error", 0)</f>
        <v/>
      </c>
      <c r="P133" s="232">
        <f>_xlfn.XLOOKUP(MIN(ABS($BJ$7:$BJ$29 - MEDIAN(MIN($BJ$7:$BJ$29), MAX($BJ$7:$BJ$29), P132))), ABS($BJ$7:$BJ$29 - MEDIAN(MIN($BJ$7:$BJ$29), MAX($BJ$7:$BJ$29), P132)), $BK$7:$BK$29, "Error", 0)</f>
        <v/>
      </c>
      <c r="Q133" s="232">
        <f>_xlfn.XLOOKUP(MIN(ABS($BJ$7:$BJ$29 - MEDIAN(MIN($BJ$7:$BJ$29), MAX($BJ$7:$BJ$29), Q132))), ABS($BJ$7:$BJ$29 - MEDIAN(MIN($BJ$7:$BJ$29), MAX($BJ$7:$BJ$29), Q132)), $BK$7:$BK$29, "Error", 0)</f>
        <v/>
      </c>
      <c r="R133" s="232">
        <f>_xlfn.XLOOKUP(MIN(ABS($BJ$7:$BJ$29 - MEDIAN(MIN($BJ$7:$BJ$29), MAX($BJ$7:$BJ$29), R132))), ABS($BJ$7:$BJ$29 - MEDIAN(MIN($BJ$7:$BJ$29), MAX($BJ$7:$BJ$29), R132)), $BK$7:$BK$29, "Error", 0)</f>
        <v/>
      </c>
      <c r="S133" s="232">
        <f>_xlfn.XLOOKUP(MIN(ABS($BJ$7:$BJ$29 - MEDIAN(MIN($BJ$7:$BJ$29), MAX($BJ$7:$BJ$29), S132))), ABS($BJ$7:$BJ$29 - MEDIAN(MIN($BJ$7:$BJ$29), MAX($BJ$7:$BJ$29), S132)), $BK$7:$BK$29, "Error", 0)</f>
        <v/>
      </c>
      <c r="T133" s="232">
        <f>_xlfn.XLOOKUP(MIN(ABS($BJ$7:$BJ$29 - MEDIAN(MIN($BJ$7:$BJ$29), MAX($BJ$7:$BJ$29), T132))), ABS($BJ$7:$BJ$29 - MEDIAN(MIN($BJ$7:$BJ$29), MAX($BJ$7:$BJ$29), T132)), $BK$7:$BK$29, "Error", 0)</f>
        <v/>
      </c>
      <c r="U133" s="232">
        <f>_xlfn.XLOOKUP(MIN(ABS($BJ$7:$BJ$29 - MEDIAN(MIN($BJ$7:$BJ$29), MAX($BJ$7:$BJ$29), U132))), ABS($BJ$7:$BJ$29 - MEDIAN(MIN($BJ$7:$BJ$29), MAX($BJ$7:$BJ$29), U132)), $BK$7:$BK$29, "Error", 0)</f>
        <v/>
      </c>
      <c r="V133" s="232">
        <f>_xlfn.XLOOKUP(MIN(ABS($BJ$7:$BJ$29 - MEDIAN(MIN($BJ$7:$BJ$29), MAX($BJ$7:$BJ$29), V132))), ABS($BJ$7:$BJ$29 - MEDIAN(MIN($BJ$7:$BJ$29), MAX($BJ$7:$BJ$29), V132)), $BK$7:$BK$29, "Error", 0)</f>
        <v/>
      </c>
      <c r="W133" s="232">
        <f>_xlfn.XLOOKUP(MIN(ABS($BJ$7:$BJ$29 - MEDIAN(MIN($BJ$7:$BJ$29), MAX($BJ$7:$BJ$29), W132))), ABS($BJ$7:$BJ$29 - MEDIAN(MIN($BJ$7:$BJ$29), MAX($BJ$7:$BJ$29), W132)), $BK$7:$BK$29, "Error", 0)</f>
        <v/>
      </c>
      <c r="X133" s="232">
        <f>_xlfn.XLOOKUP(MIN(ABS($BJ$7:$BJ$29 - MEDIAN(MIN($BJ$7:$BJ$29), MAX($BJ$7:$BJ$29), X132))), ABS($BJ$7:$BJ$29 - MEDIAN(MIN($BJ$7:$BJ$29), MAX($BJ$7:$BJ$29), X132)), $BK$7:$BK$29, "Error", 0)</f>
        <v/>
      </c>
      <c r="Y133" s="232">
        <f>_xlfn.XLOOKUP(MIN(ABS($BJ$7:$BJ$29 - MEDIAN(MIN($BJ$7:$BJ$29), MAX($BJ$7:$BJ$29), Y132))), ABS($BJ$7:$BJ$29 - MEDIAN(MIN($BJ$7:$BJ$29), MAX($BJ$7:$BJ$29), Y132)), $BK$7:$BK$29, "Error", 0)</f>
        <v/>
      </c>
      <c r="Z133" s="232">
        <f>_xlfn.XLOOKUP(MIN(ABS($BJ$7:$BJ$29 - MEDIAN(MIN($BJ$7:$BJ$29), MAX($BJ$7:$BJ$29), Z132))), ABS($BJ$7:$BJ$29 - MEDIAN(MIN($BJ$7:$BJ$29), MAX($BJ$7:$BJ$29), Z132)), $BK$7:$BK$29, "Error", 0)</f>
        <v/>
      </c>
      <c r="AA133" s="232">
        <f>_xlfn.XLOOKUP(MIN(ABS($BJ$7:$BJ$29 - MEDIAN(MIN($BJ$7:$BJ$29), MAX($BJ$7:$BJ$29), AA132))), ABS($BJ$7:$BJ$29 - MEDIAN(MIN($BJ$7:$BJ$29), MAX($BJ$7:$BJ$29), AA132)), $BK$7:$BK$29, "Error", 0)</f>
        <v/>
      </c>
      <c r="AB133" s="171">
        <f>_xlfn.XLOOKUP(MIN(ABS($BJ$7:$BJ$29 - MEDIAN(MIN($BJ$7:$BJ$29), MAX($BJ$7:$BJ$29), AB132))), ABS($BJ$7:$BJ$29 - MEDIAN(MIN($BJ$7:$BJ$29), MAX($BJ$7:$BJ$29), AB132)), $BK$7:$BK$29, "Error", 0)</f>
        <v/>
      </c>
      <c r="AC133" s="171">
        <f>_xlfn.XLOOKUP(MIN(ABS($BJ$7:$BJ$29 - MEDIAN(MIN($BJ$7:$BJ$29), MAX($BJ$7:$BJ$29), AC132))), ABS($BJ$7:$BJ$29 - MEDIAN(MIN($BJ$7:$BJ$29), MAX($BJ$7:$BJ$29), AC132)), $BK$7:$BK$29, "Error", 0)</f>
        <v/>
      </c>
      <c r="AD133" s="171">
        <f>_xlfn.XLOOKUP(MIN(ABS($BJ$7:$BJ$29 - MEDIAN(MIN($BJ$7:$BJ$29), MAX($BJ$7:$BJ$29), AD132))), ABS($BJ$7:$BJ$29 - MEDIAN(MIN($BJ$7:$BJ$29), MAX($BJ$7:$BJ$29), AD132)), $BK$7:$BK$29, "Error", 0)</f>
        <v/>
      </c>
      <c r="AE133" s="171">
        <f>_xlfn.XLOOKUP(MIN(ABS($BJ$7:$BJ$29 - MEDIAN(MIN($BJ$7:$BJ$29), MAX($BJ$7:$BJ$29), AE132))), ABS($BJ$7:$BJ$29 - MEDIAN(MIN($BJ$7:$BJ$29), MAX($BJ$7:$BJ$29), AE132)), $BK$7:$BK$29, "Error", 0)</f>
        <v/>
      </c>
      <c r="AF133" s="171">
        <f>_xlfn.XLOOKUP(MIN(ABS($BJ$7:$BJ$29 - MEDIAN(MIN($BJ$7:$BJ$29), MAX($BJ$7:$BJ$29), AF132))), ABS($BJ$7:$BJ$29 - MEDIAN(MIN($BJ$7:$BJ$29), MAX($BJ$7:$BJ$29), AF132)), $BK$7:$BK$29, "Error", 0)</f>
        <v/>
      </c>
      <c r="AG133" s="171">
        <f>_xlfn.XLOOKUP(MIN(ABS($BJ$7:$BJ$29 - MEDIAN(MIN($BJ$7:$BJ$29), MAX($BJ$7:$BJ$29), AG132))), ABS($BJ$7:$BJ$29 - MEDIAN(MIN($BJ$7:$BJ$29), MAX($BJ$7:$BJ$29), AG132)), $BK$7:$BK$29, "Error", 0)</f>
        <v/>
      </c>
      <c r="AH133" s="171">
        <f>_xlfn.XLOOKUP(MIN(ABS($BJ$7:$BJ$29 - MEDIAN(MIN($BJ$7:$BJ$29), MAX($BJ$7:$BJ$29), AH132))), ABS($BJ$7:$BJ$29 - MEDIAN(MIN($BJ$7:$BJ$29), MAX($BJ$7:$BJ$29), AH132)), $BK$7:$BK$29, "Error", 0)</f>
        <v/>
      </c>
      <c r="AI133" s="171">
        <f>_xlfn.XLOOKUP(MIN(ABS($BJ$7:$BJ$29 - MEDIAN(MIN($BJ$7:$BJ$29), MAX($BJ$7:$BJ$29), AI132))), ABS($BJ$7:$BJ$29 - MEDIAN(MIN($BJ$7:$BJ$29), MAX($BJ$7:$BJ$29), AI132)), $BK$7:$BK$29, "Error", 0)</f>
        <v/>
      </c>
      <c r="AJ133" s="171">
        <f>_xlfn.XLOOKUP(MIN(ABS($BJ$7:$BJ$29 - MEDIAN(MIN($BJ$7:$BJ$29), MAX($BJ$7:$BJ$29), AJ132))), ABS($BJ$7:$BJ$29 - MEDIAN(MIN($BJ$7:$BJ$29), MAX($BJ$7:$BJ$29), AJ132)), $BK$7:$BK$29, "Error", 0)</f>
        <v/>
      </c>
      <c r="AK133" s="171">
        <f>_xlfn.XLOOKUP(MIN(ABS($BJ$7:$BJ$29 - MEDIAN(MIN($BJ$7:$BJ$29), MAX($BJ$7:$BJ$29), AK132))), ABS($BJ$7:$BJ$29 - MEDIAN(MIN($BJ$7:$BJ$29), MAX($BJ$7:$BJ$29), AK132)), $BK$7:$BK$29, "Error", 0)</f>
        <v/>
      </c>
      <c r="AL133" s="171">
        <f>_xlfn.XLOOKUP(MIN(ABS($BJ$7:$BJ$29 - MEDIAN(MIN($BJ$7:$BJ$29), MAX($BJ$7:$BJ$29), AL132))), ABS($BJ$7:$BJ$29 - MEDIAN(MIN($BJ$7:$BJ$29), MAX($BJ$7:$BJ$29), AL132)), $BK$7:$BK$29, "Error", 0)</f>
        <v/>
      </c>
      <c r="AM133" s="171">
        <f>_xlfn.XLOOKUP(MIN(ABS($BJ$7:$BJ$29 - MEDIAN(MIN($BJ$7:$BJ$29), MAX($BJ$7:$BJ$29), AM132))), ABS($BJ$7:$BJ$29 - MEDIAN(MIN($BJ$7:$BJ$29), MAX($BJ$7:$BJ$29), AM132)), $BK$7:$BK$29, "Error", 0)</f>
        <v/>
      </c>
      <c r="AN133" s="171">
        <f>_xlfn.XLOOKUP(MIN(ABS($BJ$7:$BJ$29 - MEDIAN(MIN($BJ$7:$BJ$29), MAX($BJ$7:$BJ$29), AN132))), ABS($BJ$7:$BJ$29 - MEDIAN(MIN($BJ$7:$BJ$29), MAX($BJ$7:$BJ$29), AN132)), $BK$7:$BK$29, "Error", 0)</f>
        <v/>
      </c>
      <c r="AO133" s="171">
        <f>_xlfn.XLOOKUP(MIN(ABS($BJ$7:$BJ$29 - MEDIAN(MIN($BJ$7:$BJ$29), MAX($BJ$7:$BJ$29), AO132))), ABS($BJ$7:$BJ$29 - MEDIAN(MIN($BJ$7:$BJ$29), MAX($BJ$7:$BJ$29), AO132)), $BK$7:$BK$29, "Error", 0)</f>
        <v/>
      </c>
      <c r="AP133" s="171">
        <f>_xlfn.XLOOKUP(MIN(ABS($BJ$7:$BJ$29 - MEDIAN(MIN($BJ$7:$BJ$29), MAX($BJ$7:$BJ$29), AP132))), ABS($BJ$7:$BJ$29 - MEDIAN(MIN($BJ$7:$BJ$29), MAX($BJ$7:$BJ$29), AP132)), $BK$7:$BK$29, "Error", 0)</f>
        <v/>
      </c>
      <c r="AQ133" s="171">
        <f>_xlfn.XLOOKUP(MIN(ABS($BJ$7:$BJ$29 - MEDIAN(MIN($BJ$7:$BJ$29), MAX($BJ$7:$BJ$29), AQ132))), ABS($BJ$7:$BJ$29 - MEDIAN(MIN($BJ$7:$BJ$29), MAX($BJ$7:$BJ$29), AQ132)), $BK$7:$BK$29, "Error", 0)</f>
        <v/>
      </c>
      <c r="AR133" s="171">
        <f>_xlfn.XLOOKUP(MIN(ABS($BJ$7:$BJ$29 - MEDIAN(MIN($BJ$7:$BJ$29), MAX($BJ$7:$BJ$29), AR132))), ABS($BJ$7:$BJ$29 - MEDIAN(MIN($BJ$7:$BJ$29), MAX($BJ$7:$BJ$29), AR132)), $BK$7:$BK$29, "Error", 0)</f>
        <v/>
      </c>
      <c r="AS133" s="171">
        <f>_xlfn.XLOOKUP(MIN(ABS($BJ$7:$BJ$29 - MEDIAN(MIN($BJ$7:$BJ$29), MAX($BJ$7:$BJ$29), AS132))), ABS($BJ$7:$BJ$29 - MEDIAN(MIN($BJ$7:$BJ$29), MAX($BJ$7:$BJ$29), AS132)), $BK$7:$BK$29, "Error", 0)</f>
        <v/>
      </c>
      <c r="AT133" s="171">
        <f>_xlfn.XLOOKUP(MIN(ABS($BJ$7:$BJ$29 - MEDIAN(MIN($BJ$7:$BJ$29), MAX($BJ$7:$BJ$29), AT132))), ABS($BJ$7:$BJ$29 - MEDIAN(MIN($BJ$7:$BJ$29), MAX($BJ$7:$BJ$29), AT132)), $BK$7:$BK$29, "Error", 0)</f>
        <v/>
      </c>
      <c r="AU133" s="171">
        <f>_xlfn.XLOOKUP(MIN(ABS($BJ$7:$BJ$29 - MEDIAN(MIN($BJ$7:$BJ$29), MAX($BJ$7:$BJ$29), AU132))), ABS($BJ$7:$BJ$29 - MEDIAN(MIN($BJ$7:$BJ$29), MAX($BJ$7:$BJ$29), AU132)), $BK$7:$BK$29, "Error", 0)</f>
        <v/>
      </c>
      <c r="AV133" s="206">
        <f>_xlfn.XLOOKUP(MIN(ABS($BJ$7:$BJ$29 - MEDIAN(MIN($BJ$7:$BJ$29), MAX($BJ$7:$BJ$29), AV132))), ABS($BJ$7:$BJ$29 - MEDIAN(MIN($BJ$7:$BJ$29), MAX($BJ$7:$BJ$29), AV132)), $BK$7:$BK$29, "Error", 0)</f>
        <v/>
      </c>
      <c r="AW133" s="184">
        <f>_xlfn.XLOOKUP(MIN(ABS($BJ$7:$BJ$29 - MEDIAN(MIN($BJ$7:$BJ$29), MAX($BJ$7:$BJ$29), AW132))), ABS($BJ$7:$BJ$29 - MEDIAN(MIN($BJ$7:$BJ$29), MAX($BJ$7:$BJ$29), AW132)), $BK$7:$BK$29, "Error", 0)</f>
        <v/>
      </c>
      <c r="AX133" s="184">
        <f>_xlfn.XLOOKUP(MIN(ABS($BJ$7:$BJ$29 - MEDIAN(MIN($BJ$7:$BJ$29), MAX($BJ$7:$BJ$29), AX132))), ABS($BJ$7:$BJ$29 - MEDIAN(MIN($BJ$7:$BJ$29), MAX($BJ$7:$BJ$29), AX132)), $BK$7:$BK$29, "Error", 0)</f>
        <v/>
      </c>
      <c r="AY133" s="184" t="n"/>
    </row>
    <row r="134" ht="44" customHeight="1">
      <c r="A134" s="305" t="inlineStr">
        <is>
          <t>CHF JPY</t>
        </is>
      </c>
      <c r="B134" s="200" t="inlineStr">
        <is>
          <t>All time High (CL)</t>
        </is>
      </c>
      <c r="C134" s="233" t="n">
        <v>1695475.171388805</v>
      </c>
      <c r="D134" s="233" t="n">
        <v>1695475.171388805</v>
      </c>
      <c r="E134" s="233" t="n">
        <v>1695475.171388805</v>
      </c>
      <c r="F134" s="233" t="n">
        <v>1752225.247436523</v>
      </c>
      <c r="G134" s="233" t="n">
        <v>1784699.040782437</v>
      </c>
      <c r="H134" s="233" t="n">
        <v>1827709.53266196</v>
      </c>
      <c r="I134" s="233" t="n">
        <v>1866951.443557799</v>
      </c>
      <c r="J134" s="233" t="n">
        <v>1866951.443557799</v>
      </c>
      <c r="K134" s="233" t="n">
        <v>1866951.443557799</v>
      </c>
      <c r="L134" s="233" t="n">
        <v>1866951.443557799</v>
      </c>
      <c r="M134" s="233" t="n">
        <v>1866951.443557799</v>
      </c>
      <c r="N134" s="233" t="n">
        <v>1886509.472319186</v>
      </c>
      <c r="O134" s="233" t="n">
        <v>1965548.857026815</v>
      </c>
      <c r="P134" s="233" t="n">
        <v>1970875.399634227</v>
      </c>
      <c r="Q134" s="233" t="n">
        <v>2011788.223182827</v>
      </c>
      <c r="R134" s="233" t="n">
        <v>2011788.223182827</v>
      </c>
      <c r="S134" s="233" t="n">
        <v>2092626.069037318</v>
      </c>
      <c r="T134" s="233" t="n">
        <v>2178426.306256294</v>
      </c>
      <c r="U134" s="233" t="n">
        <v>2211970.487982035</v>
      </c>
      <c r="V134" s="233" t="n">
        <v>2211970.487982035</v>
      </c>
      <c r="W134" s="233" t="n">
        <v>2211970.487982035</v>
      </c>
      <c r="X134" s="233" t="n">
        <v>2211970.487982035</v>
      </c>
      <c r="Y134" s="233" t="n">
        <v>2211970.487982035</v>
      </c>
      <c r="Z134" s="233" t="n">
        <v>2211970.487982035</v>
      </c>
      <c r="AA134" s="204" t="n">
        <v>2211970.487982035</v>
      </c>
      <c r="AB134" s="204" t="n">
        <v>2211970.487982035</v>
      </c>
      <c r="AC134" s="204" t="n">
        <v>2235042.193820804</v>
      </c>
      <c r="AD134" s="204" t="n">
        <v>2235042.193820804</v>
      </c>
      <c r="AE134" s="204" t="n">
        <v>2235042.193820804</v>
      </c>
      <c r="AF134" s="204" t="n">
        <v>2235042.193820804</v>
      </c>
      <c r="AG134" s="204" t="n">
        <v>2240080.646715671</v>
      </c>
      <c r="AH134" s="204" t="n">
        <v>2267766.969822496</v>
      </c>
      <c r="AI134" s="204" t="n">
        <v>2290197.675634056</v>
      </c>
      <c r="AJ134" s="204" t="n">
        <v>2421235.158362031</v>
      </c>
      <c r="AK134" s="204" t="n">
        <v>2499400.606024548</v>
      </c>
      <c r="AL134" s="204" t="n">
        <v>2634025.106951475</v>
      </c>
      <c r="AM134" s="204" t="n">
        <v>2683009.893317521</v>
      </c>
      <c r="AN134" s="204" t="n">
        <v>2858825.945679843</v>
      </c>
      <c r="AO134" s="204" t="n">
        <v>2858825.945679843</v>
      </c>
      <c r="AP134" s="204" t="n">
        <v>2858825.945679843</v>
      </c>
      <c r="AQ134" s="204" t="n">
        <v>2858825.945679843</v>
      </c>
      <c r="AR134" s="204" t="n">
        <v>2858825.945679843</v>
      </c>
      <c r="AS134" s="204" t="n">
        <v>2922054.375351116</v>
      </c>
      <c r="AT134" s="204" t="n">
        <v>2922054.375351116</v>
      </c>
      <c r="AU134" s="204" t="n">
        <v>2922054.375351116</v>
      </c>
      <c r="AV134" s="200" t="n">
        <v>2922054.375351116</v>
      </c>
      <c r="AW134" s="184" t="n">
        <v>2922054.375351116</v>
      </c>
      <c r="AX134" s="184" t="n">
        <v>2922054.375351116</v>
      </c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1591019.486809731</v>
      </c>
      <c r="D135" s="233" t="n">
        <v>1616363.63033548</v>
      </c>
      <c r="E135" s="233" t="n">
        <v>1619378.661180586</v>
      </c>
      <c r="F135" s="233" t="n">
        <v>1710636.830913082</v>
      </c>
      <c r="G135" s="233" t="n">
        <v>1730527.739769354</v>
      </c>
      <c r="H135" s="233" t="n">
        <v>1816261.985412151</v>
      </c>
      <c r="I135" s="233" t="n">
        <v>1829904.502738953</v>
      </c>
      <c r="J135" s="233" t="n">
        <v>1850892.029985562</v>
      </c>
      <c r="K135" s="233" t="n">
        <v>1789565.533859253</v>
      </c>
      <c r="L135" s="233" t="n">
        <v>1717388.625227749</v>
      </c>
      <c r="M135" s="233" t="n">
        <v>1827303.525390744</v>
      </c>
      <c r="N135" s="233" t="n">
        <v>1867339.655393288</v>
      </c>
      <c r="O135" s="233" t="n">
        <v>1937441.256380066</v>
      </c>
      <c r="P135" s="233" t="n">
        <v>1960340.278130054</v>
      </c>
      <c r="Q135" s="233" t="n">
        <v>1958911.41389668</v>
      </c>
      <c r="R135" s="233" t="n">
        <v>1930889.03351891</v>
      </c>
      <c r="S135" s="233" t="n">
        <v>2084837.451995254</v>
      </c>
      <c r="T135" s="233" t="n">
        <v>2144204.036453873</v>
      </c>
      <c r="U135" s="233" t="n">
        <v>2130633.954853401</v>
      </c>
      <c r="V135" s="233" t="n">
        <v>2127361.279502869</v>
      </c>
      <c r="W135" s="233" t="n">
        <v>2065252.002401412</v>
      </c>
      <c r="X135" s="233" t="n">
        <v>2085306.602080166</v>
      </c>
      <c r="Y135" s="233" t="n">
        <v>2015313.43875359</v>
      </c>
      <c r="Z135" s="233" t="n">
        <v>2031008.482790798</v>
      </c>
      <c r="AA135" s="204" t="n">
        <v>2133881.589090228</v>
      </c>
      <c r="AB135" s="204" t="n">
        <v>2167469.832467854</v>
      </c>
      <c r="AC135" s="204" t="n">
        <v>2139573.172108084</v>
      </c>
      <c r="AD135" s="204" t="n">
        <v>2093659.323781788</v>
      </c>
      <c r="AE135" s="204" t="n">
        <v>2138274.995462447</v>
      </c>
      <c r="AF135" s="204" t="n">
        <v>2157578.516064212</v>
      </c>
      <c r="AG135" s="204" t="n">
        <v>2171444.378662109</v>
      </c>
      <c r="AH135" s="204" t="n">
        <v>2231436.265740752</v>
      </c>
      <c r="AI135" s="204" t="n">
        <v>2256420.852824092</v>
      </c>
      <c r="AJ135" s="204" t="n">
        <v>2348705.891052246</v>
      </c>
      <c r="AK135" s="204" t="n">
        <v>2492607.998496667</v>
      </c>
      <c r="AL135" s="204" t="n">
        <v>2623644.262695312</v>
      </c>
      <c r="AM135" s="204" t="n">
        <v>2641990.821362406</v>
      </c>
      <c r="AN135" s="204" t="n">
        <v>2824147.642994031</v>
      </c>
      <c r="AO135" s="204" t="n">
        <v>2552917.714219376</v>
      </c>
      <c r="AP135" s="204" t="n">
        <v>2660951.075434983</v>
      </c>
      <c r="AQ135" s="204" t="n">
        <v>2751631.274426401</v>
      </c>
      <c r="AR135" s="204" t="n">
        <v>2844953.75666526</v>
      </c>
      <c r="AS135" s="204" t="n">
        <v>2851323.93164511</v>
      </c>
      <c r="AT135" s="204" t="n">
        <v>2827855.927222729</v>
      </c>
      <c r="AU135" s="204" t="n">
        <v>2645778.684157133</v>
      </c>
      <c r="AV135" s="201" t="n">
        <v>2645778.684157133</v>
      </c>
      <c r="AW135" s="184" t="n">
        <v>2645778.684157133</v>
      </c>
      <c r="AX135" s="184" t="n">
        <v>2645778.684157133</v>
      </c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>
        <f>+(AV135-AV134)/AV134</f>
        <v/>
      </c>
      <c r="AW136" s="184">
        <f>+(AW135-AW134)/AW134</f>
        <v/>
      </c>
      <c r="AX136" s="184">
        <f>+(AX135-AX134)/AX134</f>
        <v/>
      </c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12997.150390625</v>
      </c>
      <c r="D137" s="233" t="n">
        <v>12997.150390625</v>
      </c>
      <c r="E137" s="233" t="n">
        <v>12997.150390625</v>
      </c>
      <c r="F137" s="233" t="n">
        <v>12997.150390625</v>
      </c>
      <c r="G137" s="233" t="n">
        <v>12997.150390625</v>
      </c>
      <c r="H137" s="233" t="n">
        <v>12997.150390625</v>
      </c>
      <c r="I137" s="233" t="n">
        <v>12997.150390625</v>
      </c>
      <c r="J137" s="233" t="n">
        <v>12997.150390625</v>
      </c>
      <c r="K137" s="233" t="n">
        <v>12997.150390625</v>
      </c>
      <c r="L137" s="233" t="n">
        <v>12997.150390625</v>
      </c>
      <c r="M137" s="233" t="n">
        <v>12997.150390625</v>
      </c>
      <c r="N137" s="233" t="n">
        <v>12997.150390625</v>
      </c>
      <c r="O137" s="233" t="n">
        <v>12997.150390625</v>
      </c>
      <c r="P137" s="233" t="n">
        <v>12997.150390625</v>
      </c>
      <c r="Q137" s="233" t="n">
        <v>12997.150390625</v>
      </c>
      <c r="R137" s="233" t="n">
        <v>12997.150390625</v>
      </c>
      <c r="S137" s="233" t="n">
        <v>12997.150390625</v>
      </c>
      <c r="T137" s="233" t="n">
        <v>12997.150390625</v>
      </c>
      <c r="U137" s="233" t="n">
        <v>12997.150390625</v>
      </c>
      <c r="V137" s="233" t="n">
        <v>12997.150390625</v>
      </c>
      <c r="W137" s="233" t="n">
        <v>12997.150390625</v>
      </c>
      <c r="X137" s="233" t="n">
        <v>12997.150390625</v>
      </c>
      <c r="Y137" s="233" t="n">
        <v>12997.150390625</v>
      </c>
      <c r="Z137" s="233" t="n">
        <v>12997.150390625</v>
      </c>
      <c r="AA137" s="231" t="n">
        <v>12997.150390625</v>
      </c>
      <c r="AB137" s="203" t="n">
        <v>13100.2197265625</v>
      </c>
      <c r="AC137" s="203" t="n">
        <v>13199.0498046875</v>
      </c>
      <c r="AD137" s="203" t="n">
        <v>13199.0498046875</v>
      </c>
      <c r="AE137" s="203" t="n">
        <v>13199.0498046875</v>
      </c>
      <c r="AF137" s="203" t="n">
        <v>13199.0498046875</v>
      </c>
      <c r="AG137" s="203" t="n">
        <v>13199.0498046875</v>
      </c>
      <c r="AH137" s="203" t="n">
        <v>13199.0498046875</v>
      </c>
      <c r="AI137" s="203" t="n">
        <v>13199.0498046875</v>
      </c>
      <c r="AJ137" s="203" t="n">
        <v>13199.0498046875</v>
      </c>
      <c r="AK137" s="203" t="n">
        <v>13199.0498046875</v>
      </c>
      <c r="AL137" s="203" t="n">
        <v>13288.66015625</v>
      </c>
      <c r="AM137" s="203" t="n">
        <v>13489.509765625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14267.650390625</v>
      </c>
      <c r="AS137" s="203" t="n">
        <v>14583.8095703125</v>
      </c>
      <c r="AT137" s="203" t="n">
        <v>14633.7001953125</v>
      </c>
      <c r="AU137" s="203" t="n">
        <v>14633.7001953125</v>
      </c>
      <c r="AV137" s="201" t="n">
        <v>14633.7001953125</v>
      </c>
      <c r="AW137" s="184" t="n">
        <v>14633.7001953125</v>
      </c>
      <c r="AX137" s="184" t="n">
        <v>14633.7001953125</v>
      </c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13004.48046875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13267.48046875</v>
      </c>
      <c r="AM138" s="203" t="n">
        <v>13188.259765625</v>
      </c>
      <c r="AN138" s="203" t="n">
        <v>14014.2998046875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14193.919921875</v>
      </c>
      <c r="AS138" s="203" t="n">
        <v>14346.1396484375</v>
      </c>
      <c r="AT138" s="203" t="n">
        <v>14286.4296875</v>
      </c>
      <c r="AU138" s="203" t="n">
        <v>13942.91015625</v>
      </c>
      <c r="AV138" s="201" t="n">
        <v>13942.91015625</v>
      </c>
      <c r="AW138" s="184" t="n">
        <v>13942.91015625</v>
      </c>
      <c r="AX138" s="184" t="n">
        <v>13942.91015625</v>
      </c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>
        <f>+(AV138-AV137)/AV137</f>
        <v/>
      </c>
      <c r="AW139" s="184">
        <f>+(AW138-AW137)/AW137</f>
        <v/>
      </c>
      <c r="AX139" s="184">
        <f>+(AX138-AX137)/AX137</f>
        <v/>
      </c>
      <c r="AY139" s="184" t="n"/>
    </row>
    <row r="140" ht="22" customHeight="1">
      <c r="A140" s="303" t="n"/>
      <c r="B140" s="201" t="inlineStr">
        <is>
          <t>real % change</t>
        </is>
      </c>
      <c r="C140" s="230">
        <f>+C139-C136</f>
        <v/>
      </c>
      <c r="D140" s="230">
        <f>+D139-D136</f>
        <v/>
      </c>
      <c r="E140" s="230">
        <f>+E139-E136</f>
        <v/>
      </c>
      <c r="F140" s="230">
        <f>+F139-F136</f>
        <v/>
      </c>
      <c r="G140" s="230">
        <f>+G139-G136</f>
        <v/>
      </c>
      <c r="H140" s="230">
        <f>+H139-H136</f>
        <v/>
      </c>
      <c r="I140" s="230">
        <f>+I139-I136</f>
        <v/>
      </c>
      <c r="J140" s="230">
        <f>+J139-J136</f>
        <v/>
      </c>
      <c r="K140" s="230">
        <f>+K139-K136</f>
        <v/>
      </c>
      <c r="L140" s="230">
        <f>+L139-L136</f>
        <v/>
      </c>
      <c r="M140" s="230">
        <f>+M139-M136</f>
        <v/>
      </c>
      <c r="N140" s="230">
        <f>+N139-N136</f>
        <v/>
      </c>
      <c r="O140" s="230">
        <f>+O139-O136</f>
        <v/>
      </c>
      <c r="P140" s="230">
        <f>+P139-P136</f>
        <v/>
      </c>
      <c r="Q140" s="230">
        <f>+Q139-Q136</f>
        <v/>
      </c>
      <c r="R140" s="230">
        <f>+R139-R136</f>
        <v/>
      </c>
      <c r="S140" s="230">
        <f>+S139-S136</f>
        <v/>
      </c>
      <c r="T140" s="230">
        <f>+T139-T136</f>
        <v/>
      </c>
      <c r="U140" s="230">
        <f>+U139-U136</f>
        <v/>
      </c>
      <c r="V140" s="230">
        <f>+V139-V136</f>
        <v/>
      </c>
      <c r="W140" s="230">
        <f>+W139-W136</f>
        <v/>
      </c>
      <c r="X140" s="230">
        <f>+X139-X136</f>
        <v/>
      </c>
      <c r="Y140" s="230">
        <f>+Y139-Y136</f>
        <v/>
      </c>
      <c r="Z140" s="230">
        <f>+Z139-Z136</f>
        <v/>
      </c>
      <c r="AA140" s="230">
        <f>+AA139-AA136</f>
        <v/>
      </c>
      <c r="AB140" s="205">
        <f>+AB139-AB136</f>
        <v/>
      </c>
      <c r="AC140" s="205">
        <f>+AC139-AC136</f>
        <v/>
      </c>
      <c r="AD140" s="205">
        <f>+AD139-AD136</f>
        <v/>
      </c>
      <c r="AE140" s="205">
        <f>+AE139-AE136</f>
        <v/>
      </c>
      <c r="AF140" s="205">
        <f>+AF139-AF136</f>
        <v/>
      </c>
      <c r="AG140" s="205">
        <f>+AG139-AG136</f>
        <v/>
      </c>
      <c r="AH140" s="205">
        <f>+AH139-AH136</f>
        <v/>
      </c>
      <c r="AI140" s="205">
        <f>+AI139-AI136</f>
        <v/>
      </c>
      <c r="AJ140" s="205">
        <f>+AJ139-AJ136</f>
        <v/>
      </c>
      <c r="AK140" s="205">
        <f>+AK139-AK136</f>
        <v/>
      </c>
      <c r="AL140" s="205">
        <f>+AL139-AL136</f>
        <v/>
      </c>
      <c r="AM140" s="205">
        <f>+AM139-AM136</f>
        <v/>
      </c>
      <c r="AN140" s="205">
        <f>+AN139-AN136</f>
        <v/>
      </c>
      <c r="AO140" s="205">
        <f>+AO139-AO136</f>
        <v/>
      </c>
      <c r="AP140" s="205">
        <f>+AP139-AP136</f>
        <v/>
      </c>
      <c r="AQ140" s="205">
        <f>+AQ139-AQ136</f>
        <v/>
      </c>
      <c r="AR140" s="205">
        <f>+AR139-AR136</f>
        <v/>
      </c>
      <c r="AS140" s="205">
        <f>+AS139-AS136</f>
        <v/>
      </c>
      <c r="AT140" s="205">
        <f>+AT139-AT136</f>
        <v/>
      </c>
      <c r="AU140" s="205">
        <f>+AU139-AU136</f>
        <v/>
      </c>
      <c r="AV140" s="201">
        <f>+AV139-AV136</f>
        <v/>
      </c>
      <c r="AW140" s="184">
        <f>+AW139-AW136</f>
        <v/>
      </c>
      <c r="AX140" s="184">
        <f>+AX139-AX136</f>
        <v/>
      </c>
      <c r="AY140" s="184" t="n"/>
    </row>
    <row r="141" ht="22" customHeight="1">
      <c r="A141" s="304" t="n"/>
      <c r="B141" s="206" t="inlineStr">
        <is>
          <t>Rating</t>
        </is>
      </c>
      <c r="C141" s="232">
        <f>_xlfn.XLOOKUP(MIN(ABS($BJ$7:$BJ$29 - MEDIAN(MIN($BJ$7:$BJ$29), MAX($BJ$7:$BJ$29), C140))), ABS($BJ$7:$BJ$29 - MEDIAN(MIN($BJ$7:$BJ$29), MAX($BJ$7:$BJ$29), C140)), $BK$7:$BK$29, "Error", 0)</f>
        <v/>
      </c>
      <c r="D141" s="232">
        <f>_xlfn.XLOOKUP(MIN(ABS($BJ$7:$BJ$29 - MEDIAN(MIN($BJ$7:$BJ$29), MAX($BJ$7:$BJ$29), D140))), ABS($BJ$7:$BJ$29 - MEDIAN(MIN($BJ$7:$BJ$29), MAX($BJ$7:$BJ$29), D140)), $BK$7:$BK$29, "Error", 0)</f>
        <v/>
      </c>
      <c r="E141" s="232">
        <f>_xlfn.XLOOKUP(MIN(ABS($BJ$7:$BJ$29 - MEDIAN(MIN($BJ$7:$BJ$29), MAX($BJ$7:$BJ$29), E140))), ABS($BJ$7:$BJ$29 - MEDIAN(MIN($BJ$7:$BJ$29), MAX($BJ$7:$BJ$29), E140)), $BK$7:$BK$29, "Error", 0)</f>
        <v/>
      </c>
      <c r="F141" s="232">
        <f>_xlfn.XLOOKUP(MIN(ABS($BJ$7:$BJ$29 - MEDIAN(MIN($BJ$7:$BJ$29), MAX($BJ$7:$BJ$29), F140))), ABS($BJ$7:$BJ$29 - MEDIAN(MIN($BJ$7:$BJ$29), MAX($BJ$7:$BJ$29), F140)), $BK$7:$BK$29, "Error", 0)</f>
        <v/>
      </c>
      <c r="G141" s="232">
        <f>_xlfn.XLOOKUP(MIN(ABS($BJ$7:$BJ$29 - MEDIAN(MIN($BJ$7:$BJ$29), MAX($BJ$7:$BJ$29), G140))), ABS($BJ$7:$BJ$29 - MEDIAN(MIN($BJ$7:$BJ$29), MAX($BJ$7:$BJ$29), G140)), $BK$7:$BK$29, "Error", 0)</f>
        <v/>
      </c>
      <c r="H141" s="232">
        <f>_xlfn.XLOOKUP(MIN(ABS($BJ$7:$BJ$29 - MEDIAN(MIN($BJ$7:$BJ$29), MAX($BJ$7:$BJ$29), H140))), ABS($BJ$7:$BJ$29 - MEDIAN(MIN($BJ$7:$BJ$29), MAX($BJ$7:$BJ$29), H140)), $BK$7:$BK$29, "Error", 0)</f>
        <v/>
      </c>
      <c r="I141" s="232">
        <f>_xlfn.XLOOKUP(MIN(ABS($BJ$7:$BJ$29 - MEDIAN(MIN($BJ$7:$BJ$29), MAX($BJ$7:$BJ$29), I140))), ABS($BJ$7:$BJ$29 - MEDIAN(MIN($BJ$7:$BJ$29), MAX($BJ$7:$BJ$29), I140)), $BK$7:$BK$29, "Error", 0)</f>
        <v/>
      </c>
      <c r="J141" s="232">
        <f>_xlfn.XLOOKUP(MIN(ABS($BJ$7:$BJ$29 - MEDIAN(MIN($BJ$7:$BJ$29), MAX($BJ$7:$BJ$29), J140))), ABS($BJ$7:$BJ$29 - MEDIAN(MIN($BJ$7:$BJ$29), MAX($BJ$7:$BJ$29), J140)), $BK$7:$BK$29, "Error", 0)</f>
        <v/>
      </c>
      <c r="K141" s="232">
        <f>_xlfn.XLOOKUP(MIN(ABS($BJ$7:$BJ$29 - MEDIAN(MIN($BJ$7:$BJ$29), MAX($BJ$7:$BJ$29), K140))), ABS($BJ$7:$BJ$29 - MEDIAN(MIN($BJ$7:$BJ$29), MAX($BJ$7:$BJ$29), K140)), $BK$7:$BK$29, "Error", 0)</f>
        <v/>
      </c>
      <c r="L141" s="232">
        <f>_xlfn.XLOOKUP(MIN(ABS($BJ$7:$BJ$29 - MEDIAN(MIN($BJ$7:$BJ$29), MAX($BJ$7:$BJ$29), L140))), ABS($BJ$7:$BJ$29 - MEDIAN(MIN($BJ$7:$BJ$29), MAX($BJ$7:$BJ$29), L140)), $BK$7:$BK$29, "Error", 0)</f>
        <v/>
      </c>
      <c r="M141" s="232">
        <f>_xlfn.XLOOKUP(MIN(ABS($BJ$7:$BJ$29 - MEDIAN(MIN($BJ$7:$BJ$29), MAX($BJ$7:$BJ$29), M140))), ABS($BJ$7:$BJ$29 - MEDIAN(MIN($BJ$7:$BJ$29), MAX($BJ$7:$BJ$29), M140)), $BK$7:$BK$29, "Error", 0)</f>
        <v/>
      </c>
      <c r="N141" s="232">
        <f>_xlfn.XLOOKUP(MIN(ABS($BJ$7:$BJ$29 - MEDIAN(MIN($BJ$7:$BJ$29), MAX($BJ$7:$BJ$29), N140))), ABS($BJ$7:$BJ$29 - MEDIAN(MIN($BJ$7:$BJ$29), MAX($BJ$7:$BJ$29), N140)), $BK$7:$BK$29, "Error", 0)</f>
        <v/>
      </c>
      <c r="O141" s="232">
        <f>_xlfn.XLOOKUP(MIN(ABS($BJ$7:$BJ$29 - MEDIAN(MIN($BJ$7:$BJ$29), MAX($BJ$7:$BJ$29), O140))), ABS($BJ$7:$BJ$29 - MEDIAN(MIN($BJ$7:$BJ$29), MAX($BJ$7:$BJ$29), O140)), $BK$7:$BK$29, "Error", 0)</f>
        <v/>
      </c>
      <c r="P141" s="232">
        <f>_xlfn.XLOOKUP(MIN(ABS($BJ$7:$BJ$29 - MEDIAN(MIN($BJ$7:$BJ$29), MAX($BJ$7:$BJ$29), P140))), ABS($BJ$7:$BJ$29 - MEDIAN(MIN($BJ$7:$BJ$29), MAX($BJ$7:$BJ$29), P140)), $BK$7:$BK$29, "Error", 0)</f>
        <v/>
      </c>
      <c r="Q141" s="232">
        <f>_xlfn.XLOOKUP(MIN(ABS($BJ$7:$BJ$29 - MEDIAN(MIN($BJ$7:$BJ$29), MAX($BJ$7:$BJ$29), Q140))), ABS($BJ$7:$BJ$29 - MEDIAN(MIN($BJ$7:$BJ$29), MAX($BJ$7:$BJ$29), Q140)), $BK$7:$BK$29, "Error", 0)</f>
        <v/>
      </c>
      <c r="R141" s="232">
        <f>_xlfn.XLOOKUP(MIN(ABS($BJ$7:$BJ$29 - MEDIAN(MIN($BJ$7:$BJ$29), MAX($BJ$7:$BJ$29), R140))), ABS($BJ$7:$BJ$29 - MEDIAN(MIN($BJ$7:$BJ$29), MAX($BJ$7:$BJ$29), R140)), $BK$7:$BK$29, "Error", 0)</f>
        <v/>
      </c>
      <c r="S141" s="232">
        <f>_xlfn.XLOOKUP(MIN(ABS($BJ$7:$BJ$29 - MEDIAN(MIN($BJ$7:$BJ$29), MAX($BJ$7:$BJ$29), S140))), ABS($BJ$7:$BJ$29 - MEDIAN(MIN($BJ$7:$BJ$29), MAX($BJ$7:$BJ$29), S140)), $BK$7:$BK$29, "Error", 0)</f>
        <v/>
      </c>
      <c r="T141" s="232">
        <f>_xlfn.XLOOKUP(MIN(ABS($BJ$7:$BJ$29 - MEDIAN(MIN($BJ$7:$BJ$29), MAX($BJ$7:$BJ$29), T140))), ABS($BJ$7:$BJ$29 - MEDIAN(MIN($BJ$7:$BJ$29), MAX($BJ$7:$BJ$29), T140)), $BK$7:$BK$29, "Error", 0)</f>
        <v/>
      </c>
      <c r="U141" s="232">
        <f>_xlfn.XLOOKUP(MIN(ABS($BJ$7:$BJ$29 - MEDIAN(MIN($BJ$7:$BJ$29), MAX($BJ$7:$BJ$29), U140))), ABS($BJ$7:$BJ$29 - MEDIAN(MIN($BJ$7:$BJ$29), MAX($BJ$7:$BJ$29), U140)), $BK$7:$BK$29, "Error", 0)</f>
        <v/>
      </c>
      <c r="V141" s="232">
        <f>_xlfn.XLOOKUP(MIN(ABS($BJ$7:$BJ$29 - MEDIAN(MIN($BJ$7:$BJ$29), MAX($BJ$7:$BJ$29), V140))), ABS($BJ$7:$BJ$29 - MEDIAN(MIN($BJ$7:$BJ$29), MAX($BJ$7:$BJ$29), V140)), $BK$7:$BK$29, "Error", 0)</f>
        <v/>
      </c>
      <c r="W141" s="232">
        <f>_xlfn.XLOOKUP(MIN(ABS($BJ$7:$BJ$29 - MEDIAN(MIN($BJ$7:$BJ$29), MAX($BJ$7:$BJ$29), W140))), ABS($BJ$7:$BJ$29 - MEDIAN(MIN($BJ$7:$BJ$29), MAX($BJ$7:$BJ$29), W140)), $BK$7:$BK$29, "Error", 0)</f>
        <v/>
      </c>
      <c r="X141" s="232">
        <f>_xlfn.XLOOKUP(MIN(ABS($BJ$7:$BJ$29 - MEDIAN(MIN($BJ$7:$BJ$29), MAX($BJ$7:$BJ$29), X140))), ABS($BJ$7:$BJ$29 - MEDIAN(MIN($BJ$7:$BJ$29), MAX($BJ$7:$BJ$29), X140)), $BK$7:$BK$29, "Error", 0)</f>
        <v/>
      </c>
      <c r="Y141" s="232">
        <f>_xlfn.XLOOKUP(MIN(ABS($BJ$7:$BJ$29 - MEDIAN(MIN($BJ$7:$BJ$29), MAX($BJ$7:$BJ$29), Y140))), ABS($BJ$7:$BJ$29 - MEDIAN(MIN($BJ$7:$BJ$29), MAX($BJ$7:$BJ$29), Y140)), $BK$7:$BK$29, "Error", 0)</f>
        <v/>
      </c>
      <c r="Z141" s="232">
        <f>_xlfn.XLOOKUP(MIN(ABS($BJ$7:$BJ$29 - MEDIAN(MIN($BJ$7:$BJ$29), MAX($BJ$7:$BJ$29), Z140))), ABS($BJ$7:$BJ$29 - MEDIAN(MIN($BJ$7:$BJ$29), MAX($BJ$7:$BJ$29), Z140)), $BK$7:$BK$29, "Error", 0)</f>
        <v/>
      </c>
      <c r="AA141" s="232">
        <f>_xlfn.XLOOKUP(MIN(ABS($BJ$7:$BJ$29 - MEDIAN(MIN($BJ$7:$BJ$29), MAX($BJ$7:$BJ$29), AA140))), ABS($BJ$7:$BJ$29 - MEDIAN(MIN($BJ$7:$BJ$29), MAX($BJ$7:$BJ$29), AA140)), $BK$7:$BK$29, "Error", 0)</f>
        <v/>
      </c>
      <c r="AB141" s="171">
        <f>_xlfn.XLOOKUP(MIN(ABS($BJ$7:$BJ$29 - MEDIAN(MIN($BJ$7:$BJ$29), MAX($BJ$7:$BJ$29), AB140))), ABS($BJ$7:$BJ$29 - MEDIAN(MIN($BJ$7:$BJ$29), MAX($BJ$7:$BJ$29), AB140)), $BK$7:$BK$29, "Error", 0)</f>
        <v/>
      </c>
      <c r="AC141" s="171">
        <f>_xlfn.XLOOKUP(MIN(ABS($BJ$7:$BJ$29 - MEDIAN(MIN($BJ$7:$BJ$29), MAX($BJ$7:$BJ$29), AC140))), ABS($BJ$7:$BJ$29 - MEDIAN(MIN($BJ$7:$BJ$29), MAX($BJ$7:$BJ$29), AC140)), $BK$7:$BK$29, "Error", 0)</f>
        <v/>
      </c>
      <c r="AD141" s="171">
        <f>_xlfn.XLOOKUP(MIN(ABS($BJ$7:$BJ$29 - MEDIAN(MIN($BJ$7:$BJ$29), MAX($BJ$7:$BJ$29), AD140))), ABS($BJ$7:$BJ$29 - MEDIAN(MIN($BJ$7:$BJ$29), MAX($BJ$7:$BJ$29), AD140)), $BK$7:$BK$29, "Error", 0)</f>
        <v/>
      </c>
      <c r="AE141" s="171">
        <f>_xlfn.XLOOKUP(MIN(ABS($BJ$7:$BJ$29 - MEDIAN(MIN($BJ$7:$BJ$29), MAX($BJ$7:$BJ$29), AE140))), ABS($BJ$7:$BJ$29 - MEDIAN(MIN($BJ$7:$BJ$29), MAX($BJ$7:$BJ$29), AE140)), $BK$7:$BK$29, "Error", 0)</f>
        <v/>
      </c>
      <c r="AF141" s="171">
        <f>_xlfn.XLOOKUP(MIN(ABS($BJ$7:$BJ$29 - MEDIAN(MIN($BJ$7:$BJ$29), MAX($BJ$7:$BJ$29), AF140))), ABS($BJ$7:$BJ$29 - MEDIAN(MIN($BJ$7:$BJ$29), MAX($BJ$7:$BJ$29), AF140)), $BK$7:$BK$29, "Error", 0)</f>
        <v/>
      </c>
      <c r="AG141" s="171">
        <f>_xlfn.XLOOKUP(MIN(ABS($BJ$7:$BJ$29 - MEDIAN(MIN($BJ$7:$BJ$29), MAX($BJ$7:$BJ$29), AG140))), ABS($BJ$7:$BJ$29 - MEDIAN(MIN($BJ$7:$BJ$29), MAX($BJ$7:$BJ$29), AG140)), $BK$7:$BK$29, "Error", 0)</f>
        <v/>
      </c>
      <c r="AH141" s="171">
        <f>_xlfn.XLOOKUP(MIN(ABS($BJ$7:$BJ$29 - MEDIAN(MIN($BJ$7:$BJ$29), MAX($BJ$7:$BJ$29), AH140))), ABS($BJ$7:$BJ$29 - MEDIAN(MIN($BJ$7:$BJ$29), MAX($BJ$7:$BJ$29), AH140)), $BK$7:$BK$29, "Error", 0)</f>
        <v/>
      </c>
      <c r="AI141" s="171">
        <f>_xlfn.XLOOKUP(MIN(ABS($BJ$7:$BJ$29 - MEDIAN(MIN($BJ$7:$BJ$29), MAX($BJ$7:$BJ$29), AI140))), ABS($BJ$7:$BJ$29 - MEDIAN(MIN($BJ$7:$BJ$29), MAX($BJ$7:$BJ$29), AI140)), $BK$7:$BK$29, "Error", 0)</f>
        <v/>
      </c>
      <c r="AJ141" s="171">
        <f>_xlfn.XLOOKUP(MIN(ABS($BJ$7:$BJ$29 - MEDIAN(MIN($BJ$7:$BJ$29), MAX($BJ$7:$BJ$29), AJ140))), ABS($BJ$7:$BJ$29 - MEDIAN(MIN($BJ$7:$BJ$29), MAX($BJ$7:$BJ$29), AJ140)), $BK$7:$BK$29, "Error", 0)</f>
        <v/>
      </c>
      <c r="AK141" s="171">
        <f>_xlfn.XLOOKUP(MIN(ABS($BJ$7:$BJ$29 - MEDIAN(MIN($BJ$7:$BJ$29), MAX($BJ$7:$BJ$29), AK140))), ABS($BJ$7:$BJ$29 - MEDIAN(MIN($BJ$7:$BJ$29), MAX($BJ$7:$BJ$29), AK140)), $BK$7:$BK$29, "Error", 0)</f>
        <v/>
      </c>
      <c r="AL141" s="171">
        <f>_xlfn.XLOOKUP(MIN(ABS($BJ$7:$BJ$29 - MEDIAN(MIN($BJ$7:$BJ$29), MAX($BJ$7:$BJ$29), AL140))), ABS($BJ$7:$BJ$29 - MEDIAN(MIN($BJ$7:$BJ$29), MAX($BJ$7:$BJ$29), AL140)), $BK$7:$BK$29, "Error", 0)</f>
        <v/>
      </c>
      <c r="AM141" s="171">
        <f>_xlfn.XLOOKUP(MIN(ABS($BJ$7:$BJ$29 - MEDIAN(MIN($BJ$7:$BJ$29), MAX($BJ$7:$BJ$29), AM140))), ABS($BJ$7:$BJ$29 - MEDIAN(MIN($BJ$7:$BJ$29), MAX($BJ$7:$BJ$29), AM140)), $BK$7:$BK$29, "Error", 0)</f>
        <v/>
      </c>
      <c r="AN141" s="171">
        <f>_xlfn.XLOOKUP(MIN(ABS($BJ$7:$BJ$29 - MEDIAN(MIN($BJ$7:$BJ$29), MAX($BJ$7:$BJ$29), AN140))), ABS($BJ$7:$BJ$29 - MEDIAN(MIN($BJ$7:$BJ$29), MAX($BJ$7:$BJ$29), AN140)), $BK$7:$BK$29, "Error", 0)</f>
        <v/>
      </c>
      <c r="AO141" s="171">
        <f>_xlfn.XLOOKUP(MIN(ABS($BJ$7:$BJ$29 - MEDIAN(MIN($BJ$7:$BJ$29), MAX($BJ$7:$BJ$29), AO140))), ABS($BJ$7:$BJ$29 - MEDIAN(MIN($BJ$7:$BJ$29), MAX($BJ$7:$BJ$29), AO140)), $BK$7:$BK$29, "Error", 0)</f>
        <v/>
      </c>
      <c r="AP141" s="171">
        <f>_xlfn.XLOOKUP(MIN(ABS($BJ$7:$BJ$29 - MEDIAN(MIN($BJ$7:$BJ$29), MAX($BJ$7:$BJ$29), AP140))), ABS($BJ$7:$BJ$29 - MEDIAN(MIN($BJ$7:$BJ$29), MAX($BJ$7:$BJ$29), AP140)), $BK$7:$BK$29, "Error", 0)</f>
        <v/>
      </c>
      <c r="AQ141" s="171">
        <f>_xlfn.XLOOKUP(MIN(ABS($BJ$7:$BJ$29 - MEDIAN(MIN($BJ$7:$BJ$29), MAX($BJ$7:$BJ$29), AQ140))), ABS($BJ$7:$BJ$29 - MEDIAN(MIN($BJ$7:$BJ$29), MAX($BJ$7:$BJ$29), AQ140)), $BK$7:$BK$29, "Error", 0)</f>
        <v/>
      </c>
      <c r="AR141" s="171">
        <f>_xlfn.XLOOKUP(MIN(ABS($BJ$7:$BJ$29 - MEDIAN(MIN($BJ$7:$BJ$29), MAX($BJ$7:$BJ$29), AR140))), ABS($BJ$7:$BJ$29 - MEDIAN(MIN($BJ$7:$BJ$29), MAX($BJ$7:$BJ$29), AR140)), $BK$7:$BK$29, "Error", 0)</f>
        <v/>
      </c>
      <c r="AS141" s="171">
        <f>_xlfn.XLOOKUP(MIN(ABS($BJ$7:$BJ$29 - MEDIAN(MIN($BJ$7:$BJ$29), MAX($BJ$7:$BJ$29), AS140))), ABS($BJ$7:$BJ$29 - MEDIAN(MIN($BJ$7:$BJ$29), MAX($BJ$7:$BJ$29), AS140)), $BK$7:$BK$29, "Error", 0)</f>
        <v/>
      </c>
      <c r="AT141" s="171">
        <f>_xlfn.XLOOKUP(MIN(ABS($BJ$7:$BJ$29 - MEDIAN(MIN($BJ$7:$BJ$29), MAX($BJ$7:$BJ$29), AT140))), ABS($BJ$7:$BJ$29 - MEDIAN(MIN($BJ$7:$BJ$29), MAX($BJ$7:$BJ$29), AT140)), $BK$7:$BK$29, "Error", 0)</f>
        <v/>
      </c>
      <c r="AU141" s="171">
        <f>_xlfn.XLOOKUP(MIN(ABS($BJ$7:$BJ$29 - MEDIAN(MIN($BJ$7:$BJ$29), MAX($BJ$7:$BJ$29), AU140))), ABS($BJ$7:$BJ$29 - MEDIAN(MIN($BJ$7:$BJ$29), MAX($BJ$7:$BJ$29), AU140)), $BK$7:$BK$29, "Error", 0)</f>
        <v/>
      </c>
      <c r="AV141" s="206">
        <f>_xlfn.XLOOKUP(MIN(ABS($BJ$7:$BJ$29 - MEDIAN(MIN($BJ$7:$BJ$29), MAX($BJ$7:$BJ$29), AV140))), ABS($BJ$7:$BJ$29 - MEDIAN(MIN($BJ$7:$BJ$29), MAX($BJ$7:$BJ$29), AV140)), $BK$7:$BK$29, "Error", 0)</f>
        <v/>
      </c>
      <c r="AW141" s="184">
        <f>_xlfn.XLOOKUP(MIN(ABS($BJ$7:$BJ$29 - MEDIAN(MIN($BJ$7:$BJ$29), MAX($BJ$7:$BJ$29), AW140))), ABS($BJ$7:$BJ$29 - MEDIAN(MIN($BJ$7:$BJ$29), MAX($BJ$7:$BJ$29), AW140)), $BK$7:$BK$29, "Error", 0)</f>
        <v/>
      </c>
      <c r="AX141" s="184">
        <f>_xlfn.XLOOKUP(MIN(ABS($BJ$7:$BJ$29 - MEDIAN(MIN($BJ$7:$BJ$29), MAX($BJ$7:$BJ$29), AX140))), ABS($BJ$7:$BJ$29 - MEDIAN(MIN($BJ$7:$BJ$29), MAX($BJ$7:$BJ$29), AX140)), $BK$7:$BK$29, "Error", 0)</f>
        <v/>
      </c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6329.56519529823</v>
      </c>
      <c r="D142" s="233" t="n">
        <v>6329.56519529823</v>
      </c>
      <c r="E142" s="233" t="n">
        <v>6329.56519529823</v>
      </c>
      <c r="F142" s="233" t="n">
        <v>6329.56519529823</v>
      </c>
      <c r="G142" s="233" t="n">
        <v>6329.56519529823</v>
      </c>
      <c r="H142" s="233" t="n">
        <v>6329.56519529823</v>
      </c>
      <c r="I142" s="233" t="n">
        <v>6329.56519529823</v>
      </c>
      <c r="J142" s="233" t="n">
        <v>6329.56519529823</v>
      </c>
      <c r="K142" s="233" t="n">
        <v>6329.56519529823</v>
      </c>
      <c r="L142" s="233" t="n">
        <v>6329.56519529823</v>
      </c>
      <c r="M142" s="233" t="n">
        <v>6329.56519529823</v>
      </c>
      <c r="N142" s="233" t="n">
        <v>6329.56519529823</v>
      </c>
      <c r="O142" s="233" t="n">
        <v>6329.56519529823</v>
      </c>
      <c r="P142" s="233" t="n">
        <v>6329.56519529823</v>
      </c>
      <c r="Q142" s="233" t="n">
        <v>6329.56519529823</v>
      </c>
      <c r="R142" s="233" t="n">
        <v>6329.56519529823</v>
      </c>
      <c r="S142" s="233" t="n">
        <v>6329.56519529823</v>
      </c>
      <c r="T142" s="233" t="n">
        <v>6329.56519529823</v>
      </c>
      <c r="U142" s="233" t="n">
        <v>6329.56519529823</v>
      </c>
      <c r="V142" s="233" t="n">
        <v>6329.56519529823</v>
      </c>
      <c r="W142" s="233" t="n">
        <v>6329.56519529823</v>
      </c>
      <c r="X142" s="233" t="n">
        <v>6329.56519529823</v>
      </c>
      <c r="Y142" s="233" t="n">
        <v>6329.56519529823</v>
      </c>
      <c r="Z142" s="233" t="n">
        <v>6329.56519529823</v>
      </c>
      <c r="AA142" s="204" t="n">
        <v>6329.56519529823</v>
      </c>
      <c r="AB142" s="204" t="n">
        <v>6329.56519529823</v>
      </c>
      <c r="AC142" s="204" t="n">
        <v>6329.56519529823</v>
      </c>
      <c r="AD142" s="204" t="n">
        <v>6329.56519529823</v>
      </c>
      <c r="AE142" s="204" t="n">
        <v>6329.56519529823</v>
      </c>
      <c r="AF142" s="204" t="n">
        <v>6329.56519529823</v>
      </c>
      <c r="AG142" s="204" t="n">
        <v>6329.56519529823</v>
      </c>
      <c r="AH142" s="204" t="n">
        <v>6329.56519529823</v>
      </c>
      <c r="AI142" s="204" t="n">
        <v>6329.56519529823</v>
      </c>
      <c r="AJ142" s="204" t="n">
        <v>6329.56519529823</v>
      </c>
      <c r="AK142" s="204" t="n">
        <v>6329.56519529823</v>
      </c>
      <c r="AL142" s="204" t="n">
        <v>6329.56519529823</v>
      </c>
      <c r="AM142" s="204" t="n">
        <v>6361.544483751059</v>
      </c>
      <c r="AN142" s="204" t="n">
        <v>6568.339264200185</v>
      </c>
      <c r="AO142" s="204" t="n">
        <v>6568.339264200185</v>
      </c>
      <c r="AP142" s="204" t="n">
        <v>6568.339264200185</v>
      </c>
      <c r="AQ142" s="204" t="n">
        <v>6568.339264200185</v>
      </c>
      <c r="AR142" s="204" t="n">
        <v>6568.339264200185</v>
      </c>
      <c r="AS142" s="204" t="n">
        <v>6568.339264200185</v>
      </c>
      <c r="AT142" s="204" t="n">
        <v>6576.019630382652</v>
      </c>
      <c r="AU142" s="204" t="n">
        <v>6576.019630382652</v>
      </c>
      <c r="AV142" s="200" t="n">
        <v>6576.019630382652</v>
      </c>
      <c r="AW142" s="184" t="n">
        <v>6576.019630382652</v>
      </c>
      <c r="AX142" s="184" t="n">
        <v>6576.019630382652</v>
      </c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5277.129397213343</v>
      </c>
      <c r="D143" s="233" t="n">
        <v>4894.340460731182</v>
      </c>
      <c r="E143" s="233" t="n">
        <v>4821.198073901702</v>
      </c>
      <c r="F143" s="233" t="n">
        <v>4846.290661278297</v>
      </c>
      <c r="G143" s="233" t="n">
        <v>4621.967452433542</v>
      </c>
      <c r="H143" s="233" t="n">
        <v>4768.376239326783</v>
      </c>
      <c r="I143" s="233" t="n">
        <v>4935.923127501825</v>
      </c>
      <c r="J143" s="233" t="n">
        <v>4732.944704290188</v>
      </c>
      <c r="K143" s="233" t="n">
        <v>4530.822310469113</v>
      </c>
      <c r="L143" s="233" t="n">
        <v>4319.984776011086</v>
      </c>
      <c r="M143" s="233" t="n">
        <v>4691.090807907749</v>
      </c>
      <c r="N143" s="233" t="n">
        <v>5181.709499428107</v>
      </c>
      <c r="O143" s="233" t="n">
        <v>5065.268893777393</v>
      </c>
      <c r="P143" s="233" t="n">
        <v>5000.075056522095</v>
      </c>
      <c r="Q143" s="233" t="n">
        <v>5150.357986774179</v>
      </c>
      <c r="R143" s="233" t="n">
        <v>5029.105218595359</v>
      </c>
      <c r="S143" s="233" t="n">
        <v>5106.45941690309</v>
      </c>
      <c r="T143" s="233" t="n">
        <v>5165.852960646152</v>
      </c>
      <c r="U143" s="233" t="n">
        <v>5293.579438339511</v>
      </c>
      <c r="V143" s="233" t="n">
        <v>5499.093601255183</v>
      </c>
      <c r="W143" s="233" t="n">
        <v>5721.698635998473</v>
      </c>
      <c r="X143" s="233" t="n">
        <v>5363.403568267822</v>
      </c>
      <c r="Y143" s="233" t="n">
        <v>5489.773146482999</v>
      </c>
      <c r="Z143" s="233" t="n">
        <v>5074.960089557455</v>
      </c>
      <c r="AA143" s="204" t="n">
        <v>5302.825984499941</v>
      </c>
      <c r="AB143" s="204" t="n">
        <v>5093.202309424669</v>
      </c>
      <c r="AC143" s="204" t="n">
        <v>4927.93531568101</v>
      </c>
      <c r="AD143" s="204" t="n">
        <v>5190.138744441618</v>
      </c>
      <c r="AE143" s="204" t="n">
        <v>5437.006522412586</v>
      </c>
      <c r="AF143" s="204" t="n">
        <v>5580.868161082035</v>
      </c>
      <c r="AG143" s="204" t="n">
        <v>5636.5887388353</v>
      </c>
      <c r="AH143" s="204" t="n">
        <v>5861.587278707419</v>
      </c>
      <c r="AI143" s="204" t="n">
        <v>5824.261270142626</v>
      </c>
      <c r="AJ143" s="204" t="n">
        <v>5825.904769230052</v>
      </c>
      <c r="AK143" s="204" t="n">
        <v>5630.001767975045</v>
      </c>
      <c r="AL143" s="204" t="n">
        <v>5836.83786540624</v>
      </c>
      <c r="AM143" s="204" t="n">
        <v>6250.321396790794</v>
      </c>
      <c r="AN143" s="204" t="n">
        <v>6532.660232088878</v>
      </c>
      <c r="AO143" s="204" t="n">
        <v>5806.556187005946</v>
      </c>
      <c r="AP143" s="204" t="n">
        <v>6179.704396084999</v>
      </c>
      <c r="AQ143" s="204" t="n">
        <v>6255.566170142032</v>
      </c>
      <c r="AR143" s="204" t="n">
        <v>6041.850979496492</v>
      </c>
      <c r="AS143" s="204" t="n">
        <v>6306.36813771649</v>
      </c>
      <c r="AT143" s="204" t="n">
        <v>6501.139437913895</v>
      </c>
      <c r="AU143" s="204" t="n">
        <v>6082.762563414115</v>
      </c>
      <c r="AV143" s="201" t="n">
        <v>6082.762563414115</v>
      </c>
      <c r="AW143" s="184" t="n">
        <v>6082.762563414115</v>
      </c>
      <c r="AX143" s="184" t="n">
        <v>6082.762563414115</v>
      </c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>
        <f>+(AV143-AV142)/AV142</f>
        <v/>
      </c>
      <c r="AW144" s="184">
        <f>+(AW143-AW142)/AW142</f>
        <v/>
      </c>
      <c r="AX144" s="184">
        <f>+(AX143-AX142)/AX142</f>
        <v/>
      </c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8148.7001953125</v>
      </c>
      <c r="W145" s="233" t="n">
        <v>8285.7001953125</v>
      </c>
      <c r="X145" s="233" t="n">
        <v>8384.5</v>
      </c>
      <c r="Y145" s="233" t="n">
        <v>8477.099609375</v>
      </c>
      <c r="Z145" s="233" t="n">
        <v>8514.5</v>
      </c>
      <c r="AA145" s="231" t="n">
        <v>8566.900390625</v>
      </c>
      <c r="AB145" s="203" t="n">
        <v>8615.2001953125</v>
      </c>
      <c r="AC145" s="203" t="n">
        <v>8615.2001953125</v>
      </c>
      <c r="AD145" s="203" t="n">
        <v>8615.2001953125</v>
      </c>
      <c r="AE145" s="203" t="n">
        <v>8615.2001953125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9296.7001953125</v>
      </c>
      <c r="AU145" s="203" t="n">
        <v>9296.7001953125</v>
      </c>
      <c r="AV145" s="201" t="n">
        <v>9296.7001953125</v>
      </c>
      <c r="AW145" s="184" t="n">
        <v>9296.7001953125</v>
      </c>
      <c r="AX145" s="184" t="n">
        <v>9296.7001953125</v>
      </c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7680.7001953125</v>
      </c>
      <c r="P146" s="233" t="n">
        <v>7698.7001953125</v>
      </c>
      <c r="Q146" s="233" t="n">
        <v>7896.89990234375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8269.7998046875</v>
      </c>
      <c r="X146" s="233" t="n">
        <v>8160</v>
      </c>
      <c r="Y146" s="233" t="n">
        <v>8436.2001953125</v>
      </c>
      <c r="Z146" s="233" t="n">
        <v>8159.10009765625</v>
      </c>
      <c r="AA146" s="231" t="n">
        <v>8532.2998046875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8542.2998046875</v>
      </c>
      <c r="AG146" s="203" t="n">
        <v>8742.7998046875</v>
      </c>
      <c r="AH146" s="203" t="n">
        <v>8973.099609375</v>
      </c>
      <c r="AI146" s="203" t="n">
        <v>8848.7998046875</v>
      </c>
      <c r="AJ146" s="203" t="n">
        <v>8881.900390625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9198.599609375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8778.7001953125</v>
      </c>
      <c r="AS146" s="203" t="n">
        <v>8976.7998046875</v>
      </c>
      <c r="AT146" s="203" t="n">
        <v>9076</v>
      </c>
      <c r="AU146" s="203" t="n">
        <v>8709.2998046875</v>
      </c>
      <c r="AV146" s="201" t="n">
        <v>8709.2998046875</v>
      </c>
      <c r="AW146" s="184" t="n">
        <v>8709.2998046875</v>
      </c>
      <c r="AX146" s="184" t="n">
        <v>8709.2998046875</v>
      </c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>
        <f>+(AV146-AV145)/AV145</f>
        <v/>
      </c>
      <c r="AW147" s="184">
        <f>+(AW146-AW145)/AW145</f>
        <v/>
      </c>
      <c r="AX147" s="184">
        <f>+(AX146-AX145)/AX145</f>
        <v/>
      </c>
      <c r="AY147" s="184" t="n"/>
    </row>
    <row r="148" ht="22" customHeight="1">
      <c r="A148" s="303" t="n"/>
      <c r="B148" s="201" t="inlineStr">
        <is>
          <t>real % change</t>
        </is>
      </c>
      <c r="C148" s="230">
        <f>+C147-C144</f>
        <v/>
      </c>
      <c r="D148" s="230">
        <f>+D147-D144</f>
        <v/>
      </c>
      <c r="E148" s="230">
        <f>+E147-E144</f>
        <v/>
      </c>
      <c r="F148" s="230">
        <f>+F147-F144</f>
        <v/>
      </c>
      <c r="G148" s="230">
        <f>+G147-G144</f>
        <v/>
      </c>
      <c r="H148" s="230">
        <f>+H147-H144</f>
        <v/>
      </c>
      <c r="I148" s="230">
        <f>+I147-I144</f>
        <v/>
      </c>
      <c r="J148" s="230">
        <f>+J147-J144</f>
        <v/>
      </c>
      <c r="K148" s="230">
        <f>+K147-K144</f>
        <v/>
      </c>
      <c r="L148" s="230">
        <f>+L147-L144</f>
        <v/>
      </c>
      <c r="M148" s="230">
        <f>+M147-M144</f>
        <v/>
      </c>
      <c r="N148" s="230">
        <f>+N147-N144</f>
        <v/>
      </c>
      <c r="O148" s="230">
        <f>+O147-O144</f>
        <v/>
      </c>
      <c r="P148" s="230">
        <f>+P147-P144</f>
        <v/>
      </c>
      <c r="Q148" s="230">
        <f>+Q147-Q144</f>
        <v/>
      </c>
      <c r="R148" s="230">
        <f>+R147-R144</f>
        <v/>
      </c>
      <c r="S148" s="230">
        <f>+S147-S144</f>
        <v/>
      </c>
      <c r="T148" s="230">
        <f>+T147-T144</f>
        <v/>
      </c>
      <c r="U148" s="230">
        <f>+U147-U144</f>
        <v/>
      </c>
      <c r="V148" s="230">
        <f>+V147-V144</f>
        <v/>
      </c>
      <c r="W148" s="230">
        <f>+W147-W144</f>
        <v/>
      </c>
      <c r="X148" s="230">
        <f>+X147-X144</f>
        <v/>
      </c>
      <c r="Y148" s="230">
        <f>+Y147-Y144</f>
        <v/>
      </c>
      <c r="Z148" s="230">
        <f>+Z147-Z144</f>
        <v/>
      </c>
      <c r="AA148" s="230">
        <f>+AA147-AA144</f>
        <v/>
      </c>
      <c r="AB148" s="205">
        <f>+AB147-AB144</f>
        <v/>
      </c>
      <c r="AC148" s="205">
        <f>+AC147-AC144</f>
        <v/>
      </c>
      <c r="AD148" s="205">
        <f>+AD147-AD144</f>
        <v/>
      </c>
      <c r="AE148" s="205">
        <f>+AE147-AE144</f>
        <v/>
      </c>
      <c r="AF148" s="205">
        <f>+AF147-AF144</f>
        <v/>
      </c>
      <c r="AG148" s="205">
        <f>+AG147-AG144</f>
        <v/>
      </c>
      <c r="AH148" s="205">
        <f>+AH147-AH144</f>
        <v/>
      </c>
      <c r="AI148" s="205">
        <f>+AI147-AI144</f>
        <v/>
      </c>
      <c r="AJ148" s="205">
        <f>+AJ147-AJ144</f>
        <v/>
      </c>
      <c r="AK148" s="205">
        <f>+AK147-AK144</f>
        <v/>
      </c>
      <c r="AL148" s="205">
        <f>+AL147-AL144</f>
        <v/>
      </c>
      <c r="AM148" s="205">
        <f>+AM147-AM144</f>
        <v/>
      </c>
      <c r="AN148" s="205">
        <f>+AN147-AN144</f>
        <v/>
      </c>
      <c r="AO148" s="205">
        <f>+AO147-AO144</f>
        <v/>
      </c>
      <c r="AP148" s="205">
        <f>+AP147-AP144</f>
        <v/>
      </c>
      <c r="AQ148" s="205">
        <f>+AQ147-AQ144</f>
        <v/>
      </c>
      <c r="AR148" s="205">
        <f>+AR147-AR144</f>
        <v/>
      </c>
      <c r="AS148" s="205">
        <f>+AS147-AS144</f>
        <v/>
      </c>
      <c r="AT148" s="205">
        <f>+AT147-AT144</f>
        <v/>
      </c>
      <c r="AU148" s="205">
        <f>+AU147-AU144</f>
        <v/>
      </c>
      <c r="AV148" s="201">
        <f>+AV147-AV144</f>
        <v/>
      </c>
      <c r="AW148" s="184">
        <f>+AW147-AW144</f>
        <v/>
      </c>
      <c r="AX148" s="184">
        <f>+AX147-AX144</f>
        <v/>
      </c>
      <c r="AY148" s="184" t="n"/>
    </row>
    <row r="149" ht="22" customHeight="1">
      <c r="A149" s="304" t="n"/>
      <c r="B149" s="206" t="inlineStr">
        <is>
          <t>Rating</t>
        </is>
      </c>
      <c r="C149" s="232">
        <f>_xlfn.XLOOKUP(MIN(ABS($BJ$7:$BJ$29 - MEDIAN(MIN($BJ$7:$BJ$29), MAX($BJ$7:$BJ$29), C148))), ABS($BJ$7:$BJ$29 - MEDIAN(MIN($BJ$7:$BJ$29), MAX($BJ$7:$BJ$29), C148)), $BK$7:$BK$29, "Error", 0)</f>
        <v/>
      </c>
      <c r="D149" s="232">
        <f>_xlfn.XLOOKUP(MIN(ABS($BJ$7:$BJ$29 - MEDIAN(MIN($BJ$7:$BJ$29), MAX($BJ$7:$BJ$29), D148))), ABS($BJ$7:$BJ$29 - MEDIAN(MIN($BJ$7:$BJ$29), MAX($BJ$7:$BJ$29), D148)), $BK$7:$BK$29, "Error", 0)</f>
        <v/>
      </c>
      <c r="E149" s="232">
        <f>_xlfn.XLOOKUP(MIN(ABS($BJ$7:$BJ$29 - MEDIAN(MIN($BJ$7:$BJ$29), MAX($BJ$7:$BJ$29), E148))), ABS($BJ$7:$BJ$29 - MEDIAN(MIN($BJ$7:$BJ$29), MAX($BJ$7:$BJ$29), E148)), $BK$7:$BK$29, "Error", 0)</f>
        <v/>
      </c>
      <c r="F149" s="232">
        <f>_xlfn.XLOOKUP(MIN(ABS($BJ$7:$BJ$29 - MEDIAN(MIN($BJ$7:$BJ$29), MAX($BJ$7:$BJ$29), F148))), ABS($BJ$7:$BJ$29 - MEDIAN(MIN($BJ$7:$BJ$29), MAX($BJ$7:$BJ$29), F148)), $BK$7:$BK$29, "Error", 0)</f>
        <v/>
      </c>
      <c r="G149" s="232">
        <f>_xlfn.XLOOKUP(MIN(ABS($BJ$7:$BJ$29 - MEDIAN(MIN($BJ$7:$BJ$29), MAX($BJ$7:$BJ$29), G148))), ABS($BJ$7:$BJ$29 - MEDIAN(MIN($BJ$7:$BJ$29), MAX($BJ$7:$BJ$29), G148)), $BK$7:$BK$29, "Error", 0)</f>
        <v/>
      </c>
      <c r="H149" s="232">
        <f>_xlfn.XLOOKUP(MIN(ABS($BJ$7:$BJ$29 - MEDIAN(MIN($BJ$7:$BJ$29), MAX($BJ$7:$BJ$29), H148))), ABS($BJ$7:$BJ$29 - MEDIAN(MIN($BJ$7:$BJ$29), MAX($BJ$7:$BJ$29), H148)), $BK$7:$BK$29, "Error", 0)</f>
        <v/>
      </c>
      <c r="I149" s="232">
        <f>_xlfn.XLOOKUP(MIN(ABS($BJ$7:$BJ$29 - MEDIAN(MIN($BJ$7:$BJ$29), MAX($BJ$7:$BJ$29), I148))), ABS($BJ$7:$BJ$29 - MEDIAN(MIN($BJ$7:$BJ$29), MAX($BJ$7:$BJ$29), I148)), $BK$7:$BK$29, "Error", 0)</f>
        <v/>
      </c>
      <c r="J149" s="232">
        <f>_xlfn.XLOOKUP(MIN(ABS($BJ$7:$BJ$29 - MEDIAN(MIN($BJ$7:$BJ$29), MAX($BJ$7:$BJ$29), J148))), ABS($BJ$7:$BJ$29 - MEDIAN(MIN($BJ$7:$BJ$29), MAX($BJ$7:$BJ$29), J148)), $BK$7:$BK$29, "Error", 0)</f>
        <v/>
      </c>
      <c r="K149" s="232">
        <f>_xlfn.XLOOKUP(MIN(ABS($BJ$7:$BJ$29 - MEDIAN(MIN($BJ$7:$BJ$29), MAX($BJ$7:$BJ$29), K148))), ABS($BJ$7:$BJ$29 - MEDIAN(MIN($BJ$7:$BJ$29), MAX($BJ$7:$BJ$29), K148)), $BK$7:$BK$29, "Error", 0)</f>
        <v/>
      </c>
      <c r="L149" s="232">
        <f>_xlfn.XLOOKUP(MIN(ABS($BJ$7:$BJ$29 - MEDIAN(MIN($BJ$7:$BJ$29), MAX($BJ$7:$BJ$29), L148))), ABS($BJ$7:$BJ$29 - MEDIAN(MIN($BJ$7:$BJ$29), MAX($BJ$7:$BJ$29), L148)), $BK$7:$BK$29, "Error", 0)</f>
        <v/>
      </c>
      <c r="M149" s="232">
        <f>_xlfn.XLOOKUP(MIN(ABS($BJ$7:$BJ$29 - MEDIAN(MIN($BJ$7:$BJ$29), MAX($BJ$7:$BJ$29), M148))), ABS($BJ$7:$BJ$29 - MEDIAN(MIN($BJ$7:$BJ$29), MAX($BJ$7:$BJ$29), M148)), $BK$7:$BK$29, "Error", 0)</f>
        <v/>
      </c>
      <c r="N149" s="232">
        <f>_xlfn.XLOOKUP(MIN(ABS($BJ$7:$BJ$29 - MEDIAN(MIN($BJ$7:$BJ$29), MAX($BJ$7:$BJ$29), N148))), ABS($BJ$7:$BJ$29 - MEDIAN(MIN($BJ$7:$BJ$29), MAX($BJ$7:$BJ$29), N148)), $BK$7:$BK$29, "Error", 0)</f>
        <v/>
      </c>
      <c r="O149" s="232">
        <f>_xlfn.XLOOKUP(MIN(ABS($BJ$7:$BJ$29 - MEDIAN(MIN($BJ$7:$BJ$29), MAX($BJ$7:$BJ$29), O148))), ABS($BJ$7:$BJ$29 - MEDIAN(MIN($BJ$7:$BJ$29), MAX($BJ$7:$BJ$29), O148)), $BK$7:$BK$29, "Error", 0)</f>
        <v/>
      </c>
      <c r="P149" s="232">
        <f>_xlfn.XLOOKUP(MIN(ABS($BJ$7:$BJ$29 - MEDIAN(MIN($BJ$7:$BJ$29), MAX($BJ$7:$BJ$29), P148))), ABS($BJ$7:$BJ$29 - MEDIAN(MIN($BJ$7:$BJ$29), MAX($BJ$7:$BJ$29), P148)), $BK$7:$BK$29, "Error", 0)</f>
        <v/>
      </c>
      <c r="Q149" s="232">
        <f>_xlfn.XLOOKUP(MIN(ABS($BJ$7:$BJ$29 - MEDIAN(MIN($BJ$7:$BJ$29), MAX($BJ$7:$BJ$29), Q148))), ABS($BJ$7:$BJ$29 - MEDIAN(MIN($BJ$7:$BJ$29), MAX($BJ$7:$BJ$29), Q148)), $BK$7:$BK$29, "Error", 0)</f>
        <v/>
      </c>
      <c r="R149" s="232">
        <f>_xlfn.XLOOKUP(MIN(ABS($BJ$7:$BJ$29 - MEDIAN(MIN($BJ$7:$BJ$29), MAX($BJ$7:$BJ$29), R148))), ABS($BJ$7:$BJ$29 - MEDIAN(MIN($BJ$7:$BJ$29), MAX($BJ$7:$BJ$29), R148)), $BK$7:$BK$29, "Error", 0)</f>
        <v/>
      </c>
      <c r="S149" s="232">
        <f>_xlfn.XLOOKUP(MIN(ABS($BJ$7:$BJ$29 - MEDIAN(MIN($BJ$7:$BJ$29), MAX($BJ$7:$BJ$29), S148))), ABS($BJ$7:$BJ$29 - MEDIAN(MIN($BJ$7:$BJ$29), MAX($BJ$7:$BJ$29), S148)), $BK$7:$BK$29, "Error", 0)</f>
        <v/>
      </c>
      <c r="T149" s="232">
        <f>_xlfn.XLOOKUP(MIN(ABS($BJ$7:$BJ$29 - MEDIAN(MIN($BJ$7:$BJ$29), MAX($BJ$7:$BJ$29), T148))), ABS($BJ$7:$BJ$29 - MEDIAN(MIN($BJ$7:$BJ$29), MAX($BJ$7:$BJ$29), T148)), $BK$7:$BK$29, "Error", 0)</f>
        <v/>
      </c>
      <c r="U149" s="232">
        <f>_xlfn.XLOOKUP(MIN(ABS($BJ$7:$BJ$29 - MEDIAN(MIN($BJ$7:$BJ$29), MAX($BJ$7:$BJ$29), U148))), ABS($BJ$7:$BJ$29 - MEDIAN(MIN($BJ$7:$BJ$29), MAX($BJ$7:$BJ$29), U148)), $BK$7:$BK$29, "Error", 0)</f>
        <v/>
      </c>
      <c r="V149" s="232">
        <f>_xlfn.XLOOKUP(MIN(ABS($BJ$7:$BJ$29 - MEDIAN(MIN($BJ$7:$BJ$29), MAX($BJ$7:$BJ$29), V148))), ABS($BJ$7:$BJ$29 - MEDIAN(MIN($BJ$7:$BJ$29), MAX($BJ$7:$BJ$29), V148)), $BK$7:$BK$29, "Error", 0)</f>
        <v/>
      </c>
      <c r="W149" s="232">
        <f>_xlfn.XLOOKUP(MIN(ABS($BJ$7:$BJ$29 - MEDIAN(MIN($BJ$7:$BJ$29), MAX($BJ$7:$BJ$29), W148))), ABS($BJ$7:$BJ$29 - MEDIAN(MIN($BJ$7:$BJ$29), MAX($BJ$7:$BJ$29), W148)), $BK$7:$BK$29, "Error", 0)</f>
        <v/>
      </c>
      <c r="X149" s="232">
        <f>_xlfn.XLOOKUP(MIN(ABS($BJ$7:$BJ$29 - MEDIAN(MIN($BJ$7:$BJ$29), MAX($BJ$7:$BJ$29), X148))), ABS($BJ$7:$BJ$29 - MEDIAN(MIN($BJ$7:$BJ$29), MAX($BJ$7:$BJ$29), X148)), $BK$7:$BK$29, "Error", 0)</f>
        <v/>
      </c>
      <c r="Y149" s="232">
        <f>_xlfn.XLOOKUP(MIN(ABS($BJ$7:$BJ$29 - MEDIAN(MIN($BJ$7:$BJ$29), MAX($BJ$7:$BJ$29), Y148))), ABS($BJ$7:$BJ$29 - MEDIAN(MIN($BJ$7:$BJ$29), MAX($BJ$7:$BJ$29), Y148)), $BK$7:$BK$29, "Error", 0)</f>
        <v/>
      </c>
      <c r="Z149" s="232">
        <f>_xlfn.XLOOKUP(MIN(ABS($BJ$7:$BJ$29 - MEDIAN(MIN($BJ$7:$BJ$29), MAX($BJ$7:$BJ$29), Z148))), ABS($BJ$7:$BJ$29 - MEDIAN(MIN($BJ$7:$BJ$29), MAX($BJ$7:$BJ$29), Z148)), $BK$7:$BK$29, "Error", 0)</f>
        <v/>
      </c>
      <c r="AA149" s="232">
        <f>_xlfn.XLOOKUP(MIN(ABS($BJ$7:$BJ$29 - MEDIAN(MIN($BJ$7:$BJ$29), MAX($BJ$7:$BJ$29), AA148))), ABS($BJ$7:$BJ$29 - MEDIAN(MIN($BJ$7:$BJ$29), MAX($BJ$7:$BJ$29), AA148)), $BK$7:$BK$29, "Error", 0)</f>
        <v/>
      </c>
      <c r="AB149" s="171">
        <f>_xlfn.XLOOKUP(MIN(ABS($BJ$7:$BJ$29 - MEDIAN(MIN($BJ$7:$BJ$29), MAX($BJ$7:$BJ$29), AB148))), ABS($BJ$7:$BJ$29 - MEDIAN(MIN($BJ$7:$BJ$29), MAX($BJ$7:$BJ$29), AB148)), $BK$7:$BK$29, "Error", 0)</f>
        <v/>
      </c>
      <c r="AC149" s="171">
        <f>_xlfn.XLOOKUP(MIN(ABS($BJ$7:$BJ$29 - MEDIAN(MIN($BJ$7:$BJ$29), MAX($BJ$7:$BJ$29), AC148))), ABS($BJ$7:$BJ$29 - MEDIAN(MIN($BJ$7:$BJ$29), MAX($BJ$7:$BJ$29), AC148)), $BK$7:$BK$29, "Error", 0)</f>
        <v/>
      </c>
      <c r="AD149" s="171">
        <f>_xlfn.XLOOKUP(MIN(ABS($BJ$7:$BJ$29 - MEDIAN(MIN($BJ$7:$BJ$29), MAX($BJ$7:$BJ$29), AD148))), ABS($BJ$7:$BJ$29 - MEDIAN(MIN($BJ$7:$BJ$29), MAX($BJ$7:$BJ$29), AD148)), $BK$7:$BK$29, "Error", 0)</f>
        <v/>
      </c>
      <c r="AE149" s="171">
        <f>_xlfn.XLOOKUP(MIN(ABS($BJ$7:$BJ$29 - MEDIAN(MIN($BJ$7:$BJ$29), MAX($BJ$7:$BJ$29), AE148))), ABS($BJ$7:$BJ$29 - MEDIAN(MIN($BJ$7:$BJ$29), MAX($BJ$7:$BJ$29), AE148)), $BK$7:$BK$29, "Error", 0)</f>
        <v/>
      </c>
      <c r="AF149" s="171">
        <f>_xlfn.XLOOKUP(MIN(ABS($BJ$7:$BJ$29 - MEDIAN(MIN($BJ$7:$BJ$29), MAX($BJ$7:$BJ$29), AF148))), ABS($BJ$7:$BJ$29 - MEDIAN(MIN($BJ$7:$BJ$29), MAX($BJ$7:$BJ$29), AF148)), $BK$7:$BK$29, "Error", 0)</f>
        <v/>
      </c>
      <c r="AG149" s="171">
        <f>_xlfn.XLOOKUP(MIN(ABS($BJ$7:$BJ$29 - MEDIAN(MIN($BJ$7:$BJ$29), MAX($BJ$7:$BJ$29), AG148))), ABS($BJ$7:$BJ$29 - MEDIAN(MIN($BJ$7:$BJ$29), MAX($BJ$7:$BJ$29), AG148)), $BK$7:$BK$29, "Error", 0)</f>
        <v/>
      </c>
      <c r="AH149" s="171">
        <f>_xlfn.XLOOKUP(MIN(ABS($BJ$7:$BJ$29 - MEDIAN(MIN($BJ$7:$BJ$29), MAX($BJ$7:$BJ$29), AH148))), ABS($BJ$7:$BJ$29 - MEDIAN(MIN($BJ$7:$BJ$29), MAX($BJ$7:$BJ$29), AH148)), $BK$7:$BK$29, "Error", 0)</f>
        <v/>
      </c>
      <c r="AI149" s="171">
        <f>_xlfn.XLOOKUP(MIN(ABS($BJ$7:$BJ$29 - MEDIAN(MIN($BJ$7:$BJ$29), MAX($BJ$7:$BJ$29), AI148))), ABS($BJ$7:$BJ$29 - MEDIAN(MIN($BJ$7:$BJ$29), MAX($BJ$7:$BJ$29), AI148)), $BK$7:$BK$29, "Error", 0)</f>
        <v/>
      </c>
      <c r="AJ149" s="171">
        <f>_xlfn.XLOOKUP(MIN(ABS($BJ$7:$BJ$29 - MEDIAN(MIN($BJ$7:$BJ$29), MAX($BJ$7:$BJ$29), AJ148))), ABS($BJ$7:$BJ$29 - MEDIAN(MIN($BJ$7:$BJ$29), MAX($BJ$7:$BJ$29), AJ148)), $BK$7:$BK$29, "Error", 0)</f>
        <v/>
      </c>
      <c r="AK149" s="171">
        <f>_xlfn.XLOOKUP(MIN(ABS($BJ$7:$BJ$29 - MEDIAN(MIN($BJ$7:$BJ$29), MAX($BJ$7:$BJ$29), AK148))), ABS($BJ$7:$BJ$29 - MEDIAN(MIN($BJ$7:$BJ$29), MAX($BJ$7:$BJ$29), AK148)), $BK$7:$BK$29, "Error", 0)</f>
        <v/>
      </c>
      <c r="AL149" s="171">
        <f>_xlfn.XLOOKUP(MIN(ABS($BJ$7:$BJ$29 - MEDIAN(MIN($BJ$7:$BJ$29), MAX($BJ$7:$BJ$29), AL148))), ABS($BJ$7:$BJ$29 - MEDIAN(MIN($BJ$7:$BJ$29), MAX($BJ$7:$BJ$29), AL148)), $BK$7:$BK$29, "Error", 0)</f>
        <v/>
      </c>
      <c r="AM149" s="171">
        <f>_xlfn.XLOOKUP(MIN(ABS($BJ$7:$BJ$29 - MEDIAN(MIN($BJ$7:$BJ$29), MAX($BJ$7:$BJ$29), AM148))), ABS($BJ$7:$BJ$29 - MEDIAN(MIN($BJ$7:$BJ$29), MAX($BJ$7:$BJ$29), AM148)), $BK$7:$BK$29, "Error", 0)</f>
        <v/>
      </c>
      <c r="AN149" s="171">
        <f>_xlfn.XLOOKUP(MIN(ABS($BJ$7:$BJ$29 - MEDIAN(MIN($BJ$7:$BJ$29), MAX($BJ$7:$BJ$29), AN148))), ABS($BJ$7:$BJ$29 - MEDIAN(MIN($BJ$7:$BJ$29), MAX($BJ$7:$BJ$29), AN148)), $BK$7:$BK$29, "Error", 0)</f>
        <v/>
      </c>
      <c r="AO149" s="171">
        <f>_xlfn.XLOOKUP(MIN(ABS($BJ$7:$BJ$29 - MEDIAN(MIN($BJ$7:$BJ$29), MAX($BJ$7:$BJ$29), AO148))), ABS($BJ$7:$BJ$29 - MEDIAN(MIN($BJ$7:$BJ$29), MAX($BJ$7:$BJ$29), AO148)), $BK$7:$BK$29, "Error", 0)</f>
        <v/>
      </c>
      <c r="AP149" s="171">
        <f>_xlfn.XLOOKUP(MIN(ABS($BJ$7:$BJ$29 - MEDIAN(MIN($BJ$7:$BJ$29), MAX($BJ$7:$BJ$29), AP148))), ABS($BJ$7:$BJ$29 - MEDIAN(MIN($BJ$7:$BJ$29), MAX($BJ$7:$BJ$29), AP148)), $BK$7:$BK$29, "Error", 0)</f>
        <v/>
      </c>
      <c r="AQ149" s="171">
        <f>_xlfn.XLOOKUP(MIN(ABS($BJ$7:$BJ$29 - MEDIAN(MIN($BJ$7:$BJ$29), MAX($BJ$7:$BJ$29), AQ148))), ABS($BJ$7:$BJ$29 - MEDIAN(MIN($BJ$7:$BJ$29), MAX($BJ$7:$BJ$29), AQ148)), $BK$7:$BK$29, "Error", 0)</f>
        <v/>
      </c>
      <c r="AR149" s="171">
        <f>_xlfn.XLOOKUP(MIN(ABS($BJ$7:$BJ$29 - MEDIAN(MIN($BJ$7:$BJ$29), MAX($BJ$7:$BJ$29), AR148))), ABS($BJ$7:$BJ$29 - MEDIAN(MIN($BJ$7:$BJ$29), MAX($BJ$7:$BJ$29), AR148)), $BK$7:$BK$29, "Error", 0)</f>
        <v/>
      </c>
      <c r="AS149" s="171">
        <f>_xlfn.XLOOKUP(MIN(ABS($BJ$7:$BJ$29 - MEDIAN(MIN($BJ$7:$BJ$29), MAX($BJ$7:$BJ$29), AS148))), ABS($BJ$7:$BJ$29 - MEDIAN(MIN($BJ$7:$BJ$29), MAX($BJ$7:$BJ$29), AS148)), $BK$7:$BK$29, "Error", 0)</f>
        <v/>
      </c>
      <c r="AT149" s="171">
        <f>_xlfn.XLOOKUP(MIN(ABS($BJ$7:$BJ$29 - MEDIAN(MIN($BJ$7:$BJ$29), MAX($BJ$7:$BJ$29), AT148))), ABS($BJ$7:$BJ$29 - MEDIAN(MIN($BJ$7:$BJ$29), MAX($BJ$7:$BJ$29), AT148)), $BK$7:$BK$29, "Error", 0)</f>
        <v/>
      </c>
      <c r="AU149" s="171">
        <f>_xlfn.XLOOKUP(MIN(ABS($BJ$7:$BJ$29 - MEDIAN(MIN($BJ$7:$BJ$29), MAX($BJ$7:$BJ$29), AU148))), ABS($BJ$7:$BJ$29 - MEDIAN(MIN($BJ$7:$BJ$29), MAX($BJ$7:$BJ$29), AU148)), $BK$7:$BK$29, "Error", 0)</f>
        <v/>
      </c>
      <c r="AV149" s="206">
        <f>_xlfn.XLOOKUP(MIN(ABS($BJ$7:$BJ$29 - MEDIAN(MIN($BJ$7:$BJ$29), MAX($BJ$7:$BJ$29), AV148))), ABS($BJ$7:$BJ$29 - MEDIAN(MIN($BJ$7:$BJ$29), MAX($BJ$7:$BJ$29), AV148)), $BK$7:$BK$29, "Error", 0)</f>
        <v/>
      </c>
      <c r="AW149" s="184">
        <f>_xlfn.XLOOKUP(MIN(ABS($BJ$7:$BJ$29 - MEDIAN(MIN($BJ$7:$BJ$29), MAX($BJ$7:$BJ$29), AW148))), ABS($BJ$7:$BJ$29 - MEDIAN(MIN($BJ$7:$BJ$29), MAX($BJ$7:$BJ$29), AW148)), $BK$7:$BK$29, "Error", 0)</f>
        <v/>
      </c>
      <c r="AX149" s="184">
        <f>_xlfn.XLOOKUP(MIN(ABS($BJ$7:$BJ$29 - MEDIAN(MIN($BJ$7:$BJ$29), MAX($BJ$7:$BJ$29), AX148))), ABS($BJ$7:$BJ$29 - MEDIAN(MIN($BJ$7:$BJ$29), MAX($BJ$7:$BJ$29), AX148)), $BK$7:$BK$29, "Error", 0)</f>
        <v/>
      </c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7327.350158218644</v>
      </c>
      <c r="D150" s="233" t="n">
        <v>7327.350158218644</v>
      </c>
      <c r="E150" s="233" t="n">
        <v>7327.350158218644</v>
      </c>
      <c r="F150" s="233" t="n">
        <v>7327.350158218644</v>
      </c>
      <c r="G150" s="233" t="n">
        <v>7327.350158218644</v>
      </c>
      <c r="H150" s="233" t="n">
        <v>7327.350158218644</v>
      </c>
      <c r="I150" s="233" t="n">
        <v>7327.350158218644</v>
      </c>
      <c r="J150" s="233" t="n">
        <v>7327.350158218644</v>
      </c>
      <c r="K150" s="233" t="n">
        <v>7327.350158218644</v>
      </c>
      <c r="L150" s="233" t="n">
        <v>7327.350158218644</v>
      </c>
      <c r="M150" s="233" t="n">
        <v>7327.350158218644</v>
      </c>
      <c r="N150" s="233" t="n">
        <v>7327.350158218644</v>
      </c>
      <c r="O150" s="233" t="n">
        <v>7327.350158218644</v>
      </c>
      <c r="P150" s="233" t="n">
        <v>7327.350158218644</v>
      </c>
      <c r="Q150" s="233" t="n">
        <v>7327.350158218644</v>
      </c>
      <c r="R150" s="233" t="n">
        <v>7327.350158218644</v>
      </c>
      <c r="S150" s="233" t="n">
        <v>7327.350158218644</v>
      </c>
      <c r="T150" s="233" t="n">
        <v>7327.350158218644</v>
      </c>
      <c r="U150" s="233" t="n">
        <v>7327.350158218644</v>
      </c>
      <c r="V150" s="233" t="n">
        <v>7327.350158218644</v>
      </c>
      <c r="W150" s="233" t="n">
        <v>7327.350158218644</v>
      </c>
      <c r="X150" s="233" t="n">
        <v>7327.350158218644</v>
      </c>
      <c r="Y150" s="233" t="n">
        <v>7327.350158218644</v>
      </c>
      <c r="Z150" s="233" t="n">
        <v>7327.350158218644</v>
      </c>
      <c r="AA150" s="204" t="n">
        <v>7327.350158218644</v>
      </c>
      <c r="AB150" s="204" t="n">
        <v>7327.350158218644</v>
      </c>
      <c r="AC150" s="204" t="n">
        <v>7327.350158218644</v>
      </c>
      <c r="AD150" s="204" t="n">
        <v>7327.350158218644</v>
      </c>
      <c r="AE150" s="204" t="n">
        <v>7327.350158218644</v>
      </c>
      <c r="AF150" s="204" t="n">
        <v>7327.350158218644</v>
      </c>
      <c r="AG150" s="204" t="n">
        <v>7327.350158218644</v>
      </c>
      <c r="AH150" s="204" t="n">
        <v>7327.350158218644</v>
      </c>
      <c r="AI150" s="204" t="n">
        <v>7327.350158218644</v>
      </c>
      <c r="AJ150" s="204" t="n">
        <v>7327.350158218644</v>
      </c>
      <c r="AK150" s="204" t="n">
        <v>7327.350158218644</v>
      </c>
      <c r="AL150" s="204" t="n">
        <v>7327.350158218644</v>
      </c>
      <c r="AM150" s="204" t="n">
        <v>7327.350158218644</v>
      </c>
      <c r="AN150" s="204" t="n">
        <v>7327.350158218644</v>
      </c>
      <c r="AO150" s="204" t="n">
        <v>7327.350158218644</v>
      </c>
      <c r="AP150" s="204" t="n">
        <v>7327.350158218644</v>
      </c>
      <c r="AQ150" s="204" t="n">
        <v>7327.350158218644</v>
      </c>
      <c r="AR150" s="204" t="n">
        <v>7327.350158218644</v>
      </c>
      <c r="AS150" s="204" t="n">
        <v>7327.350158218644</v>
      </c>
      <c r="AT150" s="204" t="n">
        <v>7327.350158218644</v>
      </c>
      <c r="AU150" s="204" t="n">
        <v>7327.350158218644</v>
      </c>
      <c r="AV150" s="200" t="n">
        <v>7327.350158218644</v>
      </c>
      <c r="AW150" s="184" t="n">
        <v>7327.350158218644</v>
      </c>
      <c r="AX150" s="184" t="n">
        <v>7327.350158218644</v>
      </c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4882.883263159543</v>
      </c>
      <c r="D151" s="233" t="n">
        <v>4577.604095716582</v>
      </c>
      <c r="E151" s="233" t="n">
        <v>4402.94142283051</v>
      </c>
      <c r="F151" s="233" t="n">
        <v>4332.243151080329</v>
      </c>
      <c r="G151" s="233" t="n">
        <v>4187.313185894222</v>
      </c>
      <c r="H151" s="233" t="n">
        <v>4287.043834794313</v>
      </c>
      <c r="I151" s="233" t="n">
        <v>4293.067176272016</v>
      </c>
      <c r="J151" s="233" t="n">
        <v>4153.793461281748</v>
      </c>
      <c r="K151" s="233" t="n">
        <v>4143.702985106473</v>
      </c>
      <c r="L151" s="233" t="n">
        <v>3894.902143652842</v>
      </c>
      <c r="M151" s="233" t="n">
        <v>4095.467049185536</v>
      </c>
      <c r="N151" s="233" t="n">
        <v>4369.947322820371</v>
      </c>
      <c r="O151" s="233" t="n">
        <v>4365.095353196317</v>
      </c>
      <c r="P151" s="233" t="n">
        <v>4392.416493573517</v>
      </c>
      <c r="Q151" s="233" t="n">
        <v>4664.532857557031</v>
      </c>
      <c r="R151" s="233" t="n">
        <v>4579.75956620826</v>
      </c>
      <c r="S151" s="233" t="n">
        <v>4612.702186080278</v>
      </c>
      <c r="T151" s="233" t="n">
        <v>4641.547210663557</v>
      </c>
      <c r="U151" s="233" t="n">
        <v>4668.981749433151</v>
      </c>
      <c r="V151" s="233" t="n">
        <v>4657.268550480832</v>
      </c>
      <c r="W151" s="233" t="n">
        <v>4812.858007679461</v>
      </c>
      <c r="X151" s="233" t="n">
        <v>4646.907691955566</v>
      </c>
      <c r="Y151" s="233" t="n">
        <v>4843.475607032131</v>
      </c>
      <c r="Z151" s="233" t="n">
        <v>4581.334809879161</v>
      </c>
      <c r="AA151" s="204" t="n">
        <v>4822.626481609768</v>
      </c>
      <c r="AB151" s="204" t="n">
        <v>4583.171624181705</v>
      </c>
      <c r="AC151" s="204" t="n">
        <v>4340.302195582306</v>
      </c>
      <c r="AD151" s="204" t="n">
        <v>4272.105968849617</v>
      </c>
      <c r="AE151" s="204" t="n">
        <v>4468.535221879662</v>
      </c>
      <c r="AF151" s="204" t="n">
        <v>4454.211520110257</v>
      </c>
      <c r="AG151" s="204" t="n">
        <v>4583.150424232241</v>
      </c>
      <c r="AH151" s="204" t="n">
        <v>4698.503594261245</v>
      </c>
      <c r="AI151" s="204" t="n">
        <v>4641.372296169575</v>
      </c>
      <c r="AJ151" s="204" t="n">
        <v>4669.481615354074</v>
      </c>
      <c r="AK151" s="204" t="n">
        <v>4525.84778771631</v>
      </c>
      <c r="AL151" s="204" t="n">
        <v>4620.016901055293</v>
      </c>
      <c r="AM151" s="204" t="n">
        <v>4777.863647116232</v>
      </c>
      <c r="AN151" s="204" t="n">
        <v>5050.582982568769</v>
      </c>
      <c r="AO151" s="204" t="n">
        <v>4644.328480109107</v>
      </c>
      <c r="AP151" s="204" t="n">
        <v>4882.311354592501</v>
      </c>
      <c r="AQ151" s="204" t="n">
        <v>4901.417493992194</v>
      </c>
      <c r="AR151" s="204" t="n">
        <v>4880.439239567961</v>
      </c>
      <c r="AS151" s="204" t="n">
        <v>5081.281617997913</v>
      </c>
      <c r="AT151" s="204" t="n">
        <v>5255.929568052292</v>
      </c>
      <c r="AU151" s="204" t="n">
        <v>5075.692982346634</v>
      </c>
      <c r="AV151" s="201" t="n">
        <v>5075.692982346634</v>
      </c>
      <c r="AW151" s="184" t="n">
        <v>5075.692982346634</v>
      </c>
      <c r="AX151" s="184" t="n">
        <v>5075.692982346634</v>
      </c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>
        <f>+(AV151-AV150)/AV150</f>
        <v/>
      </c>
      <c r="AW152" s="184">
        <f>+(AW151-AW150)/AW150</f>
        <v/>
      </c>
      <c r="AX152" s="184">
        <f>+(AX151-AX150)/AX150</f>
        <v/>
      </c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8148.7001953125</v>
      </c>
      <c r="W153" s="233" t="n">
        <v>8285.7001953125</v>
      </c>
      <c r="X153" s="233" t="n">
        <v>8384.5</v>
      </c>
      <c r="Y153" s="233" t="n">
        <v>8477.099609375</v>
      </c>
      <c r="Z153" s="233" t="n">
        <v>8514.5</v>
      </c>
      <c r="AA153" s="231" t="n">
        <v>8566.900390625</v>
      </c>
      <c r="AB153" s="203" t="n">
        <v>8615.2001953125</v>
      </c>
      <c r="AC153" s="203" t="n">
        <v>8615.2001953125</v>
      </c>
      <c r="AD153" s="203" t="n">
        <v>8615.2001953125</v>
      </c>
      <c r="AE153" s="203" t="n">
        <v>8615.2001953125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9296.7001953125</v>
      </c>
      <c r="AU153" s="203" t="n">
        <v>9296.7001953125</v>
      </c>
      <c r="AV153" s="201" t="n">
        <v>9296.7001953125</v>
      </c>
      <c r="AW153" s="184" t="n">
        <v>9296.7001953125</v>
      </c>
      <c r="AX153" s="184" t="n">
        <v>9296.7001953125</v>
      </c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7680.7001953125</v>
      </c>
      <c r="P154" s="233" t="n">
        <v>7698.7001953125</v>
      </c>
      <c r="Q154" s="233" t="n">
        <v>7896.89990234375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8269.7998046875</v>
      </c>
      <c r="X154" s="233" t="n">
        <v>8160</v>
      </c>
      <c r="Y154" s="233" t="n">
        <v>8436.2001953125</v>
      </c>
      <c r="Z154" s="233" t="n">
        <v>8159.10009765625</v>
      </c>
      <c r="AA154" s="231" t="n">
        <v>8532.2998046875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8542.2998046875</v>
      </c>
      <c r="AG154" s="203" t="n">
        <v>8742.7998046875</v>
      </c>
      <c r="AH154" s="203" t="n">
        <v>8973.099609375</v>
      </c>
      <c r="AI154" s="203" t="n">
        <v>8848.7998046875</v>
      </c>
      <c r="AJ154" s="203" t="n">
        <v>8881.900390625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9198.599609375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8778.7001953125</v>
      </c>
      <c r="AS154" s="203" t="n">
        <v>8976.7998046875</v>
      </c>
      <c r="AT154" s="203" t="n">
        <v>9076</v>
      </c>
      <c r="AU154" s="203" t="n">
        <v>8709.2998046875</v>
      </c>
      <c r="AV154" s="201" t="n">
        <v>8709.2998046875</v>
      </c>
      <c r="AW154" s="184" t="n">
        <v>8709.2998046875</v>
      </c>
      <c r="AX154" s="184" t="n">
        <v>8709.2998046875</v>
      </c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>
        <f>+(AV154-AV153)/AV153</f>
        <v/>
      </c>
      <c r="AW155" s="184">
        <f>+(AW154-AW153)/AW153</f>
        <v/>
      </c>
      <c r="AX155" s="184">
        <f>+(AX154-AX153)/AX153</f>
        <v/>
      </c>
      <c r="AY155" s="184" t="n"/>
    </row>
    <row r="156" ht="22" customHeight="1">
      <c r="A156" s="303" t="n"/>
      <c r="B156" s="201" t="inlineStr">
        <is>
          <t>real % change</t>
        </is>
      </c>
      <c r="C156" s="230">
        <f>+C155-C152</f>
        <v/>
      </c>
      <c r="D156" s="230">
        <f>+D155-D152</f>
        <v/>
      </c>
      <c r="E156" s="230">
        <f>+E155-E152</f>
        <v/>
      </c>
      <c r="F156" s="230">
        <f>+F155-F152</f>
        <v/>
      </c>
      <c r="G156" s="230">
        <f>+G155-G152</f>
        <v/>
      </c>
      <c r="H156" s="230">
        <f>+H155-H152</f>
        <v/>
      </c>
      <c r="I156" s="230">
        <f>+I155-I152</f>
        <v/>
      </c>
      <c r="J156" s="230">
        <f>+J155-J152</f>
        <v/>
      </c>
      <c r="K156" s="230">
        <f>+K155-K152</f>
        <v/>
      </c>
      <c r="L156" s="230">
        <f>+L155-L152</f>
        <v/>
      </c>
      <c r="M156" s="230">
        <f>+M155-M152</f>
        <v/>
      </c>
      <c r="N156" s="230">
        <f>+N155-N152</f>
        <v/>
      </c>
      <c r="O156" s="230">
        <f>+O155-O152</f>
        <v/>
      </c>
      <c r="P156" s="230">
        <f>+P155-P152</f>
        <v/>
      </c>
      <c r="Q156" s="230">
        <f>+Q155-Q152</f>
        <v/>
      </c>
      <c r="R156" s="230">
        <f>+R155-R152</f>
        <v/>
      </c>
      <c r="S156" s="230">
        <f>+S155-S152</f>
        <v/>
      </c>
      <c r="T156" s="230">
        <f>+T155-T152</f>
        <v/>
      </c>
      <c r="U156" s="230">
        <f>+U155-U152</f>
        <v/>
      </c>
      <c r="V156" s="230">
        <f>+V155-V152</f>
        <v/>
      </c>
      <c r="W156" s="230">
        <f>+W155-W152</f>
        <v/>
      </c>
      <c r="X156" s="230">
        <f>+X155-X152</f>
        <v/>
      </c>
      <c r="Y156" s="230">
        <f>+Y155-Y152</f>
        <v/>
      </c>
      <c r="Z156" s="230">
        <f>+Z155-Z152</f>
        <v/>
      </c>
      <c r="AA156" s="230">
        <f>+AA155-AA152</f>
        <v/>
      </c>
      <c r="AB156" s="205">
        <f>+AB155-AB152</f>
        <v/>
      </c>
      <c r="AC156" s="205">
        <f>+AC155-AC152</f>
        <v/>
      </c>
      <c r="AD156" s="205">
        <f>+AD155-AD152</f>
        <v/>
      </c>
      <c r="AE156" s="205">
        <f>+AE155-AE152</f>
        <v/>
      </c>
      <c r="AF156" s="205">
        <f>+AF155-AF152</f>
        <v/>
      </c>
      <c r="AG156" s="205">
        <f>+AG155-AG152</f>
        <v/>
      </c>
      <c r="AH156" s="205">
        <f>+AH155-AH152</f>
        <v/>
      </c>
      <c r="AI156" s="205">
        <f>+AI155-AI152</f>
        <v/>
      </c>
      <c r="AJ156" s="205">
        <f>+AJ155-AJ152</f>
        <v/>
      </c>
      <c r="AK156" s="205">
        <f>+AK155-AK152</f>
        <v/>
      </c>
      <c r="AL156" s="205">
        <f>+AL155-AL152</f>
        <v/>
      </c>
      <c r="AM156" s="205">
        <f>+AM155-AM152</f>
        <v/>
      </c>
      <c r="AN156" s="205">
        <f>+AN155-AN152</f>
        <v/>
      </c>
      <c r="AO156" s="205">
        <f>+AO155-AO152</f>
        <v/>
      </c>
      <c r="AP156" s="205">
        <f>+AP155-AP152</f>
        <v/>
      </c>
      <c r="AQ156" s="205">
        <f>+AQ155-AQ152</f>
        <v/>
      </c>
      <c r="AR156" s="205">
        <f>+AR155-AR152</f>
        <v/>
      </c>
      <c r="AS156" s="205">
        <f>+AS155-AS152</f>
        <v/>
      </c>
      <c r="AT156" s="205">
        <f>+AT155-AT152</f>
        <v/>
      </c>
      <c r="AU156" s="205">
        <f>+AU155-AU152</f>
        <v/>
      </c>
      <c r="AV156" s="201">
        <f>+AV155-AV152</f>
        <v/>
      </c>
      <c r="AW156" s="184">
        <f>+AW155-AW152</f>
        <v/>
      </c>
      <c r="AX156" s="184">
        <f>+AX155-AX152</f>
        <v/>
      </c>
      <c r="AY156" s="184" t="n"/>
    </row>
    <row r="157" ht="22" customHeight="1">
      <c r="A157" s="304" t="n"/>
      <c r="B157" s="206" t="inlineStr">
        <is>
          <t>Rating</t>
        </is>
      </c>
      <c r="C157" s="232">
        <f>_xlfn.XLOOKUP(MIN(ABS($BJ$7:$BJ$29 - MEDIAN(MIN($BJ$7:$BJ$29), MAX($BJ$7:$BJ$29), C156))), ABS($BJ$7:$BJ$29 - MEDIAN(MIN($BJ$7:$BJ$29), MAX($BJ$7:$BJ$29), C156)), $BK$7:$BK$29, "Error", 0)</f>
        <v/>
      </c>
      <c r="D157" s="232">
        <f>_xlfn.XLOOKUP(MIN(ABS($BJ$7:$BJ$29 - MEDIAN(MIN($BJ$7:$BJ$29), MAX($BJ$7:$BJ$29), D156))), ABS($BJ$7:$BJ$29 - MEDIAN(MIN($BJ$7:$BJ$29), MAX($BJ$7:$BJ$29), D156)), $BK$7:$BK$29, "Error", 0)</f>
        <v/>
      </c>
      <c r="E157" s="232">
        <f>_xlfn.XLOOKUP(MIN(ABS($BJ$7:$BJ$29 - MEDIAN(MIN($BJ$7:$BJ$29), MAX($BJ$7:$BJ$29), E156))), ABS($BJ$7:$BJ$29 - MEDIAN(MIN($BJ$7:$BJ$29), MAX($BJ$7:$BJ$29), E156)), $BK$7:$BK$29, "Error", 0)</f>
        <v/>
      </c>
      <c r="F157" s="232">
        <f>_xlfn.XLOOKUP(MIN(ABS($BJ$7:$BJ$29 - MEDIAN(MIN($BJ$7:$BJ$29), MAX($BJ$7:$BJ$29), F156))), ABS($BJ$7:$BJ$29 - MEDIAN(MIN($BJ$7:$BJ$29), MAX($BJ$7:$BJ$29), F156)), $BK$7:$BK$29, "Error", 0)</f>
        <v/>
      </c>
      <c r="G157" s="232">
        <f>_xlfn.XLOOKUP(MIN(ABS($BJ$7:$BJ$29 - MEDIAN(MIN($BJ$7:$BJ$29), MAX($BJ$7:$BJ$29), G156))), ABS($BJ$7:$BJ$29 - MEDIAN(MIN($BJ$7:$BJ$29), MAX($BJ$7:$BJ$29), G156)), $BK$7:$BK$29, "Error", 0)</f>
        <v/>
      </c>
      <c r="H157" s="232">
        <f>_xlfn.XLOOKUP(MIN(ABS($BJ$7:$BJ$29 - MEDIAN(MIN($BJ$7:$BJ$29), MAX($BJ$7:$BJ$29), H156))), ABS($BJ$7:$BJ$29 - MEDIAN(MIN($BJ$7:$BJ$29), MAX($BJ$7:$BJ$29), H156)), $BK$7:$BK$29, "Error", 0)</f>
        <v/>
      </c>
      <c r="I157" s="232">
        <f>_xlfn.XLOOKUP(MIN(ABS($BJ$7:$BJ$29 - MEDIAN(MIN($BJ$7:$BJ$29), MAX($BJ$7:$BJ$29), I156))), ABS($BJ$7:$BJ$29 - MEDIAN(MIN($BJ$7:$BJ$29), MAX($BJ$7:$BJ$29), I156)), $BK$7:$BK$29, "Error", 0)</f>
        <v/>
      </c>
      <c r="J157" s="232">
        <f>_xlfn.XLOOKUP(MIN(ABS($BJ$7:$BJ$29 - MEDIAN(MIN($BJ$7:$BJ$29), MAX($BJ$7:$BJ$29), J156))), ABS($BJ$7:$BJ$29 - MEDIAN(MIN($BJ$7:$BJ$29), MAX($BJ$7:$BJ$29), J156)), $BK$7:$BK$29, "Error", 0)</f>
        <v/>
      </c>
      <c r="K157" s="232">
        <f>_xlfn.XLOOKUP(MIN(ABS($BJ$7:$BJ$29 - MEDIAN(MIN($BJ$7:$BJ$29), MAX($BJ$7:$BJ$29), K156))), ABS($BJ$7:$BJ$29 - MEDIAN(MIN($BJ$7:$BJ$29), MAX($BJ$7:$BJ$29), K156)), $BK$7:$BK$29, "Error", 0)</f>
        <v/>
      </c>
      <c r="L157" s="232">
        <f>_xlfn.XLOOKUP(MIN(ABS($BJ$7:$BJ$29 - MEDIAN(MIN($BJ$7:$BJ$29), MAX($BJ$7:$BJ$29), L156))), ABS($BJ$7:$BJ$29 - MEDIAN(MIN($BJ$7:$BJ$29), MAX($BJ$7:$BJ$29), L156)), $BK$7:$BK$29, "Error", 0)</f>
        <v/>
      </c>
      <c r="M157" s="232">
        <f>_xlfn.XLOOKUP(MIN(ABS($BJ$7:$BJ$29 - MEDIAN(MIN($BJ$7:$BJ$29), MAX($BJ$7:$BJ$29), M156))), ABS($BJ$7:$BJ$29 - MEDIAN(MIN($BJ$7:$BJ$29), MAX($BJ$7:$BJ$29), M156)), $BK$7:$BK$29, "Error", 0)</f>
        <v/>
      </c>
      <c r="N157" s="232">
        <f>_xlfn.XLOOKUP(MIN(ABS($BJ$7:$BJ$29 - MEDIAN(MIN($BJ$7:$BJ$29), MAX($BJ$7:$BJ$29), N156))), ABS($BJ$7:$BJ$29 - MEDIAN(MIN($BJ$7:$BJ$29), MAX($BJ$7:$BJ$29), N156)), $BK$7:$BK$29, "Error", 0)</f>
        <v/>
      </c>
      <c r="O157" s="232">
        <f>_xlfn.XLOOKUP(MIN(ABS($BJ$7:$BJ$29 - MEDIAN(MIN($BJ$7:$BJ$29), MAX($BJ$7:$BJ$29), O156))), ABS($BJ$7:$BJ$29 - MEDIAN(MIN($BJ$7:$BJ$29), MAX($BJ$7:$BJ$29), O156)), $BK$7:$BK$29, "Error", 0)</f>
        <v/>
      </c>
      <c r="P157" s="232">
        <f>_xlfn.XLOOKUP(MIN(ABS($BJ$7:$BJ$29 - MEDIAN(MIN($BJ$7:$BJ$29), MAX($BJ$7:$BJ$29), P156))), ABS($BJ$7:$BJ$29 - MEDIAN(MIN($BJ$7:$BJ$29), MAX($BJ$7:$BJ$29), P156)), $BK$7:$BK$29, "Error", 0)</f>
        <v/>
      </c>
      <c r="Q157" s="232">
        <f>_xlfn.XLOOKUP(MIN(ABS($BJ$7:$BJ$29 - MEDIAN(MIN($BJ$7:$BJ$29), MAX($BJ$7:$BJ$29), Q156))), ABS($BJ$7:$BJ$29 - MEDIAN(MIN($BJ$7:$BJ$29), MAX($BJ$7:$BJ$29), Q156)), $BK$7:$BK$29, "Error", 0)</f>
        <v/>
      </c>
      <c r="R157" s="232">
        <f>_xlfn.XLOOKUP(MIN(ABS($BJ$7:$BJ$29 - MEDIAN(MIN($BJ$7:$BJ$29), MAX($BJ$7:$BJ$29), R156))), ABS($BJ$7:$BJ$29 - MEDIAN(MIN($BJ$7:$BJ$29), MAX($BJ$7:$BJ$29), R156)), $BK$7:$BK$29, "Error", 0)</f>
        <v/>
      </c>
      <c r="S157" s="232">
        <f>_xlfn.XLOOKUP(MIN(ABS($BJ$7:$BJ$29 - MEDIAN(MIN($BJ$7:$BJ$29), MAX($BJ$7:$BJ$29), S156))), ABS($BJ$7:$BJ$29 - MEDIAN(MIN($BJ$7:$BJ$29), MAX($BJ$7:$BJ$29), S156)), $BK$7:$BK$29, "Error", 0)</f>
        <v/>
      </c>
      <c r="T157" s="232">
        <f>_xlfn.XLOOKUP(MIN(ABS($BJ$7:$BJ$29 - MEDIAN(MIN($BJ$7:$BJ$29), MAX($BJ$7:$BJ$29), T156))), ABS($BJ$7:$BJ$29 - MEDIAN(MIN($BJ$7:$BJ$29), MAX($BJ$7:$BJ$29), T156)), $BK$7:$BK$29, "Error", 0)</f>
        <v/>
      </c>
      <c r="U157" s="232">
        <f>_xlfn.XLOOKUP(MIN(ABS($BJ$7:$BJ$29 - MEDIAN(MIN($BJ$7:$BJ$29), MAX($BJ$7:$BJ$29), U156))), ABS($BJ$7:$BJ$29 - MEDIAN(MIN($BJ$7:$BJ$29), MAX($BJ$7:$BJ$29), U156)), $BK$7:$BK$29, "Error", 0)</f>
        <v/>
      </c>
      <c r="V157" s="232">
        <f>_xlfn.XLOOKUP(MIN(ABS($BJ$7:$BJ$29 - MEDIAN(MIN($BJ$7:$BJ$29), MAX($BJ$7:$BJ$29), V156))), ABS($BJ$7:$BJ$29 - MEDIAN(MIN($BJ$7:$BJ$29), MAX($BJ$7:$BJ$29), V156)), $BK$7:$BK$29, "Error", 0)</f>
        <v/>
      </c>
      <c r="W157" s="232">
        <f>_xlfn.XLOOKUP(MIN(ABS($BJ$7:$BJ$29 - MEDIAN(MIN($BJ$7:$BJ$29), MAX($BJ$7:$BJ$29), W156))), ABS($BJ$7:$BJ$29 - MEDIAN(MIN($BJ$7:$BJ$29), MAX($BJ$7:$BJ$29), W156)), $BK$7:$BK$29, "Error", 0)</f>
        <v/>
      </c>
      <c r="X157" s="232">
        <f>_xlfn.XLOOKUP(MIN(ABS($BJ$7:$BJ$29 - MEDIAN(MIN($BJ$7:$BJ$29), MAX($BJ$7:$BJ$29), X156))), ABS($BJ$7:$BJ$29 - MEDIAN(MIN($BJ$7:$BJ$29), MAX($BJ$7:$BJ$29), X156)), $BK$7:$BK$29, "Error", 0)</f>
        <v/>
      </c>
      <c r="Y157" s="232">
        <f>_xlfn.XLOOKUP(MIN(ABS($BJ$7:$BJ$29 - MEDIAN(MIN($BJ$7:$BJ$29), MAX($BJ$7:$BJ$29), Y156))), ABS($BJ$7:$BJ$29 - MEDIAN(MIN($BJ$7:$BJ$29), MAX($BJ$7:$BJ$29), Y156)), $BK$7:$BK$29, "Error", 0)</f>
        <v/>
      </c>
      <c r="Z157" s="232">
        <f>_xlfn.XLOOKUP(MIN(ABS($BJ$7:$BJ$29 - MEDIAN(MIN($BJ$7:$BJ$29), MAX($BJ$7:$BJ$29), Z156))), ABS($BJ$7:$BJ$29 - MEDIAN(MIN($BJ$7:$BJ$29), MAX($BJ$7:$BJ$29), Z156)), $BK$7:$BK$29, "Error", 0)</f>
        <v/>
      </c>
      <c r="AA157" s="232">
        <f>_xlfn.XLOOKUP(MIN(ABS($BJ$7:$BJ$29 - MEDIAN(MIN($BJ$7:$BJ$29), MAX($BJ$7:$BJ$29), AA156))), ABS($BJ$7:$BJ$29 - MEDIAN(MIN($BJ$7:$BJ$29), MAX($BJ$7:$BJ$29), AA156)), $BK$7:$BK$29, "Error", 0)</f>
        <v/>
      </c>
      <c r="AB157" s="171">
        <f>_xlfn.XLOOKUP(MIN(ABS($BJ$7:$BJ$29 - MEDIAN(MIN($BJ$7:$BJ$29), MAX($BJ$7:$BJ$29), AB156))), ABS($BJ$7:$BJ$29 - MEDIAN(MIN($BJ$7:$BJ$29), MAX($BJ$7:$BJ$29), AB156)), $BK$7:$BK$29, "Error", 0)</f>
        <v/>
      </c>
      <c r="AC157" s="171">
        <f>_xlfn.XLOOKUP(MIN(ABS($BJ$7:$BJ$29 - MEDIAN(MIN($BJ$7:$BJ$29), MAX($BJ$7:$BJ$29), AC156))), ABS($BJ$7:$BJ$29 - MEDIAN(MIN($BJ$7:$BJ$29), MAX($BJ$7:$BJ$29), AC156)), $BK$7:$BK$29, "Error", 0)</f>
        <v/>
      </c>
      <c r="AD157" s="171">
        <f>_xlfn.XLOOKUP(MIN(ABS($BJ$7:$BJ$29 - MEDIAN(MIN($BJ$7:$BJ$29), MAX($BJ$7:$BJ$29), AD156))), ABS($BJ$7:$BJ$29 - MEDIAN(MIN($BJ$7:$BJ$29), MAX($BJ$7:$BJ$29), AD156)), $BK$7:$BK$29, "Error", 0)</f>
        <v/>
      </c>
      <c r="AE157" s="171">
        <f>_xlfn.XLOOKUP(MIN(ABS($BJ$7:$BJ$29 - MEDIAN(MIN($BJ$7:$BJ$29), MAX($BJ$7:$BJ$29), AE156))), ABS($BJ$7:$BJ$29 - MEDIAN(MIN($BJ$7:$BJ$29), MAX($BJ$7:$BJ$29), AE156)), $BK$7:$BK$29, "Error", 0)</f>
        <v/>
      </c>
      <c r="AF157" s="171">
        <f>_xlfn.XLOOKUP(MIN(ABS($BJ$7:$BJ$29 - MEDIAN(MIN($BJ$7:$BJ$29), MAX($BJ$7:$BJ$29), AF156))), ABS($BJ$7:$BJ$29 - MEDIAN(MIN($BJ$7:$BJ$29), MAX($BJ$7:$BJ$29), AF156)), $BK$7:$BK$29, "Error", 0)</f>
        <v/>
      </c>
      <c r="AG157" s="171">
        <f>_xlfn.XLOOKUP(MIN(ABS($BJ$7:$BJ$29 - MEDIAN(MIN($BJ$7:$BJ$29), MAX($BJ$7:$BJ$29), AG156))), ABS($BJ$7:$BJ$29 - MEDIAN(MIN($BJ$7:$BJ$29), MAX($BJ$7:$BJ$29), AG156)), $BK$7:$BK$29, "Error", 0)</f>
        <v/>
      </c>
      <c r="AH157" s="171">
        <f>_xlfn.XLOOKUP(MIN(ABS($BJ$7:$BJ$29 - MEDIAN(MIN($BJ$7:$BJ$29), MAX($BJ$7:$BJ$29), AH156))), ABS($BJ$7:$BJ$29 - MEDIAN(MIN($BJ$7:$BJ$29), MAX($BJ$7:$BJ$29), AH156)), $BK$7:$BK$29, "Error", 0)</f>
        <v/>
      </c>
      <c r="AI157" s="171">
        <f>_xlfn.XLOOKUP(MIN(ABS($BJ$7:$BJ$29 - MEDIAN(MIN($BJ$7:$BJ$29), MAX($BJ$7:$BJ$29), AI156))), ABS($BJ$7:$BJ$29 - MEDIAN(MIN($BJ$7:$BJ$29), MAX($BJ$7:$BJ$29), AI156)), $BK$7:$BK$29, "Error", 0)</f>
        <v/>
      </c>
      <c r="AJ157" s="171">
        <f>_xlfn.XLOOKUP(MIN(ABS($BJ$7:$BJ$29 - MEDIAN(MIN($BJ$7:$BJ$29), MAX($BJ$7:$BJ$29), AJ156))), ABS($BJ$7:$BJ$29 - MEDIAN(MIN($BJ$7:$BJ$29), MAX($BJ$7:$BJ$29), AJ156)), $BK$7:$BK$29, "Error", 0)</f>
        <v/>
      </c>
      <c r="AK157" s="171">
        <f>_xlfn.XLOOKUP(MIN(ABS($BJ$7:$BJ$29 - MEDIAN(MIN($BJ$7:$BJ$29), MAX($BJ$7:$BJ$29), AK156))), ABS($BJ$7:$BJ$29 - MEDIAN(MIN($BJ$7:$BJ$29), MAX($BJ$7:$BJ$29), AK156)), $BK$7:$BK$29, "Error", 0)</f>
        <v/>
      </c>
      <c r="AL157" s="171">
        <f>_xlfn.XLOOKUP(MIN(ABS($BJ$7:$BJ$29 - MEDIAN(MIN($BJ$7:$BJ$29), MAX($BJ$7:$BJ$29), AL156))), ABS($BJ$7:$BJ$29 - MEDIAN(MIN($BJ$7:$BJ$29), MAX($BJ$7:$BJ$29), AL156)), $BK$7:$BK$29, "Error", 0)</f>
        <v/>
      </c>
      <c r="AM157" s="171">
        <f>_xlfn.XLOOKUP(MIN(ABS($BJ$7:$BJ$29 - MEDIAN(MIN($BJ$7:$BJ$29), MAX($BJ$7:$BJ$29), AM156))), ABS($BJ$7:$BJ$29 - MEDIAN(MIN($BJ$7:$BJ$29), MAX($BJ$7:$BJ$29), AM156)), $BK$7:$BK$29, "Error", 0)</f>
        <v/>
      </c>
      <c r="AN157" s="171">
        <f>_xlfn.XLOOKUP(MIN(ABS($BJ$7:$BJ$29 - MEDIAN(MIN($BJ$7:$BJ$29), MAX($BJ$7:$BJ$29), AN156))), ABS($BJ$7:$BJ$29 - MEDIAN(MIN($BJ$7:$BJ$29), MAX($BJ$7:$BJ$29), AN156)), $BK$7:$BK$29, "Error", 0)</f>
        <v/>
      </c>
      <c r="AO157" s="171">
        <f>_xlfn.XLOOKUP(MIN(ABS($BJ$7:$BJ$29 - MEDIAN(MIN($BJ$7:$BJ$29), MAX($BJ$7:$BJ$29), AO156))), ABS($BJ$7:$BJ$29 - MEDIAN(MIN($BJ$7:$BJ$29), MAX($BJ$7:$BJ$29), AO156)), $BK$7:$BK$29, "Error", 0)</f>
        <v/>
      </c>
      <c r="AP157" s="171">
        <f>_xlfn.XLOOKUP(MIN(ABS($BJ$7:$BJ$29 - MEDIAN(MIN($BJ$7:$BJ$29), MAX($BJ$7:$BJ$29), AP156))), ABS($BJ$7:$BJ$29 - MEDIAN(MIN($BJ$7:$BJ$29), MAX($BJ$7:$BJ$29), AP156)), $BK$7:$BK$29, "Error", 0)</f>
        <v/>
      </c>
      <c r="AQ157" s="171">
        <f>_xlfn.XLOOKUP(MIN(ABS($BJ$7:$BJ$29 - MEDIAN(MIN($BJ$7:$BJ$29), MAX($BJ$7:$BJ$29), AQ156))), ABS($BJ$7:$BJ$29 - MEDIAN(MIN($BJ$7:$BJ$29), MAX($BJ$7:$BJ$29), AQ156)), $BK$7:$BK$29, "Error", 0)</f>
        <v/>
      </c>
      <c r="AR157" s="171">
        <f>_xlfn.XLOOKUP(MIN(ABS($BJ$7:$BJ$29 - MEDIAN(MIN($BJ$7:$BJ$29), MAX($BJ$7:$BJ$29), AR156))), ABS($BJ$7:$BJ$29 - MEDIAN(MIN($BJ$7:$BJ$29), MAX($BJ$7:$BJ$29), AR156)), $BK$7:$BK$29, "Error", 0)</f>
        <v/>
      </c>
      <c r="AS157" s="171">
        <f>_xlfn.XLOOKUP(MIN(ABS($BJ$7:$BJ$29 - MEDIAN(MIN($BJ$7:$BJ$29), MAX($BJ$7:$BJ$29), AS156))), ABS($BJ$7:$BJ$29 - MEDIAN(MIN($BJ$7:$BJ$29), MAX($BJ$7:$BJ$29), AS156)), $BK$7:$BK$29, "Error", 0)</f>
        <v/>
      </c>
      <c r="AT157" s="171">
        <f>_xlfn.XLOOKUP(MIN(ABS($BJ$7:$BJ$29 - MEDIAN(MIN($BJ$7:$BJ$29), MAX($BJ$7:$BJ$29), AT156))), ABS($BJ$7:$BJ$29 - MEDIAN(MIN($BJ$7:$BJ$29), MAX($BJ$7:$BJ$29), AT156)), $BK$7:$BK$29, "Error", 0)</f>
        <v/>
      </c>
      <c r="AU157" s="171">
        <f>_xlfn.XLOOKUP(MIN(ABS($BJ$7:$BJ$29 - MEDIAN(MIN($BJ$7:$BJ$29), MAX($BJ$7:$BJ$29), AU156))), ABS($BJ$7:$BJ$29 - MEDIAN(MIN($BJ$7:$BJ$29), MAX($BJ$7:$BJ$29), AU156)), $BK$7:$BK$29, "Error", 0)</f>
        <v/>
      </c>
      <c r="AV157" s="206">
        <f>_xlfn.XLOOKUP(MIN(ABS($BJ$7:$BJ$29 - MEDIAN(MIN($BJ$7:$BJ$29), MAX($BJ$7:$BJ$29), AV156))), ABS($BJ$7:$BJ$29 - MEDIAN(MIN($BJ$7:$BJ$29), MAX($BJ$7:$BJ$29), AV156)), $BK$7:$BK$29, "Error", 0)</f>
        <v/>
      </c>
      <c r="AW157" s="184">
        <f>_xlfn.XLOOKUP(MIN(ABS($BJ$7:$BJ$29 - MEDIAN(MIN($BJ$7:$BJ$29), MAX($BJ$7:$BJ$29), AW156))), ABS($BJ$7:$BJ$29 - MEDIAN(MIN($BJ$7:$BJ$29), MAX($BJ$7:$BJ$29), AW156)), $BK$7:$BK$29, "Error", 0)</f>
        <v/>
      </c>
      <c r="AX157" s="184">
        <f>_xlfn.XLOOKUP(MIN(ABS($BJ$7:$BJ$29 - MEDIAN(MIN($BJ$7:$BJ$29), MAX($BJ$7:$BJ$29), AX156))), ABS($BJ$7:$BJ$29 - MEDIAN(MIN($BJ$7:$BJ$29), MAX($BJ$7:$BJ$29), AX156)), $BK$7:$BK$29, "Error", 0)</f>
        <v/>
      </c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730295.6946779788</v>
      </c>
      <c r="D158" s="233" t="n">
        <v>730295.6946779788</v>
      </c>
      <c r="E158" s="233" t="n">
        <v>730295.6946779788</v>
      </c>
      <c r="F158" s="233" t="n">
        <v>730295.6946779788</v>
      </c>
      <c r="G158" s="233" t="n">
        <v>730295.6946779788</v>
      </c>
      <c r="H158" s="233" t="n">
        <v>730295.6946779788</v>
      </c>
      <c r="I158" s="233" t="n">
        <v>730295.6946779788</v>
      </c>
      <c r="J158" s="233" t="n">
        <v>730295.6946779788</v>
      </c>
      <c r="K158" s="233" t="n">
        <v>730295.6946779788</v>
      </c>
      <c r="L158" s="233" t="n">
        <v>730295.6946779788</v>
      </c>
      <c r="M158" s="233" t="n">
        <v>730295.6946779788</v>
      </c>
      <c r="N158" s="233" t="n">
        <v>741001.9225182496</v>
      </c>
      <c r="O158" s="233" t="n">
        <v>748040.9092420712</v>
      </c>
      <c r="P158" s="233" t="n">
        <v>758925.629011035</v>
      </c>
      <c r="Q158" s="233" t="n">
        <v>781602.5025726557</v>
      </c>
      <c r="R158" s="233" t="n">
        <v>801159.2036351562</v>
      </c>
      <c r="S158" s="233" t="n">
        <v>823253.0104565918</v>
      </c>
      <c r="T158" s="233" t="n">
        <v>840057.7496795654</v>
      </c>
      <c r="U158" s="233" t="n">
        <v>864267.8427984007</v>
      </c>
      <c r="V158" s="233" t="n">
        <v>864267.8427984007</v>
      </c>
      <c r="W158" s="233" t="n">
        <v>864267.8427984007</v>
      </c>
      <c r="X158" s="233" t="n">
        <v>864267.8427984007</v>
      </c>
      <c r="Y158" s="233" t="n">
        <v>864267.8427984007</v>
      </c>
      <c r="Z158" s="233" t="n">
        <v>864267.8427984007</v>
      </c>
      <c r="AA158" s="204" t="n">
        <v>864267.8427984007</v>
      </c>
      <c r="AB158" s="204" t="n">
        <v>864267.8427984007</v>
      </c>
      <c r="AC158" s="204" t="n">
        <v>864267.8427984007</v>
      </c>
      <c r="AD158" s="204" t="n">
        <v>864267.8427984007</v>
      </c>
      <c r="AE158" s="204" t="n">
        <v>864267.8427984007</v>
      </c>
      <c r="AF158" s="204" t="n">
        <v>864267.8427984007</v>
      </c>
      <c r="AG158" s="204" t="n">
        <v>864267.8427984007</v>
      </c>
      <c r="AH158" s="204" t="n">
        <v>868724.9502105713</v>
      </c>
      <c r="AI158" s="204" t="n">
        <v>874673.1236934811</v>
      </c>
      <c r="AJ158" s="204" t="n">
        <v>911337.5778236091</v>
      </c>
      <c r="AK158" s="204" t="n">
        <v>911337.5778236091</v>
      </c>
      <c r="AL158" s="204" t="n">
        <v>921433.9166145325</v>
      </c>
      <c r="AM158" s="204" t="n">
        <v>973368.308506012</v>
      </c>
      <c r="AN158" s="204" t="n">
        <v>1024144.803672731</v>
      </c>
      <c r="AO158" s="204" t="n">
        <v>1024144.803672731</v>
      </c>
      <c r="AP158" s="204" t="n">
        <v>1026565.577563792</v>
      </c>
      <c r="AQ158" s="204" t="n">
        <v>1026565.577563792</v>
      </c>
      <c r="AR158" s="204" t="n">
        <v>1026565.577563792</v>
      </c>
      <c r="AS158" s="204" t="n">
        <v>1038495.73821637</v>
      </c>
      <c r="AT158" s="204" t="n">
        <v>1046875.848951325</v>
      </c>
      <c r="AU158" s="204" t="n">
        <v>1046875.848951325</v>
      </c>
      <c r="AV158" s="200" t="n">
        <v>1046875.848951325</v>
      </c>
      <c r="AW158" s="184" t="n">
        <v>1046875.848951325</v>
      </c>
      <c r="AX158" s="184" t="n">
        <v>1046875.848951325</v>
      </c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688574.1862072572</v>
      </c>
      <c r="D159" s="233" t="n">
        <v>666923.5817069821</v>
      </c>
      <c r="E159" s="233" t="n">
        <v>642046.9967674688</v>
      </c>
      <c r="F159" s="233" t="n">
        <v>648421.0581897944</v>
      </c>
      <c r="G159" s="233" t="n">
        <v>646067.067319952</v>
      </c>
      <c r="H159" s="233" t="n">
        <v>690292.233472839</v>
      </c>
      <c r="I159" s="233" t="n">
        <v>694724.9908447266</v>
      </c>
      <c r="J159" s="233" t="n">
        <v>691417.4325131401</v>
      </c>
      <c r="K159" s="233" t="n">
        <v>676172.2095192261</v>
      </c>
      <c r="L159" s="233" t="n">
        <v>643800.3549500853</v>
      </c>
      <c r="M159" s="233" t="n">
        <v>689601.3760314509</v>
      </c>
      <c r="N159" s="233" t="n">
        <v>732815.820094116</v>
      </c>
      <c r="O159" s="233" t="n">
        <v>746410.4473244324</v>
      </c>
      <c r="P159" s="233" t="n">
        <v>753094.5452271849</v>
      </c>
      <c r="Q159" s="233" t="n">
        <v>778894.9536132626</v>
      </c>
      <c r="R159" s="233" t="n">
        <v>785953.4884036258</v>
      </c>
      <c r="S159" s="233" t="n">
        <v>801415.8111126646</v>
      </c>
      <c r="T159" s="233" t="n">
        <v>830058.3444404602</v>
      </c>
      <c r="U159" s="233" t="n">
        <v>808072.7998715267</v>
      </c>
      <c r="V159" s="233" t="n">
        <v>796688.0197019652</v>
      </c>
      <c r="W159" s="233" t="n">
        <v>816907.3451261967</v>
      </c>
      <c r="X159" s="233" t="n">
        <v>821695.6640625</v>
      </c>
      <c r="Y159" s="233" t="n">
        <v>829835.2457562983</v>
      </c>
      <c r="Z159" s="233" t="n">
        <v>796515.8377973512</v>
      </c>
      <c r="AA159" s="204" t="n">
        <v>817061.5751367062</v>
      </c>
      <c r="AB159" s="204" t="n">
        <v>763939.5721334964</v>
      </c>
      <c r="AC159" s="204" t="n">
        <v>737224.6573401615</v>
      </c>
      <c r="AD159" s="204" t="n">
        <v>738281.5188172236</v>
      </c>
      <c r="AE159" s="204" t="n">
        <v>781635.2215883359</v>
      </c>
      <c r="AF159" s="204" t="n">
        <v>806316.2109580263</v>
      </c>
      <c r="AG159" s="204" t="n">
        <v>841004.886546582</v>
      </c>
      <c r="AH159" s="204" t="n">
        <v>860376.7070429921</v>
      </c>
      <c r="AI159" s="204" t="n">
        <v>864979.0248472169</v>
      </c>
      <c r="AJ159" s="204" t="n">
        <v>896610.0632853508</v>
      </c>
      <c r="AK159" s="204" t="n">
        <v>879818.3007407039</v>
      </c>
      <c r="AL159" s="204" t="n">
        <v>912561.486184448</v>
      </c>
      <c r="AM159" s="204" t="n">
        <v>957250.7877741456</v>
      </c>
      <c r="AN159" s="204" t="n">
        <v>1018101.007572815</v>
      </c>
      <c r="AO159" s="204" t="n">
        <v>927985.205840528</v>
      </c>
      <c r="AP159" s="204" t="n">
        <v>989244.3661257327</v>
      </c>
      <c r="AQ159" s="204" t="n">
        <v>995937.7029597163</v>
      </c>
      <c r="AR159" s="204" t="n">
        <v>978228.1131985411</v>
      </c>
      <c r="AS159" s="204" t="n">
        <v>1009970.793333203</v>
      </c>
      <c r="AT159" s="204" t="n">
        <v>1040445.421417236</v>
      </c>
      <c r="AU159" s="204" t="n">
        <v>957935.093513824</v>
      </c>
      <c r="AV159" s="201" t="n">
        <v>957935.093513824</v>
      </c>
      <c r="AW159" s="184" t="n">
        <v>957935.093513824</v>
      </c>
      <c r="AX159" s="184" t="n">
        <v>957935.093513824</v>
      </c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>
        <f>+(AV159-AV158)/AV158</f>
        <v/>
      </c>
      <c r="AW160" s="184">
        <f>+(AW159-AW158)/AW158</f>
        <v/>
      </c>
      <c r="AX160" s="184">
        <f>+(AX159-AX158)/AX158</f>
        <v/>
      </c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8148.7001953125</v>
      </c>
      <c r="W161" s="233" t="n">
        <v>8285.7001953125</v>
      </c>
      <c r="X161" s="233" t="n">
        <v>8384.5</v>
      </c>
      <c r="Y161" s="233" t="n">
        <v>8477.099609375</v>
      </c>
      <c r="Z161" s="233" t="n">
        <v>8514.5</v>
      </c>
      <c r="AA161" s="231" t="n">
        <v>8566.900390625</v>
      </c>
      <c r="AB161" s="203" t="n">
        <v>8615.2001953125</v>
      </c>
      <c r="AC161" s="203" t="n">
        <v>8615.2001953125</v>
      </c>
      <c r="AD161" s="203" t="n">
        <v>8615.2001953125</v>
      </c>
      <c r="AE161" s="203" t="n">
        <v>8615.2001953125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9296.7001953125</v>
      </c>
      <c r="AU161" s="203" t="n">
        <v>9296.7001953125</v>
      </c>
      <c r="AV161" s="201" t="n">
        <v>9296.7001953125</v>
      </c>
      <c r="AW161" s="184" t="n">
        <v>9296.7001953125</v>
      </c>
      <c r="AX161" s="184" t="n">
        <v>9296.7001953125</v>
      </c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7680.7001953125</v>
      </c>
      <c r="P162" s="233" t="n">
        <v>7698.7001953125</v>
      </c>
      <c r="Q162" s="233" t="n">
        <v>7896.89990234375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8269.7998046875</v>
      </c>
      <c r="X162" s="233" t="n">
        <v>8160</v>
      </c>
      <c r="Y162" s="233" t="n">
        <v>8436.2001953125</v>
      </c>
      <c r="Z162" s="233" t="n">
        <v>8159.10009765625</v>
      </c>
      <c r="AA162" s="231" t="n">
        <v>8532.2998046875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8542.2998046875</v>
      </c>
      <c r="AG162" s="203" t="n">
        <v>8742.7998046875</v>
      </c>
      <c r="AH162" s="203" t="n">
        <v>8973.099609375</v>
      </c>
      <c r="AI162" s="203" t="n">
        <v>8848.7998046875</v>
      </c>
      <c r="AJ162" s="203" t="n">
        <v>8881.900390625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9198.599609375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8778.7001953125</v>
      </c>
      <c r="AS162" s="203" t="n">
        <v>8976.7998046875</v>
      </c>
      <c r="AT162" s="203" t="n">
        <v>9076</v>
      </c>
      <c r="AU162" s="203" t="n">
        <v>8679.7001953125</v>
      </c>
      <c r="AV162" s="201" t="n">
        <v>8679.7001953125</v>
      </c>
      <c r="AW162" s="184" t="n">
        <v>8679.7001953125</v>
      </c>
      <c r="AX162" s="184" t="n">
        <v>8679.7001953125</v>
      </c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>
        <f>+(AV162-AV161)/AV161</f>
        <v/>
      </c>
      <c r="AW163" s="184">
        <f>+(AW162-AW161)/AW161</f>
        <v/>
      </c>
      <c r="AX163" s="184">
        <f>+(AX162-AX161)/AX161</f>
        <v/>
      </c>
      <c r="AY163" s="184" t="n"/>
    </row>
    <row r="164" ht="22" customHeight="1">
      <c r="A164" s="303" t="n"/>
      <c r="B164" s="201" t="inlineStr">
        <is>
          <t>real % change</t>
        </is>
      </c>
      <c r="C164" s="230">
        <f>+C163-C160</f>
        <v/>
      </c>
      <c r="D164" s="230">
        <f>+D163-D160</f>
        <v/>
      </c>
      <c r="E164" s="230">
        <f>+E163-E160</f>
        <v/>
      </c>
      <c r="F164" s="230">
        <f>+F163-F160</f>
        <v/>
      </c>
      <c r="G164" s="230">
        <f>+G163-G160</f>
        <v/>
      </c>
      <c r="H164" s="230">
        <f>+H163-H160</f>
        <v/>
      </c>
      <c r="I164" s="230">
        <f>+I163-I160</f>
        <v/>
      </c>
      <c r="J164" s="230">
        <f>+J163-J160</f>
        <v/>
      </c>
      <c r="K164" s="230">
        <f>+K163-K160</f>
        <v/>
      </c>
      <c r="L164" s="230">
        <f>+L163-L160</f>
        <v/>
      </c>
      <c r="M164" s="230">
        <f>+M163-M160</f>
        <v/>
      </c>
      <c r="N164" s="230">
        <f>+N163-N160</f>
        <v/>
      </c>
      <c r="O164" s="230">
        <f>+O163-O160</f>
        <v/>
      </c>
      <c r="P164" s="230">
        <f>+P163-P160</f>
        <v/>
      </c>
      <c r="Q164" s="230">
        <f>+Q163-Q160</f>
        <v/>
      </c>
      <c r="R164" s="230">
        <f>+R163-R160</f>
        <v/>
      </c>
      <c r="S164" s="230">
        <f>+S163-S160</f>
        <v/>
      </c>
      <c r="T164" s="230">
        <f>+T163-T160</f>
        <v/>
      </c>
      <c r="U164" s="230">
        <f>+U163-U160</f>
        <v/>
      </c>
      <c r="V164" s="230">
        <f>+V163-V160</f>
        <v/>
      </c>
      <c r="W164" s="230">
        <f>+W163-W160</f>
        <v/>
      </c>
      <c r="X164" s="230">
        <f>+X163-X160</f>
        <v/>
      </c>
      <c r="Y164" s="230">
        <f>+Y163-Y160</f>
        <v/>
      </c>
      <c r="Z164" s="230">
        <f>+Z163-Z160</f>
        <v/>
      </c>
      <c r="AA164" s="230">
        <f>+AA163-AA160</f>
        <v/>
      </c>
      <c r="AB164" s="205">
        <f>+AB163-AB160</f>
        <v/>
      </c>
      <c r="AC164" s="205">
        <f>+AC163-AC160</f>
        <v/>
      </c>
      <c r="AD164" s="205">
        <f>+AD163-AD160</f>
        <v/>
      </c>
      <c r="AE164" s="205">
        <f>+AE163-AE160</f>
        <v/>
      </c>
      <c r="AF164" s="205">
        <f>+AF163-AF160</f>
        <v/>
      </c>
      <c r="AG164" s="205">
        <f>+AG163-AG160</f>
        <v/>
      </c>
      <c r="AH164" s="205">
        <f>+AH163-AH160</f>
        <v/>
      </c>
      <c r="AI164" s="205">
        <f>+AI163-AI160</f>
        <v/>
      </c>
      <c r="AJ164" s="205">
        <f>+AJ163-AJ160</f>
        <v/>
      </c>
      <c r="AK164" s="205">
        <f>+AK163-AK160</f>
        <v/>
      </c>
      <c r="AL164" s="205">
        <f>+AL163-AL160</f>
        <v/>
      </c>
      <c r="AM164" s="205">
        <f>+AM163-AM160</f>
        <v/>
      </c>
      <c r="AN164" s="205">
        <f>+AN163-AN160</f>
        <v/>
      </c>
      <c r="AO164" s="205">
        <f>+AO163-AO160</f>
        <v/>
      </c>
      <c r="AP164" s="205">
        <f>+AP163-AP160</f>
        <v/>
      </c>
      <c r="AQ164" s="205">
        <f>+AQ163-AQ160</f>
        <v/>
      </c>
      <c r="AR164" s="205">
        <f>+AR163-AR160</f>
        <v/>
      </c>
      <c r="AS164" s="205">
        <f>+AS163-AS160</f>
        <v/>
      </c>
      <c r="AT164" s="205">
        <f>+AT163-AT160</f>
        <v/>
      </c>
      <c r="AU164" s="205">
        <f>+AU163-AU160</f>
        <v/>
      </c>
      <c r="AV164" s="201">
        <f>+AV163-AV160</f>
        <v/>
      </c>
      <c r="AW164" s="184">
        <f>+AW163-AW160</f>
        <v/>
      </c>
      <c r="AX164" s="184">
        <f>+AX163-AX160</f>
        <v/>
      </c>
      <c r="AY164" s="184" t="n"/>
    </row>
    <row r="165" ht="22" customHeight="1">
      <c r="A165" s="304" t="n"/>
      <c r="B165" s="206" t="inlineStr">
        <is>
          <t>Rating</t>
        </is>
      </c>
      <c r="C165" s="232">
        <f>_xlfn.XLOOKUP(MIN(ABS($BJ$7:$BJ$29 - MEDIAN(MIN($BJ$7:$BJ$29), MAX($BJ$7:$BJ$29), C164))), ABS($BJ$7:$BJ$29 - MEDIAN(MIN($BJ$7:$BJ$29), MAX($BJ$7:$BJ$29), C164)), $BK$7:$BK$29, "Error", 0)</f>
        <v/>
      </c>
      <c r="D165" s="232">
        <f>_xlfn.XLOOKUP(MIN(ABS($BJ$7:$BJ$29 - MEDIAN(MIN($BJ$7:$BJ$29), MAX($BJ$7:$BJ$29), D164))), ABS($BJ$7:$BJ$29 - MEDIAN(MIN($BJ$7:$BJ$29), MAX($BJ$7:$BJ$29), D164)), $BK$7:$BK$29, "Error", 0)</f>
        <v/>
      </c>
      <c r="E165" s="232">
        <f>_xlfn.XLOOKUP(MIN(ABS($BJ$7:$BJ$29 - MEDIAN(MIN($BJ$7:$BJ$29), MAX($BJ$7:$BJ$29), E164))), ABS($BJ$7:$BJ$29 - MEDIAN(MIN($BJ$7:$BJ$29), MAX($BJ$7:$BJ$29), E164)), $BK$7:$BK$29, "Error", 0)</f>
        <v/>
      </c>
      <c r="F165" s="232">
        <f>_xlfn.XLOOKUP(MIN(ABS($BJ$7:$BJ$29 - MEDIAN(MIN($BJ$7:$BJ$29), MAX($BJ$7:$BJ$29), F164))), ABS($BJ$7:$BJ$29 - MEDIAN(MIN($BJ$7:$BJ$29), MAX($BJ$7:$BJ$29), F164)), $BK$7:$BK$29, "Error", 0)</f>
        <v/>
      </c>
      <c r="G165" s="232">
        <f>_xlfn.XLOOKUP(MIN(ABS($BJ$7:$BJ$29 - MEDIAN(MIN($BJ$7:$BJ$29), MAX($BJ$7:$BJ$29), G164))), ABS($BJ$7:$BJ$29 - MEDIAN(MIN($BJ$7:$BJ$29), MAX($BJ$7:$BJ$29), G164)), $BK$7:$BK$29, "Error", 0)</f>
        <v/>
      </c>
      <c r="H165" s="232">
        <f>_xlfn.XLOOKUP(MIN(ABS($BJ$7:$BJ$29 - MEDIAN(MIN($BJ$7:$BJ$29), MAX($BJ$7:$BJ$29), H164))), ABS($BJ$7:$BJ$29 - MEDIAN(MIN($BJ$7:$BJ$29), MAX($BJ$7:$BJ$29), H164)), $BK$7:$BK$29, "Error", 0)</f>
        <v/>
      </c>
      <c r="I165" s="232">
        <f>_xlfn.XLOOKUP(MIN(ABS($BJ$7:$BJ$29 - MEDIAN(MIN($BJ$7:$BJ$29), MAX($BJ$7:$BJ$29), I164))), ABS($BJ$7:$BJ$29 - MEDIAN(MIN($BJ$7:$BJ$29), MAX($BJ$7:$BJ$29), I164)), $BK$7:$BK$29, "Error", 0)</f>
        <v/>
      </c>
      <c r="J165" s="232">
        <f>_xlfn.XLOOKUP(MIN(ABS($BJ$7:$BJ$29 - MEDIAN(MIN($BJ$7:$BJ$29), MAX($BJ$7:$BJ$29), J164))), ABS($BJ$7:$BJ$29 - MEDIAN(MIN($BJ$7:$BJ$29), MAX($BJ$7:$BJ$29), J164)), $BK$7:$BK$29, "Error", 0)</f>
        <v/>
      </c>
      <c r="K165" s="232">
        <f>_xlfn.XLOOKUP(MIN(ABS($BJ$7:$BJ$29 - MEDIAN(MIN($BJ$7:$BJ$29), MAX($BJ$7:$BJ$29), K164))), ABS($BJ$7:$BJ$29 - MEDIAN(MIN($BJ$7:$BJ$29), MAX($BJ$7:$BJ$29), K164)), $BK$7:$BK$29, "Error", 0)</f>
        <v/>
      </c>
      <c r="L165" s="232">
        <f>_xlfn.XLOOKUP(MIN(ABS($BJ$7:$BJ$29 - MEDIAN(MIN($BJ$7:$BJ$29), MAX($BJ$7:$BJ$29), L164))), ABS($BJ$7:$BJ$29 - MEDIAN(MIN($BJ$7:$BJ$29), MAX($BJ$7:$BJ$29), L164)), $BK$7:$BK$29, "Error", 0)</f>
        <v/>
      </c>
      <c r="M165" s="232">
        <f>_xlfn.XLOOKUP(MIN(ABS($BJ$7:$BJ$29 - MEDIAN(MIN($BJ$7:$BJ$29), MAX($BJ$7:$BJ$29), M164))), ABS($BJ$7:$BJ$29 - MEDIAN(MIN($BJ$7:$BJ$29), MAX($BJ$7:$BJ$29), M164)), $BK$7:$BK$29, "Error", 0)</f>
        <v/>
      </c>
      <c r="N165" s="232">
        <f>_xlfn.XLOOKUP(MIN(ABS($BJ$7:$BJ$29 - MEDIAN(MIN($BJ$7:$BJ$29), MAX($BJ$7:$BJ$29), N164))), ABS($BJ$7:$BJ$29 - MEDIAN(MIN($BJ$7:$BJ$29), MAX($BJ$7:$BJ$29), N164)), $BK$7:$BK$29, "Error", 0)</f>
        <v/>
      </c>
      <c r="O165" s="232">
        <f>_xlfn.XLOOKUP(MIN(ABS($BJ$7:$BJ$29 - MEDIAN(MIN($BJ$7:$BJ$29), MAX($BJ$7:$BJ$29), O164))), ABS($BJ$7:$BJ$29 - MEDIAN(MIN($BJ$7:$BJ$29), MAX($BJ$7:$BJ$29), O164)), $BK$7:$BK$29, "Error", 0)</f>
        <v/>
      </c>
      <c r="P165" s="232">
        <f>_xlfn.XLOOKUP(MIN(ABS($BJ$7:$BJ$29 - MEDIAN(MIN($BJ$7:$BJ$29), MAX($BJ$7:$BJ$29), P164))), ABS($BJ$7:$BJ$29 - MEDIAN(MIN($BJ$7:$BJ$29), MAX($BJ$7:$BJ$29), P164)), $BK$7:$BK$29, "Error", 0)</f>
        <v/>
      </c>
      <c r="Q165" s="232">
        <f>_xlfn.XLOOKUP(MIN(ABS($BJ$7:$BJ$29 - MEDIAN(MIN($BJ$7:$BJ$29), MAX($BJ$7:$BJ$29), Q164))), ABS($BJ$7:$BJ$29 - MEDIAN(MIN($BJ$7:$BJ$29), MAX($BJ$7:$BJ$29), Q164)), $BK$7:$BK$29, "Error", 0)</f>
        <v/>
      </c>
      <c r="R165" s="232">
        <f>_xlfn.XLOOKUP(MIN(ABS($BJ$7:$BJ$29 - MEDIAN(MIN($BJ$7:$BJ$29), MAX($BJ$7:$BJ$29), R164))), ABS($BJ$7:$BJ$29 - MEDIAN(MIN($BJ$7:$BJ$29), MAX($BJ$7:$BJ$29), R164)), $BK$7:$BK$29, "Error", 0)</f>
        <v/>
      </c>
      <c r="S165" s="232">
        <f>_xlfn.XLOOKUP(MIN(ABS($BJ$7:$BJ$29 - MEDIAN(MIN($BJ$7:$BJ$29), MAX($BJ$7:$BJ$29), S164))), ABS($BJ$7:$BJ$29 - MEDIAN(MIN($BJ$7:$BJ$29), MAX($BJ$7:$BJ$29), S164)), $BK$7:$BK$29, "Error", 0)</f>
        <v/>
      </c>
      <c r="T165" s="232">
        <f>_xlfn.XLOOKUP(MIN(ABS($BJ$7:$BJ$29 - MEDIAN(MIN($BJ$7:$BJ$29), MAX($BJ$7:$BJ$29), T164))), ABS($BJ$7:$BJ$29 - MEDIAN(MIN($BJ$7:$BJ$29), MAX($BJ$7:$BJ$29), T164)), $BK$7:$BK$29, "Error", 0)</f>
        <v/>
      </c>
      <c r="U165" s="232">
        <f>_xlfn.XLOOKUP(MIN(ABS($BJ$7:$BJ$29 - MEDIAN(MIN($BJ$7:$BJ$29), MAX($BJ$7:$BJ$29), U164))), ABS($BJ$7:$BJ$29 - MEDIAN(MIN($BJ$7:$BJ$29), MAX($BJ$7:$BJ$29), U164)), $BK$7:$BK$29, "Error", 0)</f>
        <v/>
      </c>
      <c r="V165" s="232">
        <f>_xlfn.XLOOKUP(MIN(ABS($BJ$7:$BJ$29 - MEDIAN(MIN($BJ$7:$BJ$29), MAX($BJ$7:$BJ$29), V164))), ABS($BJ$7:$BJ$29 - MEDIAN(MIN($BJ$7:$BJ$29), MAX($BJ$7:$BJ$29), V164)), $BK$7:$BK$29, "Error", 0)</f>
        <v/>
      </c>
      <c r="W165" s="232">
        <f>_xlfn.XLOOKUP(MIN(ABS($BJ$7:$BJ$29 - MEDIAN(MIN($BJ$7:$BJ$29), MAX($BJ$7:$BJ$29), W164))), ABS($BJ$7:$BJ$29 - MEDIAN(MIN($BJ$7:$BJ$29), MAX($BJ$7:$BJ$29), W164)), $BK$7:$BK$29, "Error", 0)</f>
        <v/>
      </c>
      <c r="X165" s="232">
        <f>_xlfn.XLOOKUP(MIN(ABS($BJ$7:$BJ$29 - MEDIAN(MIN($BJ$7:$BJ$29), MAX($BJ$7:$BJ$29), X164))), ABS($BJ$7:$BJ$29 - MEDIAN(MIN($BJ$7:$BJ$29), MAX($BJ$7:$BJ$29), X164)), $BK$7:$BK$29, "Error", 0)</f>
        <v/>
      </c>
      <c r="Y165" s="232">
        <f>_xlfn.XLOOKUP(MIN(ABS($BJ$7:$BJ$29 - MEDIAN(MIN($BJ$7:$BJ$29), MAX($BJ$7:$BJ$29), Y164))), ABS($BJ$7:$BJ$29 - MEDIAN(MIN($BJ$7:$BJ$29), MAX($BJ$7:$BJ$29), Y164)), $BK$7:$BK$29, "Error", 0)</f>
        <v/>
      </c>
      <c r="Z165" s="232">
        <f>_xlfn.XLOOKUP(MIN(ABS($BJ$7:$BJ$29 - MEDIAN(MIN($BJ$7:$BJ$29), MAX($BJ$7:$BJ$29), Z164))), ABS($BJ$7:$BJ$29 - MEDIAN(MIN($BJ$7:$BJ$29), MAX($BJ$7:$BJ$29), Z164)), $BK$7:$BK$29, "Error", 0)</f>
        <v/>
      </c>
      <c r="AA165" s="232">
        <f>_xlfn.XLOOKUP(MIN(ABS($BJ$7:$BJ$29 - MEDIAN(MIN($BJ$7:$BJ$29), MAX($BJ$7:$BJ$29), AA164))), ABS($BJ$7:$BJ$29 - MEDIAN(MIN($BJ$7:$BJ$29), MAX($BJ$7:$BJ$29), AA164)), $BK$7:$BK$29, "Error", 0)</f>
        <v/>
      </c>
      <c r="AB165" s="171">
        <f>_xlfn.XLOOKUP(MIN(ABS($BJ$7:$BJ$29 - MEDIAN(MIN($BJ$7:$BJ$29), MAX($BJ$7:$BJ$29), AB164))), ABS($BJ$7:$BJ$29 - MEDIAN(MIN($BJ$7:$BJ$29), MAX($BJ$7:$BJ$29), AB164)), $BK$7:$BK$29, "Error", 0)</f>
        <v/>
      </c>
      <c r="AC165" s="171">
        <f>_xlfn.XLOOKUP(MIN(ABS($BJ$7:$BJ$29 - MEDIAN(MIN($BJ$7:$BJ$29), MAX($BJ$7:$BJ$29), AC164))), ABS($BJ$7:$BJ$29 - MEDIAN(MIN($BJ$7:$BJ$29), MAX($BJ$7:$BJ$29), AC164)), $BK$7:$BK$29, "Error", 0)</f>
        <v/>
      </c>
      <c r="AD165" s="171">
        <f>_xlfn.XLOOKUP(MIN(ABS($BJ$7:$BJ$29 - MEDIAN(MIN($BJ$7:$BJ$29), MAX($BJ$7:$BJ$29), AD164))), ABS($BJ$7:$BJ$29 - MEDIAN(MIN($BJ$7:$BJ$29), MAX($BJ$7:$BJ$29), AD164)), $BK$7:$BK$29, "Error", 0)</f>
        <v/>
      </c>
      <c r="AE165" s="171">
        <f>_xlfn.XLOOKUP(MIN(ABS($BJ$7:$BJ$29 - MEDIAN(MIN($BJ$7:$BJ$29), MAX($BJ$7:$BJ$29), AE164))), ABS($BJ$7:$BJ$29 - MEDIAN(MIN($BJ$7:$BJ$29), MAX($BJ$7:$BJ$29), AE164)), $BK$7:$BK$29, "Error", 0)</f>
        <v/>
      </c>
      <c r="AF165" s="171">
        <f>_xlfn.XLOOKUP(MIN(ABS($BJ$7:$BJ$29 - MEDIAN(MIN($BJ$7:$BJ$29), MAX($BJ$7:$BJ$29), AF164))), ABS($BJ$7:$BJ$29 - MEDIAN(MIN($BJ$7:$BJ$29), MAX($BJ$7:$BJ$29), AF164)), $BK$7:$BK$29, "Error", 0)</f>
        <v/>
      </c>
      <c r="AG165" s="171">
        <f>_xlfn.XLOOKUP(MIN(ABS($BJ$7:$BJ$29 - MEDIAN(MIN($BJ$7:$BJ$29), MAX($BJ$7:$BJ$29), AG164))), ABS($BJ$7:$BJ$29 - MEDIAN(MIN($BJ$7:$BJ$29), MAX($BJ$7:$BJ$29), AG164)), $BK$7:$BK$29, "Error", 0)</f>
        <v/>
      </c>
      <c r="AH165" s="171">
        <f>_xlfn.XLOOKUP(MIN(ABS($BJ$7:$BJ$29 - MEDIAN(MIN($BJ$7:$BJ$29), MAX($BJ$7:$BJ$29), AH164))), ABS($BJ$7:$BJ$29 - MEDIAN(MIN($BJ$7:$BJ$29), MAX($BJ$7:$BJ$29), AH164)), $BK$7:$BK$29, "Error", 0)</f>
        <v/>
      </c>
      <c r="AI165" s="171">
        <f>_xlfn.XLOOKUP(MIN(ABS($BJ$7:$BJ$29 - MEDIAN(MIN($BJ$7:$BJ$29), MAX($BJ$7:$BJ$29), AI164))), ABS($BJ$7:$BJ$29 - MEDIAN(MIN($BJ$7:$BJ$29), MAX($BJ$7:$BJ$29), AI164)), $BK$7:$BK$29, "Error", 0)</f>
        <v/>
      </c>
      <c r="AJ165" s="171">
        <f>_xlfn.XLOOKUP(MIN(ABS($BJ$7:$BJ$29 - MEDIAN(MIN($BJ$7:$BJ$29), MAX($BJ$7:$BJ$29), AJ164))), ABS($BJ$7:$BJ$29 - MEDIAN(MIN($BJ$7:$BJ$29), MAX($BJ$7:$BJ$29), AJ164)), $BK$7:$BK$29, "Error", 0)</f>
        <v/>
      </c>
      <c r="AK165" s="171">
        <f>_xlfn.XLOOKUP(MIN(ABS($BJ$7:$BJ$29 - MEDIAN(MIN($BJ$7:$BJ$29), MAX($BJ$7:$BJ$29), AK164))), ABS($BJ$7:$BJ$29 - MEDIAN(MIN($BJ$7:$BJ$29), MAX($BJ$7:$BJ$29), AK164)), $BK$7:$BK$29, "Error", 0)</f>
        <v/>
      </c>
      <c r="AL165" s="171">
        <f>_xlfn.XLOOKUP(MIN(ABS($BJ$7:$BJ$29 - MEDIAN(MIN($BJ$7:$BJ$29), MAX($BJ$7:$BJ$29), AL164))), ABS($BJ$7:$BJ$29 - MEDIAN(MIN($BJ$7:$BJ$29), MAX($BJ$7:$BJ$29), AL164)), $BK$7:$BK$29, "Error", 0)</f>
        <v/>
      </c>
      <c r="AM165" s="171">
        <f>_xlfn.XLOOKUP(MIN(ABS($BJ$7:$BJ$29 - MEDIAN(MIN($BJ$7:$BJ$29), MAX($BJ$7:$BJ$29), AM164))), ABS($BJ$7:$BJ$29 - MEDIAN(MIN($BJ$7:$BJ$29), MAX($BJ$7:$BJ$29), AM164)), $BK$7:$BK$29, "Error", 0)</f>
        <v/>
      </c>
      <c r="AN165" s="171">
        <f>_xlfn.XLOOKUP(MIN(ABS($BJ$7:$BJ$29 - MEDIAN(MIN($BJ$7:$BJ$29), MAX($BJ$7:$BJ$29), AN164))), ABS($BJ$7:$BJ$29 - MEDIAN(MIN($BJ$7:$BJ$29), MAX($BJ$7:$BJ$29), AN164)), $BK$7:$BK$29, "Error", 0)</f>
        <v/>
      </c>
      <c r="AO165" s="171">
        <f>_xlfn.XLOOKUP(MIN(ABS($BJ$7:$BJ$29 - MEDIAN(MIN($BJ$7:$BJ$29), MAX($BJ$7:$BJ$29), AO164))), ABS($BJ$7:$BJ$29 - MEDIAN(MIN($BJ$7:$BJ$29), MAX($BJ$7:$BJ$29), AO164)), $BK$7:$BK$29, "Error", 0)</f>
        <v/>
      </c>
      <c r="AP165" s="171">
        <f>_xlfn.XLOOKUP(MIN(ABS($BJ$7:$BJ$29 - MEDIAN(MIN($BJ$7:$BJ$29), MAX($BJ$7:$BJ$29), AP164))), ABS($BJ$7:$BJ$29 - MEDIAN(MIN($BJ$7:$BJ$29), MAX($BJ$7:$BJ$29), AP164)), $BK$7:$BK$29, "Error", 0)</f>
        <v/>
      </c>
      <c r="AQ165" s="171">
        <f>_xlfn.XLOOKUP(MIN(ABS($BJ$7:$BJ$29 - MEDIAN(MIN($BJ$7:$BJ$29), MAX($BJ$7:$BJ$29), AQ164))), ABS($BJ$7:$BJ$29 - MEDIAN(MIN($BJ$7:$BJ$29), MAX($BJ$7:$BJ$29), AQ164)), $BK$7:$BK$29, "Error", 0)</f>
        <v/>
      </c>
      <c r="AR165" s="171">
        <f>_xlfn.XLOOKUP(MIN(ABS($BJ$7:$BJ$29 - MEDIAN(MIN($BJ$7:$BJ$29), MAX($BJ$7:$BJ$29), AR164))), ABS($BJ$7:$BJ$29 - MEDIAN(MIN($BJ$7:$BJ$29), MAX($BJ$7:$BJ$29), AR164)), $BK$7:$BK$29, "Error", 0)</f>
        <v/>
      </c>
      <c r="AS165" s="171">
        <f>_xlfn.XLOOKUP(MIN(ABS($BJ$7:$BJ$29 - MEDIAN(MIN($BJ$7:$BJ$29), MAX($BJ$7:$BJ$29), AS164))), ABS($BJ$7:$BJ$29 - MEDIAN(MIN($BJ$7:$BJ$29), MAX($BJ$7:$BJ$29), AS164)), $BK$7:$BK$29, "Error", 0)</f>
        <v/>
      </c>
      <c r="AT165" s="171">
        <f>_xlfn.XLOOKUP(MIN(ABS($BJ$7:$BJ$29 - MEDIAN(MIN($BJ$7:$BJ$29), MAX($BJ$7:$BJ$29), AT164))), ABS($BJ$7:$BJ$29 - MEDIAN(MIN($BJ$7:$BJ$29), MAX($BJ$7:$BJ$29), AT164)), $BK$7:$BK$29, "Error", 0)</f>
        <v/>
      </c>
      <c r="AU165" s="171">
        <f>_xlfn.XLOOKUP(MIN(ABS($BJ$7:$BJ$29 - MEDIAN(MIN($BJ$7:$BJ$29), MAX($BJ$7:$BJ$29), AU164))), ABS($BJ$7:$BJ$29 - MEDIAN(MIN($BJ$7:$BJ$29), MAX($BJ$7:$BJ$29), AU164)), $BK$7:$BK$29, "Error", 0)</f>
        <v/>
      </c>
      <c r="AV165" s="206">
        <f>_xlfn.XLOOKUP(MIN(ABS($BJ$7:$BJ$29 - MEDIAN(MIN($BJ$7:$BJ$29), MAX($BJ$7:$BJ$29), AV164))), ABS($BJ$7:$BJ$29 - MEDIAN(MIN($BJ$7:$BJ$29), MAX($BJ$7:$BJ$29), AV164)), $BK$7:$BK$29, "Error", 0)</f>
        <v/>
      </c>
      <c r="AW165" s="184">
        <f>_xlfn.XLOOKUP(MIN(ABS($BJ$7:$BJ$29 - MEDIAN(MIN($BJ$7:$BJ$29), MAX($BJ$7:$BJ$29), AW164))), ABS($BJ$7:$BJ$29 - MEDIAN(MIN($BJ$7:$BJ$29), MAX($BJ$7:$BJ$29), AW164)), $BK$7:$BK$29, "Error", 0)</f>
        <v/>
      </c>
      <c r="AX165" s="184">
        <f>_xlfn.XLOOKUP(MIN(ABS($BJ$7:$BJ$29 - MEDIAN(MIN($BJ$7:$BJ$29), MAX($BJ$7:$BJ$29), AX164))), ABS($BJ$7:$BJ$29 - MEDIAN(MIN($BJ$7:$BJ$29), MAX($BJ$7:$BJ$29), AX164)), $BK$7:$BK$29, "Error", 0)</f>
        <v/>
      </c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8369.209192281123</v>
      </c>
      <c r="D166" s="233" t="n">
        <v>8369.209192281123</v>
      </c>
      <c r="E166" s="233" t="n">
        <v>8369.209192281123</v>
      </c>
      <c r="F166" s="233" t="n">
        <v>8369.209192281123</v>
      </c>
      <c r="G166" s="233" t="n">
        <v>8369.209192281123</v>
      </c>
      <c r="H166" s="233" t="n">
        <v>8369.209192281123</v>
      </c>
      <c r="I166" s="233" t="n">
        <v>8369.209192281123</v>
      </c>
      <c r="J166" s="233" t="n">
        <v>8369.209192281123</v>
      </c>
      <c r="K166" s="233" t="n">
        <v>8369.209192281123</v>
      </c>
      <c r="L166" s="233" t="n">
        <v>8369.209192281123</v>
      </c>
      <c r="M166" s="233" t="n">
        <v>8369.209192281123</v>
      </c>
      <c r="N166" s="233" t="n">
        <v>8369.209192281123</v>
      </c>
      <c r="O166" s="233" t="n">
        <v>8369.209192281123</v>
      </c>
      <c r="P166" s="233" t="n">
        <v>8369.209192281123</v>
      </c>
      <c r="Q166" s="233" t="n">
        <v>8618.233947263332</v>
      </c>
      <c r="R166" s="233" t="n">
        <v>8618.233947263332</v>
      </c>
      <c r="S166" s="233" t="n">
        <v>8642.345156563679</v>
      </c>
      <c r="T166" s="233" t="n">
        <v>8642.345156563679</v>
      </c>
      <c r="U166" s="233" t="n">
        <v>8977.272676707362</v>
      </c>
      <c r="V166" s="233" t="n">
        <v>8977.272676707362</v>
      </c>
      <c r="W166" s="233" t="n">
        <v>9036.384746794589</v>
      </c>
      <c r="X166" s="233" t="n">
        <v>9268.477893531322</v>
      </c>
      <c r="Y166" s="233" t="n">
        <v>9450.159709845902</v>
      </c>
      <c r="Z166" s="233" t="n">
        <v>9450.159709845902</v>
      </c>
      <c r="AA166" s="204" t="n">
        <v>9452.632037042174</v>
      </c>
      <c r="AB166" s="204" t="n">
        <v>9583.462901513558</v>
      </c>
      <c r="AC166" s="204" t="n">
        <v>9583.462901513558</v>
      </c>
      <c r="AD166" s="204" t="n">
        <v>9583.462901513558</v>
      </c>
      <c r="AE166" s="204" t="n">
        <v>9583.462901513558</v>
      </c>
      <c r="AF166" s="204" t="n">
        <v>9583.462901513558</v>
      </c>
      <c r="AG166" s="204" t="n">
        <v>9594.624278723728</v>
      </c>
      <c r="AH166" s="204" t="n">
        <v>10030.39382624626</v>
      </c>
      <c r="AI166" s="204" t="n">
        <v>10086.23549178801</v>
      </c>
      <c r="AJ166" s="204" t="n">
        <v>10373.39813028323</v>
      </c>
      <c r="AK166" s="204" t="n">
        <v>10373.39813028323</v>
      </c>
      <c r="AL166" s="204" t="n">
        <v>10373.39813028323</v>
      </c>
      <c r="AM166" s="204" t="n">
        <v>10442.65373289585</v>
      </c>
      <c r="AN166" s="204" t="n">
        <v>10944.76927249017</v>
      </c>
      <c r="AO166" s="204" t="n">
        <v>10944.76927249017</v>
      </c>
      <c r="AP166" s="204" t="n">
        <v>10960.16553724441</v>
      </c>
      <c r="AQ166" s="204" t="n">
        <v>10960.16553724441</v>
      </c>
      <c r="AR166" s="204" t="n">
        <v>10960.16553724441</v>
      </c>
      <c r="AS166" s="204" t="n">
        <v>10960.65312687913</v>
      </c>
      <c r="AT166" s="204" t="n">
        <v>11154.83157362544</v>
      </c>
      <c r="AU166" s="204" t="n">
        <v>11154.83157362544</v>
      </c>
      <c r="AV166" s="200" t="n">
        <v>11154.83157362544</v>
      </c>
      <c r="AW166" s="184" t="n">
        <v>11154.83157362544</v>
      </c>
      <c r="AX166" s="184" t="n">
        <v>11154.83157362544</v>
      </c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8157.603700507781</v>
      </c>
      <c r="D167" s="233" t="n">
        <v>7930.527646081697</v>
      </c>
      <c r="E167" s="233" t="n">
        <v>7688.571743346634</v>
      </c>
      <c r="F167" s="233" t="n">
        <v>7879.317441105261</v>
      </c>
      <c r="G167" s="233" t="n">
        <v>7644.066629873123</v>
      </c>
      <c r="H167" s="233" t="n">
        <v>7859.880908877822</v>
      </c>
      <c r="I167" s="233" t="n">
        <v>8012.354082281061</v>
      </c>
      <c r="J167" s="233" t="n">
        <v>7949.919659820502</v>
      </c>
      <c r="K167" s="233" t="n">
        <v>7594.302690866287</v>
      </c>
      <c r="L167" s="233" t="n">
        <v>7393.132976684603</v>
      </c>
      <c r="M167" s="233" t="n">
        <v>7618.421812512679</v>
      </c>
      <c r="N167" s="233" t="n">
        <v>8179.086680963519</v>
      </c>
      <c r="O167" s="233" t="n">
        <v>8260.262612453545</v>
      </c>
      <c r="P167" s="233" t="n">
        <v>8200.963592528016</v>
      </c>
      <c r="Q167" s="233" t="n">
        <v>8594.669598450128</v>
      </c>
      <c r="R167" s="233" t="n">
        <v>8421.312757532229</v>
      </c>
      <c r="S167" s="233" t="n">
        <v>8348.720067208051</v>
      </c>
      <c r="T167" s="233" t="n">
        <v>8489.877922236919</v>
      </c>
      <c r="U167" s="233" t="n">
        <v>8968.679236324388</v>
      </c>
      <c r="V167" s="233" t="n">
        <v>8770.810100420611</v>
      </c>
      <c r="W167" s="233" t="n">
        <v>9010.443338926416</v>
      </c>
      <c r="X167" s="233" t="n">
        <v>8982.266635894775</v>
      </c>
      <c r="Y167" s="233" t="n">
        <v>9309.852841672022</v>
      </c>
      <c r="Z167" s="233" t="n">
        <v>8996.998786321608</v>
      </c>
      <c r="AA167" s="204" t="n">
        <v>9407.542703012587</v>
      </c>
      <c r="AB167" s="204" t="n">
        <v>9050.295397329319</v>
      </c>
      <c r="AC167" s="204" t="n">
        <v>8628.524549722439</v>
      </c>
      <c r="AD167" s="204" t="n">
        <v>8740.134296128876</v>
      </c>
      <c r="AE167" s="204" t="n">
        <v>9093.618917297339</v>
      </c>
      <c r="AF167" s="204" t="n">
        <v>9202.106958180666</v>
      </c>
      <c r="AG167" s="204" t="n">
        <v>9539.880454996484</v>
      </c>
      <c r="AH167" s="204" t="n">
        <v>9959.764168523485</v>
      </c>
      <c r="AI167" s="204" t="n">
        <v>10068.87203584879</v>
      </c>
      <c r="AJ167" s="204" t="n">
        <v>10140.28805762017</v>
      </c>
      <c r="AK167" s="204" t="n">
        <v>9825.414237954188</v>
      </c>
      <c r="AL167" s="204" t="n">
        <v>10075.99641051097</v>
      </c>
      <c r="AM167" s="204" t="n">
        <v>10287.18043954042</v>
      </c>
      <c r="AN167" s="204" t="n">
        <v>10924.07282690261</v>
      </c>
      <c r="AO167" s="204" t="n">
        <v>10155.59827650525</v>
      </c>
      <c r="AP167" s="204" t="n">
        <v>10576.00219877332</v>
      </c>
      <c r="AQ167" s="204" t="n">
        <v>10520.21478699369</v>
      </c>
      <c r="AR167" s="204" t="n">
        <v>10691.49139318359</v>
      </c>
      <c r="AS167" s="204" t="n">
        <v>10733.38019010995</v>
      </c>
      <c r="AT167" s="204" t="n">
        <v>10976.78649234772</v>
      </c>
      <c r="AU167" s="204" t="n">
        <v>10765.6923770376</v>
      </c>
      <c r="AV167" s="201" t="n">
        <v>10765.6923770376</v>
      </c>
      <c r="AW167" s="184" t="n">
        <v>10765.6923770376</v>
      </c>
      <c r="AX167" s="184" t="n">
        <v>10765.6923770376</v>
      </c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>
        <f>+(AV167-AV166)/AV166</f>
        <v/>
      </c>
      <c r="AW168" s="184">
        <f>+(AW167-AW166)/AW166</f>
        <v/>
      </c>
      <c r="AX168" s="184">
        <f>+(AX167-AX166)/AX166</f>
        <v/>
      </c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8148.7001953125</v>
      </c>
      <c r="W169" s="233" t="n">
        <v>8285.7001953125</v>
      </c>
      <c r="X169" s="233" t="n">
        <v>8384.5</v>
      </c>
      <c r="Y169" s="233" t="n">
        <v>8477.099609375</v>
      </c>
      <c r="Z169" s="233" t="n">
        <v>8514.5</v>
      </c>
      <c r="AA169" s="231" t="n">
        <v>8566.900390625</v>
      </c>
      <c r="AB169" s="203" t="n">
        <v>8615.2001953125</v>
      </c>
      <c r="AC169" s="203" t="n">
        <v>8615.2001953125</v>
      </c>
      <c r="AD169" s="203" t="n">
        <v>8615.2001953125</v>
      </c>
      <c r="AE169" s="203" t="n">
        <v>8615.2001953125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9296.7001953125</v>
      </c>
      <c r="AU169" s="203" t="n">
        <v>9296.7001953125</v>
      </c>
      <c r="AV169" s="201" t="n">
        <v>9296.7001953125</v>
      </c>
      <c r="AW169" s="184" t="n">
        <v>9296.7001953125</v>
      </c>
      <c r="AX169" s="184" t="n">
        <v>9296.7001953125</v>
      </c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7680.7001953125</v>
      </c>
      <c r="P170" s="233" t="n">
        <v>7698.7001953125</v>
      </c>
      <c r="Q170" s="233" t="n">
        <v>7896.89990234375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8269.7998046875</v>
      </c>
      <c r="X170" s="233" t="n">
        <v>8160</v>
      </c>
      <c r="Y170" s="233" t="n">
        <v>8436.2001953125</v>
      </c>
      <c r="Z170" s="233" t="n">
        <v>8159.10009765625</v>
      </c>
      <c r="AA170" s="231" t="n">
        <v>8532.2998046875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8542.2998046875</v>
      </c>
      <c r="AG170" s="203" t="n">
        <v>8742.7998046875</v>
      </c>
      <c r="AH170" s="203" t="n">
        <v>8973.099609375</v>
      </c>
      <c r="AI170" s="203" t="n">
        <v>8848.7998046875</v>
      </c>
      <c r="AJ170" s="203" t="n">
        <v>8881.900390625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9198.599609375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8778.7001953125</v>
      </c>
      <c r="AS170" s="203" t="n">
        <v>8976.7998046875</v>
      </c>
      <c r="AT170" s="203" t="n">
        <v>9076</v>
      </c>
      <c r="AU170" s="203" t="n">
        <v>8679.7001953125</v>
      </c>
      <c r="AV170" s="201" t="n">
        <v>8679.7001953125</v>
      </c>
      <c r="AW170" s="184" t="n">
        <v>8679.7001953125</v>
      </c>
      <c r="AX170" s="184" t="n">
        <v>8679.7001953125</v>
      </c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>
        <f>+(AV170-AV169)/AV169</f>
        <v/>
      </c>
      <c r="AW171" s="184">
        <f>+(AW170-AW169)/AW169</f>
        <v/>
      </c>
      <c r="AX171" s="184">
        <f>+(AX170-AX169)/AX169</f>
        <v/>
      </c>
      <c r="AY171" s="184" t="n"/>
    </row>
    <row r="172" ht="22" customHeight="1">
      <c r="A172" s="303" t="n"/>
      <c r="B172" s="201" t="inlineStr">
        <is>
          <t>real % change</t>
        </is>
      </c>
      <c r="C172" s="230">
        <f>+C171-C168</f>
        <v/>
      </c>
      <c r="D172" s="230">
        <f>+D171-D168</f>
        <v/>
      </c>
      <c r="E172" s="230">
        <f>+E171-E168</f>
        <v/>
      </c>
      <c r="F172" s="230">
        <f>+F171-F168</f>
        <v/>
      </c>
      <c r="G172" s="230">
        <f>+G171-G168</f>
        <v/>
      </c>
      <c r="H172" s="230">
        <f>+H171-H168</f>
        <v/>
      </c>
      <c r="I172" s="230">
        <f>+I171-I168</f>
        <v/>
      </c>
      <c r="J172" s="230">
        <f>+J171-J168</f>
        <v/>
      </c>
      <c r="K172" s="230">
        <f>+K171-K168</f>
        <v/>
      </c>
      <c r="L172" s="230">
        <f>+L171-L168</f>
        <v/>
      </c>
      <c r="M172" s="230">
        <f>+M171-M168</f>
        <v/>
      </c>
      <c r="N172" s="230">
        <f>+N171-N168</f>
        <v/>
      </c>
      <c r="O172" s="230">
        <f>+O171-O168</f>
        <v/>
      </c>
      <c r="P172" s="230">
        <f>+P171-P168</f>
        <v/>
      </c>
      <c r="Q172" s="230">
        <f>+Q171-Q168</f>
        <v/>
      </c>
      <c r="R172" s="230">
        <f>+R171-R168</f>
        <v/>
      </c>
      <c r="S172" s="230">
        <f>+S171-S168</f>
        <v/>
      </c>
      <c r="T172" s="230">
        <f>+T171-T168</f>
        <v/>
      </c>
      <c r="U172" s="230">
        <f>+U171-U168</f>
        <v/>
      </c>
      <c r="V172" s="230">
        <f>+V171-V168</f>
        <v/>
      </c>
      <c r="W172" s="230">
        <f>+W171-W168</f>
        <v/>
      </c>
      <c r="X172" s="230">
        <f>+X171-X168</f>
        <v/>
      </c>
      <c r="Y172" s="230">
        <f>+Y171-Y168</f>
        <v/>
      </c>
      <c r="Z172" s="230">
        <f>+Z171-Z168</f>
        <v/>
      </c>
      <c r="AA172" s="230">
        <f>+AA171-AA168</f>
        <v/>
      </c>
      <c r="AB172" s="205">
        <f>+AB171-AB168</f>
        <v/>
      </c>
      <c r="AC172" s="205">
        <f>+AC171-AC168</f>
        <v/>
      </c>
      <c r="AD172" s="205">
        <f>+AD171-AD168</f>
        <v/>
      </c>
      <c r="AE172" s="205">
        <f>+AE171-AE168</f>
        <v/>
      </c>
      <c r="AF172" s="205">
        <f>+AF171-AF168</f>
        <v/>
      </c>
      <c r="AG172" s="205">
        <f>+AG171-AG168</f>
        <v/>
      </c>
      <c r="AH172" s="205">
        <f>+AH171-AH168</f>
        <v/>
      </c>
      <c r="AI172" s="205">
        <f>+AI171-AI168</f>
        <v/>
      </c>
      <c r="AJ172" s="205">
        <f>+AJ171-AJ168</f>
        <v/>
      </c>
      <c r="AK172" s="205">
        <f>+AK171-AK168</f>
        <v/>
      </c>
      <c r="AL172" s="205">
        <f>+AL171-AL168</f>
        <v/>
      </c>
      <c r="AM172" s="205">
        <f>+AM171-AM168</f>
        <v/>
      </c>
      <c r="AN172" s="205">
        <f>+AN171-AN168</f>
        <v/>
      </c>
      <c r="AO172" s="205">
        <f>+AO171-AO168</f>
        <v/>
      </c>
      <c r="AP172" s="205">
        <f>+AP171-AP168</f>
        <v/>
      </c>
      <c r="AQ172" s="205">
        <f>+AQ171-AQ168</f>
        <v/>
      </c>
      <c r="AR172" s="205">
        <f>+AR171-AR168</f>
        <v/>
      </c>
      <c r="AS172" s="205">
        <f>+AS171-AS168</f>
        <v/>
      </c>
      <c r="AT172" s="205">
        <f>+AT171-AT168</f>
        <v/>
      </c>
      <c r="AU172" s="205">
        <f>+AU171-AU168</f>
        <v/>
      </c>
      <c r="AV172" s="201">
        <f>+AV171-AV168</f>
        <v/>
      </c>
      <c r="AW172" s="184">
        <f>+AW171-AW168</f>
        <v/>
      </c>
      <c r="AX172" s="184">
        <f>+AX171-AX168</f>
        <v/>
      </c>
      <c r="AY172" s="184" t="n"/>
    </row>
    <row r="173" ht="22" customHeight="1">
      <c r="A173" s="304" t="n"/>
      <c r="B173" s="206" t="inlineStr">
        <is>
          <t>Rating</t>
        </is>
      </c>
      <c r="C173" s="232">
        <f>_xlfn.XLOOKUP(MIN(ABS($BJ$7:$BJ$29 - MEDIAN(MIN($BJ$7:$BJ$29), MAX($BJ$7:$BJ$29), C172))), ABS($BJ$7:$BJ$29 - MEDIAN(MIN($BJ$7:$BJ$29), MAX($BJ$7:$BJ$29), C172)), $BK$7:$BK$29, "Error", 0)</f>
        <v/>
      </c>
      <c r="D173" s="232">
        <f>_xlfn.XLOOKUP(MIN(ABS($BJ$7:$BJ$29 - MEDIAN(MIN($BJ$7:$BJ$29), MAX($BJ$7:$BJ$29), D172))), ABS($BJ$7:$BJ$29 - MEDIAN(MIN($BJ$7:$BJ$29), MAX($BJ$7:$BJ$29), D172)), $BK$7:$BK$29, "Error", 0)</f>
        <v/>
      </c>
      <c r="E173" s="232">
        <f>_xlfn.XLOOKUP(MIN(ABS($BJ$7:$BJ$29 - MEDIAN(MIN($BJ$7:$BJ$29), MAX($BJ$7:$BJ$29), E172))), ABS($BJ$7:$BJ$29 - MEDIAN(MIN($BJ$7:$BJ$29), MAX($BJ$7:$BJ$29), E172)), $BK$7:$BK$29, "Error", 0)</f>
        <v/>
      </c>
      <c r="F173" s="232">
        <f>_xlfn.XLOOKUP(MIN(ABS($BJ$7:$BJ$29 - MEDIAN(MIN($BJ$7:$BJ$29), MAX($BJ$7:$BJ$29), F172))), ABS($BJ$7:$BJ$29 - MEDIAN(MIN($BJ$7:$BJ$29), MAX($BJ$7:$BJ$29), F172)), $BK$7:$BK$29, "Error", 0)</f>
        <v/>
      </c>
      <c r="G173" s="232">
        <f>_xlfn.XLOOKUP(MIN(ABS($BJ$7:$BJ$29 - MEDIAN(MIN($BJ$7:$BJ$29), MAX($BJ$7:$BJ$29), G172))), ABS($BJ$7:$BJ$29 - MEDIAN(MIN($BJ$7:$BJ$29), MAX($BJ$7:$BJ$29), G172)), $BK$7:$BK$29, "Error", 0)</f>
        <v/>
      </c>
      <c r="H173" s="232">
        <f>_xlfn.XLOOKUP(MIN(ABS($BJ$7:$BJ$29 - MEDIAN(MIN($BJ$7:$BJ$29), MAX($BJ$7:$BJ$29), H172))), ABS($BJ$7:$BJ$29 - MEDIAN(MIN($BJ$7:$BJ$29), MAX($BJ$7:$BJ$29), H172)), $BK$7:$BK$29, "Error", 0)</f>
        <v/>
      </c>
      <c r="I173" s="232">
        <f>_xlfn.XLOOKUP(MIN(ABS($BJ$7:$BJ$29 - MEDIAN(MIN($BJ$7:$BJ$29), MAX($BJ$7:$BJ$29), I172))), ABS($BJ$7:$BJ$29 - MEDIAN(MIN($BJ$7:$BJ$29), MAX($BJ$7:$BJ$29), I172)), $BK$7:$BK$29, "Error", 0)</f>
        <v/>
      </c>
      <c r="J173" s="232">
        <f>_xlfn.XLOOKUP(MIN(ABS($BJ$7:$BJ$29 - MEDIAN(MIN($BJ$7:$BJ$29), MAX($BJ$7:$BJ$29), J172))), ABS($BJ$7:$BJ$29 - MEDIAN(MIN($BJ$7:$BJ$29), MAX($BJ$7:$BJ$29), J172)), $BK$7:$BK$29, "Error", 0)</f>
        <v/>
      </c>
      <c r="K173" s="232">
        <f>_xlfn.XLOOKUP(MIN(ABS($BJ$7:$BJ$29 - MEDIAN(MIN($BJ$7:$BJ$29), MAX($BJ$7:$BJ$29), K172))), ABS($BJ$7:$BJ$29 - MEDIAN(MIN($BJ$7:$BJ$29), MAX($BJ$7:$BJ$29), K172)), $BK$7:$BK$29, "Error", 0)</f>
        <v/>
      </c>
      <c r="L173" s="232">
        <f>_xlfn.XLOOKUP(MIN(ABS($BJ$7:$BJ$29 - MEDIAN(MIN($BJ$7:$BJ$29), MAX($BJ$7:$BJ$29), L172))), ABS($BJ$7:$BJ$29 - MEDIAN(MIN($BJ$7:$BJ$29), MAX($BJ$7:$BJ$29), L172)), $BK$7:$BK$29, "Error", 0)</f>
        <v/>
      </c>
      <c r="M173" s="232">
        <f>_xlfn.XLOOKUP(MIN(ABS($BJ$7:$BJ$29 - MEDIAN(MIN($BJ$7:$BJ$29), MAX($BJ$7:$BJ$29), M172))), ABS($BJ$7:$BJ$29 - MEDIAN(MIN($BJ$7:$BJ$29), MAX($BJ$7:$BJ$29), M172)), $BK$7:$BK$29, "Error", 0)</f>
        <v/>
      </c>
      <c r="N173" s="232">
        <f>_xlfn.XLOOKUP(MIN(ABS($BJ$7:$BJ$29 - MEDIAN(MIN($BJ$7:$BJ$29), MAX($BJ$7:$BJ$29), N172))), ABS($BJ$7:$BJ$29 - MEDIAN(MIN($BJ$7:$BJ$29), MAX($BJ$7:$BJ$29), N172)), $BK$7:$BK$29, "Error", 0)</f>
        <v/>
      </c>
      <c r="O173" s="232">
        <f>_xlfn.XLOOKUP(MIN(ABS($BJ$7:$BJ$29 - MEDIAN(MIN($BJ$7:$BJ$29), MAX($BJ$7:$BJ$29), O172))), ABS($BJ$7:$BJ$29 - MEDIAN(MIN($BJ$7:$BJ$29), MAX($BJ$7:$BJ$29), O172)), $BK$7:$BK$29, "Error", 0)</f>
        <v/>
      </c>
      <c r="P173" s="232">
        <f>_xlfn.XLOOKUP(MIN(ABS($BJ$7:$BJ$29 - MEDIAN(MIN($BJ$7:$BJ$29), MAX($BJ$7:$BJ$29), P172))), ABS($BJ$7:$BJ$29 - MEDIAN(MIN($BJ$7:$BJ$29), MAX($BJ$7:$BJ$29), P172)), $BK$7:$BK$29, "Error", 0)</f>
        <v/>
      </c>
      <c r="Q173" s="232">
        <f>_xlfn.XLOOKUP(MIN(ABS($BJ$7:$BJ$29 - MEDIAN(MIN($BJ$7:$BJ$29), MAX($BJ$7:$BJ$29), Q172))), ABS($BJ$7:$BJ$29 - MEDIAN(MIN($BJ$7:$BJ$29), MAX($BJ$7:$BJ$29), Q172)), $BK$7:$BK$29, "Error", 0)</f>
        <v/>
      </c>
      <c r="R173" s="232">
        <f>_xlfn.XLOOKUP(MIN(ABS($BJ$7:$BJ$29 - MEDIAN(MIN($BJ$7:$BJ$29), MAX($BJ$7:$BJ$29), R172))), ABS($BJ$7:$BJ$29 - MEDIAN(MIN($BJ$7:$BJ$29), MAX($BJ$7:$BJ$29), R172)), $BK$7:$BK$29, "Error", 0)</f>
        <v/>
      </c>
      <c r="S173" s="232">
        <f>_xlfn.XLOOKUP(MIN(ABS($BJ$7:$BJ$29 - MEDIAN(MIN($BJ$7:$BJ$29), MAX($BJ$7:$BJ$29), S172))), ABS($BJ$7:$BJ$29 - MEDIAN(MIN($BJ$7:$BJ$29), MAX($BJ$7:$BJ$29), S172)), $BK$7:$BK$29, "Error", 0)</f>
        <v/>
      </c>
      <c r="T173" s="232">
        <f>_xlfn.XLOOKUP(MIN(ABS($BJ$7:$BJ$29 - MEDIAN(MIN($BJ$7:$BJ$29), MAX($BJ$7:$BJ$29), T172))), ABS($BJ$7:$BJ$29 - MEDIAN(MIN($BJ$7:$BJ$29), MAX($BJ$7:$BJ$29), T172)), $BK$7:$BK$29, "Error", 0)</f>
        <v/>
      </c>
      <c r="U173" s="232">
        <f>_xlfn.XLOOKUP(MIN(ABS($BJ$7:$BJ$29 - MEDIAN(MIN($BJ$7:$BJ$29), MAX($BJ$7:$BJ$29), U172))), ABS($BJ$7:$BJ$29 - MEDIAN(MIN($BJ$7:$BJ$29), MAX($BJ$7:$BJ$29), U172)), $BK$7:$BK$29, "Error", 0)</f>
        <v/>
      </c>
      <c r="V173" s="232">
        <f>_xlfn.XLOOKUP(MIN(ABS($BJ$7:$BJ$29 - MEDIAN(MIN($BJ$7:$BJ$29), MAX($BJ$7:$BJ$29), V172))), ABS($BJ$7:$BJ$29 - MEDIAN(MIN($BJ$7:$BJ$29), MAX($BJ$7:$BJ$29), V172)), $BK$7:$BK$29, "Error", 0)</f>
        <v/>
      </c>
      <c r="W173" s="232">
        <f>_xlfn.XLOOKUP(MIN(ABS($BJ$7:$BJ$29 - MEDIAN(MIN($BJ$7:$BJ$29), MAX($BJ$7:$BJ$29), W172))), ABS($BJ$7:$BJ$29 - MEDIAN(MIN($BJ$7:$BJ$29), MAX($BJ$7:$BJ$29), W172)), $BK$7:$BK$29, "Error", 0)</f>
        <v/>
      </c>
      <c r="X173" s="232">
        <f>_xlfn.XLOOKUP(MIN(ABS($BJ$7:$BJ$29 - MEDIAN(MIN($BJ$7:$BJ$29), MAX($BJ$7:$BJ$29), X172))), ABS($BJ$7:$BJ$29 - MEDIAN(MIN($BJ$7:$BJ$29), MAX($BJ$7:$BJ$29), X172)), $BK$7:$BK$29, "Error", 0)</f>
        <v/>
      </c>
      <c r="Y173" s="232">
        <f>_xlfn.XLOOKUP(MIN(ABS($BJ$7:$BJ$29 - MEDIAN(MIN($BJ$7:$BJ$29), MAX($BJ$7:$BJ$29), Y172))), ABS($BJ$7:$BJ$29 - MEDIAN(MIN($BJ$7:$BJ$29), MAX($BJ$7:$BJ$29), Y172)), $BK$7:$BK$29, "Error", 0)</f>
        <v/>
      </c>
      <c r="Z173" s="232">
        <f>_xlfn.XLOOKUP(MIN(ABS($BJ$7:$BJ$29 - MEDIAN(MIN($BJ$7:$BJ$29), MAX($BJ$7:$BJ$29), Z172))), ABS($BJ$7:$BJ$29 - MEDIAN(MIN($BJ$7:$BJ$29), MAX($BJ$7:$BJ$29), Z172)), $BK$7:$BK$29, "Error", 0)</f>
        <v/>
      </c>
      <c r="AA173" s="232">
        <f>_xlfn.XLOOKUP(MIN(ABS($BJ$7:$BJ$29 - MEDIAN(MIN($BJ$7:$BJ$29), MAX($BJ$7:$BJ$29), AA172))), ABS($BJ$7:$BJ$29 - MEDIAN(MIN($BJ$7:$BJ$29), MAX($BJ$7:$BJ$29), AA172)), $BK$7:$BK$29, "Error", 0)</f>
        <v/>
      </c>
      <c r="AB173" s="171">
        <f>_xlfn.XLOOKUP(MIN(ABS($BJ$7:$BJ$29 - MEDIAN(MIN($BJ$7:$BJ$29), MAX($BJ$7:$BJ$29), AB172))), ABS($BJ$7:$BJ$29 - MEDIAN(MIN($BJ$7:$BJ$29), MAX($BJ$7:$BJ$29), AB172)), $BK$7:$BK$29, "Error", 0)</f>
        <v/>
      </c>
      <c r="AC173" s="171">
        <f>_xlfn.XLOOKUP(MIN(ABS($BJ$7:$BJ$29 - MEDIAN(MIN($BJ$7:$BJ$29), MAX($BJ$7:$BJ$29), AC172))), ABS($BJ$7:$BJ$29 - MEDIAN(MIN($BJ$7:$BJ$29), MAX($BJ$7:$BJ$29), AC172)), $BK$7:$BK$29, "Error", 0)</f>
        <v/>
      </c>
      <c r="AD173" s="171">
        <f>_xlfn.XLOOKUP(MIN(ABS($BJ$7:$BJ$29 - MEDIAN(MIN($BJ$7:$BJ$29), MAX($BJ$7:$BJ$29), AD172))), ABS($BJ$7:$BJ$29 - MEDIAN(MIN($BJ$7:$BJ$29), MAX($BJ$7:$BJ$29), AD172)), $BK$7:$BK$29, "Error", 0)</f>
        <v/>
      </c>
      <c r="AE173" s="171">
        <f>_xlfn.XLOOKUP(MIN(ABS($BJ$7:$BJ$29 - MEDIAN(MIN($BJ$7:$BJ$29), MAX($BJ$7:$BJ$29), AE172))), ABS($BJ$7:$BJ$29 - MEDIAN(MIN($BJ$7:$BJ$29), MAX($BJ$7:$BJ$29), AE172)), $BK$7:$BK$29, "Error", 0)</f>
        <v/>
      </c>
      <c r="AF173" s="171">
        <f>_xlfn.XLOOKUP(MIN(ABS($BJ$7:$BJ$29 - MEDIAN(MIN($BJ$7:$BJ$29), MAX($BJ$7:$BJ$29), AF172))), ABS($BJ$7:$BJ$29 - MEDIAN(MIN($BJ$7:$BJ$29), MAX($BJ$7:$BJ$29), AF172)), $BK$7:$BK$29, "Error", 0)</f>
        <v/>
      </c>
      <c r="AG173" s="171">
        <f>_xlfn.XLOOKUP(MIN(ABS($BJ$7:$BJ$29 - MEDIAN(MIN($BJ$7:$BJ$29), MAX($BJ$7:$BJ$29), AG172))), ABS($BJ$7:$BJ$29 - MEDIAN(MIN($BJ$7:$BJ$29), MAX($BJ$7:$BJ$29), AG172)), $BK$7:$BK$29, "Error", 0)</f>
        <v/>
      </c>
      <c r="AH173" s="171">
        <f>_xlfn.XLOOKUP(MIN(ABS($BJ$7:$BJ$29 - MEDIAN(MIN($BJ$7:$BJ$29), MAX($BJ$7:$BJ$29), AH172))), ABS($BJ$7:$BJ$29 - MEDIAN(MIN($BJ$7:$BJ$29), MAX($BJ$7:$BJ$29), AH172)), $BK$7:$BK$29, "Error", 0)</f>
        <v/>
      </c>
      <c r="AI173" s="171">
        <f>_xlfn.XLOOKUP(MIN(ABS($BJ$7:$BJ$29 - MEDIAN(MIN($BJ$7:$BJ$29), MAX($BJ$7:$BJ$29), AI172))), ABS($BJ$7:$BJ$29 - MEDIAN(MIN($BJ$7:$BJ$29), MAX($BJ$7:$BJ$29), AI172)), $BK$7:$BK$29, "Error", 0)</f>
        <v/>
      </c>
      <c r="AJ173" s="171">
        <f>_xlfn.XLOOKUP(MIN(ABS($BJ$7:$BJ$29 - MEDIAN(MIN($BJ$7:$BJ$29), MAX($BJ$7:$BJ$29), AJ172))), ABS($BJ$7:$BJ$29 - MEDIAN(MIN($BJ$7:$BJ$29), MAX($BJ$7:$BJ$29), AJ172)), $BK$7:$BK$29, "Error", 0)</f>
        <v/>
      </c>
      <c r="AK173" s="171">
        <f>_xlfn.XLOOKUP(MIN(ABS($BJ$7:$BJ$29 - MEDIAN(MIN($BJ$7:$BJ$29), MAX($BJ$7:$BJ$29), AK172))), ABS($BJ$7:$BJ$29 - MEDIAN(MIN($BJ$7:$BJ$29), MAX($BJ$7:$BJ$29), AK172)), $BK$7:$BK$29, "Error", 0)</f>
        <v/>
      </c>
      <c r="AL173" s="171">
        <f>_xlfn.XLOOKUP(MIN(ABS($BJ$7:$BJ$29 - MEDIAN(MIN($BJ$7:$BJ$29), MAX($BJ$7:$BJ$29), AL172))), ABS($BJ$7:$BJ$29 - MEDIAN(MIN($BJ$7:$BJ$29), MAX($BJ$7:$BJ$29), AL172)), $BK$7:$BK$29, "Error", 0)</f>
        <v/>
      </c>
      <c r="AM173" s="171">
        <f>_xlfn.XLOOKUP(MIN(ABS($BJ$7:$BJ$29 - MEDIAN(MIN($BJ$7:$BJ$29), MAX($BJ$7:$BJ$29), AM172))), ABS($BJ$7:$BJ$29 - MEDIAN(MIN($BJ$7:$BJ$29), MAX($BJ$7:$BJ$29), AM172)), $BK$7:$BK$29, "Error", 0)</f>
        <v/>
      </c>
      <c r="AN173" s="171">
        <f>_xlfn.XLOOKUP(MIN(ABS($BJ$7:$BJ$29 - MEDIAN(MIN($BJ$7:$BJ$29), MAX($BJ$7:$BJ$29), AN172))), ABS($BJ$7:$BJ$29 - MEDIAN(MIN($BJ$7:$BJ$29), MAX($BJ$7:$BJ$29), AN172)), $BK$7:$BK$29, "Error", 0)</f>
        <v/>
      </c>
      <c r="AO173" s="171">
        <f>_xlfn.XLOOKUP(MIN(ABS($BJ$7:$BJ$29 - MEDIAN(MIN($BJ$7:$BJ$29), MAX($BJ$7:$BJ$29), AO172))), ABS($BJ$7:$BJ$29 - MEDIAN(MIN($BJ$7:$BJ$29), MAX($BJ$7:$BJ$29), AO172)), $BK$7:$BK$29, "Error", 0)</f>
        <v/>
      </c>
      <c r="AP173" s="171">
        <f>_xlfn.XLOOKUP(MIN(ABS($BJ$7:$BJ$29 - MEDIAN(MIN($BJ$7:$BJ$29), MAX($BJ$7:$BJ$29), AP172))), ABS($BJ$7:$BJ$29 - MEDIAN(MIN($BJ$7:$BJ$29), MAX($BJ$7:$BJ$29), AP172)), $BK$7:$BK$29, "Error", 0)</f>
        <v/>
      </c>
      <c r="AQ173" s="171">
        <f>_xlfn.XLOOKUP(MIN(ABS($BJ$7:$BJ$29 - MEDIAN(MIN($BJ$7:$BJ$29), MAX($BJ$7:$BJ$29), AQ172))), ABS($BJ$7:$BJ$29 - MEDIAN(MIN($BJ$7:$BJ$29), MAX($BJ$7:$BJ$29), AQ172)), $BK$7:$BK$29, "Error", 0)</f>
        <v/>
      </c>
      <c r="AR173" s="171">
        <f>_xlfn.XLOOKUP(MIN(ABS($BJ$7:$BJ$29 - MEDIAN(MIN($BJ$7:$BJ$29), MAX($BJ$7:$BJ$29), AR172))), ABS($BJ$7:$BJ$29 - MEDIAN(MIN($BJ$7:$BJ$29), MAX($BJ$7:$BJ$29), AR172)), $BK$7:$BK$29, "Error", 0)</f>
        <v/>
      </c>
      <c r="AS173" s="171">
        <f>_xlfn.XLOOKUP(MIN(ABS($BJ$7:$BJ$29 - MEDIAN(MIN($BJ$7:$BJ$29), MAX($BJ$7:$BJ$29), AS172))), ABS($BJ$7:$BJ$29 - MEDIAN(MIN($BJ$7:$BJ$29), MAX($BJ$7:$BJ$29), AS172)), $BK$7:$BK$29, "Error", 0)</f>
        <v/>
      </c>
      <c r="AT173" s="171">
        <f>_xlfn.XLOOKUP(MIN(ABS($BJ$7:$BJ$29 - MEDIAN(MIN($BJ$7:$BJ$29), MAX($BJ$7:$BJ$29), AT172))), ABS($BJ$7:$BJ$29 - MEDIAN(MIN($BJ$7:$BJ$29), MAX($BJ$7:$BJ$29), AT172)), $BK$7:$BK$29, "Error", 0)</f>
        <v/>
      </c>
      <c r="AU173" s="171">
        <f>_xlfn.XLOOKUP(MIN(ABS($BJ$7:$BJ$29 - MEDIAN(MIN($BJ$7:$BJ$29), MAX($BJ$7:$BJ$29), AU172))), ABS($BJ$7:$BJ$29 - MEDIAN(MIN($BJ$7:$BJ$29), MAX($BJ$7:$BJ$29), AU172)), $BK$7:$BK$29, "Error", 0)</f>
        <v/>
      </c>
      <c r="AV173" s="206">
        <f>_xlfn.XLOOKUP(MIN(ABS($BJ$7:$BJ$29 - MEDIAN(MIN($BJ$7:$BJ$29), MAX($BJ$7:$BJ$29), AV172))), ABS($BJ$7:$BJ$29 - MEDIAN(MIN($BJ$7:$BJ$29), MAX($BJ$7:$BJ$29), AV172)), $BK$7:$BK$29, "Error", 0)</f>
        <v/>
      </c>
      <c r="AW173" s="184">
        <f>_xlfn.XLOOKUP(MIN(ABS($BJ$7:$BJ$29 - MEDIAN(MIN($BJ$7:$BJ$29), MAX($BJ$7:$BJ$29), AW172))), ABS($BJ$7:$BJ$29 - MEDIAN(MIN($BJ$7:$BJ$29), MAX($BJ$7:$BJ$29), AW172)), $BK$7:$BK$29, "Error", 0)</f>
        <v/>
      </c>
      <c r="AX173" s="184">
        <f>_xlfn.XLOOKUP(MIN(ABS($BJ$7:$BJ$29 - MEDIAN(MIN($BJ$7:$BJ$29), MAX($BJ$7:$BJ$29), AX172))), ABS($BJ$7:$BJ$29 - MEDIAN(MIN($BJ$7:$BJ$29), MAX($BJ$7:$BJ$29), AX172)), $BK$7:$BK$29, "Error", 0)</f>
        <v/>
      </c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7206.241669942712</v>
      </c>
      <c r="D174" s="233" t="n">
        <v>7206.241669942712</v>
      </c>
      <c r="E174" s="233" t="n">
        <v>7206.241669942712</v>
      </c>
      <c r="F174" s="233" t="n">
        <v>7206.241669942712</v>
      </c>
      <c r="G174" s="233" t="n">
        <v>7206.241669942712</v>
      </c>
      <c r="H174" s="233" t="n">
        <v>7206.241669942712</v>
      </c>
      <c r="I174" s="233" t="n">
        <v>7206.241669942712</v>
      </c>
      <c r="J174" s="233" t="n">
        <v>7206.241669942712</v>
      </c>
      <c r="K174" s="233" t="n">
        <v>7206.241669942712</v>
      </c>
      <c r="L174" s="233" t="n">
        <v>7206.241669942712</v>
      </c>
      <c r="M174" s="233" t="n">
        <v>7206.241669942712</v>
      </c>
      <c r="N174" s="233" t="n">
        <v>7206.241669942712</v>
      </c>
      <c r="O174" s="233" t="n">
        <v>7206.241669942712</v>
      </c>
      <c r="P174" s="233" t="n">
        <v>7206.241669942712</v>
      </c>
      <c r="Q174" s="233" t="n">
        <v>7206.241669942712</v>
      </c>
      <c r="R174" s="233" t="n">
        <v>7206.241669942712</v>
      </c>
      <c r="S174" s="233" t="n">
        <v>7207.802733874996</v>
      </c>
      <c r="T174" s="233" t="n">
        <v>7207.802733874996</v>
      </c>
      <c r="U174" s="233" t="n">
        <v>7459.452591601352</v>
      </c>
      <c r="V174" s="233" t="n">
        <v>7459.452591601352</v>
      </c>
      <c r="W174" s="233" t="n">
        <v>7768.72202723904</v>
      </c>
      <c r="X174" s="233" t="n">
        <v>7768.72202723904</v>
      </c>
      <c r="Y174" s="233" t="n">
        <v>7768.72202723904</v>
      </c>
      <c r="Z174" s="233" t="n">
        <v>7768.72202723904</v>
      </c>
      <c r="AA174" s="204" t="n">
        <v>7768.72202723904</v>
      </c>
      <c r="AB174" s="204" t="n">
        <v>7768.72202723904</v>
      </c>
      <c r="AC174" s="204" t="n">
        <v>7768.72202723904</v>
      </c>
      <c r="AD174" s="204" t="n">
        <v>7768.72202723904</v>
      </c>
      <c r="AE174" s="204" t="n">
        <v>7768.72202723904</v>
      </c>
      <c r="AF174" s="204" t="n">
        <v>7768.72202723904</v>
      </c>
      <c r="AG174" s="204" t="n">
        <v>7880.943749845028</v>
      </c>
      <c r="AH174" s="204" t="n">
        <v>8142.168733358383</v>
      </c>
      <c r="AI174" s="204" t="n">
        <v>8200.41058828379</v>
      </c>
      <c r="AJ174" s="204" t="n">
        <v>8344.282162264863</v>
      </c>
      <c r="AK174" s="204" t="n">
        <v>8344.282162264863</v>
      </c>
      <c r="AL174" s="204" t="n">
        <v>8344.282162264863</v>
      </c>
      <c r="AM174" s="204" t="n">
        <v>8598.846261948347</v>
      </c>
      <c r="AN174" s="204" t="n">
        <v>8973.251021227916</v>
      </c>
      <c r="AO174" s="204" t="n">
        <v>8973.251021227916</v>
      </c>
      <c r="AP174" s="204" t="n">
        <v>8973.251021227916</v>
      </c>
      <c r="AQ174" s="204" t="n">
        <v>8973.251021227916</v>
      </c>
      <c r="AR174" s="204" t="n">
        <v>8973.251021227916</v>
      </c>
      <c r="AS174" s="204" t="n">
        <v>8973.251021227916</v>
      </c>
      <c r="AT174" s="204" t="n">
        <v>9192.075014318398</v>
      </c>
      <c r="AU174" s="204" t="n">
        <v>9192.075014318398</v>
      </c>
      <c r="AV174" s="200" t="n">
        <v>9192.075014318398</v>
      </c>
      <c r="AW174" s="184" t="n">
        <v>9192.075014318398</v>
      </c>
      <c r="AX174" s="184" t="n">
        <v>9192.075014318398</v>
      </c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7063.836751488154</v>
      </c>
      <c r="D175" s="233" t="n">
        <v>6641.436066392896</v>
      </c>
      <c r="E175" s="233" t="n">
        <v>6515.913530562131</v>
      </c>
      <c r="F175" s="233" t="n">
        <v>6590.62536357966</v>
      </c>
      <c r="G175" s="233" t="n">
        <v>6285.728035965236</v>
      </c>
      <c r="H175" s="233" t="n">
        <v>6317.690033398045</v>
      </c>
      <c r="I175" s="233" t="n">
        <v>6540.122646928648</v>
      </c>
      <c r="J175" s="233" t="n">
        <v>6405.69617763866</v>
      </c>
      <c r="K175" s="233" t="n">
        <v>6108.760759302415</v>
      </c>
      <c r="L175" s="233" t="n">
        <v>5967.016139542102</v>
      </c>
      <c r="M175" s="233" t="n">
        <v>6373.396081708197</v>
      </c>
      <c r="N175" s="233" t="n">
        <v>6852.215036537207</v>
      </c>
      <c r="O175" s="233" t="n">
        <v>6787.665139800694</v>
      </c>
      <c r="P175" s="233" t="n">
        <v>6788.097985990054</v>
      </c>
      <c r="Q175" s="233" t="n">
        <v>6996.968970770366</v>
      </c>
      <c r="R175" s="233" t="n">
        <v>6872.720344580535</v>
      </c>
      <c r="S175" s="233" t="n">
        <v>6983.13168313948</v>
      </c>
      <c r="T175" s="233" t="n">
        <v>7076.347701698542</v>
      </c>
      <c r="U175" s="233" t="n">
        <v>7330.976471202448</v>
      </c>
      <c r="V175" s="233" t="n">
        <v>7416.711727726943</v>
      </c>
      <c r="W175" s="233" t="n">
        <v>7728.872050877544</v>
      </c>
      <c r="X175" s="233" t="n">
        <v>7458.615274429321</v>
      </c>
      <c r="Y175" s="233" t="n">
        <v>7689.005954633583</v>
      </c>
      <c r="Z175" s="233" t="n">
        <v>7280.365096506139</v>
      </c>
      <c r="AA175" s="204" t="n">
        <v>7684.616027399898</v>
      </c>
      <c r="AB175" s="204" t="n">
        <v>7355.503131924343</v>
      </c>
      <c r="AC175" s="204" t="n">
        <v>7051.012594850123</v>
      </c>
      <c r="AD175" s="204" t="n">
        <v>7172.265741463692</v>
      </c>
      <c r="AE175" s="204" t="n">
        <v>7505.449217843707</v>
      </c>
      <c r="AF175" s="204" t="n">
        <v>7630.836388643656</v>
      </c>
      <c r="AG175" s="204" t="n">
        <v>7791.495691737451</v>
      </c>
      <c r="AH175" s="204" t="n">
        <v>8059.009948916151</v>
      </c>
      <c r="AI175" s="204" t="n">
        <v>8100.810793315643</v>
      </c>
      <c r="AJ175" s="204" t="n">
        <v>8144.347390996758</v>
      </c>
      <c r="AK175" s="204" t="n">
        <v>7895.769864636939</v>
      </c>
      <c r="AL175" s="204" t="n">
        <v>7989.705521623255</v>
      </c>
      <c r="AM175" s="204" t="n">
        <v>8432.739922972745</v>
      </c>
      <c r="AN175" s="204" t="n">
        <v>8932.668267134693</v>
      </c>
      <c r="AO175" s="204" t="n">
        <v>8085.954041333694</v>
      </c>
      <c r="AP175" s="204" t="n">
        <v>8439.622604162956</v>
      </c>
      <c r="AQ175" s="204" t="n">
        <v>8620.458195260377</v>
      </c>
      <c r="AR175" s="204" t="n">
        <v>8584.954364215198</v>
      </c>
      <c r="AS175" s="204" t="n">
        <v>8835.639478798374</v>
      </c>
      <c r="AT175" s="204" t="n">
        <v>9031.255144119263</v>
      </c>
      <c r="AU175" s="204" t="n">
        <v>8634.138741563482</v>
      </c>
      <c r="AV175" s="201" t="n">
        <v>8634.138741563482</v>
      </c>
      <c r="AW175" s="184" t="n">
        <v>8634.138741563482</v>
      </c>
      <c r="AX175" s="184" t="n">
        <v>8634.138741563482</v>
      </c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>
        <f>+(AV175-AV174)/AV174</f>
        <v/>
      </c>
      <c r="AW176" s="184">
        <f>+(AW175-AW174)/AW174</f>
        <v/>
      </c>
      <c r="AX176" s="184">
        <f>+(AX175-AX174)/AX174</f>
        <v/>
      </c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8148.7001953125</v>
      </c>
      <c r="W177" s="233" t="n">
        <v>8285.7001953125</v>
      </c>
      <c r="X177" s="233" t="n">
        <v>8384.5</v>
      </c>
      <c r="Y177" s="233" t="n">
        <v>8477.099609375</v>
      </c>
      <c r="Z177" s="233" t="n">
        <v>8514.5</v>
      </c>
      <c r="AA177" s="231" t="n">
        <v>8566.900390625</v>
      </c>
      <c r="AB177" s="203" t="n">
        <v>8615.2001953125</v>
      </c>
      <c r="AC177" s="203" t="n">
        <v>8615.2001953125</v>
      </c>
      <c r="AD177" s="203" t="n">
        <v>8615.2001953125</v>
      </c>
      <c r="AE177" s="203" t="n">
        <v>8615.2001953125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9296.7001953125</v>
      </c>
      <c r="AU177" s="203" t="n">
        <v>9296.7001953125</v>
      </c>
      <c r="AV177" s="201" t="n">
        <v>9296.7001953125</v>
      </c>
      <c r="AW177" s="184" t="n">
        <v>9296.7001953125</v>
      </c>
      <c r="AX177" s="184" t="n">
        <v>9296.7001953125</v>
      </c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7680.7001953125</v>
      </c>
      <c r="P178" s="233" t="n">
        <v>7698.7001953125</v>
      </c>
      <c r="Q178" s="233" t="n">
        <v>7896.89990234375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8269.7998046875</v>
      </c>
      <c r="X178" s="233" t="n">
        <v>8160</v>
      </c>
      <c r="Y178" s="233" t="n">
        <v>8436.2001953125</v>
      </c>
      <c r="Z178" s="233" t="n">
        <v>8159.10009765625</v>
      </c>
      <c r="AA178" s="231" t="n">
        <v>8532.2998046875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8542.2998046875</v>
      </c>
      <c r="AG178" s="203" t="n">
        <v>8742.7998046875</v>
      </c>
      <c r="AH178" s="203" t="n">
        <v>8973.099609375</v>
      </c>
      <c r="AI178" s="203" t="n">
        <v>8848.7998046875</v>
      </c>
      <c r="AJ178" s="203" t="n">
        <v>8881.900390625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9198.599609375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8778.7001953125</v>
      </c>
      <c r="AS178" s="203" t="n">
        <v>8976.7998046875</v>
      </c>
      <c r="AT178" s="203" t="n">
        <v>9076</v>
      </c>
      <c r="AU178" s="203" t="n">
        <v>8709.2998046875</v>
      </c>
      <c r="AV178" s="201" t="n">
        <v>8709.2998046875</v>
      </c>
      <c r="AW178" s="184" t="n">
        <v>8709.2998046875</v>
      </c>
      <c r="AX178" s="184" t="n">
        <v>8709.2998046875</v>
      </c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>
        <f>+(AV178-AV177)/AV177</f>
        <v/>
      </c>
      <c r="AW179" s="184">
        <f>+(AW178-AW177)/AW177</f>
        <v/>
      </c>
      <c r="AX179" s="184">
        <f>+(AX178-AX177)/AX177</f>
        <v/>
      </c>
      <c r="AY179" s="184" t="n"/>
    </row>
    <row r="180" ht="22" customHeight="1">
      <c r="A180" s="303" t="n"/>
      <c r="B180" s="201" t="inlineStr">
        <is>
          <t>real % change</t>
        </is>
      </c>
      <c r="C180" s="230">
        <f>+C179-C176</f>
        <v/>
      </c>
      <c r="D180" s="230">
        <f>+D179-D176</f>
        <v/>
      </c>
      <c r="E180" s="230">
        <f>+E179-E176</f>
        <v/>
      </c>
      <c r="F180" s="230">
        <f>+F179-F176</f>
        <v/>
      </c>
      <c r="G180" s="230">
        <f>+G179-G176</f>
        <v/>
      </c>
      <c r="H180" s="230">
        <f>+H179-H176</f>
        <v/>
      </c>
      <c r="I180" s="230">
        <f>+I179-I176</f>
        <v/>
      </c>
      <c r="J180" s="230">
        <f>+J179-J176</f>
        <v/>
      </c>
      <c r="K180" s="230">
        <f>+K179-K176</f>
        <v/>
      </c>
      <c r="L180" s="230">
        <f>+L179-L176</f>
        <v/>
      </c>
      <c r="M180" s="230">
        <f>+M179-M176</f>
        <v/>
      </c>
      <c r="N180" s="230">
        <f>+N179-N176</f>
        <v/>
      </c>
      <c r="O180" s="230">
        <f>+O179-O176</f>
        <v/>
      </c>
      <c r="P180" s="230">
        <f>+P179-P176</f>
        <v/>
      </c>
      <c r="Q180" s="230">
        <f>+Q179-Q176</f>
        <v/>
      </c>
      <c r="R180" s="230">
        <f>+R179-R176</f>
        <v/>
      </c>
      <c r="S180" s="230">
        <f>+S179-S176</f>
        <v/>
      </c>
      <c r="T180" s="230">
        <f>+T179-T176</f>
        <v/>
      </c>
      <c r="U180" s="230">
        <f>+U179-U176</f>
        <v/>
      </c>
      <c r="V180" s="230">
        <f>+V179-V176</f>
        <v/>
      </c>
      <c r="W180" s="230">
        <f>+W179-W176</f>
        <v/>
      </c>
      <c r="X180" s="230">
        <f>+X179-X176</f>
        <v/>
      </c>
      <c r="Y180" s="230">
        <f>+Y179-Y176</f>
        <v/>
      </c>
      <c r="Z180" s="230">
        <f>+Z179-Z176</f>
        <v/>
      </c>
      <c r="AA180" s="230">
        <f>+AA179-AA176</f>
        <v/>
      </c>
      <c r="AB180" s="205">
        <f>+AB179-AB176</f>
        <v/>
      </c>
      <c r="AC180" s="205">
        <f>+AC179-AC176</f>
        <v/>
      </c>
      <c r="AD180" s="205">
        <f>+AD179-AD176</f>
        <v/>
      </c>
      <c r="AE180" s="205">
        <f>+AE179-AE176</f>
        <v/>
      </c>
      <c r="AF180" s="205">
        <f>+AF179-AF176</f>
        <v/>
      </c>
      <c r="AG180" s="205">
        <f>+AG179-AG176</f>
        <v/>
      </c>
      <c r="AH180" s="205">
        <f>+AH179-AH176</f>
        <v/>
      </c>
      <c r="AI180" s="205">
        <f>+AI179-AI176</f>
        <v/>
      </c>
      <c r="AJ180" s="205">
        <f>+AJ179-AJ176</f>
        <v/>
      </c>
      <c r="AK180" s="205">
        <f>+AK179-AK176</f>
        <v/>
      </c>
      <c r="AL180" s="205">
        <f>+AL179-AL176</f>
        <v/>
      </c>
      <c r="AM180" s="205">
        <f>+AM179-AM176</f>
        <v/>
      </c>
      <c r="AN180" s="205">
        <f>+AN179-AN176</f>
        <v/>
      </c>
      <c r="AO180" s="205">
        <f>+AO179-AO176</f>
        <v/>
      </c>
      <c r="AP180" s="205">
        <f>+AP179-AP176</f>
        <v/>
      </c>
      <c r="AQ180" s="205">
        <f>+AQ179-AQ176</f>
        <v/>
      </c>
      <c r="AR180" s="205">
        <f>+AR179-AR176</f>
        <v/>
      </c>
      <c r="AS180" s="205">
        <f>+AS179-AS176</f>
        <v/>
      </c>
      <c r="AT180" s="205">
        <f>+AT179-AT176</f>
        <v/>
      </c>
      <c r="AU180" s="205">
        <f>+AU179-AU176</f>
        <v/>
      </c>
      <c r="AV180" s="201">
        <f>+AV179-AV176</f>
        <v/>
      </c>
      <c r="AW180" s="184">
        <f>+AW179-AW176</f>
        <v/>
      </c>
      <c r="AX180" s="184">
        <f>+AX179-AX176</f>
        <v/>
      </c>
      <c r="AY180" s="184" t="n"/>
    </row>
    <row r="181" ht="22" customHeight="1">
      <c r="A181" s="304" t="n"/>
      <c r="B181" s="206" t="inlineStr">
        <is>
          <t>Rating</t>
        </is>
      </c>
      <c r="C181" s="232">
        <f>_xlfn.XLOOKUP(MIN(ABS($BJ$7:$BJ$29 - MEDIAN(MIN($BJ$7:$BJ$29), MAX($BJ$7:$BJ$29), C180))), ABS($BJ$7:$BJ$29 - MEDIAN(MIN($BJ$7:$BJ$29), MAX($BJ$7:$BJ$29), C180)), $BK$7:$BK$29, "Error", 0)</f>
        <v/>
      </c>
      <c r="D181" s="232">
        <f>_xlfn.XLOOKUP(MIN(ABS($BJ$7:$BJ$29 - MEDIAN(MIN($BJ$7:$BJ$29), MAX($BJ$7:$BJ$29), D180))), ABS($BJ$7:$BJ$29 - MEDIAN(MIN($BJ$7:$BJ$29), MAX($BJ$7:$BJ$29), D180)), $BK$7:$BK$29, "Error", 0)</f>
        <v/>
      </c>
      <c r="E181" s="232">
        <f>_xlfn.XLOOKUP(MIN(ABS($BJ$7:$BJ$29 - MEDIAN(MIN($BJ$7:$BJ$29), MAX($BJ$7:$BJ$29), E180))), ABS($BJ$7:$BJ$29 - MEDIAN(MIN($BJ$7:$BJ$29), MAX($BJ$7:$BJ$29), E180)), $BK$7:$BK$29, "Error", 0)</f>
        <v/>
      </c>
      <c r="F181" s="232">
        <f>_xlfn.XLOOKUP(MIN(ABS($BJ$7:$BJ$29 - MEDIAN(MIN($BJ$7:$BJ$29), MAX($BJ$7:$BJ$29), F180))), ABS($BJ$7:$BJ$29 - MEDIAN(MIN($BJ$7:$BJ$29), MAX($BJ$7:$BJ$29), F180)), $BK$7:$BK$29, "Error", 0)</f>
        <v/>
      </c>
      <c r="G181" s="232">
        <f>_xlfn.XLOOKUP(MIN(ABS($BJ$7:$BJ$29 - MEDIAN(MIN($BJ$7:$BJ$29), MAX($BJ$7:$BJ$29), G180))), ABS($BJ$7:$BJ$29 - MEDIAN(MIN($BJ$7:$BJ$29), MAX($BJ$7:$BJ$29), G180)), $BK$7:$BK$29, "Error", 0)</f>
        <v/>
      </c>
      <c r="H181" s="232">
        <f>_xlfn.XLOOKUP(MIN(ABS($BJ$7:$BJ$29 - MEDIAN(MIN($BJ$7:$BJ$29), MAX($BJ$7:$BJ$29), H180))), ABS($BJ$7:$BJ$29 - MEDIAN(MIN($BJ$7:$BJ$29), MAX($BJ$7:$BJ$29), H180)), $BK$7:$BK$29, "Error", 0)</f>
        <v/>
      </c>
      <c r="I181" s="232">
        <f>_xlfn.XLOOKUP(MIN(ABS($BJ$7:$BJ$29 - MEDIAN(MIN($BJ$7:$BJ$29), MAX($BJ$7:$BJ$29), I180))), ABS($BJ$7:$BJ$29 - MEDIAN(MIN($BJ$7:$BJ$29), MAX($BJ$7:$BJ$29), I180)), $BK$7:$BK$29, "Error", 0)</f>
        <v/>
      </c>
      <c r="J181" s="232">
        <f>_xlfn.XLOOKUP(MIN(ABS($BJ$7:$BJ$29 - MEDIAN(MIN($BJ$7:$BJ$29), MAX($BJ$7:$BJ$29), J180))), ABS($BJ$7:$BJ$29 - MEDIAN(MIN($BJ$7:$BJ$29), MAX($BJ$7:$BJ$29), J180)), $BK$7:$BK$29, "Error", 0)</f>
        <v/>
      </c>
      <c r="K181" s="232">
        <f>_xlfn.XLOOKUP(MIN(ABS($BJ$7:$BJ$29 - MEDIAN(MIN($BJ$7:$BJ$29), MAX($BJ$7:$BJ$29), K180))), ABS($BJ$7:$BJ$29 - MEDIAN(MIN($BJ$7:$BJ$29), MAX($BJ$7:$BJ$29), K180)), $BK$7:$BK$29, "Error", 0)</f>
        <v/>
      </c>
      <c r="L181" s="232">
        <f>_xlfn.XLOOKUP(MIN(ABS($BJ$7:$BJ$29 - MEDIAN(MIN($BJ$7:$BJ$29), MAX($BJ$7:$BJ$29), L180))), ABS($BJ$7:$BJ$29 - MEDIAN(MIN($BJ$7:$BJ$29), MAX($BJ$7:$BJ$29), L180)), $BK$7:$BK$29, "Error", 0)</f>
        <v/>
      </c>
      <c r="M181" s="232">
        <f>_xlfn.XLOOKUP(MIN(ABS($BJ$7:$BJ$29 - MEDIAN(MIN($BJ$7:$BJ$29), MAX($BJ$7:$BJ$29), M180))), ABS($BJ$7:$BJ$29 - MEDIAN(MIN($BJ$7:$BJ$29), MAX($BJ$7:$BJ$29), M180)), $BK$7:$BK$29, "Error", 0)</f>
        <v/>
      </c>
      <c r="N181" s="232">
        <f>_xlfn.XLOOKUP(MIN(ABS($BJ$7:$BJ$29 - MEDIAN(MIN($BJ$7:$BJ$29), MAX($BJ$7:$BJ$29), N180))), ABS($BJ$7:$BJ$29 - MEDIAN(MIN($BJ$7:$BJ$29), MAX($BJ$7:$BJ$29), N180)), $BK$7:$BK$29, "Error", 0)</f>
        <v/>
      </c>
      <c r="O181" s="232">
        <f>_xlfn.XLOOKUP(MIN(ABS($BJ$7:$BJ$29 - MEDIAN(MIN($BJ$7:$BJ$29), MAX($BJ$7:$BJ$29), O180))), ABS($BJ$7:$BJ$29 - MEDIAN(MIN($BJ$7:$BJ$29), MAX($BJ$7:$BJ$29), O180)), $BK$7:$BK$29, "Error", 0)</f>
        <v/>
      </c>
      <c r="P181" s="232">
        <f>_xlfn.XLOOKUP(MIN(ABS($BJ$7:$BJ$29 - MEDIAN(MIN($BJ$7:$BJ$29), MAX($BJ$7:$BJ$29), P180))), ABS($BJ$7:$BJ$29 - MEDIAN(MIN($BJ$7:$BJ$29), MAX($BJ$7:$BJ$29), P180)), $BK$7:$BK$29, "Error", 0)</f>
        <v/>
      </c>
      <c r="Q181" s="232">
        <f>_xlfn.XLOOKUP(MIN(ABS($BJ$7:$BJ$29 - MEDIAN(MIN($BJ$7:$BJ$29), MAX($BJ$7:$BJ$29), Q180))), ABS($BJ$7:$BJ$29 - MEDIAN(MIN($BJ$7:$BJ$29), MAX($BJ$7:$BJ$29), Q180)), $BK$7:$BK$29, "Error", 0)</f>
        <v/>
      </c>
      <c r="R181" s="232">
        <f>_xlfn.XLOOKUP(MIN(ABS($BJ$7:$BJ$29 - MEDIAN(MIN($BJ$7:$BJ$29), MAX($BJ$7:$BJ$29), R180))), ABS($BJ$7:$BJ$29 - MEDIAN(MIN($BJ$7:$BJ$29), MAX($BJ$7:$BJ$29), R180)), $BK$7:$BK$29, "Error", 0)</f>
        <v/>
      </c>
      <c r="S181" s="232">
        <f>_xlfn.XLOOKUP(MIN(ABS($BJ$7:$BJ$29 - MEDIAN(MIN($BJ$7:$BJ$29), MAX($BJ$7:$BJ$29), S180))), ABS($BJ$7:$BJ$29 - MEDIAN(MIN($BJ$7:$BJ$29), MAX($BJ$7:$BJ$29), S180)), $BK$7:$BK$29, "Error", 0)</f>
        <v/>
      </c>
      <c r="T181" s="232">
        <f>_xlfn.XLOOKUP(MIN(ABS($BJ$7:$BJ$29 - MEDIAN(MIN($BJ$7:$BJ$29), MAX($BJ$7:$BJ$29), T180))), ABS($BJ$7:$BJ$29 - MEDIAN(MIN($BJ$7:$BJ$29), MAX($BJ$7:$BJ$29), T180)), $BK$7:$BK$29, "Error", 0)</f>
        <v/>
      </c>
      <c r="U181" s="232">
        <f>_xlfn.XLOOKUP(MIN(ABS($BJ$7:$BJ$29 - MEDIAN(MIN($BJ$7:$BJ$29), MAX($BJ$7:$BJ$29), U180))), ABS($BJ$7:$BJ$29 - MEDIAN(MIN($BJ$7:$BJ$29), MAX($BJ$7:$BJ$29), U180)), $BK$7:$BK$29, "Error", 0)</f>
        <v/>
      </c>
      <c r="V181" s="232">
        <f>_xlfn.XLOOKUP(MIN(ABS($BJ$7:$BJ$29 - MEDIAN(MIN($BJ$7:$BJ$29), MAX($BJ$7:$BJ$29), V180))), ABS($BJ$7:$BJ$29 - MEDIAN(MIN($BJ$7:$BJ$29), MAX($BJ$7:$BJ$29), V180)), $BK$7:$BK$29, "Error", 0)</f>
        <v/>
      </c>
      <c r="W181" s="232">
        <f>_xlfn.XLOOKUP(MIN(ABS($BJ$7:$BJ$29 - MEDIAN(MIN($BJ$7:$BJ$29), MAX($BJ$7:$BJ$29), W180))), ABS($BJ$7:$BJ$29 - MEDIAN(MIN($BJ$7:$BJ$29), MAX($BJ$7:$BJ$29), W180)), $BK$7:$BK$29, "Error", 0)</f>
        <v/>
      </c>
      <c r="X181" s="232">
        <f>_xlfn.XLOOKUP(MIN(ABS($BJ$7:$BJ$29 - MEDIAN(MIN($BJ$7:$BJ$29), MAX($BJ$7:$BJ$29), X180))), ABS($BJ$7:$BJ$29 - MEDIAN(MIN($BJ$7:$BJ$29), MAX($BJ$7:$BJ$29), X180)), $BK$7:$BK$29, "Error", 0)</f>
        <v/>
      </c>
      <c r="Y181" s="232">
        <f>_xlfn.XLOOKUP(MIN(ABS($BJ$7:$BJ$29 - MEDIAN(MIN($BJ$7:$BJ$29), MAX($BJ$7:$BJ$29), Y180))), ABS($BJ$7:$BJ$29 - MEDIAN(MIN($BJ$7:$BJ$29), MAX($BJ$7:$BJ$29), Y180)), $BK$7:$BK$29, "Error", 0)</f>
        <v/>
      </c>
      <c r="Z181" s="232">
        <f>_xlfn.XLOOKUP(MIN(ABS($BJ$7:$BJ$29 - MEDIAN(MIN($BJ$7:$BJ$29), MAX($BJ$7:$BJ$29), Z180))), ABS($BJ$7:$BJ$29 - MEDIAN(MIN($BJ$7:$BJ$29), MAX($BJ$7:$BJ$29), Z180)), $BK$7:$BK$29, "Error", 0)</f>
        <v/>
      </c>
      <c r="AA181" s="232">
        <f>_xlfn.XLOOKUP(MIN(ABS($BJ$7:$BJ$29 - MEDIAN(MIN($BJ$7:$BJ$29), MAX($BJ$7:$BJ$29), AA180))), ABS($BJ$7:$BJ$29 - MEDIAN(MIN($BJ$7:$BJ$29), MAX($BJ$7:$BJ$29), AA180)), $BK$7:$BK$29, "Error", 0)</f>
        <v/>
      </c>
      <c r="AB181" s="171">
        <f>_xlfn.XLOOKUP(MIN(ABS($BJ$7:$BJ$29 - MEDIAN(MIN($BJ$7:$BJ$29), MAX($BJ$7:$BJ$29), AB180))), ABS($BJ$7:$BJ$29 - MEDIAN(MIN($BJ$7:$BJ$29), MAX($BJ$7:$BJ$29), AB180)), $BK$7:$BK$29, "Error", 0)</f>
        <v/>
      </c>
      <c r="AC181" s="171">
        <f>_xlfn.XLOOKUP(MIN(ABS($BJ$7:$BJ$29 - MEDIAN(MIN($BJ$7:$BJ$29), MAX($BJ$7:$BJ$29), AC180))), ABS($BJ$7:$BJ$29 - MEDIAN(MIN($BJ$7:$BJ$29), MAX($BJ$7:$BJ$29), AC180)), $BK$7:$BK$29, "Error", 0)</f>
        <v/>
      </c>
      <c r="AD181" s="171">
        <f>_xlfn.XLOOKUP(MIN(ABS($BJ$7:$BJ$29 - MEDIAN(MIN($BJ$7:$BJ$29), MAX($BJ$7:$BJ$29), AD180))), ABS($BJ$7:$BJ$29 - MEDIAN(MIN($BJ$7:$BJ$29), MAX($BJ$7:$BJ$29), AD180)), $BK$7:$BK$29, "Error", 0)</f>
        <v/>
      </c>
      <c r="AE181" s="171">
        <f>_xlfn.XLOOKUP(MIN(ABS($BJ$7:$BJ$29 - MEDIAN(MIN($BJ$7:$BJ$29), MAX($BJ$7:$BJ$29), AE180))), ABS($BJ$7:$BJ$29 - MEDIAN(MIN($BJ$7:$BJ$29), MAX($BJ$7:$BJ$29), AE180)), $BK$7:$BK$29, "Error", 0)</f>
        <v/>
      </c>
      <c r="AF181" s="171">
        <f>_xlfn.XLOOKUP(MIN(ABS($BJ$7:$BJ$29 - MEDIAN(MIN($BJ$7:$BJ$29), MAX($BJ$7:$BJ$29), AF180))), ABS($BJ$7:$BJ$29 - MEDIAN(MIN($BJ$7:$BJ$29), MAX($BJ$7:$BJ$29), AF180)), $BK$7:$BK$29, "Error", 0)</f>
        <v/>
      </c>
      <c r="AG181" s="171">
        <f>_xlfn.XLOOKUP(MIN(ABS($BJ$7:$BJ$29 - MEDIAN(MIN($BJ$7:$BJ$29), MAX($BJ$7:$BJ$29), AG180))), ABS($BJ$7:$BJ$29 - MEDIAN(MIN($BJ$7:$BJ$29), MAX($BJ$7:$BJ$29), AG180)), $BK$7:$BK$29, "Error", 0)</f>
        <v/>
      </c>
      <c r="AH181" s="171">
        <f>_xlfn.XLOOKUP(MIN(ABS($BJ$7:$BJ$29 - MEDIAN(MIN($BJ$7:$BJ$29), MAX($BJ$7:$BJ$29), AH180))), ABS($BJ$7:$BJ$29 - MEDIAN(MIN($BJ$7:$BJ$29), MAX($BJ$7:$BJ$29), AH180)), $BK$7:$BK$29, "Error", 0)</f>
        <v/>
      </c>
      <c r="AI181" s="171">
        <f>_xlfn.XLOOKUP(MIN(ABS($BJ$7:$BJ$29 - MEDIAN(MIN($BJ$7:$BJ$29), MAX($BJ$7:$BJ$29), AI180))), ABS($BJ$7:$BJ$29 - MEDIAN(MIN($BJ$7:$BJ$29), MAX($BJ$7:$BJ$29), AI180)), $BK$7:$BK$29, "Error", 0)</f>
        <v/>
      </c>
      <c r="AJ181" s="171">
        <f>_xlfn.XLOOKUP(MIN(ABS($BJ$7:$BJ$29 - MEDIAN(MIN($BJ$7:$BJ$29), MAX($BJ$7:$BJ$29), AJ180))), ABS($BJ$7:$BJ$29 - MEDIAN(MIN($BJ$7:$BJ$29), MAX($BJ$7:$BJ$29), AJ180)), $BK$7:$BK$29, "Error", 0)</f>
        <v/>
      </c>
      <c r="AK181" s="171">
        <f>_xlfn.XLOOKUP(MIN(ABS($BJ$7:$BJ$29 - MEDIAN(MIN($BJ$7:$BJ$29), MAX($BJ$7:$BJ$29), AK180))), ABS($BJ$7:$BJ$29 - MEDIAN(MIN($BJ$7:$BJ$29), MAX($BJ$7:$BJ$29), AK180)), $BK$7:$BK$29, "Error", 0)</f>
        <v/>
      </c>
      <c r="AL181" s="171">
        <f>_xlfn.XLOOKUP(MIN(ABS($BJ$7:$BJ$29 - MEDIAN(MIN($BJ$7:$BJ$29), MAX($BJ$7:$BJ$29), AL180))), ABS($BJ$7:$BJ$29 - MEDIAN(MIN($BJ$7:$BJ$29), MAX($BJ$7:$BJ$29), AL180)), $BK$7:$BK$29, "Error", 0)</f>
        <v/>
      </c>
      <c r="AM181" s="171">
        <f>_xlfn.XLOOKUP(MIN(ABS($BJ$7:$BJ$29 - MEDIAN(MIN($BJ$7:$BJ$29), MAX($BJ$7:$BJ$29), AM180))), ABS($BJ$7:$BJ$29 - MEDIAN(MIN($BJ$7:$BJ$29), MAX($BJ$7:$BJ$29), AM180)), $BK$7:$BK$29, "Error", 0)</f>
        <v/>
      </c>
      <c r="AN181" s="171">
        <f>_xlfn.XLOOKUP(MIN(ABS($BJ$7:$BJ$29 - MEDIAN(MIN($BJ$7:$BJ$29), MAX($BJ$7:$BJ$29), AN180))), ABS($BJ$7:$BJ$29 - MEDIAN(MIN($BJ$7:$BJ$29), MAX($BJ$7:$BJ$29), AN180)), $BK$7:$BK$29, "Error", 0)</f>
        <v/>
      </c>
      <c r="AO181" s="171">
        <f>_xlfn.XLOOKUP(MIN(ABS($BJ$7:$BJ$29 - MEDIAN(MIN($BJ$7:$BJ$29), MAX($BJ$7:$BJ$29), AO180))), ABS($BJ$7:$BJ$29 - MEDIAN(MIN($BJ$7:$BJ$29), MAX($BJ$7:$BJ$29), AO180)), $BK$7:$BK$29, "Error", 0)</f>
        <v/>
      </c>
      <c r="AP181" s="171">
        <f>_xlfn.XLOOKUP(MIN(ABS($BJ$7:$BJ$29 - MEDIAN(MIN($BJ$7:$BJ$29), MAX($BJ$7:$BJ$29), AP180))), ABS($BJ$7:$BJ$29 - MEDIAN(MIN($BJ$7:$BJ$29), MAX($BJ$7:$BJ$29), AP180)), $BK$7:$BK$29, "Error", 0)</f>
        <v/>
      </c>
      <c r="AQ181" s="171">
        <f>_xlfn.XLOOKUP(MIN(ABS($BJ$7:$BJ$29 - MEDIAN(MIN($BJ$7:$BJ$29), MAX($BJ$7:$BJ$29), AQ180))), ABS($BJ$7:$BJ$29 - MEDIAN(MIN($BJ$7:$BJ$29), MAX($BJ$7:$BJ$29), AQ180)), $BK$7:$BK$29, "Error", 0)</f>
        <v/>
      </c>
      <c r="AR181" s="171">
        <f>_xlfn.XLOOKUP(MIN(ABS($BJ$7:$BJ$29 - MEDIAN(MIN($BJ$7:$BJ$29), MAX($BJ$7:$BJ$29), AR180))), ABS($BJ$7:$BJ$29 - MEDIAN(MIN($BJ$7:$BJ$29), MAX($BJ$7:$BJ$29), AR180)), $BK$7:$BK$29, "Error", 0)</f>
        <v/>
      </c>
      <c r="AS181" s="171">
        <f>_xlfn.XLOOKUP(MIN(ABS($BJ$7:$BJ$29 - MEDIAN(MIN($BJ$7:$BJ$29), MAX($BJ$7:$BJ$29), AS180))), ABS($BJ$7:$BJ$29 - MEDIAN(MIN($BJ$7:$BJ$29), MAX($BJ$7:$BJ$29), AS180)), $BK$7:$BK$29, "Error", 0)</f>
        <v/>
      </c>
      <c r="AT181" s="171">
        <f>_xlfn.XLOOKUP(MIN(ABS($BJ$7:$BJ$29 - MEDIAN(MIN($BJ$7:$BJ$29), MAX($BJ$7:$BJ$29), AT180))), ABS($BJ$7:$BJ$29 - MEDIAN(MIN($BJ$7:$BJ$29), MAX($BJ$7:$BJ$29), AT180)), $BK$7:$BK$29, "Error", 0)</f>
        <v/>
      </c>
      <c r="AU181" s="171">
        <f>_xlfn.XLOOKUP(MIN(ABS($BJ$7:$BJ$29 - MEDIAN(MIN($BJ$7:$BJ$29), MAX($BJ$7:$BJ$29), AU180))), ABS($BJ$7:$BJ$29 - MEDIAN(MIN($BJ$7:$BJ$29), MAX($BJ$7:$BJ$29), AU180)), $BK$7:$BK$29, "Error", 0)</f>
        <v/>
      </c>
      <c r="AV181" s="206">
        <f>_xlfn.XLOOKUP(MIN(ABS($BJ$7:$BJ$29 - MEDIAN(MIN($BJ$7:$BJ$29), MAX($BJ$7:$BJ$29), AV180))), ABS($BJ$7:$BJ$29 - MEDIAN(MIN($BJ$7:$BJ$29), MAX($BJ$7:$BJ$29), AV180)), $BK$7:$BK$29, "Error", 0)</f>
        <v/>
      </c>
      <c r="AW181" s="184">
        <f>_xlfn.XLOOKUP(MIN(ABS($BJ$7:$BJ$29 - MEDIAN(MIN($BJ$7:$BJ$29), MAX($BJ$7:$BJ$29), AW180))), ABS($BJ$7:$BJ$29 - MEDIAN(MIN($BJ$7:$BJ$29), MAX($BJ$7:$BJ$29), AW180)), $BK$7:$BK$29, "Error", 0)</f>
        <v/>
      </c>
      <c r="AX181" s="184">
        <f>_xlfn.XLOOKUP(MIN(ABS($BJ$7:$BJ$29 - MEDIAN(MIN($BJ$7:$BJ$29), MAX($BJ$7:$BJ$29), AX180))), ABS($BJ$7:$BJ$29 - MEDIAN(MIN($BJ$7:$BJ$29), MAX($BJ$7:$BJ$29), AX180)), $BK$7:$BK$29, "Error", 0)</f>
        <v/>
      </c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2250704.281158954</v>
      </c>
      <c r="D182" s="233" t="n">
        <v>2250704.281158954</v>
      </c>
      <c r="E182" s="233" t="n">
        <v>2250704.281158954</v>
      </c>
      <c r="F182" s="233" t="n">
        <v>2250704.281158954</v>
      </c>
      <c r="G182" s="233" t="n">
        <v>2250704.281158954</v>
      </c>
      <c r="H182" s="233" t="n">
        <v>2250704.281158954</v>
      </c>
      <c r="I182" s="233" t="n">
        <v>2250704.281158954</v>
      </c>
      <c r="J182" s="233" t="n">
        <v>2250704.281158954</v>
      </c>
      <c r="K182" s="233" t="n">
        <v>2260754.991977513</v>
      </c>
      <c r="L182" s="233" t="n">
        <v>2260754.991977513</v>
      </c>
      <c r="M182" s="233" t="n">
        <v>2260754.991977513</v>
      </c>
      <c r="N182" s="233" t="n">
        <v>2283427.886335999</v>
      </c>
      <c r="O182" s="233" t="n">
        <v>2341125.068435669</v>
      </c>
      <c r="P182" s="233" t="n">
        <v>2396950.951034203</v>
      </c>
      <c r="Q182" s="233" t="n">
        <v>2492223.762325421</v>
      </c>
      <c r="R182" s="233" t="n">
        <v>2581639.294539765</v>
      </c>
      <c r="S182" s="233" t="n">
        <v>2589787.635726929</v>
      </c>
      <c r="T182" s="233" t="n">
        <v>2589787.635726929</v>
      </c>
      <c r="U182" s="233" t="n">
        <v>2680926.202846378</v>
      </c>
      <c r="V182" s="233" t="n">
        <v>2680926.202846378</v>
      </c>
      <c r="W182" s="233" t="n">
        <v>2680926.202846378</v>
      </c>
      <c r="X182" s="233" t="n">
        <v>2723429.02394104</v>
      </c>
      <c r="Y182" s="233" t="n">
        <v>2825147.017337501</v>
      </c>
      <c r="Z182" s="233" t="n">
        <v>2825147.017337501</v>
      </c>
      <c r="AA182" s="204" t="n">
        <v>2825147.017337501</v>
      </c>
      <c r="AB182" s="204" t="n">
        <v>2825147.017337501</v>
      </c>
      <c r="AC182" s="204" t="n">
        <v>2825147.017337501</v>
      </c>
      <c r="AD182" s="204" t="n">
        <v>2825147.017337501</v>
      </c>
      <c r="AE182" s="204" t="n">
        <v>2825147.017337501</v>
      </c>
      <c r="AF182" s="204" t="n">
        <v>2863323.926391602</v>
      </c>
      <c r="AG182" s="204" t="n">
        <v>2979912.441492677</v>
      </c>
      <c r="AH182" s="204" t="n">
        <v>3064156.59572652</v>
      </c>
      <c r="AI182" s="204" t="n">
        <v>3225559.740950584</v>
      </c>
      <c r="AJ182" s="204" t="n">
        <v>3346566.688102722</v>
      </c>
      <c r="AK182" s="204" t="n">
        <v>3517843.637527466</v>
      </c>
      <c r="AL182" s="204" t="n">
        <v>3668725.826866731</v>
      </c>
      <c r="AM182" s="204" t="n">
        <v>3826363.667109668</v>
      </c>
      <c r="AN182" s="204" t="n">
        <v>3943020.804818988</v>
      </c>
      <c r="AO182" s="204" t="n">
        <v>3981771.77141571</v>
      </c>
      <c r="AP182" s="204" t="n">
        <v>4013667.260337621</v>
      </c>
      <c r="AQ182" s="204" t="n">
        <v>4018890.822276473</v>
      </c>
      <c r="AR182" s="204" t="n">
        <v>4068654.379613429</v>
      </c>
      <c r="AS182" s="204" t="n">
        <v>4156170.205078125</v>
      </c>
      <c r="AT182" s="204" t="n">
        <v>4259853.021137416</v>
      </c>
      <c r="AU182" s="204" t="n">
        <v>4259853.021137416</v>
      </c>
      <c r="AV182" s="200" t="n">
        <v>4259853.021137416</v>
      </c>
      <c r="AW182" s="184" t="n">
        <v>4259853.021137416</v>
      </c>
      <c r="AX182" s="184" t="n">
        <v>4259853.021137416</v>
      </c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2024510.039755493</v>
      </c>
      <c r="D183" s="233" t="n">
        <v>2030289.27278313</v>
      </c>
      <c r="E183" s="233" t="n">
        <v>1979759.83303982</v>
      </c>
      <c r="F183" s="233" t="n">
        <v>2030177.562992096</v>
      </c>
      <c r="G183" s="233" t="n">
        <v>2011767.69127053</v>
      </c>
      <c r="H183" s="233" t="n">
        <v>2202289.071790606</v>
      </c>
      <c r="I183" s="233" t="n">
        <v>2190895.589879528</v>
      </c>
      <c r="J183" s="233" t="n">
        <v>2190322.252200514</v>
      </c>
      <c r="K183" s="233" t="n">
        <v>2162987.570051968</v>
      </c>
      <c r="L183" s="233" t="n">
        <v>2034921.901107788</v>
      </c>
      <c r="M183" s="233" t="n">
        <v>2189284.375799149</v>
      </c>
      <c r="N183" s="233" t="n">
        <v>2240138.670523927</v>
      </c>
      <c r="O183" s="233" t="n">
        <v>2311357.88379547</v>
      </c>
      <c r="P183" s="233" t="n">
        <v>2370163.200278223</v>
      </c>
      <c r="Q183" s="233" t="n">
        <v>2468273.261352539</v>
      </c>
      <c r="R183" s="233" t="n">
        <v>2483465.722068787</v>
      </c>
      <c r="S183" s="233" t="n">
        <v>2554176.629768103</v>
      </c>
      <c r="T183" s="233" t="n">
        <v>2565900.148796886</v>
      </c>
      <c r="U183" s="233" t="n">
        <v>2547434.177060276</v>
      </c>
      <c r="V183" s="233" t="n">
        <v>2507521.831965834</v>
      </c>
      <c r="W183" s="233" t="n">
        <v>2536530.231121629</v>
      </c>
      <c r="X183" s="233" t="n">
        <v>2661341.528171942</v>
      </c>
      <c r="Y183" s="233" t="n">
        <v>2767906.479125977</v>
      </c>
      <c r="Z183" s="233" t="n">
        <v>2705133.48319836</v>
      </c>
      <c r="AA183" s="204" t="n">
        <v>2714551.547307372</v>
      </c>
      <c r="AB183" s="204" t="n">
        <v>2637216.454456329</v>
      </c>
      <c r="AC183" s="204" t="n">
        <v>2605099.797229767</v>
      </c>
      <c r="AD183" s="204" t="n">
        <v>2556310.199727863</v>
      </c>
      <c r="AE183" s="204" t="n">
        <v>2725744.053738311</v>
      </c>
      <c r="AF183" s="204" t="n">
        <v>2836351.463791803</v>
      </c>
      <c r="AG183" s="204" t="n">
        <v>2942068.572159767</v>
      </c>
      <c r="AH183" s="204" t="n">
        <v>3049317.472618103</v>
      </c>
      <c r="AI183" s="204" t="n">
        <v>3205564.57399407</v>
      </c>
      <c r="AJ183" s="204" t="n">
        <v>3330885.886002541</v>
      </c>
      <c r="AK183" s="204" t="n">
        <v>3496765.702268332</v>
      </c>
      <c r="AL183" s="204" t="n">
        <v>3621697.08052969</v>
      </c>
      <c r="AM183" s="204" t="n">
        <v>3623636.553195953</v>
      </c>
      <c r="AN183" s="204" t="n">
        <v>3913214.762878418</v>
      </c>
      <c r="AO183" s="204" t="n">
        <v>3759472.75</v>
      </c>
      <c r="AP183" s="204" t="n">
        <v>3979970.721555591</v>
      </c>
      <c r="AQ183" s="204" t="n">
        <v>4017395.776374936</v>
      </c>
      <c r="AR183" s="204" t="n">
        <v>3971397.372047424</v>
      </c>
      <c r="AS183" s="204" t="n">
        <v>4026519.549851716</v>
      </c>
      <c r="AT183" s="204" t="n">
        <v>4178325.238735199</v>
      </c>
      <c r="AU183" s="204" t="n">
        <v>3947754.344759881</v>
      </c>
      <c r="AV183" s="201" t="n">
        <v>3947754.344759881</v>
      </c>
      <c r="AW183" s="184" t="n">
        <v>3947754.344759881</v>
      </c>
      <c r="AX183" s="184" t="n">
        <v>3947754.344759881</v>
      </c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>
        <f>+(AV183-AV182)/AV182</f>
        <v/>
      </c>
      <c r="AW184" s="184">
        <f>+(AW183-AW182)/AW182</f>
        <v/>
      </c>
      <c r="AX184" s="184">
        <f>+(AX183-AX182)/AX182</f>
        <v/>
      </c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22152.900390625</v>
      </c>
      <c r="D185" s="233" t="n">
        <v>22152.900390625</v>
      </c>
      <c r="E185" s="233" t="n">
        <v>22152.900390625</v>
      </c>
      <c r="F185" s="233" t="n">
        <v>22152.900390625</v>
      </c>
      <c r="G185" s="233" t="n">
        <v>22152.900390625</v>
      </c>
      <c r="H185" s="233" t="n">
        <v>22152.900390625</v>
      </c>
      <c r="I185" s="233" t="n">
        <v>22152.900390625</v>
      </c>
      <c r="J185" s="233" t="n">
        <v>22152.900390625</v>
      </c>
      <c r="K185" s="233" t="n">
        <v>22152.900390625</v>
      </c>
      <c r="L185" s="233" t="n">
        <v>22152.900390625</v>
      </c>
      <c r="M185" s="233" t="n">
        <v>22152.900390625</v>
      </c>
      <c r="N185" s="233" t="n">
        <v>22152.900390625</v>
      </c>
      <c r="O185" s="233" t="n">
        <v>22152.900390625</v>
      </c>
      <c r="P185" s="233" t="n">
        <v>22152.900390625</v>
      </c>
      <c r="Q185" s="233" t="n">
        <v>22220.900390625</v>
      </c>
      <c r="R185" s="233" t="n">
        <v>22380.19921875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24850.19921875</v>
      </c>
      <c r="Y185" s="233" t="n">
        <v>25694.5</v>
      </c>
      <c r="Z185" s="233" t="n">
        <v>25760.19921875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26336.30078125</v>
      </c>
      <c r="AF185" s="203" t="n">
        <v>26857.099609375</v>
      </c>
      <c r="AG185" s="203" t="n">
        <v>27544.599609375</v>
      </c>
      <c r="AH185" s="203" t="n">
        <v>28607.30078125</v>
      </c>
      <c r="AI185" s="203" t="n">
        <v>30049.80078125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33288.3984375</v>
      </c>
      <c r="AN185" s="203" t="n">
        <v>34510.1015625</v>
      </c>
      <c r="AO185" s="203" t="n">
        <v>34544.5</v>
      </c>
      <c r="AP185" s="203" t="n">
        <v>34544.5</v>
      </c>
      <c r="AQ185" s="203" t="n">
        <v>34846.5</v>
      </c>
      <c r="AR185" s="203" t="n">
        <v>35456.80078125</v>
      </c>
      <c r="AS185" s="203" t="n">
        <v>35760</v>
      </c>
      <c r="AT185" s="203" t="n">
        <v>37069.1015625</v>
      </c>
      <c r="AU185" s="203" t="n">
        <v>37069.1015625</v>
      </c>
      <c r="AV185" s="201" t="n">
        <v>37069.1015625</v>
      </c>
      <c r="AW185" s="184" t="n">
        <v>37069.1015625</v>
      </c>
      <c r="AX185" s="184" t="n">
        <v>37069.1015625</v>
      </c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22167</v>
      </c>
      <c r="R186" s="233" t="n">
        <v>21714.5</v>
      </c>
      <c r="S186" s="233" t="n">
        <v>22269.099609375</v>
      </c>
      <c r="T186" s="233" t="n">
        <v>21875.80078125</v>
      </c>
      <c r="U186" s="233" t="n">
        <v>23110.80078125</v>
      </c>
      <c r="V186" s="233" t="n">
        <v>23346.19921875</v>
      </c>
      <c r="W186" s="233" t="n">
        <v>24000.400390625</v>
      </c>
      <c r="X186" s="233" t="n">
        <v>24156.900390625</v>
      </c>
      <c r="Y186" s="233" t="n">
        <v>25648</v>
      </c>
      <c r="Z186" s="233" t="n">
        <v>24727.900390625</v>
      </c>
      <c r="AA186" s="231" t="n">
        <v>25533.099609375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26175.099609375</v>
      </c>
      <c r="AF186" s="203" t="n">
        <v>26857.099609375</v>
      </c>
      <c r="AG186" s="203" t="n">
        <v>27259.80078125</v>
      </c>
      <c r="AH186" s="203" t="n">
        <v>28564.5</v>
      </c>
      <c r="AI186" s="203" t="n">
        <v>30022.80078125</v>
      </c>
      <c r="AJ186" s="203" t="n">
        <v>30260.69921875</v>
      </c>
      <c r="AK186" s="203" t="n">
        <v>31382.80078125</v>
      </c>
      <c r="AL186" s="203" t="n">
        <v>31712.80078125</v>
      </c>
      <c r="AM186" s="203" t="n">
        <v>31923.5</v>
      </c>
      <c r="AN186" s="203" t="n">
        <v>34340</v>
      </c>
      <c r="AO186" s="203" t="n">
        <v>32768</v>
      </c>
      <c r="AP186" s="203" t="n">
        <v>33964.30078125</v>
      </c>
      <c r="AQ186" s="203" t="n">
        <v>34769.1015625</v>
      </c>
      <c r="AR186" s="203" t="n">
        <v>34857</v>
      </c>
      <c r="AS186" s="203" t="n">
        <v>35226.1015625</v>
      </c>
      <c r="AT186" s="203" t="n">
        <v>36270.5</v>
      </c>
      <c r="AU186" s="203" t="n">
        <v>35489.8984375</v>
      </c>
      <c r="AV186" s="201" t="n">
        <v>35489.8984375</v>
      </c>
      <c r="AW186" s="184" t="n">
        <v>35489.8984375</v>
      </c>
      <c r="AX186" s="184" t="n">
        <v>35489.8984375</v>
      </c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>
        <f>+(AV186-AV185)/AV185</f>
        <v/>
      </c>
      <c r="AW187" s="184">
        <f>+(AW186-AW185)/AW185</f>
        <v/>
      </c>
      <c r="AX187" s="184">
        <f>+(AX186-AX185)/AX185</f>
        <v/>
      </c>
      <c r="AY187" s="184" t="n"/>
    </row>
    <row r="188" ht="22" customHeight="1">
      <c r="A188" s="303" t="n"/>
      <c r="B188" s="201" t="inlineStr">
        <is>
          <t>real % change</t>
        </is>
      </c>
      <c r="C188" s="230">
        <f>+C187-C184</f>
        <v/>
      </c>
      <c r="D188" s="230">
        <f>+D187-D184</f>
        <v/>
      </c>
      <c r="E188" s="230">
        <f>+E187-E184</f>
        <v/>
      </c>
      <c r="F188" s="230">
        <f>+F187-F184</f>
        <v/>
      </c>
      <c r="G188" s="230">
        <f>+G187-G184</f>
        <v/>
      </c>
      <c r="H188" s="230">
        <f>+H187-H184</f>
        <v/>
      </c>
      <c r="I188" s="230">
        <f>+I187-I184</f>
        <v/>
      </c>
      <c r="J188" s="230">
        <f>+J187-J184</f>
        <v/>
      </c>
      <c r="K188" s="230">
        <f>+K187-K184</f>
        <v/>
      </c>
      <c r="L188" s="230">
        <f>+L187-L184</f>
        <v/>
      </c>
      <c r="M188" s="230">
        <f>+M187-M184</f>
        <v/>
      </c>
      <c r="N188" s="230">
        <f>+N187-N184</f>
        <v/>
      </c>
      <c r="O188" s="230">
        <f>+O187-O184</f>
        <v/>
      </c>
      <c r="P188" s="230">
        <f>+P187-P184</f>
        <v/>
      </c>
      <c r="Q188" s="230">
        <f>+Q187-Q184</f>
        <v/>
      </c>
      <c r="R188" s="230">
        <f>+R187-R184</f>
        <v/>
      </c>
      <c r="S188" s="230">
        <f>+S187-S184</f>
        <v/>
      </c>
      <c r="T188" s="230">
        <f>+T187-T184</f>
        <v/>
      </c>
      <c r="U188" s="230">
        <f>+U187-U184</f>
        <v/>
      </c>
      <c r="V188" s="230">
        <f>+V187-V184</f>
        <v/>
      </c>
      <c r="W188" s="230">
        <f>+W187-W184</f>
        <v/>
      </c>
      <c r="X188" s="230">
        <f>+X187-X184</f>
        <v/>
      </c>
      <c r="Y188" s="230">
        <f>+Y187-Y184</f>
        <v/>
      </c>
      <c r="Z188" s="230">
        <f>+Z187-Z184</f>
        <v/>
      </c>
      <c r="AA188" s="230">
        <f>+AA187-AA184</f>
        <v/>
      </c>
      <c r="AB188" s="205">
        <f>+AB187-AB184</f>
        <v/>
      </c>
      <c r="AC188" s="205">
        <f>+AC187-AC184</f>
        <v/>
      </c>
      <c r="AD188" s="205">
        <f>+AD187-AD184</f>
        <v/>
      </c>
      <c r="AE188" s="205">
        <f>+AE187-AE184</f>
        <v/>
      </c>
      <c r="AF188" s="205">
        <f>+AF187-AF184</f>
        <v/>
      </c>
      <c r="AG188" s="205">
        <f>+AG187-AG184</f>
        <v/>
      </c>
      <c r="AH188" s="205">
        <f>+AH187-AH184</f>
        <v/>
      </c>
      <c r="AI188" s="205">
        <f>+AI187-AI184</f>
        <v/>
      </c>
      <c r="AJ188" s="205">
        <f>+AJ187-AJ184</f>
        <v/>
      </c>
      <c r="AK188" s="205">
        <f>+AK187-AK184</f>
        <v/>
      </c>
      <c r="AL188" s="205">
        <f>+AL187-AL184</f>
        <v/>
      </c>
      <c r="AM188" s="205">
        <f>+AM187-AM184</f>
        <v/>
      </c>
      <c r="AN188" s="205">
        <f>+AN187-AN184</f>
        <v/>
      </c>
      <c r="AO188" s="205">
        <f>+AO187-AO184</f>
        <v/>
      </c>
      <c r="AP188" s="205">
        <f>+AP187-AP184</f>
        <v/>
      </c>
      <c r="AQ188" s="205">
        <f>+AQ187-AQ184</f>
        <v/>
      </c>
      <c r="AR188" s="205">
        <f>+AR187-AR184</f>
        <v/>
      </c>
      <c r="AS188" s="205">
        <f>+AS187-AS184</f>
        <v/>
      </c>
      <c r="AT188" s="205">
        <f>+AT187-AT184</f>
        <v/>
      </c>
      <c r="AU188" s="205">
        <f>+AU187-AU184</f>
        <v/>
      </c>
      <c r="AV188" s="201">
        <f>+AV187-AV184</f>
        <v/>
      </c>
      <c r="AW188" s="184">
        <f>+AW187-AW184</f>
        <v/>
      </c>
      <c r="AX188" s="184">
        <f>+AX187-AX184</f>
        <v/>
      </c>
      <c r="AY188" s="184" t="n"/>
    </row>
    <row r="189" ht="22" customHeight="1">
      <c r="A189" s="304" t="n"/>
      <c r="B189" s="206" t="inlineStr">
        <is>
          <t>Rating</t>
        </is>
      </c>
      <c r="C189" s="232">
        <f>_xlfn.XLOOKUP(MIN(ABS($BJ$7:$BJ$29 - MEDIAN(MIN($BJ$7:$BJ$29), MAX($BJ$7:$BJ$29), C188))), ABS($BJ$7:$BJ$29 - MEDIAN(MIN($BJ$7:$BJ$29), MAX($BJ$7:$BJ$29), C188)), $BK$7:$BK$29, "Error", 0)</f>
        <v/>
      </c>
      <c r="D189" s="232">
        <f>_xlfn.XLOOKUP(MIN(ABS($BJ$7:$BJ$29 - MEDIAN(MIN($BJ$7:$BJ$29), MAX($BJ$7:$BJ$29), D188))), ABS($BJ$7:$BJ$29 - MEDIAN(MIN($BJ$7:$BJ$29), MAX($BJ$7:$BJ$29), D188)), $BK$7:$BK$29, "Error", 0)</f>
        <v/>
      </c>
      <c r="E189" s="232">
        <f>_xlfn.XLOOKUP(MIN(ABS($BJ$7:$BJ$29 - MEDIAN(MIN($BJ$7:$BJ$29), MAX($BJ$7:$BJ$29), E188))), ABS($BJ$7:$BJ$29 - MEDIAN(MIN($BJ$7:$BJ$29), MAX($BJ$7:$BJ$29), E188)), $BK$7:$BK$29, "Error", 0)</f>
        <v/>
      </c>
      <c r="F189" s="232">
        <f>_xlfn.XLOOKUP(MIN(ABS($BJ$7:$BJ$29 - MEDIAN(MIN($BJ$7:$BJ$29), MAX($BJ$7:$BJ$29), F188))), ABS($BJ$7:$BJ$29 - MEDIAN(MIN($BJ$7:$BJ$29), MAX($BJ$7:$BJ$29), F188)), $BK$7:$BK$29, "Error", 0)</f>
        <v/>
      </c>
      <c r="G189" s="232">
        <f>_xlfn.XLOOKUP(MIN(ABS($BJ$7:$BJ$29 - MEDIAN(MIN($BJ$7:$BJ$29), MAX($BJ$7:$BJ$29), G188))), ABS($BJ$7:$BJ$29 - MEDIAN(MIN($BJ$7:$BJ$29), MAX($BJ$7:$BJ$29), G188)), $BK$7:$BK$29, "Error", 0)</f>
        <v/>
      </c>
      <c r="H189" s="232">
        <f>_xlfn.XLOOKUP(MIN(ABS($BJ$7:$BJ$29 - MEDIAN(MIN($BJ$7:$BJ$29), MAX($BJ$7:$BJ$29), H188))), ABS($BJ$7:$BJ$29 - MEDIAN(MIN($BJ$7:$BJ$29), MAX($BJ$7:$BJ$29), H188)), $BK$7:$BK$29, "Error", 0)</f>
        <v/>
      </c>
      <c r="I189" s="232">
        <f>_xlfn.XLOOKUP(MIN(ABS($BJ$7:$BJ$29 - MEDIAN(MIN($BJ$7:$BJ$29), MAX($BJ$7:$BJ$29), I188))), ABS($BJ$7:$BJ$29 - MEDIAN(MIN($BJ$7:$BJ$29), MAX($BJ$7:$BJ$29), I188)), $BK$7:$BK$29, "Error", 0)</f>
        <v/>
      </c>
      <c r="J189" s="232">
        <f>_xlfn.XLOOKUP(MIN(ABS($BJ$7:$BJ$29 - MEDIAN(MIN($BJ$7:$BJ$29), MAX($BJ$7:$BJ$29), J188))), ABS($BJ$7:$BJ$29 - MEDIAN(MIN($BJ$7:$BJ$29), MAX($BJ$7:$BJ$29), J188)), $BK$7:$BK$29, "Error", 0)</f>
        <v/>
      </c>
      <c r="K189" s="232">
        <f>_xlfn.XLOOKUP(MIN(ABS($BJ$7:$BJ$29 - MEDIAN(MIN($BJ$7:$BJ$29), MAX($BJ$7:$BJ$29), K188))), ABS($BJ$7:$BJ$29 - MEDIAN(MIN($BJ$7:$BJ$29), MAX($BJ$7:$BJ$29), K188)), $BK$7:$BK$29, "Error", 0)</f>
        <v/>
      </c>
      <c r="L189" s="232">
        <f>_xlfn.XLOOKUP(MIN(ABS($BJ$7:$BJ$29 - MEDIAN(MIN($BJ$7:$BJ$29), MAX($BJ$7:$BJ$29), L188))), ABS($BJ$7:$BJ$29 - MEDIAN(MIN($BJ$7:$BJ$29), MAX($BJ$7:$BJ$29), L188)), $BK$7:$BK$29, "Error", 0)</f>
        <v/>
      </c>
      <c r="M189" s="232">
        <f>_xlfn.XLOOKUP(MIN(ABS($BJ$7:$BJ$29 - MEDIAN(MIN($BJ$7:$BJ$29), MAX($BJ$7:$BJ$29), M188))), ABS($BJ$7:$BJ$29 - MEDIAN(MIN($BJ$7:$BJ$29), MAX($BJ$7:$BJ$29), M188)), $BK$7:$BK$29, "Error", 0)</f>
        <v/>
      </c>
      <c r="N189" s="232">
        <f>_xlfn.XLOOKUP(MIN(ABS($BJ$7:$BJ$29 - MEDIAN(MIN($BJ$7:$BJ$29), MAX($BJ$7:$BJ$29), N188))), ABS($BJ$7:$BJ$29 - MEDIAN(MIN($BJ$7:$BJ$29), MAX($BJ$7:$BJ$29), N188)), $BK$7:$BK$29, "Error", 0)</f>
        <v/>
      </c>
      <c r="O189" s="232">
        <f>_xlfn.XLOOKUP(MIN(ABS($BJ$7:$BJ$29 - MEDIAN(MIN($BJ$7:$BJ$29), MAX($BJ$7:$BJ$29), O188))), ABS($BJ$7:$BJ$29 - MEDIAN(MIN($BJ$7:$BJ$29), MAX($BJ$7:$BJ$29), O188)), $BK$7:$BK$29, "Error", 0)</f>
        <v/>
      </c>
      <c r="P189" s="232">
        <f>_xlfn.XLOOKUP(MIN(ABS($BJ$7:$BJ$29 - MEDIAN(MIN($BJ$7:$BJ$29), MAX($BJ$7:$BJ$29), P188))), ABS($BJ$7:$BJ$29 - MEDIAN(MIN($BJ$7:$BJ$29), MAX($BJ$7:$BJ$29), P188)), $BK$7:$BK$29, "Error", 0)</f>
        <v/>
      </c>
      <c r="Q189" s="232">
        <f>_xlfn.XLOOKUP(MIN(ABS($BJ$7:$BJ$29 - MEDIAN(MIN($BJ$7:$BJ$29), MAX($BJ$7:$BJ$29), Q188))), ABS($BJ$7:$BJ$29 - MEDIAN(MIN($BJ$7:$BJ$29), MAX($BJ$7:$BJ$29), Q188)), $BK$7:$BK$29, "Error", 0)</f>
        <v/>
      </c>
      <c r="R189" s="232">
        <f>_xlfn.XLOOKUP(MIN(ABS($BJ$7:$BJ$29 - MEDIAN(MIN($BJ$7:$BJ$29), MAX($BJ$7:$BJ$29), R188))), ABS($BJ$7:$BJ$29 - MEDIAN(MIN($BJ$7:$BJ$29), MAX($BJ$7:$BJ$29), R188)), $BK$7:$BK$29, "Error", 0)</f>
        <v/>
      </c>
      <c r="S189" s="232">
        <f>_xlfn.XLOOKUP(MIN(ABS($BJ$7:$BJ$29 - MEDIAN(MIN($BJ$7:$BJ$29), MAX($BJ$7:$BJ$29), S188))), ABS($BJ$7:$BJ$29 - MEDIAN(MIN($BJ$7:$BJ$29), MAX($BJ$7:$BJ$29), S188)), $BK$7:$BK$29, "Error", 0)</f>
        <v/>
      </c>
      <c r="T189" s="232">
        <f>_xlfn.XLOOKUP(MIN(ABS($BJ$7:$BJ$29 - MEDIAN(MIN($BJ$7:$BJ$29), MAX($BJ$7:$BJ$29), T188))), ABS($BJ$7:$BJ$29 - MEDIAN(MIN($BJ$7:$BJ$29), MAX($BJ$7:$BJ$29), T188)), $BK$7:$BK$29, "Error", 0)</f>
        <v/>
      </c>
      <c r="U189" s="232">
        <f>_xlfn.XLOOKUP(MIN(ABS($BJ$7:$BJ$29 - MEDIAN(MIN($BJ$7:$BJ$29), MAX($BJ$7:$BJ$29), U188))), ABS($BJ$7:$BJ$29 - MEDIAN(MIN($BJ$7:$BJ$29), MAX($BJ$7:$BJ$29), U188)), $BK$7:$BK$29, "Error", 0)</f>
        <v/>
      </c>
      <c r="V189" s="232">
        <f>_xlfn.XLOOKUP(MIN(ABS($BJ$7:$BJ$29 - MEDIAN(MIN($BJ$7:$BJ$29), MAX($BJ$7:$BJ$29), V188))), ABS($BJ$7:$BJ$29 - MEDIAN(MIN($BJ$7:$BJ$29), MAX($BJ$7:$BJ$29), V188)), $BK$7:$BK$29, "Error", 0)</f>
        <v/>
      </c>
      <c r="W189" s="232">
        <f>_xlfn.XLOOKUP(MIN(ABS($BJ$7:$BJ$29 - MEDIAN(MIN($BJ$7:$BJ$29), MAX($BJ$7:$BJ$29), W188))), ABS($BJ$7:$BJ$29 - MEDIAN(MIN($BJ$7:$BJ$29), MAX($BJ$7:$BJ$29), W188)), $BK$7:$BK$29, "Error", 0)</f>
        <v/>
      </c>
      <c r="X189" s="232">
        <f>_xlfn.XLOOKUP(MIN(ABS($BJ$7:$BJ$29 - MEDIAN(MIN($BJ$7:$BJ$29), MAX($BJ$7:$BJ$29), X188))), ABS($BJ$7:$BJ$29 - MEDIAN(MIN($BJ$7:$BJ$29), MAX($BJ$7:$BJ$29), X188)), $BK$7:$BK$29, "Error", 0)</f>
        <v/>
      </c>
      <c r="Y189" s="232">
        <f>_xlfn.XLOOKUP(MIN(ABS($BJ$7:$BJ$29 - MEDIAN(MIN($BJ$7:$BJ$29), MAX($BJ$7:$BJ$29), Y188))), ABS($BJ$7:$BJ$29 - MEDIAN(MIN($BJ$7:$BJ$29), MAX($BJ$7:$BJ$29), Y188)), $BK$7:$BK$29, "Error", 0)</f>
        <v/>
      </c>
      <c r="Z189" s="232">
        <f>_xlfn.XLOOKUP(MIN(ABS($BJ$7:$BJ$29 - MEDIAN(MIN($BJ$7:$BJ$29), MAX($BJ$7:$BJ$29), Z188))), ABS($BJ$7:$BJ$29 - MEDIAN(MIN($BJ$7:$BJ$29), MAX($BJ$7:$BJ$29), Z188)), $BK$7:$BK$29, "Error", 0)</f>
        <v/>
      </c>
      <c r="AA189" s="232">
        <f>_xlfn.XLOOKUP(MIN(ABS($BJ$7:$BJ$29 - MEDIAN(MIN($BJ$7:$BJ$29), MAX($BJ$7:$BJ$29), AA188))), ABS($BJ$7:$BJ$29 - MEDIAN(MIN($BJ$7:$BJ$29), MAX($BJ$7:$BJ$29), AA188)), $BK$7:$BK$29, "Error", 0)</f>
        <v/>
      </c>
      <c r="AB189" s="171">
        <f>_xlfn.XLOOKUP(MIN(ABS($BJ$7:$BJ$29 - MEDIAN(MIN($BJ$7:$BJ$29), MAX($BJ$7:$BJ$29), AB188))), ABS($BJ$7:$BJ$29 - MEDIAN(MIN($BJ$7:$BJ$29), MAX($BJ$7:$BJ$29), AB188)), $BK$7:$BK$29, "Error", 0)</f>
        <v/>
      </c>
      <c r="AC189" s="171">
        <f>_xlfn.XLOOKUP(MIN(ABS($BJ$7:$BJ$29 - MEDIAN(MIN($BJ$7:$BJ$29), MAX($BJ$7:$BJ$29), AC188))), ABS($BJ$7:$BJ$29 - MEDIAN(MIN($BJ$7:$BJ$29), MAX($BJ$7:$BJ$29), AC188)), $BK$7:$BK$29, "Error", 0)</f>
        <v/>
      </c>
      <c r="AD189" s="171">
        <f>_xlfn.XLOOKUP(MIN(ABS($BJ$7:$BJ$29 - MEDIAN(MIN($BJ$7:$BJ$29), MAX($BJ$7:$BJ$29), AD188))), ABS($BJ$7:$BJ$29 - MEDIAN(MIN($BJ$7:$BJ$29), MAX($BJ$7:$BJ$29), AD188)), $BK$7:$BK$29, "Error", 0)</f>
        <v/>
      </c>
      <c r="AE189" s="171">
        <f>_xlfn.XLOOKUP(MIN(ABS($BJ$7:$BJ$29 - MEDIAN(MIN($BJ$7:$BJ$29), MAX($BJ$7:$BJ$29), AE188))), ABS($BJ$7:$BJ$29 - MEDIAN(MIN($BJ$7:$BJ$29), MAX($BJ$7:$BJ$29), AE188)), $BK$7:$BK$29, "Error", 0)</f>
        <v/>
      </c>
      <c r="AF189" s="171">
        <f>_xlfn.XLOOKUP(MIN(ABS($BJ$7:$BJ$29 - MEDIAN(MIN($BJ$7:$BJ$29), MAX($BJ$7:$BJ$29), AF188))), ABS($BJ$7:$BJ$29 - MEDIAN(MIN($BJ$7:$BJ$29), MAX($BJ$7:$BJ$29), AF188)), $BK$7:$BK$29, "Error", 0)</f>
        <v/>
      </c>
      <c r="AG189" s="171">
        <f>_xlfn.XLOOKUP(MIN(ABS($BJ$7:$BJ$29 - MEDIAN(MIN($BJ$7:$BJ$29), MAX($BJ$7:$BJ$29), AG188))), ABS($BJ$7:$BJ$29 - MEDIAN(MIN($BJ$7:$BJ$29), MAX($BJ$7:$BJ$29), AG188)), $BK$7:$BK$29, "Error", 0)</f>
        <v/>
      </c>
      <c r="AH189" s="171">
        <f>_xlfn.XLOOKUP(MIN(ABS($BJ$7:$BJ$29 - MEDIAN(MIN($BJ$7:$BJ$29), MAX($BJ$7:$BJ$29), AH188))), ABS($BJ$7:$BJ$29 - MEDIAN(MIN($BJ$7:$BJ$29), MAX($BJ$7:$BJ$29), AH188)), $BK$7:$BK$29, "Error", 0)</f>
        <v/>
      </c>
      <c r="AI189" s="171">
        <f>_xlfn.XLOOKUP(MIN(ABS($BJ$7:$BJ$29 - MEDIAN(MIN($BJ$7:$BJ$29), MAX($BJ$7:$BJ$29), AI188))), ABS($BJ$7:$BJ$29 - MEDIAN(MIN($BJ$7:$BJ$29), MAX($BJ$7:$BJ$29), AI188)), $BK$7:$BK$29, "Error", 0)</f>
        <v/>
      </c>
      <c r="AJ189" s="171">
        <f>_xlfn.XLOOKUP(MIN(ABS($BJ$7:$BJ$29 - MEDIAN(MIN($BJ$7:$BJ$29), MAX($BJ$7:$BJ$29), AJ188))), ABS($BJ$7:$BJ$29 - MEDIAN(MIN($BJ$7:$BJ$29), MAX($BJ$7:$BJ$29), AJ188)), $BK$7:$BK$29, "Error", 0)</f>
        <v/>
      </c>
      <c r="AK189" s="171">
        <f>_xlfn.XLOOKUP(MIN(ABS($BJ$7:$BJ$29 - MEDIAN(MIN($BJ$7:$BJ$29), MAX($BJ$7:$BJ$29), AK188))), ABS($BJ$7:$BJ$29 - MEDIAN(MIN($BJ$7:$BJ$29), MAX($BJ$7:$BJ$29), AK188)), $BK$7:$BK$29, "Error", 0)</f>
        <v/>
      </c>
      <c r="AL189" s="171">
        <f>_xlfn.XLOOKUP(MIN(ABS($BJ$7:$BJ$29 - MEDIAN(MIN($BJ$7:$BJ$29), MAX($BJ$7:$BJ$29), AL188))), ABS($BJ$7:$BJ$29 - MEDIAN(MIN($BJ$7:$BJ$29), MAX($BJ$7:$BJ$29), AL188)), $BK$7:$BK$29, "Error", 0)</f>
        <v/>
      </c>
      <c r="AM189" s="171">
        <f>_xlfn.XLOOKUP(MIN(ABS($BJ$7:$BJ$29 - MEDIAN(MIN($BJ$7:$BJ$29), MAX($BJ$7:$BJ$29), AM188))), ABS($BJ$7:$BJ$29 - MEDIAN(MIN($BJ$7:$BJ$29), MAX($BJ$7:$BJ$29), AM188)), $BK$7:$BK$29, "Error", 0)</f>
        <v/>
      </c>
      <c r="AN189" s="171">
        <f>_xlfn.XLOOKUP(MIN(ABS($BJ$7:$BJ$29 - MEDIAN(MIN($BJ$7:$BJ$29), MAX($BJ$7:$BJ$29), AN188))), ABS($BJ$7:$BJ$29 - MEDIAN(MIN($BJ$7:$BJ$29), MAX($BJ$7:$BJ$29), AN188)), $BK$7:$BK$29, "Error", 0)</f>
        <v/>
      </c>
      <c r="AO189" s="171">
        <f>_xlfn.XLOOKUP(MIN(ABS($BJ$7:$BJ$29 - MEDIAN(MIN($BJ$7:$BJ$29), MAX($BJ$7:$BJ$29), AO188))), ABS($BJ$7:$BJ$29 - MEDIAN(MIN($BJ$7:$BJ$29), MAX($BJ$7:$BJ$29), AO188)), $BK$7:$BK$29, "Error", 0)</f>
        <v/>
      </c>
      <c r="AP189" s="171">
        <f>_xlfn.XLOOKUP(MIN(ABS($BJ$7:$BJ$29 - MEDIAN(MIN($BJ$7:$BJ$29), MAX($BJ$7:$BJ$29), AP188))), ABS($BJ$7:$BJ$29 - MEDIAN(MIN($BJ$7:$BJ$29), MAX($BJ$7:$BJ$29), AP188)), $BK$7:$BK$29, "Error", 0)</f>
        <v/>
      </c>
      <c r="AQ189" s="171">
        <f>_xlfn.XLOOKUP(MIN(ABS($BJ$7:$BJ$29 - MEDIAN(MIN($BJ$7:$BJ$29), MAX($BJ$7:$BJ$29), AQ188))), ABS($BJ$7:$BJ$29 - MEDIAN(MIN($BJ$7:$BJ$29), MAX($BJ$7:$BJ$29), AQ188)), $BK$7:$BK$29, "Error", 0)</f>
        <v/>
      </c>
      <c r="AR189" s="171">
        <f>_xlfn.XLOOKUP(MIN(ABS($BJ$7:$BJ$29 - MEDIAN(MIN($BJ$7:$BJ$29), MAX($BJ$7:$BJ$29), AR188))), ABS($BJ$7:$BJ$29 - MEDIAN(MIN($BJ$7:$BJ$29), MAX($BJ$7:$BJ$29), AR188)), $BK$7:$BK$29, "Error", 0)</f>
        <v/>
      </c>
      <c r="AS189" s="171">
        <f>_xlfn.XLOOKUP(MIN(ABS($BJ$7:$BJ$29 - MEDIAN(MIN($BJ$7:$BJ$29), MAX($BJ$7:$BJ$29), AS188))), ABS($BJ$7:$BJ$29 - MEDIAN(MIN($BJ$7:$BJ$29), MAX($BJ$7:$BJ$29), AS188)), $BK$7:$BK$29, "Error", 0)</f>
        <v/>
      </c>
      <c r="AT189" s="171">
        <f>_xlfn.XLOOKUP(MIN(ABS($BJ$7:$BJ$29 - MEDIAN(MIN($BJ$7:$BJ$29), MAX($BJ$7:$BJ$29), AT188))), ABS($BJ$7:$BJ$29 - MEDIAN(MIN($BJ$7:$BJ$29), MAX($BJ$7:$BJ$29), AT188)), $BK$7:$BK$29, "Error", 0)</f>
        <v/>
      </c>
      <c r="AU189" s="171">
        <f>_xlfn.XLOOKUP(MIN(ABS($BJ$7:$BJ$29 - MEDIAN(MIN($BJ$7:$BJ$29), MAX($BJ$7:$BJ$29), AU188))), ABS($BJ$7:$BJ$29 - MEDIAN(MIN($BJ$7:$BJ$29), MAX($BJ$7:$BJ$29), AU188)), $BK$7:$BK$29, "Error", 0)</f>
        <v/>
      </c>
      <c r="AV189" s="206">
        <f>_xlfn.XLOOKUP(MIN(ABS($BJ$7:$BJ$29 - MEDIAN(MIN($BJ$7:$BJ$29), MAX($BJ$7:$BJ$29), AV188))), ABS($BJ$7:$BJ$29 - MEDIAN(MIN($BJ$7:$BJ$29), MAX($BJ$7:$BJ$29), AV188)), $BK$7:$BK$29, "Error", 0)</f>
        <v/>
      </c>
      <c r="AW189" s="184">
        <f>_xlfn.XLOOKUP(MIN(ABS($BJ$7:$BJ$29 - MEDIAN(MIN($BJ$7:$BJ$29), MAX($BJ$7:$BJ$29), AW188))), ABS($BJ$7:$BJ$29 - MEDIAN(MIN($BJ$7:$BJ$29), MAX($BJ$7:$BJ$29), AW188)), $BK$7:$BK$29, "Error", 0)</f>
        <v/>
      </c>
      <c r="AX189" s="184">
        <f>_xlfn.XLOOKUP(MIN(ABS($BJ$7:$BJ$29 - MEDIAN(MIN($BJ$7:$BJ$29), MAX($BJ$7:$BJ$29), AX188))), ABS($BJ$7:$BJ$29 - MEDIAN(MIN($BJ$7:$BJ$29), MAX($BJ$7:$BJ$29), AX188)), $BK$7:$BK$29, "Error", 0)</f>
        <v/>
      </c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  <c r="AY98">
        <f>'FX RESERVE DATA'!BG66</f>
        <v/>
      </c>
      <c r="AZ98">
        <f>'FX RESERVE DATA'!BH66</f>
        <v/>
      </c>
      <c r="BA98">
        <f>'FX RESERVE DATA'!BI66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  <c r="AY99">
        <f>'FX RESERVE DATA'!BG67</f>
        <v/>
      </c>
      <c r="AZ99">
        <f>'FX RESERVE DATA'!BH67</f>
        <v/>
      </c>
      <c r="BA99">
        <f>'FX RESERVE DATA'!BI67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  <c r="AY100">
        <f>'FX RESERVE DATA'!BG68</f>
        <v/>
      </c>
      <c r="AZ100">
        <f>'FX RESERVE DATA'!BH68</f>
        <v/>
      </c>
      <c r="BA100">
        <f>'FX RESERVE DATA'!BI68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  <c r="AY101">
        <f>'FX RESERVE DATA'!BG69</f>
        <v/>
      </c>
      <c r="AZ101">
        <f>'FX RESERVE DATA'!BH69</f>
        <v/>
      </c>
      <c r="BA101">
        <f>'FX RESERVE DATA'!BI69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  <c r="AY102">
        <f>'FX RESERVE DATA'!BG70</f>
        <v/>
      </c>
      <c r="AZ102">
        <f>'FX RESERVE DATA'!BH70</f>
        <v/>
      </c>
      <c r="BA102">
        <f>'FX RESERVE DATA'!BI70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  <c r="AY103">
        <f>'FX RESERVE DATA'!BG71</f>
        <v/>
      </c>
      <c r="AZ103">
        <f>'FX RESERVE DATA'!BH71</f>
        <v/>
      </c>
      <c r="BA103">
        <f>'FX RESERVE DATA'!BI71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  <c r="AY104">
        <f>'FX RESERVE DATA'!BG72</f>
        <v/>
      </c>
      <c r="AZ104">
        <f>'FX RESERVE DATA'!BH72</f>
        <v/>
      </c>
      <c r="BA104">
        <f>'FX RESERVE DATA'!BI72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  <c r="AY105">
        <f>'FX RESERVE DATA'!BG73</f>
        <v/>
      </c>
      <c r="AZ105">
        <f>'FX RESERVE DATA'!BH73</f>
        <v/>
      </c>
      <c r="BA105">
        <f>'FX RESERVE DATA'!BI73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  <c r="AY106">
        <f>'FX RESERVE DATA'!BG74</f>
        <v/>
      </c>
      <c r="AZ106">
        <f>'FX RESERVE DATA'!BH74</f>
        <v/>
      </c>
      <c r="BA106">
        <f>'FX RESERVE DATA'!BI74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  <c r="AY107">
        <f>'FX RESERVE DATA'!BG75</f>
        <v/>
      </c>
      <c r="AZ107">
        <f>'FX RESERVE DATA'!BH75</f>
        <v/>
      </c>
      <c r="BA107">
        <f>'FX RESERVE DATA'!BI75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  <c r="AY108">
        <f>'FX RESERVE DATA'!BG76</f>
        <v/>
      </c>
      <c r="AZ108">
        <f>'FX RESERVE DATA'!BH76</f>
        <v/>
      </c>
      <c r="BA108">
        <f>'FX RESERVE DATA'!BI76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  <c r="AY109">
        <f>'FX RESERVE DATA'!BG77</f>
        <v/>
      </c>
      <c r="AZ109">
        <f>'FX RESERVE DATA'!BH77</f>
        <v/>
      </c>
      <c r="BA109">
        <f>'FX RESERVE DATA'!BI77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  <c r="AY110">
        <f>'FX RESERVE DATA'!BG78</f>
        <v/>
      </c>
      <c r="AZ110">
        <f>'FX RESERVE DATA'!BH78</f>
        <v/>
      </c>
      <c r="BA110">
        <f>'FX RESERVE DATA'!BI78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  <c r="AY111">
        <f>'FX RESERVE DATA'!BG79</f>
        <v/>
      </c>
      <c r="AZ111">
        <f>'FX RESERVE DATA'!BH79</f>
        <v/>
      </c>
      <c r="BA111">
        <f>'FX RESERVE DATA'!BI79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  <c r="AY112">
        <f>'FX RESERVE DATA'!BG80</f>
        <v/>
      </c>
      <c r="AZ112">
        <f>'FX RESERVE DATA'!BH80</f>
        <v/>
      </c>
      <c r="BA112">
        <f>'FX RESERVE DATA'!BI80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  <c r="AY113">
        <f>'FX RESERVE DATA'!BG81</f>
        <v/>
      </c>
      <c r="AZ113">
        <f>'FX RESERVE DATA'!BH81</f>
        <v/>
      </c>
      <c r="BA113">
        <f>'FX RESERVE DATA'!BI81</f>
        <v/>
      </c>
    </row>
    <row r="114" ht="21" customHeight="1">
      <c r="E114" s="242" t="inlineStr">
        <is>
          <t>CHF JPY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  <c r="AY114">
        <f>'FX RESERVE DATA'!BG82</f>
        <v/>
      </c>
      <c r="AZ114">
        <f>'FX RESERVE DATA'!BH82</f>
        <v/>
      </c>
      <c r="BA114">
        <f>'FX RESERVE DATA'!BI82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  <c r="AY115">
        <f>'FX RESERVE DATA'!BG83</f>
        <v/>
      </c>
      <c r="AZ115">
        <f>'FX RESERVE DATA'!BH83</f>
        <v/>
      </c>
      <c r="BA115">
        <f>'FX RESERVE DATA'!BI83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  <c r="AY116">
        <f>'FX RESERVE DATA'!BG84</f>
        <v/>
      </c>
      <c r="AZ116">
        <f>'FX RESERVE DATA'!BH84</f>
        <v/>
      </c>
      <c r="BA116">
        <f>'FX RESERVE DATA'!BI84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  <c r="AY117">
        <f>'FX RESERVE DATA'!BG85</f>
        <v/>
      </c>
      <c r="AZ117">
        <f>'FX RESERVE DATA'!BH85</f>
        <v/>
      </c>
      <c r="BA117">
        <f>'FX RESERVE DATA'!BI85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  <c r="AY118">
        <f>'FX RESERVE DATA'!BG86</f>
        <v/>
      </c>
      <c r="AZ118">
        <f>'FX RESERVE DATA'!BH86</f>
        <v/>
      </c>
      <c r="BA118">
        <f>'FX RESERVE DATA'!BI86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  <c r="AY119">
        <f>'FX RESERVE DATA'!BG87</f>
        <v/>
      </c>
      <c r="AZ119">
        <f>'FX RESERVE DATA'!BH87</f>
        <v/>
      </c>
      <c r="BA119">
        <f>'FX RESERVE DATA'!BI87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  <c r="AY120">
        <f>'FX RESERVE DATA'!BG88</f>
        <v/>
      </c>
      <c r="AZ120">
        <f>'FX RESERVE DATA'!BH88</f>
        <v/>
      </c>
      <c r="BA120">
        <f>'FX RESERVE DATA'!BI88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>
        <f>EQUITY!AS13</f>
        <v/>
      </c>
      <c r="AW149" s="187">
        <f>EQUITY!AT13</f>
        <v/>
      </c>
      <c r="AX149" s="187">
        <f>EQUITY!AU13</f>
        <v/>
      </c>
      <c r="AY149">
        <f>EQUITY!AV13</f>
        <v/>
      </c>
      <c r="AZ149">
        <f>EQUITY!AW13</f>
        <v/>
      </c>
      <c r="BA149">
        <f>EQUITY!AX13</f>
        <v/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>
        <f>EQUITY!AS21</f>
        <v/>
      </c>
      <c r="AW150" s="187">
        <f>EQUITY!AT21</f>
        <v/>
      </c>
      <c r="AX150" s="187">
        <f>EQUITY!AU21</f>
        <v/>
      </c>
      <c r="AY150">
        <f>EQUITY!AV21</f>
        <v/>
      </c>
      <c r="AZ150">
        <f>EQUITY!AW21</f>
        <v/>
      </c>
      <c r="BA150">
        <f>EQUITY!AX21</f>
        <v/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>
        <f>EQUITY!AS29</f>
        <v/>
      </c>
      <c r="AW151" s="187">
        <f>EQUITY!AT29</f>
        <v/>
      </c>
      <c r="AX151" s="187">
        <f>EQUITY!AU29</f>
        <v/>
      </c>
      <c r="AY151">
        <f>EQUITY!AV29</f>
        <v/>
      </c>
      <c r="AZ151">
        <f>EQUITY!AW29</f>
        <v/>
      </c>
      <c r="BA151">
        <f>EQUITY!AX29</f>
        <v/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>
        <f>EQUITY!AS37</f>
        <v/>
      </c>
      <c r="AW152" s="187">
        <f>EQUITY!AT37</f>
        <v/>
      </c>
      <c r="AX152" s="187">
        <f>EQUITY!AU37</f>
        <v/>
      </c>
      <c r="AY152">
        <f>EQUITY!AV37</f>
        <v/>
      </c>
      <c r="AZ152">
        <f>EQUITY!AW37</f>
        <v/>
      </c>
      <c r="BA152">
        <f>EQUITY!AX37</f>
        <v/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>
        <f>EQUITY!AS45</f>
        <v/>
      </c>
      <c r="AW153" s="187">
        <f>EQUITY!AT45</f>
        <v/>
      </c>
      <c r="AX153" s="187">
        <f>EQUITY!AU45</f>
        <v/>
      </c>
      <c r="AY153">
        <f>EQUITY!AV45</f>
        <v/>
      </c>
      <c r="AZ153">
        <f>EQUITY!AW45</f>
        <v/>
      </c>
      <c r="BA153">
        <f>EQUITY!AX45</f>
        <v/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>
        <f>EQUITY!AS53</f>
        <v/>
      </c>
      <c r="AW154" s="187">
        <f>EQUITY!AT53</f>
        <v/>
      </c>
      <c r="AX154" s="187">
        <f>EQUITY!AU53</f>
        <v/>
      </c>
      <c r="AY154">
        <f>EQUITY!AV53</f>
        <v/>
      </c>
      <c r="AZ154">
        <f>EQUITY!AW53</f>
        <v/>
      </c>
      <c r="BA154">
        <f>EQUITY!AX53</f>
        <v/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>
        <f>EQUITY!AS61</f>
        <v/>
      </c>
      <c r="AW155" s="187">
        <f>EQUITY!AT61</f>
        <v/>
      </c>
      <c r="AX155" s="187">
        <f>EQUITY!AU61</f>
        <v/>
      </c>
      <c r="AY155">
        <f>EQUITY!AV61</f>
        <v/>
      </c>
      <c r="AZ155">
        <f>EQUITY!AW61</f>
        <v/>
      </c>
      <c r="BA155">
        <f>EQUITY!AX61</f>
        <v/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>
        <f>EQUITY!AS69</f>
        <v/>
      </c>
      <c r="AW156" s="187">
        <f>EQUITY!AT69</f>
        <v/>
      </c>
      <c r="AX156" s="187">
        <f>EQUITY!AU69</f>
        <v/>
      </c>
      <c r="AY156">
        <f>EQUITY!AV69</f>
        <v/>
      </c>
      <c r="AZ156">
        <f>EQUITY!AW69</f>
        <v/>
      </c>
      <c r="BA156">
        <f>EQUITY!AX69</f>
        <v/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>
        <f>EQUITY!AS77</f>
        <v/>
      </c>
      <c r="AW157" s="187">
        <f>EQUITY!AT77</f>
        <v/>
      </c>
      <c r="AX157" s="187">
        <f>EQUITY!AU77</f>
        <v/>
      </c>
      <c r="AY157">
        <f>EQUITY!AV77</f>
        <v/>
      </c>
      <c r="AZ157">
        <f>EQUITY!AW77</f>
        <v/>
      </c>
      <c r="BA157">
        <f>EQUITY!AX77</f>
        <v/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>
        <f>EQUITY!AS85</f>
        <v/>
      </c>
      <c r="AW158" s="187">
        <f>EQUITY!AT85</f>
        <v/>
      </c>
      <c r="AX158" s="187">
        <f>EQUITY!AU85</f>
        <v/>
      </c>
      <c r="AY158">
        <f>EQUITY!AV85</f>
        <v/>
      </c>
      <c r="AZ158">
        <f>EQUITY!AW85</f>
        <v/>
      </c>
      <c r="BA158">
        <f>EQUITY!AX85</f>
        <v/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>
        <f>EQUITY!AS93</f>
        <v/>
      </c>
      <c r="AW159" s="187">
        <f>EQUITY!AT93</f>
        <v/>
      </c>
      <c r="AX159" s="187">
        <f>EQUITY!AU93</f>
        <v/>
      </c>
      <c r="AY159">
        <f>EQUITY!AV93</f>
        <v/>
      </c>
      <c r="AZ159">
        <f>EQUITY!AW93</f>
        <v/>
      </c>
      <c r="BA159">
        <f>EQUITY!AX93</f>
        <v/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>
        <f>EQUITY!AS101</f>
        <v/>
      </c>
      <c r="AW160" s="187">
        <f>EQUITY!AT101</f>
        <v/>
      </c>
      <c r="AX160" s="187">
        <f>EQUITY!AU101</f>
        <v/>
      </c>
      <c r="AY160">
        <f>EQUITY!AV101</f>
        <v/>
      </c>
      <c r="AZ160">
        <f>EQUITY!AW101</f>
        <v/>
      </c>
      <c r="BA160">
        <f>EQUITY!AX101</f>
        <v/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>
        <f>EQUITY!AS109</f>
        <v/>
      </c>
      <c r="AW161" s="187">
        <f>EQUITY!AT109</f>
        <v/>
      </c>
      <c r="AX161" s="187">
        <f>EQUITY!AU109</f>
        <v/>
      </c>
      <c r="AY161">
        <f>EQUITY!AV109</f>
        <v/>
      </c>
      <c r="AZ161">
        <f>EQUITY!AW109</f>
        <v/>
      </c>
      <c r="BA161">
        <f>EQUITY!AX109</f>
        <v/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>
        <f>EQUITY!AS117</f>
        <v/>
      </c>
      <c r="AW162" s="187">
        <f>EQUITY!AT117</f>
        <v/>
      </c>
      <c r="AX162" s="187">
        <f>EQUITY!AU117</f>
        <v/>
      </c>
      <c r="AY162">
        <f>EQUITY!AV117</f>
        <v/>
      </c>
      <c r="AZ162">
        <f>EQUITY!AW117</f>
        <v/>
      </c>
      <c r="BA162">
        <f>EQUITY!AX117</f>
        <v/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>
        <f>EQUITY!AS125</f>
        <v/>
      </c>
      <c r="AW163" s="187">
        <f>EQUITY!AT125</f>
        <v/>
      </c>
      <c r="AX163" s="187">
        <f>EQUITY!AU125</f>
        <v/>
      </c>
      <c r="AY163">
        <f>EQUITY!AV125</f>
        <v/>
      </c>
      <c r="AZ163">
        <f>EQUITY!AW125</f>
        <v/>
      </c>
      <c r="BA163">
        <f>EQUITY!AX125</f>
        <v/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>
        <f>EQUITY!AS133</f>
        <v/>
      </c>
      <c r="AW164" s="187">
        <f>EQUITY!AT133</f>
        <v/>
      </c>
      <c r="AX164" s="187">
        <f>EQUITY!AU133</f>
        <v/>
      </c>
      <c r="AY164">
        <f>EQUITY!AV133</f>
        <v/>
      </c>
      <c r="AZ164">
        <f>EQUITY!AW133</f>
        <v/>
      </c>
      <c r="BA164">
        <f>EQUITY!AX133</f>
        <v/>
      </c>
    </row>
    <row r="165" ht="21" customHeight="1">
      <c r="E165" s="242" t="inlineStr">
        <is>
          <t>CHF JPY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>
        <f>EQUITY!AS141</f>
        <v/>
      </c>
      <c r="AW165" s="187">
        <f>EQUITY!AT141</f>
        <v/>
      </c>
      <c r="AX165" s="187">
        <f>EQUITY!AU141</f>
        <v/>
      </c>
      <c r="AY165">
        <f>EQUITY!AV141</f>
        <v/>
      </c>
      <c r="AZ165">
        <f>EQUITY!AW141</f>
        <v/>
      </c>
      <c r="BA165">
        <f>EQUITY!AX141</f>
        <v/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>
        <f>EQUITY!AS149</f>
        <v/>
      </c>
      <c r="AW166" s="187">
        <f>EQUITY!AT149</f>
        <v/>
      </c>
      <c r="AX166" s="187">
        <f>EQUITY!AU149</f>
        <v/>
      </c>
      <c r="AY166">
        <f>EQUITY!AV149</f>
        <v/>
      </c>
      <c r="AZ166">
        <f>EQUITY!AW149</f>
        <v/>
      </c>
      <c r="BA166">
        <f>EQUITY!AX149</f>
        <v/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>
        <f>EQUITY!AS157</f>
        <v/>
      </c>
      <c r="AW167" s="187">
        <f>EQUITY!AT157</f>
        <v/>
      </c>
      <c r="AX167" s="187">
        <f>EQUITY!AU157</f>
        <v/>
      </c>
      <c r="AY167">
        <f>EQUITY!AV157</f>
        <v/>
      </c>
      <c r="AZ167">
        <f>EQUITY!AW157</f>
        <v/>
      </c>
      <c r="BA167">
        <f>EQUITY!AX157</f>
        <v/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>
        <f>EQUITY!AS165</f>
        <v/>
      </c>
      <c r="AW168" s="187">
        <f>EQUITY!AT165</f>
        <v/>
      </c>
      <c r="AX168" s="187">
        <f>EQUITY!AU165</f>
        <v/>
      </c>
      <c r="AY168">
        <f>EQUITY!AV165</f>
        <v/>
      </c>
      <c r="AZ168">
        <f>EQUITY!AW165</f>
        <v/>
      </c>
      <c r="BA168">
        <f>EQUITY!AX165</f>
        <v/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>
        <f>EQUITY!AS173</f>
        <v/>
      </c>
      <c r="AW169" s="187">
        <f>EQUITY!AT173</f>
        <v/>
      </c>
      <c r="AX169" s="187">
        <f>EQUITY!AU173</f>
        <v/>
      </c>
      <c r="AY169">
        <f>EQUITY!AV173</f>
        <v/>
      </c>
      <c r="AZ169">
        <f>EQUITY!AW173</f>
        <v/>
      </c>
      <c r="BA169">
        <f>EQUITY!AX173</f>
        <v/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>
        <f>EQUITY!AS181</f>
        <v/>
      </c>
      <c r="AW170" s="187">
        <f>EQUITY!AT181</f>
        <v/>
      </c>
      <c r="AX170" s="187">
        <f>EQUITY!AU181</f>
        <v/>
      </c>
      <c r="AY170">
        <f>EQUITY!AV181</f>
        <v/>
      </c>
      <c r="AZ170">
        <f>EQUITY!AW181</f>
        <v/>
      </c>
      <c r="BA170">
        <f>EQUITY!AX181</f>
        <v/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>
        <f>EQUITY!AS189</f>
        <v/>
      </c>
      <c r="AW171" s="187">
        <f>EQUITY!AT189</f>
        <v/>
      </c>
      <c r="AX171" s="187">
        <f>EQUITY!AU189</f>
        <v/>
      </c>
      <c r="AY171">
        <f>EQUITY!AV189</f>
        <v/>
      </c>
      <c r="AZ171">
        <f>EQUITY!AW189</f>
        <v/>
      </c>
      <c r="BA171">
        <f>EQUITY!AX189</f>
        <v/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2026-09-29T09:53:02Z</dcterms:modified>
  <cp:lastPrinted>2026-04-12T12:40:53Z</cp:lastPrinted>
</cp:coreProperties>
</file>