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00" tabRatio="859" firstSheet="0" activeTab="6" autoFilterDateGrouping="1"/>
  </bookViews>
  <sheets>
    <sheet xmlns:r="http://schemas.openxmlformats.org/officeDocument/2006/relationships" name="GDP data" sheetId="1" state="visible" r:id="rId1"/>
    <sheet xmlns:r="http://schemas.openxmlformats.org/officeDocument/2006/relationships" name="CA GDP DATA" sheetId="2" state="visible" r:id="rId2"/>
    <sheet xmlns:r="http://schemas.openxmlformats.org/officeDocument/2006/relationships" name="CPI data" sheetId="3" state="visible" r:id="rId3"/>
    <sheet xmlns:r="http://schemas.openxmlformats.org/officeDocument/2006/relationships" name="FX RESERVE DATA" sheetId="4" state="visible" r:id="rId4"/>
    <sheet xmlns:r="http://schemas.openxmlformats.org/officeDocument/2006/relationships" name="Interest Rates data" sheetId="5" state="visible" r:id="rId5"/>
    <sheet xmlns:r="http://schemas.openxmlformats.org/officeDocument/2006/relationships" name="EQUITY" sheetId="6" state="visible" r:id="rId6"/>
    <sheet xmlns:r="http://schemas.openxmlformats.org/officeDocument/2006/relationships" name="COMPARATIVE MATRIX" sheetId="7" state="visible" r:id="rId7"/>
    <sheet xmlns:r="http://schemas.openxmlformats.org/officeDocument/2006/relationships" name="CA GDP (Quarterly)" sheetId="8" state="visible" r:id="rId8"/>
  </sheets>
  <definedNames>
    <definedName name="_xlnm._FilterDatabase" localSheetId="0" hidden="1">'GDP data'!$A$1:$A$60</definedName>
    <definedName name="_xlnm._FilterDatabase" localSheetId="1" hidden="1">'CA GDP DATA'!$A$2:$A$66</definedName>
    <definedName name="_xlnm._FilterDatabase" localSheetId="3" hidden="1">'FX RESERVE DATA'!$A$24:$A$88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[$-409]mmm\-yy;@"/>
    <numFmt numFmtId="166" formatCode="_ * #,##0.00_ ;_ * \-#,##0.00_ ;_ * &quot;-&quot;??_ ;_ @_ "/>
    <numFmt numFmtId="167" formatCode="#,##0.0_ ;\-#,##0.0\ "/>
    <numFmt numFmtId="168" formatCode="0.000000"/>
    <numFmt numFmtId="169" formatCode="_-* #,##0.00\ _€_-;\-* #,##0.00\ _€_-;_-* &quot;-&quot;??\ _€_-;_-@_-"/>
    <numFmt numFmtId="170" formatCode="_-* #,##0\ _€_-;\-* #,##0\ _€_-;_-* &quot;-&quot;\ _€_-;_-@_-"/>
    <numFmt numFmtId="171" formatCode="_-* #,##0.00_-;\-* #,##0.00_-;_-* &quot;-&quot;??_-;_-@_-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rial"/>
      <family val="2"/>
      <color indexed="12"/>
      <sz val="10"/>
      <u val="single"/>
    </font>
    <font>
      <name val="ＭＳ Ｐゴシック"/>
      <charset val="128"/>
      <family val="3"/>
      <sz val="11"/>
    </font>
    <font>
      <name val="Arial"/>
      <family val="2"/>
      <sz val="8"/>
    </font>
    <font>
      <name val="ＭＳ 明朝"/>
      <charset val="128"/>
      <family val="1"/>
      <sz val="14"/>
    </font>
    <font>
      <name val="Lucida Sans Unicode"/>
      <b val="1"/>
      <color rgb="FF000000"/>
      <sz val="12"/>
    </font>
    <font>
      <name val="Calibri"/>
      <family val="2"/>
      <b val="1"/>
      <color rgb="FF000000"/>
      <sz val="11"/>
      <scheme val="minor"/>
    </font>
    <font>
      <name val="Arial"/>
      <family val="2"/>
      <b val="1"/>
      <sz val="12"/>
    </font>
    <font>
      <name val="Calibri"/>
      <family val="2"/>
      <b val="1"/>
      <sz val="12"/>
      <scheme val="minor"/>
    </font>
    <font>
      <name val="Lucida Sans Unicode"/>
      <color rgb="FF000000"/>
      <sz val="10"/>
    </font>
    <font>
      <name val="Lucida Sans Unicode"/>
      <family val="2"/>
      <color theme="10"/>
      <sz val="10"/>
      <u val="single"/>
    </font>
    <font>
      <name val="Arial"/>
      <family val="2"/>
      <color rgb="FF000000"/>
      <sz val="9.75"/>
    </font>
    <font>
      <name val="Lucida Sans Unicode"/>
      <family val="2"/>
      <b val="1"/>
      <color rgb="FF000000"/>
      <sz val="12"/>
    </font>
    <font>
      <name val="Calibri"/>
      <family val="2"/>
      <b val="1"/>
      <sz val="14"/>
    </font>
    <font>
      <name val="Calibri"/>
      <family val="2"/>
      <b val="1"/>
      <color rgb="FFFF0000"/>
      <sz val="14"/>
    </font>
    <font>
      <name val="Lucida Sans Unicode"/>
      <b val="1"/>
      <color rgb="FFFF0000"/>
      <sz val="14"/>
    </font>
    <font>
      <name val="Arial"/>
      <family val="2"/>
      <b val="1"/>
      <color rgb="FF000000"/>
      <sz val="12"/>
    </font>
    <font>
      <name val="Lucida Sans Unicode"/>
      <b val="1"/>
      <color rgb="FF000000"/>
      <sz val="14"/>
    </font>
    <font>
      <name val="Arial"/>
      <family val="2"/>
      <b val="1"/>
      <color theme="1"/>
      <sz val="12"/>
    </font>
    <font>
      <name val="Lucida Sans Unicode"/>
      <family val="2"/>
      <b val="1"/>
      <color theme="10"/>
      <sz val="12"/>
      <u val="single"/>
    </font>
    <font>
      <name val="Lucida Sans Unicode"/>
      <b val="1"/>
      <color rgb="FF000000"/>
      <sz val="16"/>
    </font>
    <font>
      <name val="Calibri"/>
      <family val="2"/>
      <b val="1"/>
      <color rgb="FF000000"/>
      <sz val="16"/>
    </font>
    <font>
      <name val="Helvetica Neue"/>
      <family val="2"/>
      <b val="1"/>
      <color rgb="FF000000"/>
      <sz val="11"/>
    </font>
    <font>
      <name val="Helvetica Neue"/>
      <family val="2"/>
      <color rgb="FF000000"/>
      <sz val="10"/>
    </font>
    <font>
      <name val="Lucida Sans Unicode"/>
      <b val="1"/>
      <color rgb="FF000000"/>
      <sz val="18"/>
    </font>
    <font>
      <name val="Lucida Sans Unicode"/>
      <family val="2"/>
      <b val="1"/>
      <color rgb="FFFF0000"/>
      <sz val="12"/>
    </font>
    <font>
      <name val="Arial"/>
      <family val="2"/>
      <color theme="10"/>
      <sz val="10"/>
      <u val="single"/>
    </font>
    <font>
      <name val="Verdana"/>
      <family val="2"/>
      <b val="1"/>
      <sz val="10"/>
      <u val="single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b val="1"/>
      <sz val="10"/>
    </font>
    <font>
      <name val="Verdana"/>
      <family val="2"/>
      <b val="1"/>
      <color indexed="9"/>
      <sz val="8"/>
    </font>
    <font>
      <name val="Tahoma"/>
      <family val="2"/>
      <color rgb="FF000000"/>
      <sz val="9"/>
    </font>
    <font>
      <name val="Lucida Sans Unicode"/>
      <b val="1"/>
      <color rgb="FFFF0000"/>
      <sz val="12"/>
    </font>
    <font>
      <name val="Lucida Sans Unicode"/>
      <family val="2"/>
      <color rgb="FF000000"/>
      <sz val="10"/>
    </font>
    <font>
      <name val="Arial"/>
      <family val="2"/>
      <b val="1"/>
      <sz val="8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0"/>
      <scheme val="minor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rgb="FFFF0000"/>
      <sz val="11"/>
    </font>
    <font>
      <name val="Arial"/>
      <family val="2"/>
      <b val="1"/>
      <sz val="11"/>
    </font>
    <font>
      <name val="Calibri"/>
      <family val="2"/>
      <b val="1"/>
      <color theme="1"/>
      <sz val="16"/>
    </font>
    <font>
      <name val="Arial"/>
      <family val="2"/>
      <b val="1"/>
      <sz val="14"/>
    </font>
    <font>
      <name val="Arial"/>
      <family val="2"/>
      <b val="1"/>
      <color theme="1"/>
      <sz val="11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4"/>
    </font>
    <font>
      <name val="Helvetica Neue"/>
      <family val="2"/>
      <b val="1"/>
      <color rgb="FFFF0000"/>
      <sz val="11"/>
    </font>
    <font>
      <name val="Lucida Sans Unicode"/>
      <b val="1"/>
      <color theme="1"/>
      <sz val="14"/>
    </font>
    <font>
      <name val="Calibri"/>
      <family val="2"/>
      <b val="1"/>
      <color rgb="FF000000"/>
      <sz val="16"/>
      <scheme val="minor"/>
    </font>
    <font>
      <name val="Lucida Sans Unicode"/>
      <b val="1"/>
      <color theme="1"/>
      <sz val="12"/>
    </font>
    <font>
      <name val="Helvetica Neue"/>
      <family val="2"/>
      <b val="1"/>
      <color theme="1"/>
      <sz val="11"/>
    </font>
    <font>
      <name val="Calibri"/>
      <family val="2"/>
      <b val="1"/>
      <color rgb="FF000000"/>
      <sz val="16"/>
      <u val="single"/>
    </font>
    <font>
      <name val="Arial"/>
      <family val="2"/>
      <b val="1"/>
      <color rgb="FF000000"/>
      <sz val="14"/>
    </font>
    <font>
      <name val="Helvetica Neue"/>
      <family val="2"/>
      <b val="1"/>
      <color rgb="FF000000"/>
      <sz val="10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97D"/>
      <sz val="12"/>
    </font>
    <font>
      <name val="Calibri"/>
      <b val="1"/>
      <color rgb="00002060"/>
      <sz val="11"/>
    </font>
  </fonts>
  <fills count="70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4BACC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64A2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rgb="FF00A1E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6E9F5"/>
      </patternFill>
    </fill>
    <fill>
      <patternFill patternType="solid">
        <fgColor rgb="FFFC0C56"/>
        <bgColor indexed="64"/>
      </patternFill>
    </fill>
    <fill>
      <patternFill patternType="solid">
        <fgColor rgb="FFFC0C5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0747D"/>
        <bgColor indexed="64"/>
      </patternFill>
    </fill>
    <fill>
      <patternFill patternType="solid">
        <fgColor rgb="FFF0747D"/>
        <bgColor rgb="FF000000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70">
    <xf numFmtId="0" fontId="3" fillId="0" borderId="0"/>
    <xf numFmtId="9" fontId="3" fillId="0" borderId="0"/>
    <xf numFmtId="0" fontId="5" fillId="0" borderId="0"/>
    <xf numFmtId="0" fontId="6" fillId="0" borderId="6"/>
    <xf numFmtId="0" fontId="7" fillId="0" borderId="7"/>
    <xf numFmtId="0" fontId="8" fillId="0" borderId="8"/>
    <xf numFmtId="0" fontId="8" fillId="0" borderId="0"/>
    <xf numFmtId="0" fontId="9" fillId="7" borderId="0"/>
    <xf numFmtId="0" fontId="10" fillId="8" borderId="0"/>
    <xf numFmtId="0" fontId="11" fillId="9" borderId="0"/>
    <xf numFmtId="0" fontId="12" fillId="10" borderId="9"/>
    <xf numFmtId="0" fontId="13" fillId="11" borderId="10"/>
    <xf numFmtId="0" fontId="14" fillId="11" borderId="9"/>
    <xf numFmtId="0" fontId="15" fillId="0" borderId="11"/>
    <xf numFmtId="0" fontId="1" fillId="12" borderId="12"/>
    <xf numFmtId="0" fontId="16" fillId="0" borderId="0"/>
    <xf numFmtId="0" fontId="3" fillId="13" borderId="13"/>
    <xf numFmtId="0" fontId="17" fillId="0" borderId="0"/>
    <xf numFmtId="0" fontId="2" fillId="0" borderId="14"/>
    <xf numFmtId="0" fontId="18" fillId="14" borderId="0"/>
    <xf numFmtId="0" fontId="3" fillId="15" borderId="0"/>
    <xf numFmtId="0" fontId="3" fillId="16" borderId="0"/>
    <xf numFmtId="0" fontId="3" fillId="17" borderId="0"/>
    <xf numFmtId="0" fontId="18" fillId="18" borderId="0"/>
    <xf numFmtId="0" fontId="3" fillId="19" borderId="0"/>
    <xf numFmtId="0" fontId="3" fillId="20" borderId="0"/>
    <xf numFmtId="0" fontId="3" fillId="21" borderId="0"/>
    <xf numFmtId="0" fontId="18" fillId="22" borderId="0"/>
    <xf numFmtId="0" fontId="3" fillId="23" borderId="0"/>
    <xf numFmtId="0" fontId="3" fillId="24" borderId="0"/>
    <xf numFmtId="0" fontId="3" fillId="25" borderId="0"/>
    <xf numFmtId="0" fontId="18" fillId="26" borderId="0"/>
    <xf numFmtId="0" fontId="3" fillId="27" borderId="0"/>
    <xf numFmtId="0" fontId="3" fillId="28" borderId="0"/>
    <xf numFmtId="0" fontId="3" fillId="29" borderId="0"/>
    <xf numFmtId="0" fontId="18" fillId="30" borderId="0"/>
    <xf numFmtId="0" fontId="3" fillId="31" borderId="0"/>
    <xf numFmtId="0" fontId="3" fillId="32" borderId="0"/>
    <xf numFmtId="0" fontId="3" fillId="33" borderId="0"/>
    <xf numFmtId="0" fontId="18" fillId="34" borderId="0"/>
    <xf numFmtId="0" fontId="3" fillId="35" borderId="0"/>
    <xf numFmtId="0" fontId="3" fillId="36" borderId="0"/>
    <xf numFmtId="0" fontId="3" fillId="37" borderId="0"/>
    <xf numFmtId="0" fontId="19" fillId="0" borderId="0"/>
    <xf numFmtId="0" fontId="19" fillId="0" borderId="0"/>
    <xf numFmtId="169" fontId="3" fillId="0" borderId="0"/>
    <xf numFmtId="169" fontId="3" fillId="0" borderId="0"/>
    <xf numFmtId="0" fontId="24" fillId="0" borderId="0"/>
    <xf numFmtId="169" fontId="3" fillId="0" borderId="0"/>
    <xf numFmtId="170" fontId="3" fillId="0" borderId="0"/>
    <xf numFmtId="0" fontId="19" fillId="0" borderId="0"/>
    <xf numFmtId="0" fontId="19" fillId="0" borderId="0"/>
    <xf numFmtId="0" fontId="21" fillId="0" borderId="0" applyAlignment="1" applyProtection="1">
      <alignment vertical="top"/>
      <protection locked="0" hidden="0"/>
    </xf>
    <xf numFmtId="0" fontId="20" fillId="0" borderId="0"/>
    <xf numFmtId="0" fontId="24" fillId="0" borderId="0"/>
    <xf numFmtId="0" fontId="22" fillId="0" borderId="0"/>
    <xf numFmtId="38" fontId="22" fillId="0" borderId="0"/>
    <xf numFmtId="0" fontId="19" fillId="0" borderId="0"/>
    <xf numFmtId="0" fontId="23" fillId="0" borderId="0"/>
    <xf numFmtId="171" fontId="3" fillId="0" borderId="0"/>
    <xf numFmtId="0" fontId="3" fillId="0" borderId="0"/>
    <xf numFmtId="0" fontId="23" fillId="0" borderId="0"/>
    <xf numFmtId="0" fontId="23" fillId="0" borderId="0"/>
    <xf numFmtId="0" fontId="3" fillId="13" borderId="13"/>
    <xf numFmtId="0" fontId="29" fillId="0" borderId="0"/>
    <xf numFmtId="0" fontId="30" fillId="0" borderId="0"/>
    <xf numFmtId="43" fontId="29" fillId="0" borderId="0"/>
    <xf numFmtId="0" fontId="46" fillId="0" borderId="0"/>
    <xf numFmtId="9" fontId="54" fillId="0" borderId="0"/>
    <xf numFmtId="43" fontId="3" fillId="0" borderId="0"/>
  </cellStyleXfs>
  <cellXfs count="321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1" pivotButton="0" quotePrefix="0" xfId="0"/>
    <xf numFmtId="0" fontId="1" fillId="5" borderId="0" applyAlignment="1" pivotButton="0" quotePrefix="0" xfId="0">
      <alignment horizontal="center"/>
    </xf>
    <xf numFmtId="14" fontId="2" fillId="0" borderId="0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9" fillId="0" borderId="0" applyAlignment="1" pivotButton="0" quotePrefix="0" xfId="64">
      <alignment vertical="center" wrapText="1"/>
    </xf>
    <xf numFmtId="0" fontId="29" fillId="0" borderId="0" applyAlignment="1" pivotButton="0" quotePrefix="0" xfId="64">
      <alignment horizontal="left" vertical="center" wrapText="1"/>
    </xf>
    <xf numFmtId="0" fontId="30" fillId="0" borderId="0" applyAlignment="1" pivotButton="0" quotePrefix="0" xfId="65">
      <alignment vertical="center" wrapText="1"/>
    </xf>
    <xf numFmtId="165" fontId="31" fillId="0" borderId="0" applyAlignment="1" pivotButton="0" quotePrefix="0" xfId="64">
      <alignment horizontal="left" vertical="center" wrapText="1"/>
    </xf>
    <xf numFmtId="0" fontId="32" fillId="6" borderId="1" applyAlignment="1" pivotButton="0" quotePrefix="0" xfId="64">
      <alignment horizontal="center" vertical="center" wrapText="1"/>
    </xf>
    <xf numFmtId="4" fontId="33" fillId="0" borderId="1" applyAlignment="1" pivotButton="0" quotePrefix="0" xfId="64">
      <alignment horizontal="center" wrapText="1" readingOrder="1"/>
    </xf>
    <xf numFmtId="0" fontId="29" fillId="46" borderId="0" applyAlignment="1" pivotButton="0" quotePrefix="0" xfId="64">
      <alignment vertical="center" wrapText="1"/>
    </xf>
    <xf numFmtId="2" fontId="36" fillId="6" borderId="1" applyAlignment="1" pivotButton="0" quotePrefix="0" xfId="64">
      <alignment horizontal="center" vertical="center" wrapText="1"/>
    </xf>
    <xf numFmtId="0" fontId="29" fillId="6" borderId="0" applyAlignment="1" pivotButton="0" quotePrefix="0" xfId="64">
      <alignment vertical="center" wrapText="1"/>
    </xf>
    <xf numFmtId="0" fontId="29" fillId="47" borderId="0" applyAlignment="1" pivotButton="0" quotePrefix="0" xfId="64">
      <alignment vertical="center" wrapText="1"/>
    </xf>
    <xf numFmtId="0" fontId="18" fillId="5" borderId="19" applyAlignment="1" pivotButton="0" quotePrefix="0" xfId="64">
      <alignment horizontal="center"/>
    </xf>
    <xf numFmtId="0" fontId="29" fillId="40" borderId="18" applyAlignment="1" pivotButton="0" quotePrefix="0" xfId="64">
      <alignment horizontal="center"/>
    </xf>
    <xf numFmtId="0" fontId="18" fillId="5" borderId="16" applyAlignment="1" pivotButton="0" quotePrefix="0" xfId="64">
      <alignment horizontal="center"/>
    </xf>
    <xf numFmtId="0" fontId="29" fillId="40" borderId="17" applyAlignment="1" pivotButton="0" quotePrefix="0" xfId="64">
      <alignment horizontal="center"/>
    </xf>
    <xf numFmtId="2" fontId="38" fillId="6" borderId="1" applyAlignment="1" pivotButton="0" quotePrefix="0" xfId="64">
      <alignment horizontal="center" vertical="center" wrapText="1"/>
    </xf>
    <xf numFmtId="0" fontId="39" fillId="6" borderId="1" applyAlignment="1" pivotButton="0" quotePrefix="0" xfId="65">
      <alignment horizontal="center" vertical="center" wrapText="1"/>
    </xf>
    <xf numFmtId="0" fontId="40" fillId="0" borderId="0" applyAlignment="1" pivotButton="0" quotePrefix="0" xfId="64">
      <alignment horizontal="center" vertical="center" wrapText="1"/>
    </xf>
    <xf numFmtId="0" fontId="41" fillId="45" borderId="1" applyAlignment="1" pivotButton="0" quotePrefix="0" xfId="64">
      <alignment horizontal="center"/>
    </xf>
    <xf numFmtId="4" fontId="25" fillId="0" borderId="1" applyAlignment="1" pivotButton="0" quotePrefix="0" xfId="64">
      <alignment horizontal="center" vertical="center" wrapText="1"/>
    </xf>
    <xf numFmtId="0" fontId="41" fillId="45" borderId="3" applyAlignment="1" pivotButton="0" quotePrefix="0" xfId="64">
      <alignment horizontal="center"/>
    </xf>
    <xf numFmtId="0" fontId="29" fillId="41" borderId="16" applyAlignment="1" pivotButton="0" quotePrefix="0" xfId="64">
      <alignment horizontal="center"/>
    </xf>
    <xf numFmtId="0" fontId="29" fillId="41" borderId="17" applyAlignment="1" pivotButton="0" quotePrefix="0" xfId="64">
      <alignment horizontal="center"/>
    </xf>
    <xf numFmtId="0" fontId="41" fillId="39" borderId="3" applyAlignment="1" pivotButton="0" quotePrefix="0" xfId="64">
      <alignment horizontal="center"/>
    </xf>
    <xf numFmtId="0" fontId="29" fillId="43" borderId="17" applyAlignment="1" pivotButton="0" quotePrefix="0" xfId="64">
      <alignment horizontal="center"/>
    </xf>
    <xf numFmtId="0" fontId="41" fillId="48" borderId="3" applyAlignment="1" pivotButton="0" quotePrefix="0" xfId="64">
      <alignment horizontal="center"/>
    </xf>
    <xf numFmtId="0" fontId="41" fillId="49" borderId="3" applyAlignment="1" pivotButton="0" quotePrefix="0" xfId="64">
      <alignment horizontal="center"/>
    </xf>
    <xf numFmtId="0" fontId="18" fillId="5" borderId="21" applyAlignment="1" pivotButton="0" quotePrefix="0" xfId="64">
      <alignment horizontal="center"/>
    </xf>
    <xf numFmtId="0" fontId="29" fillId="43" borderId="20" applyAlignment="1" pivotButton="0" quotePrefix="0" xfId="64">
      <alignment horizontal="center"/>
    </xf>
    <xf numFmtId="0" fontId="41" fillId="50" borderId="3" applyAlignment="1" pivotButton="0" quotePrefix="0" xfId="64">
      <alignment horizontal="center"/>
    </xf>
    <xf numFmtId="0" fontId="41" fillId="51" borderId="3" applyAlignment="1" pivotButton="0" quotePrefix="0" xfId="64">
      <alignment horizontal="center"/>
    </xf>
    <xf numFmtId="0" fontId="41" fillId="52" borderId="15" applyAlignment="1" pivotButton="0" quotePrefix="0" xfId="64">
      <alignment horizontal="center"/>
    </xf>
    <xf numFmtId="0" fontId="41" fillId="45" borderId="4" applyAlignment="1" pivotButton="0" quotePrefix="0" xfId="64">
      <alignment horizontal="center"/>
    </xf>
    <xf numFmtId="0" fontId="25" fillId="6" borderId="1" applyAlignment="1" pivotButton="0" quotePrefix="0" xfId="64">
      <alignment horizontal="center" vertical="center" wrapText="1"/>
    </xf>
    <xf numFmtId="0" fontId="41" fillId="45" borderId="22" applyAlignment="1" pivotButton="0" quotePrefix="0" xfId="64">
      <alignment horizontal="center"/>
    </xf>
    <xf numFmtId="0" fontId="41" fillId="39" borderId="22" applyAlignment="1" pivotButton="0" quotePrefix="0" xfId="64">
      <alignment horizontal="center"/>
    </xf>
    <xf numFmtId="0" fontId="41" fillId="48" borderId="22" applyAlignment="1" pivotButton="0" quotePrefix="0" xfId="64">
      <alignment horizontal="center"/>
    </xf>
    <xf numFmtId="0" fontId="41" fillId="49" borderId="22" applyAlignment="1" pivotButton="0" quotePrefix="0" xfId="64">
      <alignment horizontal="center"/>
    </xf>
    <xf numFmtId="0" fontId="41" fillId="50" borderId="22" applyAlignment="1" pivotButton="0" quotePrefix="0" xfId="64">
      <alignment horizontal="center"/>
    </xf>
    <xf numFmtId="0" fontId="41" fillId="51" borderId="22" applyAlignment="1" pivotButton="0" quotePrefix="0" xfId="64">
      <alignment horizontal="center"/>
    </xf>
    <xf numFmtId="0" fontId="41" fillId="52" borderId="23" applyAlignment="1" pivotButton="0" quotePrefix="0" xfId="64">
      <alignment horizontal="center"/>
    </xf>
    <xf numFmtId="0" fontId="32" fillId="0" borderId="1" applyAlignment="1" pivotButton="0" quotePrefix="0" xfId="64">
      <alignment horizontal="center" vertical="center" wrapText="1"/>
    </xf>
    <xf numFmtId="0" fontId="35" fillId="0" borderId="1" applyAlignment="1" pivotButton="0" quotePrefix="0" xfId="64">
      <alignment horizontal="center" wrapText="1"/>
    </xf>
    <xf numFmtId="0" fontId="18" fillId="5" borderId="16" applyAlignment="1" pivotButton="0" quotePrefix="0" xfId="64">
      <alignment horizontal="center" vertical="center"/>
    </xf>
    <xf numFmtId="0" fontId="29" fillId="40" borderId="18" applyAlignment="1" pivotButton="0" quotePrefix="0" xfId="64">
      <alignment horizontal="center" vertical="center"/>
    </xf>
    <xf numFmtId="2" fontId="36" fillId="0" borderId="1" applyAlignment="1" pivotButton="0" quotePrefix="0" xfId="64">
      <alignment horizontal="center" vertical="center" wrapText="1"/>
    </xf>
    <xf numFmtId="0" fontId="29" fillId="40" borderId="17" applyAlignment="1" pivotButton="0" quotePrefix="0" xfId="64">
      <alignment horizontal="center" vertical="center"/>
    </xf>
    <xf numFmtId="2" fontId="38" fillId="0" borderId="1" applyAlignment="1" pivotButton="0" quotePrefix="0" xfId="64">
      <alignment horizontal="center" vertical="center" wrapText="1"/>
    </xf>
    <xf numFmtId="0" fontId="39" fillId="0" borderId="1" applyAlignment="1" pivotButton="0" quotePrefix="0" xfId="65">
      <alignment horizontal="center" vertical="center" wrapText="1"/>
    </xf>
    <xf numFmtId="0" fontId="39" fillId="0" borderId="0" applyAlignment="1" pivotButton="0" quotePrefix="0" xfId="65">
      <alignment horizontal="center" vertical="center" wrapText="1"/>
    </xf>
    <xf numFmtId="166" fontId="43" fillId="0" borderId="0" pivotButton="0" quotePrefix="0" xfId="66"/>
    <xf numFmtId="0" fontId="37" fillId="0" borderId="0" applyAlignment="1" pivotButton="0" quotePrefix="0" xfId="64">
      <alignment horizontal="center" wrapText="1"/>
    </xf>
    <xf numFmtId="0" fontId="35" fillId="0" borderId="0" applyAlignment="1" pivotButton="0" quotePrefix="0" xfId="64">
      <alignment horizontal="center" wrapText="1"/>
    </xf>
    <xf numFmtId="0" fontId="29" fillId="41" borderId="17" applyAlignment="1" pivotButton="0" quotePrefix="0" xfId="64">
      <alignment horizontal="center" vertical="center"/>
    </xf>
    <xf numFmtId="0" fontId="32" fillId="5" borderId="1" applyAlignment="1" pivotButton="0" quotePrefix="0" xfId="64">
      <alignment horizontal="center" vertical="center" wrapText="1"/>
    </xf>
    <xf numFmtId="166" fontId="32" fillId="0" borderId="1" applyAlignment="1" pivotButton="0" quotePrefix="0" xfId="64">
      <alignment horizontal="center" vertical="center" wrapText="1"/>
    </xf>
    <xf numFmtId="0" fontId="29" fillId="43" borderId="17" applyAlignment="1" pivotButton="0" quotePrefix="0" xfId="64">
      <alignment horizontal="center" vertical="center"/>
    </xf>
    <xf numFmtId="2" fontId="36" fillId="5" borderId="1" applyAlignment="1" pivotButton="0" quotePrefix="0" xfId="64">
      <alignment horizontal="center" vertical="center" wrapText="1"/>
    </xf>
    <xf numFmtId="166" fontId="45" fillId="0" borderId="1" applyAlignment="1" pivotButton="0" quotePrefix="0" xfId="64">
      <alignment horizontal="center" vertical="center" wrapText="1"/>
    </xf>
    <xf numFmtId="2" fontId="38" fillId="5" borderId="1" applyAlignment="1" pivotButton="0" quotePrefix="0" xfId="64">
      <alignment horizontal="center" vertical="center" wrapText="1"/>
    </xf>
    <xf numFmtId="0" fontId="39" fillId="5" borderId="1" applyAlignment="1" pivotButton="0" quotePrefix="0" xfId="65">
      <alignment horizontal="center" vertical="center" wrapText="1"/>
    </xf>
    <xf numFmtId="0" fontId="29" fillId="43" borderId="20" applyAlignment="1" pivotButton="0" quotePrefix="0" xfId="64">
      <alignment horizontal="center" vertical="center"/>
    </xf>
    <xf numFmtId="0" fontId="41" fillId="53" borderId="1" applyAlignment="1" pivotButton="0" quotePrefix="0" xfId="64">
      <alignment horizontal="center"/>
    </xf>
    <xf numFmtId="0" fontId="41" fillId="53" borderId="3" applyAlignment="1" pivotButton="0" quotePrefix="0" xfId="64">
      <alignment horizontal="center"/>
    </xf>
    <xf numFmtId="0" fontId="41" fillId="5" borderId="3" applyAlignment="1" pivotButton="0" quotePrefix="0" xfId="64">
      <alignment horizontal="center"/>
    </xf>
    <xf numFmtId="0" fontId="41" fillId="53" borderId="15" applyAlignment="1" pivotButton="0" quotePrefix="0" xfId="64">
      <alignment horizontal="center"/>
    </xf>
    <xf numFmtId="0" fontId="41" fillId="53" borderId="4" applyAlignment="1" pivotButton="0" quotePrefix="0" xfId="64">
      <alignment horizontal="center"/>
    </xf>
    <xf numFmtId="0" fontId="41" fillId="53" borderId="22" applyAlignment="1" pivotButton="0" quotePrefix="0" xfId="64">
      <alignment horizontal="center"/>
    </xf>
    <xf numFmtId="0" fontId="41" fillId="5" borderId="22" applyAlignment="1" pivotButton="0" quotePrefix="0" xfId="64">
      <alignment horizontal="center"/>
    </xf>
    <xf numFmtId="0" fontId="41" fillId="53" borderId="23" applyAlignment="1" pivotButton="0" quotePrefix="0" xfId="64">
      <alignment horizontal="center"/>
    </xf>
    <xf numFmtId="0" fontId="46" fillId="54" borderId="24" applyAlignment="1" pivotButton="0" quotePrefix="0" xfId="67">
      <alignment horizontal="center" vertical="center" wrapText="1"/>
    </xf>
    <xf numFmtId="0" fontId="19" fillId="0" borderId="0" pivotButton="0" quotePrefix="0" xfId="43"/>
    <xf numFmtId="0" fontId="47" fillId="0" borderId="1" applyAlignment="1" pivotButton="0" quotePrefix="0" xfId="43">
      <alignment horizontal="center" vertical="center" wrapText="1"/>
    </xf>
    <xf numFmtId="167" fontId="28" fillId="0" borderId="1" applyAlignment="1" pivotButton="0" quotePrefix="0" xfId="43">
      <alignment horizontal="center" vertical="center"/>
    </xf>
    <xf numFmtId="167" fontId="48" fillId="0" borderId="1" applyAlignment="1" pivotButton="0" quotePrefix="0" xfId="43">
      <alignment horizontal="center" vertical="center"/>
    </xf>
    <xf numFmtId="167" fontId="49" fillId="0" borderId="1" applyAlignment="1" pivotButton="0" quotePrefix="0" xfId="43">
      <alignment horizontal="center" vertical="center"/>
    </xf>
    <xf numFmtId="0" fontId="19" fillId="0" borderId="1" applyAlignment="1" pivotButton="0" quotePrefix="0" xfId="43">
      <alignment horizontal="center" vertical="center"/>
    </xf>
    <xf numFmtId="0" fontId="48" fillId="0" borderId="1" applyAlignment="1" pivotButton="0" quotePrefix="0" xfId="43">
      <alignment horizontal="center" vertical="center"/>
    </xf>
    <xf numFmtId="0" fontId="49" fillId="0" borderId="1" applyAlignment="1" pivotButton="0" quotePrefix="0" xfId="43">
      <alignment horizontal="center" vertical="center"/>
    </xf>
    <xf numFmtId="0" fontId="18" fillId="5" borderId="16" applyAlignment="1" pivotButton="0" quotePrefix="0" xfId="43">
      <alignment horizontal="center" vertical="center"/>
    </xf>
    <xf numFmtId="0" fontId="19" fillId="40" borderId="17" applyAlignment="1" pivotButton="0" quotePrefix="0" xfId="43">
      <alignment horizontal="center" vertical="center"/>
    </xf>
    <xf numFmtId="0" fontId="28" fillId="0" borderId="1" applyAlignment="1" pivotButton="0" quotePrefix="0" xfId="43">
      <alignment horizontal="center" vertical="center"/>
    </xf>
    <xf numFmtId="0" fontId="19" fillId="41" borderId="16" applyAlignment="1" pivotButton="0" quotePrefix="0" xfId="43">
      <alignment horizontal="center" vertical="center"/>
    </xf>
    <xf numFmtId="0" fontId="19" fillId="41" borderId="17" applyAlignment="1" pivotButton="0" quotePrefix="0" xfId="43">
      <alignment horizontal="center" vertical="center"/>
    </xf>
    <xf numFmtId="0" fontId="19" fillId="42" borderId="17" applyAlignment="1" pivotButton="0" quotePrefix="0" xfId="43">
      <alignment horizontal="center" vertical="center"/>
    </xf>
    <xf numFmtId="0" fontId="50" fillId="0" borderId="0" applyAlignment="1" pivotButton="0" quotePrefix="0" xfId="43">
      <alignment horizontal="center" vertical="center"/>
    </xf>
    <xf numFmtId="0" fontId="50" fillId="55" borderId="0" applyAlignment="1" pivotButton="0" quotePrefix="0" xfId="43">
      <alignment horizontal="center" vertical="center"/>
    </xf>
    <xf numFmtId="0" fontId="27" fillId="0" borderId="0" applyAlignment="1" pivotButton="0" quotePrefix="0" xfId="43">
      <alignment horizontal="center" vertical="center"/>
    </xf>
    <xf numFmtId="0" fontId="19" fillId="56" borderId="1" applyAlignment="1" pivotButton="0" quotePrefix="0" xfId="43">
      <alignment horizontal="center" vertical="center"/>
    </xf>
    <xf numFmtId="0" fontId="27" fillId="56" borderId="1" applyAlignment="1" pivotButton="0" quotePrefix="0" xfId="43">
      <alignment horizontal="center" vertical="center"/>
    </xf>
    <xf numFmtId="0" fontId="19" fillId="57" borderId="1" applyAlignment="1" pivotButton="0" quotePrefix="0" xfId="43">
      <alignment horizontal="center" vertical="center"/>
    </xf>
    <xf numFmtId="0" fontId="27" fillId="57" borderId="1" applyAlignment="1" pivotButton="0" quotePrefix="0" xfId="43">
      <alignment horizontal="center" vertical="center"/>
    </xf>
    <xf numFmtId="0" fontId="27" fillId="0" borderId="23" applyAlignment="1" pivotButton="0" quotePrefix="0" xfId="43">
      <alignment horizontal="center" vertical="center"/>
    </xf>
    <xf numFmtId="0" fontId="19" fillId="58" borderId="0" pivotButton="0" quotePrefix="0" xfId="43"/>
    <xf numFmtId="167" fontId="27" fillId="57" borderId="1" applyAlignment="1" pivotButton="0" quotePrefix="0" xfId="43">
      <alignment horizontal="center" vertical="center"/>
    </xf>
    <xf numFmtId="0" fontId="19" fillId="4" borderId="1" applyAlignment="1" pivotButton="0" quotePrefix="0" xfId="43">
      <alignment horizontal="center" vertical="center"/>
    </xf>
    <xf numFmtId="0" fontId="27" fillId="4" borderId="1" applyAlignment="1" pivotButton="0" quotePrefix="0" xfId="43">
      <alignment horizontal="center" vertical="center"/>
    </xf>
    <xf numFmtId="167" fontId="27" fillId="4" borderId="1" applyAlignment="1" pivotButton="0" quotePrefix="0" xfId="43">
      <alignment horizontal="center" vertical="center"/>
    </xf>
    <xf numFmtId="0" fontId="19" fillId="59" borderId="1" applyAlignment="1" pivotButton="0" quotePrefix="0" xfId="43">
      <alignment horizontal="center" vertical="center"/>
    </xf>
    <xf numFmtId="0" fontId="27" fillId="59" borderId="1" applyAlignment="1" pivotButton="0" quotePrefix="0" xfId="43">
      <alignment horizontal="center" vertical="center"/>
    </xf>
    <xf numFmtId="0" fontId="19" fillId="60" borderId="1" applyAlignment="1" pivotButton="0" quotePrefix="0" xfId="43">
      <alignment horizontal="center" vertical="center"/>
    </xf>
    <xf numFmtId="167" fontId="27" fillId="60" borderId="1" applyAlignment="1" pivotButton="0" quotePrefix="0" xfId="43">
      <alignment horizontal="center" vertical="center"/>
    </xf>
    <xf numFmtId="0" fontId="19" fillId="48" borderId="15" applyAlignment="1" pivotButton="0" quotePrefix="0" xfId="43">
      <alignment horizontal="center" vertical="center"/>
    </xf>
    <xf numFmtId="0" fontId="27" fillId="48" borderId="1" applyAlignment="1" pivotButton="0" quotePrefix="0" xfId="43">
      <alignment horizontal="center" vertical="center"/>
    </xf>
    <xf numFmtId="165" fontId="51" fillId="54" borderId="25" applyAlignment="1" pivotButton="0" quotePrefix="0" xfId="43">
      <alignment horizontal="center" vertical="center" wrapText="1"/>
    </xf>
    <xf numFmtId="0" fontId="50" fillId="0" borderId="1" applyAlignment="1" pivotButton="0" quotePrefix="0" xfId="43">
      <alignment horizontal="center" vertical="center"/>
    </xf>
    <xf numFmtId="0" fontId="53" fillId="6" borderId="1" applyAlignment="1" pivotButton="0" quotePrefix="0" xfId="64">
      <alignment horizontal="center" vertical="center" wrapText="1"/>
    </xf>
    <xf numFmtId="0" fontId="0" fillId="0" borderId="16" pivotButton="0" quotePrefix="0" xfId="68"/>
    <xf numFmtId="49" fontId="1" fillId="40" borderId="1" applyAlignment="1" pivotButton="0" quotePrefix="0" xfId="64">
      <alignment horizontal="center" vertical="center"/>
    </xf>
    <xf numFmtId="0" fontId="54" fillId="0" borderId="1" applyAlignment="1" pivotButton="0" quotePrefix="0" xfId="64">
      <alignment vertical="center" wrapText="1"/>
    </xf>
    <xf numFmtId="10" fontId="0" fillId="0" borderId="16" pivotButton="0" quotePrefix="0" xfId="68"/>
    <xf numFmtId="0" fontId="0" fillId="0" borderId="21" pivotButton="0" quotePrefix="0" xfId="68"/>
    <xf numFmtId="4" fontId="29" fillId="0" borderId="1" applyAlignment="1" pivotButton="0" quotePrefix="0" xfId="64">
      <alignment vertical="center" wrapText="1"/>
    </xf>
    <xf numFmtId="0" fontId="29" fillId="0" borderId="1" applyAlignment="1" pivotButton="0" quotePrefix="0" xfId="64">
      <alignment vertical="center" wrapText="1"/>
    </xf>
    <xf numFmtId="10" fontId="0" fillId="0" borderId="21" pivotButton="0" quotePrefix="0" xfId="68"/>
    <xf numFmtId="0" fontId="1" fillId="3" borderId="1" applyAlignment="1" pivotButton="0" quotePrefix="0" xfId="64">
      <alignment horizontal="center" vertical="center"/>
    </xf>
    <xf numFmtId="4" fontId="29" fillId="0" borderId="0" applyAlignment="1" pivotButton="0" quotePrefix="0" xfId="64">
      <alignment vertical="center" wrapText="1"/>
    </xf>
    <xf numFmtId="49" fontId="1" fillId="43" borderId="1" applyAlignment="1" pivotButton="0" quotePrefix="0" xfId="64">
      <alignment horizontal="center" vertical="center"/>
    </xf>
    <xf numFmtId="0" fontId="41" fillId="38" borderId="3" applyAlignment="1" pivotButton="0" quotePrefix="0" xfId="64">
      <alignment horizontal="center"/>
    </xf>
    <xf numFmtId="0" fontId="41" fillId="0" borderId="3" applyAlignment="1" pivotButton="0" quotePrefix="0" xfId="64">
      <alignment horizontal="center"/>
    </xf>
    <xf numFmtId="0" fontId="23" fillId="0" borderId="0" applyAlignment="1" applyProtection="1" pivotButton="0" quotePrefix="0" xfId="43">
      <alignment vertical="top"/>
      <protection locked="0" hidden="0"/>
    </xf>
    <xf numFmtId="0" fontId="27" fillId="0" borderId="0" applyAlignment="1" applyProtection="1" pivotButton="0" quotePrefix="0" xfId="43">
      <alignment horizontal="left" vertical="top" wrapText="1"/>
      <protection locked="0" hidden="0"/>
    </xf>
    <xf numFmtId="0" fontId="19" fillId="0" borderId="0" applyProtection="1" pivotButton="0" quotePrefix="0" xfId="43">
      <protection locked="0" hidden="0"/>
    </xf>
    <xf numFmtId="0" fontId="55" fillId="61" borderId="26" applyAlignment="1" applyProtection="1" pivotButton="0" quotePrefix="0" xfId="43">
      <alignment horizontal="center" vertical="center" wrapText="1"/>
      <protection locked="0" hidden="0"/>
    </xf>
    <xf numFmtId="14" fontId="55" fillId="61" borderId="27" applyAlignment="1" applyProtection="1" pivotButton="0" quotePrefix="0" xfId="43">
      <alignment horizontal="center" vertical="top" wrapText="1"/>
      <protection locked="0" hidden="0"/>
    </xf>
    <xf numFmtId="14" fontId="55" fillId="61" borderId="28" applyAlignment="1" applyProtection="1" pivotButton="0" quotePrefix="0" xfId="43">
      <alignment horizontal="center" vertical="top" wrapText="1"/>
      <protection locked="0" hidden="0"/>
    </xf>
    <xf numFmtId="0" fontId="32" fillId="6" borderId="4" applyAlignment="1" pivotButton="0" quotePrefix="0" xfId="43">
      <alignment horizontal="center" vertical="center" wrapText="1"/>
    </xf>
    <xf numFmtId="2" fontId="2" fillId="0" borderId="1" applyAlignment="1" pivotButton="0" quotePrefix="0" xfId="43">
      <alignment horizontal="center" vertical="center"/>
    </xf>
    <xf numFmtId="2" fontId="56" fillId="0" borderId="1" applyAlignment="1" pivotButton="0" quotePrefix="0" xfId="43">
      <alignment horizontal="center" vertical="center"/>
    </xf>
    <xf numFmtId="2" fontId="57" fillId="5" borderId="19" applyAlignment="1" pivotButton="0" quotePrefix="0" xfId="43">
      <alignment horizontal="center"/>
    </xf>
    <xf numFmtId="0" fontId="19" fillId="40" borderId="18" applyAlignment="1" pivotButton="0" quotePrefix="0" xfId="43">
      <alignment horizontal="center"/>
    </xf>
    <xf numFmtId="2" fontId="36" fillId="6" borderId="4" applyAlignment="1" pivotButton="0" quotePrefix="0" xfId="43">
      <alignment horizontal="center" vertical="center" wrapText="1"/>
    </xf>
    <xf numFmtId="2" fontId="57" fillId="5" borderId="16" applyAlignment="1" pivotButton="0" quotePrefix="0" xfId="43">
      <alignment horizontal="center"/>
    </xf>
    <xf numFmtId="0" fontId="19" fillId="40" borderId="17" applyAlignment="1" pivotButton="0" quotePrefix="0" xfId="43">
      <alignment horizontal="center"/>
    </xf>
    <xf numFmtId="0" fontId="2" fillId="0" borderId="1" applyAlignment="1" pivotButton="0" quotePrefix="0" xfId="43">
      <alignment horizontal="center" vertical="center"/>
    </xf>
    <xf numFmtId="0" fontId="58" fillId="0" borderId="1" applyAlignment="1" pivotButton="0" quotePrefix="0" xfId="43">
      <alignment horizontal="center" vertical="center"/>
    </xf>
    <xf numFmtId="0" fontId="59" fillId="0" borderId="1" applyAlignment="1" pivotButton="0" quotePrefix="0" xfId="43">
      <alignment horizontal="center" vertical="center"/>
    </xf>
    <xf numFmtId="2" fontId="38" fillId="6" borderId="4" applyAlignment="1" pivotButton="0" quotePrefix="0" xfId="43">
      <alignment horizontal="center" vertical="center" wrapText="1"/>
    </xf>
    <xf numFmtId="0" fontId="39" fillId="6" borderId="4" applyAlignment="1" pivotButton="0" quotePrefix="0" xfId="67">
      <alignment horizontal="center" vertical="center" wrapText="1"/>
    </xf>
    <xf numFmtId="2" fontId="60" fillId="0" borderId="1" applyAlignment="1" pivotButton="0" quotePrefix="0" xfId="43">
      <alignment horizontal="center" vertical="center"/>
    </xf>
    <xf numFmtId="2" fontId="61" fillId="0" borderId="1" applyAlignment="1" pivotButton="0" quotePrefix="0" xfId="43">
      <alignment horizontal="center" vertical="center"/>
    </xf>
    <xf numFmtId="0" fontId="19" fillId="0" borderId="1" pivotButton="0" quotePrefix="0" xfId="43"/>
    <xf numFmtId="0" fontId="62" fillId="0" borderId="1" applyAlignment="1" applyProtection="1" pivotButton="0" quotePrefix="0" xfId="43">
      <alignment horizontal="center" vertical="center"/>
      <protection locked="0" hidden="0"/>
    </xf>
    <xf numFmtId="0" fontId="41" fillId="45" borderId="1" applyAlignment="1" pivotButton="0" quotePrefix="0" xfId="43">
      <alignment horizontal="center" vertical="center"/>
    </xf>
    <xf numFmtId="4" fontId="62" fillId="0" borderId="1" applyAlignment="1" pivotButton="0" quotePrefix="0" xfId="43">
      <alignment horizontal="center" vertical="center" wrapText="1"/>
    </xf>
    <xf numFmtId="4" fontId="59" fillId="0" borderId="1" applyAlignment="1" pivotButton="0" quotePrefix="0" xfId="43">
      <alignment horizontal="center" vertical="center" wrapText="1"/>
    </xf>
    <xf numFmtId="0" fontId="41" fillId="45" borderId="3" applyAlignment="1" pivotButton="0" quotePrefix="0" xfId="43">
      <alignment horizontal="center" vertical="center"/>
    </xf>
    <xf numFmtId="2" fontId="19" fillId="41" borderId="16" applyAlignment="1" pivotButton="0" quotePrefix="0" xfId="43">
      <alignment horizontal="center"/>
    </xf>
    <xf numFmtId="0" fontId="19" fillId="41" borderId="17" applyAlignment="1" pivotButton="0" quotePrefix="0" xfId="43">
      <alignment horizontal="center"/>
    </xf>
    <xf numFmtId="0" fontId="41" fillId="39" borderId="3" applyAlignment="1" pivotButton="0" quotePrefix="0" xfId="43">
      <alignment horizontal="center" vertical="center"/>
    </xf>
    <xf numFmtId="0" fontId="19" fillId="44" borderId="17" applyAlignment="1" pivotButton="0" quotePrefix="0" xfId="43">
      <alignment horizontal="center"/>
    </xf>
    <xf numFmtId="0" fontId="63" fillId="57" borderId="3" applyAlignment="1" pivotButton="0" quotePrefix="0" xfId="43">
      <alignment horizontal="center" vertical="center"/>
    </xf>
    <xf numFmtId="0" fontId="41" fillId="49" borderId="3" applyAlignment="1" pivotButton="0" quotePrefix="0" xfId="43">
      <alignment horizontal="center" vertical="center"/>
    </xf>
    <xf numFmtId="0" fontId="41" fillId="4" borderId="3" applyAlignment="1" pivotButton="0" quotePrefix="0" xfId="43">
      <alignment horizontal="center" vertical="center"/>
    </xf>
    <xf numFmtId="0" fontId="41" fillId="50" borderId="3" applyAlignment="1" pivotButton="0" quotePrefix="0" xfId="43">
      <alignment horizontal="center" vertical="center"/>
    </xf>
    <xf numFmtId="2" fontId="57" fillId="5" borderId="21" applyAlignment="1" pivotButton="0" quotePrefix="0" xfId="43">
      <alignment horizontal="center"/>
    </xf>
    <xf numFmtId="0" fontId="19" fillId="44" borderId="20" applyAlignment="1" pivotButton="0" quotePrefix="0" xfId="43">
      <alignment horizontal="center"/>
    </xf>
    <xf numFmtId="0" fontId="41" fillId="51" borderId="3" applyAlignment="1" pivotButton="0" quotePrefix="0" xfId="43">
      <alignment horizontal="center" vertical="center"/>
    </xf>
    <xf numFmtId="0" fontId="41" fillId="60" borderId="3" applyAlignment="1" pivotButton="0" quotePrefix="0" xfId="43">
      <alignment horizontal="center" vertical="center"/>
    </xf>
    <xf numFmtId="0" fontId="41" fillId="52" borderId="15" applyAlignment="1" pivotButton="0" quotePrefix="0" xfId="43">
      <alignment horizontal="center" vertical="center"/>
    </xf>
    <xf numFmtId="0" fontId="64" fillId="6" borderId="1" applyAlignment="1" applyProtection="1" pivotButton="0" quotePrefix="0" xfId="43">
      <alignment horizontal="center" vertical="center"/>
      <protection locked="0" hidden="0"/>
    </xf>
    <xf numFmtId="0" fontId="27" fillId="0" borderId="0" applyAlignment="1" applyProtection="1" pivotButton="0" quotePrefix="0" xfId="43">
      <alignment horizontal="center" vertical="center"/>
      <protection locked="0" hidden="0"/>
    </xf>
    <xf numFmtId="14" fontId="59" fillId="0" borderId="1" applyAlignment="1" pivotButton="0" quotePrefix="0" xfId="43">
      <alignment horizontal="center" vertical="center" wrapText="1"/>
    </xf>
    <xf numFmtId="10" fontId="65" fillId="0" borderId="1" applyAlignment="1" pivotButton="0" quotePrefix="0" xfId="43">
      <alignment horizontal="center" vertical="center" wrapText="1"/>
    </xf>
    <xf numFmtId="10" fontId="62" fillId="0" borderId="1" applyAlignment="1" pivotButton="0" quotePrefix="0" xfId="43">
      <alignment horizontal="center" vertical="center" wrapText="1"/>
    </xf>
    <xf numFmtId="10" fontId="66" fillId="5" borderId="16" applyAlignment="1" pivotButton="0" quotePrefix="0" xfId="43">
      <alignment horizontal="center" vertical="center"/>
    </xf>
    <xf numFmtId="0" fontId="4" fillId="40" borderId="17" applyAlignment="1" pivotButton="0" quotePrefix="0" xfId="43">
      <alignment horizontal="center" vertical="center"/>
    </xf>
    <xf numFmtId="0" fontId="66" fillId="5" borderId="16" applyAlignment="1" pivotButton="0" quotePrefix="0" xfId="43">
      <alignment horizontal="center" vertical="center"/>
    </xf>
    <xf numFmtId="10" fontId="4" fillId="41" borderId="16" applyAlignment="1" pivotButton="0" quotePrefix="0" xfId="43">
      <alignment horizontal="center" vertical="center"/>
    </xf>
    <xf numFmtId="0" fontId="4" fillId="41" borderId="17" applyAlignment="1" pivotButton="0" quotePrefix="0" xfId="43">
      <alignment horizontal="center" vertical="center"/>
    </xf>
    <xf numFmtId="0" fontId="4" fillId="41" borderId="16" applyAlignment="1" pivotButton="0" quotePrefix="0" xfId="43">
      <alignment horizontal="center" vertical="center"/>
    </xf>
    <xf numFmtId="0" fontId="4" fillId="43" borderId="17" applyAlignment="1" pivotButton="0" quotePrefix="0" xfId="43">
      <alignment horizontal="center" vertical="center"/>
    </xf>
    <xf numFmtId="10" fontId="59" fillId="0" borderId="1" applyAlignment="1" pivotButton="0" quotePrefix="0" xfId="43">
      <alignment horizontal="center" vertical="center" wrapText="1"/>
    </xf>
    <xf numFmtId="0" fontId="19" fillId="0" borderId="1" applyProtection="1" pivotButton="0" quotePrefix="0" xfId="43">
      <protection locked="0" hidden="0"/>
    </xf>
    <xf numFmtId="165" fontId="31" fillId="0" borderId="0" applyAlignment="1" pivotButton="0" quotePrefix="0" xfId="64">
      <alignment horizontal="center" vertical="center" wrapText="1"/>
    </xf>
    <xf numFmtId="4" fontId="64" fillId="0" borderId="1" applyAlignment="1" applyProtection="1" pivotButton="0" quotePrefix="0" xfId="43">
      <alignment horizontal="center" vertical="center"/>
      <protection locked="0" hidden="0"/>
    </xf>
    <xf numFmtId="4" fontId="0" fillId="0" borderId="0" applyAlignment="1" pivotButton="0" quotePrefix="0" xfId="0">
      <alignment horizontal="center"/>
    </xf>
    <xf numFmtId="4" fontId="4" fillId="63" borderId="1" applyAlignment="1" pivotButton="0" quotePrefix="0" xfId="0">
      <alignment horizontal="center" vertical="center" wrapText="1" readingOrder="1"/>
    </xf>
    <xf numFmtId="0" fontId="71" fillId="6" borderId="1" applyAlignment="1" pivotButton="0" quotePrefix="0" xfId="64">
      <alignment horizontal="center" vertical="center" wrapText="1"/>
    </xf>
    <xf numFmtId="0" fontId="65" fillId="0" borderId="1" applyAlignment="1" pivotButton="0" quotePrefix="0" xfId="43">
      <alignment horizontal="center" vertical="center"/>
    </xf>
    <xf numFmtId="14" fontId="55" fillId="61" borderId="30" applyAlignment="1" applyProtection="1" pivotButton="0" quotePrefix="0" xfId="43">
      <alignment horizontal="center" vertical="top" wrapText="1"/>
      <protection locked="0" hidden="0"/>
    </xf>
    <xf numFmtId="4" fontId="64" fillId="0" borderId="4" applyAlignment="1" applyProtection="1" pivotButton="0" quotePrefix="0" xfId="43">
      <alignment horizontal="center" vertical="center"/>
      <protection locked="0" hidden="0"/>
    </xf>
    <xf numFmtId="14" fontId="55" fillId="0" borderId="0" applyAlignment="1" applyProtection="1" pivotButton="0" quotePrefix="0" xfId="43">
      <alignment horizontal="center" vertical="top" wrapText="1"/>
      <protection locked="0" hidden="0"/>
    </xf>
    <xf numFmtId="0" fontId="19" fillId="0" borderId="0" applyAlignment="1" applyProtection="1" pivotButton="0" quotePrefix="0" xfId="43">
      <alignment horizontal="center" vertical="center"/>
      <protection locked="0" hidden="0"/>
    </xf>
    <xf numFmtId="4" fontId="64" fillId="0" borderId="0" applyAlignment="1" applyProtection="1" pivotButton="0" quotePrefix="0" xfId="43">
      <alignment horizontal="center" vertical="center"/>
      <protection locked="0" hidden="0"/>
    </xf>
    <xf numFmtId="0" fontId="41" fillId="0" borderId="1" applyAlignment="1" pivotButton="0" quotePrefix="0" xfId="43">
      <alignment horizontal="left" vertical="center" wrapText="1" indent="1"/>
    </xf>
    <xf numFmtId="166" fontId="42" fillId="0" borderId="1" applyAlignment="1" pivotButton="0" quotePrefix="0" xfId="66">
      <alignment vertical="center"/>
    </xf>
    <xf numFmtId="166" fontId="72" fillId="0" borderId="1" applyAlignment="1" pivotButton="0" quotePrefix="0" xfId="66">
      <alignment vertical="center"/>
    </xf>
    <xf numFmtId="166" fontId="68" fillId="0" borderId="1" applyAlignment="1" pivotButton="0" quotePrefix="0" xfId="66">
      <alignment vertical="center"/>
    </xf>
    <xf numFmtId="0" fontId="70" fillId="0" borderId="1" applyAlignment="1" pivotButton="0" quotePrefix="0" xfId="0">
      <alignment horizontal="left" vertical="center" wrapText="1" indent="1"/>
    </xf>
    <xf numFmtId="0" fontId="70" fillId="0" borderId="3" applyAlignment="1" pivotButton="0" quotePrefix="0" xfId="0">
      <alignment horizontal="left" vertical="center" wrapText="1" indent="1"/>
    </xf>
    <xf numFmtId="17" fontId="41" fillId="4" borderId="1" applyAlignment="1" pivotButton="0" quotePrefix="0" xfId="43">
      <alignment horizontal="left" vertical="center" wrapText="1" indent="1"/>
    </xf>
    <xf numFmtId="0" fontId="74" fillId="0" borderId="1" applyAlignment="1" pivotButton="0" quotePrefix="0" xfId="0">
      <alignment horizontal="center" vertical="center"/>
    </xf>
    <xf numFmtId="0" fontId="74" fillId="0" borderId="0" applyAlignment="1" pivotButton="0" quotePrefix="0" xfId="0">
      <alignment horizontal="center" vertical="center"/>
    </xf>
    <xf numFmtId="10" fontId="64" fillId="0" borderId="1" applyAlignment="1" applyProtection="1" pivotButton="0" quotePrefix="0" xfId="43">
      <alignment horizontal="center" vertical="center"/>
      <protection locked="0" hidden="0"/>
    </xf>
    <xf numFmtId="0" fontId="70" fillId="6" borderId="3" applyAlignment="1" pivotButton="0" quotePrefix="0" xfId="0">
      <alignment horizontal="left" vertical="center" wrapText="1" indent="1"/>
    </xf>
    <xf numFmtId="0" fontId="41" fillId="6" borderId="1" applyAlignment="1" pivotButton="0" quotePrefix="0" xfId="43">
      <alignment horizontal="left" vertical="center" wrapText="1" indent="1"/>
    </xf>
    <xf numFmtId="17" fontId="2" fillId="4" borderId="1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/>
    </xf>
    <xf numFmtId="4" fontId="33" fillId="0" borderId="1" applyAlignment="1" pivotButton="0" quotePrefix="0" xfId="64">
      <alignment horizontal="center" vertical="center" wrapText="1" readingOrder="1"/>
    </xf>
    <xf numFmtId="4" fontId="67" fillId="0" borderId="1" applyAlignment="1" pivotButton="0" quotePrefix="0" xfId="64">
      <alignment horizontal="center" vertical="center" wrapText="1" readingOrder="1"/>
    </xf>
    <xf numFmtId="4" fontId="67" fillId="62" borderId="1" applyAlignment="1" pivotButton="0" quotePrefix="0" xfId="64">
      <alignment horizontal="center" vertical="center" wrapText="1" readingOrder="1"/>
    </xf>
    <xf numFmtId="0" fontId="35" fillId="62" borderId="1" applyAlignment="1" pivotButton="0" quotePrefix="0" xfId="64">
      <alignment horizontal="center" vertical="center" wrapText="1"/>
    </xf>
    <xf numFmtId="0" fontId="67" fillId="0" borderId="1" applyAlignment="1" pivotButton="0" quotePrefix="0" xfId="64">
      <alignment horizontal="center" vertical="center" wrapText="1" readingOrder="1"/>
    </xf>
    <xf numFmtId="0" fontId="34" fillId="62" borderId="1" applyAlignment="1" pivotButton="0" quotePrefix="0" xfId="64">
      <alignment horizontal="center" vertical="center" wrapText="1" readingOrder="1"/>
    </xf>
    <xf numFmtId="0" fontId="69" fillId="62" borderId="1" applyAlignment="1" pivotButton="0" quotePrefix="0" xfId="64">
      <alignment horizontal="center" vertical="center" wrapText="1"/>
    </xf>
    <xf numFmtId="0" fontId="41" fillId="0" borderId="3" applyAlignment="1" pivotButton="0" quotePrefix="0" xfId="43">
      <alignment horizontal="center" vertical="center"/>
    </xf>
    <xf numFmtId="0" fontId="63" fillId="0" borderId="3" applyAlignment="1" pivotButton="0" quotePrefix="0" xfId="43">
      <alignment horizontal="center" vertical="center"/>
    </xf>
    <xf numFmtId="0" fontId="41" fillId="6" borderId="1" applyAlignment="1" pivotButton="0" quotePrefix="0" xfId="43">
      <alignment horizontal="center" vertical="center"/>
    </xf>
    <xf numFmtId="0" fontId="41" fillId="6" borderId="3" applyAlignment="1" pivotButton="0" quotePrefix="0" xfId="43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1" fillId="6" borderId="15" applyAlignment="1" pivotButton="0" quotePrefix="0" xfId="43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63" fillId="6" borderId="3" applyAlignment="1" pivotButton="0" quotePrefix="0" xfId="43">
      <alignment horizontal="center" vertical="center"/>
    </xf>
    <xf numFmtId="0" fontId="32" fillId="0" borderId="4" applyAlignment="1" pivotButton="0" quotePrefix="0" xfId="43">
      <alignment horizontal="center" vertical="center" wrapText="1"/>
    </xf>
    <xf numFmtId="2" fontId="36" fillId="0" borderId="4" applyAlignment="1" pivotButton="0" quotePrefix="0" xfId="43">
      <alignment horizontal="center" vertical="center" wrapText="1"/>
    </xf>
    <xf numFmtId="2" fontId="38" fillId="0" borderId="4" applyAlignment="1" pivotButton="0" quotePrefix="0" xfId="43">
      <alignment horizontal="center" vertical="center" wrapText="1"/>
    </xf>
    <xf numFmtId="10" fontId="64" fillId="0" borderId="5" applyAlignment="1" applyProtection="1" pivotButton="0" quotePrefix="0" xfId="43">
      <alignment horizontal="center" vertical="center"/>
      <protection locked="0" hidden="0"/>
    </xf>
    <xf numFmtId="0" fontId="74" fillId="0" borderId="5" applyAlignment="1" pivotButton="0" quotePrefix="0" xfId="0">
      <alignment horizontal="center" vertical="center"/>
    </xf>
    <xf numFmtId="0" fontId="64" fillId="6" borderId="5" applyAlignment="1" applyProtection="1" pivotButton="0" quotePrefix="0" xfId="43">
      <alignment horizontal="center" vertical="center"/>
      <protection locked="0" hidden="0"/>
    </xf>
    <xf numFmtId="0" fontId="43" fillId="0" borderId="0" pivotButton="0" quotePrefix="0" xfId="0"/>
    <xf numFmtId="0" fontId="2" fillId="4" borderId="0" pivotButton="0" quotePrefix="0" xfId="0"/>
    <xf numFmtId="0" fontId="2" fillId="4" borderId="4" applyAlignment="1" pivotButton="0" quotePrefix="0" xfId="0">
      <alignment horizontal="center" vertical="center" wrapText="1"/>
    </xf>
    <xf numFmtId="0" fontId="41" fillId="45" borderId="4" applyAlignment="1" pivotButton="0" quotePrefix="0" xfId="43">
      <alignment horizontal="center" vertical="center"/>
    </xf>
    <xf numFmtId="0" fontId="41" fillId="45" borderId="22" applyAlignment="1" pivotButton="0" quotePrefix="0" xfId="43">
      <alignment horizontal="center" vertical="center"/>
    </xf>
    <xf numFmtId="0" fontId="41" fillId="39" borderId="22" applyAlignment="1" pivotButton="0" quotePrefix="0" xfId="43">
      <alignment horizontal="center" vertical="center"/>
    </xf>
    <xf numFmtId="0" fontId="63" fillId="57" borderId="22" applyAlignment="1" pivotButton="0" quotePrefix="0" xfId="43">
      <alignment horizontal="center" vertical="center"/>
    </xf>
    <xf numFmtId="0" fontId="41" fillId="49" borderId="22" applyAlignment="1" pivotButton="0" quotePrefix="0" xfId="43">
      <alignment horizontal="center" vertical="center"/>
    </xf>
    <xf numFmtId="0" fontId="41" fillId="4" borderId="22" applyAlignment="1" pivotButton="0" quotePrefix="0" xfId="43">
      <alignment horizontal="center" vertical="center"/>
    </xf>
    <xf numFmtId="0" fontId="41" fillId="50" borderId="22" applyAlignment="1" pivotButton="0" quotePrefix="0" xfId="43">
      <alignment horizontal="center" vertical="center"/>
    </xf>
    <xf numFmtId="0" fontId="41" fillId="51" borderId="22" applyAlignment="1" pivotButton="0" quotePrefix="0" xfId="43">
      <alignment horizontal="center" vertical="center"/>
    </xf>
    <xf numFmtId="0" fontId="41" fillId="60" borderId="22" applyAlignment="1" pivotButton="0" quotePrefix="0" xfId="43">
      <alignment horizontal="center" vertical="center"/>
    </xf>
    <xf numFmtId="0" fontId="41" fillId="52" borderId="23" applyAlignment="1" pivotButton="0" quotePrefix="0" xfId="43">
      <alignment horizontal="center" vertical="center"/>
    </xf>
    <xf numFmtId="0" fontId="26" fillId="64" borderId="4" pivotButton="0" quotePrefix="0" xfId="0"/>
    <xf numFmtId="0" fontId="2" fillId="4" borderId="4" pivotButton="0" quotePrefix="0" xfId="0"/>
    <xf numFmtId="0" fontId="2" fillId="4" borderId="4" applyAlignment="1" pivotButton="0" quotePrefix="0" xfId="0">
      <alignment horizontal="center"/>
    </xf>
    <xf numFmtId="17" fontId="2" fillId="4" borderId="5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75" fillId="0" borderId="1" applyAlignment="1" pivotButton="0" quotePrefix="0" xfId="0">
      <alignment horizontal="center"/>
    </xf>
    <xf numFmtId="0" fontId="43" fillId="0" borderId="1" applyAlignment="1" pivotButton="0" quotePrefix="0" xfId="0">
      <alignment horizontal="center"/>
    </xf>
    <xf numFmtId="0" fontId="41" fillId="0" borderId="1" applyAlignment="1" pivotButton="0" quotePrefix="0" xfId="43">
      <alignment horizontal="left" vertical="center" indent="1"/>
    </xf>
    <xf numFmtId="0" fontId="70" fillId="0" borderId="3" applyAlignment="1" pivotButton="0" quotePrefix="0" xfId="0">
      <alignment horizontal="left" vertical="center" indent="1"/>
    </xf>
    <xf numFmtId="10" fontId="0" fillId="0" borderId="0" pivotButton="0" quotePrefix="0" xfId="0"/>
    <xf numFmtId="4" fontId="4" fillId="0" borderId="1" applyAlignment="1" pivotButton="0" quotePrefix="0" xfId="64">
      <alignment horizontal="center" vertical="center" wrapText="1" readingOrder="1"/>
    </xf>
    <xf numFmtId="166" fontId="29" fillId="0" borderId="0" applyAlignment="1" pivotButton="0" quotePrefix="0" xfId="64">
      <alignment vertical="center" wrapText="1"/>
    </xf>
    <xf numFmtId="1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41" fillId="0" borderId="0" applyAlignment="1" pivotButton="0" quotePrefix="0" xfId="43">
      <alignment horizontal="center" vertical="center"/>
    </xf>
    <xf numFmtId="9" fontId="2" fillId="0" borderId="0" applyAlignment="1" pivotButton="0" quotePrefix="0" xfId="1">
      <alignment horizontal="center" vertical="center"/>
    </xf>
    <xf numFmtId="0" fontId="63" fillId="0" borderId="0" applyAlignment="1" pivotButton="0" quotePrefix="0" xfId="43">
      <alignment horizontal="center" vertical="center"/>
    </xf>
    <xf numFmtId="166" fontId="63" fillId="0" borderId="0" applyAlignment="1" pivotButton="0" quotePrefix="0" xfId="69">
      <alignment horizontal="center" vertical="center"/>
    </xf>
    <xf numFmtId="0" fontId="41" fillId="65" borderId="4" applyAlignment="1" pivotButton="0" quotePrefix="0" xfId="43">
      <alignment horizontal="center" vertical="center"/>
    </xf>
    <xf numFmtId="166" fontId="63" fillId="0" borderId="4" applyAlignment="1" pivotButton="0" quotePrefix="0" xfId="69">
      <alignment horizontal="center" vertical="center"/>
    </xf>
    <xf numFmtId="4" fontId="33" fillId="66" borderId="1" applyAlignment="1" pivotButton="0" quotePrefix="0" xfId="64">
      <alignment horizontal="center" vertical="center" wrapText="1" readingOrder="1"/>
    </xf>
    <xf numFmtId="4" fontId="67" fillId="66" borderId="1" applyAlignment="1" pivotButton="0" quotePrefix="0" xfId="64">
      <alignment horizontal="center" vertical="center" wrapText="1" readingOrder="1"/>
    </xf>
    <xf numFmtId="4" fontId="4" fillId="66" borderId="1" applyAlignment="1" pivotButton="0" quotePrefix="0" xfId="64">
      <alignment horizontal="center" vertical="center" wrapText="1" readingOrder="1"/>
    </xf>
    <xf numFmtId="4" fontId="4" fillId="67" borderId="1" applyAlignment="1" pivotButton="0" quotePrefix="0" xfId="0">
      <alignment horizontal="center" vertical="center" wrapText="1" readingOrder="1"/>
    </xf>
    <xf numFmtId="0" fontId="67" fillId="66" borderId="1" applyAlignment="1" pivotButton="0" quotePrefix="0" xfId="64">
      <alignment horizontal="center" vertical="center" wrapText="1" readingOrder="1"/>
    </xf>
    <xf numFmtId="0" fontId="69" fillId="66" borderId="1" applyAlignment="1" pivotButton="0" quotePrefix="0" xfId="64">
      <alignment horizontal="center" vertical="center" wrapText="1"/>
    </xf>
    <xf numFmtId="9" fontId="0" fillId="0" borderId="0" pivotButton="0" quotePrefix="0" xfId="1"/>
    <xf numFmtId="17" fontId="2" fillId="4" borderId="29" applyAlignment="1" pivotButton="0" quotePrefix="0" xfId="0">
      <alignment horizontal="center" vertical="center" wrapText="1"/>
    </xf>
    <xf numFmtId="0" fontId="41" fillId="0" borderId="1" applyAlignment="1" pivotButton="0" quotePrefix="0" xfId="43">
      <alignment horizontal="center" vertical="center"/>
    </xf>
    <xf numFmtId="0" fontId="41" fillId="0" borderId="4" applyAlignment="1" pivotButton="0" quotePrefix="0" xfId="43">
      <alignment horizontal="center" vertical="center"/>
    </xf>
    <xf numFmtId="0" fontId="63" fillId="0" borderId="4" applyAlignment="1" pivotButton="0" quotePrefix="0" xfId="43">
      <alignment horizontal="center" vertical="center"/>
    </xf>
    <xf numFmtId="0" fontId="75" fillId="65" borderId="1" applyAlignment="1" pivotButton="0" quotePrefix="0" xfId="0">
      <alignment horizontal="center"/>
    </xf>
    <xf numFmtId="0" fontId="43" fillId="65" borderId="1" applyAlignment="1" pivotButton="0" quotePrefix="0" xfId="0">
      <alignment horizontal="center"/>
    </xf>
    <xf numFmtId="0" fontId="44" fillId="6" borderId="0" applyAlignment="1" pivotButton="0" quotePrefix="0" xfId="64">
      <alignment horizontal="center" vertical="center" wrapText="1"/>
    </xf>
    <xf numFmtId="0" fontId="41" fillId="45" borderId="29" applyAlignment="1" pivotButton="0" quotePrefix="0" xfId="43">
      <alignment horizontal="center" vertical="center"/>
    </xf>
    <xf numFmtId="0" fontId="41" fillId="45" borderId="15" applyAlignment="1" pivotButton="0" quotePrefix="0" xfId="43">
      <alignment horizontal="center" vertical="center"/>
    </xf>
    <xf numFmtId="0" fontId="41" fillId="45" borderId="3" applyAlignment="1" pivotButton="0" quotePrefix="0" xfId="43">
      <alignment horizontal="center" vertical="center"/>
    </xf>
    <xf numFmtId="0" fontId="73" fillId="45" borderId="29" applyAlignment="1" pivotButton="0" quotePrefix="0" xfId="43">
      <alignment horizontal="center" vertical="center"/>
    </xf>
    <xf numFmtId="0" fontId="73" fillId="45" borderId="15" applyAlignment="1" pivotButton="0" quotePrefix="0" xfId="43">
      <alignment horizontal="center" vertical="center"/>
    </xf>
    <xf numFmtId="0" fontId="73" fillId="45" borderId="3" applyAlignment="1" pivotButton="0" quotePrefix="0" xfId="43">
      <alignment horizontal="center" vertical="center"/>
    </xf>
    <xf numFmtId="0" fontId="0" fillId="0" borderId="1" applyAlignment="1" pivotButton="0" quotePrefix="0" xfId="0">
      <alignment horizontal="center"/>
    </xf>
    <xf numFmtId="165" fontId="51" fillId="54" borderId="25" applyAlignment="1" pivotButton="0" quotePrefix="0" xfId="43">
      <alignment horizontal="center" vertical="center" wrapText="1"/>
    </xf>
    <xf numFmtId="167" fontId="28" fillId="0" borderId="1" applyAlignment="1" pivotButton="0" quotePrefix="0" xfId="43">
      <alignment horizontal="center" vertical="center"/>
    </xf>
    <xf numFmtId="167" fontId="48" fillId="0" borderId="1" applyAlignment="1" pivotButton="0" quotePrefix="0" xfId="43">
      <alignment horizontal="center" vertical="center"/>
    </xf>
    <xf numFmtId="167" fontId="49" fillId="0" borderId="1" applyAlignment="1" pivotButton="0" quotePrefix="0" xfId="43">
      <alignment horizontal="center" vertical="center"/>
    </xf>
    <xf numFmtId="167" fontId="27" fillId="57" borderId="1" applyAlignment="1" pivotButton="0" quotePrefix="0" xfId="43">
      <alignment horizontal="center" vertical="center"/>
    </xf>
    <xf numFmtId="167" fontId="27" fillId="4" borderId="1" applyAlignment="1" pivotButton="0" quotePrefix="0" xfId="43">
      <alignment horizontal="center" vertical="center"/>
    </xf>
    <xf numFmtId="167" fontId="27" fillId="60" borderId="1" applyAlignment="1" pivotButton="0" quotePrefix="0" xfId="43">
      <alignment horizontal="center" vertical="center"/>
    </xf>
    <xf numFmtId="165" fontId="31" fillId="0" borderId="0" applyAlignment="1" pivotButton="0" quotePrefix="0" xfId="64">
      <alignment horizontal="left" vertical="center" wrapText="1"/>
    </xf>
    <xf numFmtId="165" fontId="31" fillId="0" borderId="0" applyAlignment="1" pivotButton="0" quotePrefix="0" xfId="64">
      <alignment horizontal="center" vertical="center" wrapText="1"/>
    </xf>
    <xf numFmtId="166" fontId="42" fillId="0" borderId="1" applyAlignment="1" pivotButton="0" quotePrefix="0" xfId="66">
      <alignment vertical="center"/>
    </xf>
    <xf numFmtId="166" fontId="72" fillId="0" borderId="1" applyAlignment="1" pivotButton="0" quotePrefix="0" xfId="66">
      <alignment vertical="center"/>
    </xf>
    <xf numFmtId="166" fontId="68" fillId="0" borderId="1" applyAlignment="1" pivotButton="0" quotePrefix="0" xfId="66">
      <alignment vertical="center"/>
    </xf>
    <xf numFmtId="166" fontId="43" fillId="0" borderId="0" pivotButton="0" quotePrefix="0" xfId="66"/>
    <xf numFmtId="166" fontId="32" fillId="0" borderId="1" applyAlignment="1" pivotButton="0" quotePrefix="0" xfId="64">
      <alignment horizontal="center" vertical="center" wrapText="1"/>
    </xf>
    <xf numFmtId="166" fontId="29" fillId="0" borderId="0" applyAlignment="1" pivotButton="0" quotePrefix="0" xfId="64">
      <alignment vertical="center" wrapText="1"/>
    </xf>
    <xf numFmtId="166" fontId="45" fillId="0" borderId="1" applyAlignment="1" pivotButton="0" quotePrefix="0" xfId="64">
      <alignment horizontal="center" vertical="center" wrapText="1"/>
    </xf>
    <xf numFmtId="0" fontId="0" fillId="0" borderId="15" pivotButton="0" quotePrefix="0" xfId="0"/>
    <xf numFmtId="0" fontId="0" fillId="0" borderId="3" pivotButton="0" quotePrefix="0" xfId="0"/>
    <xf numFmtId="0" fontId="73" fillId="45" borderId="1" applyAlignment="1" pivotButton="0" quotePrefix="0" xfId="43">
      <alignment horizontal="center" vertical="center"/>
    </xf>
    <xf numFmtId="164" fontId="2" fillId="2" borderId="1" applyAlignment="1" pivotButton="0" quotePrefix="0" xfId="1">
      <alignment horizontal="center"/>
    </xf>
    <xf numFmtId="0" fontId="0" fillId="0" borderId="5" pivotButton="0" quotePrefix="0" xfId="0"/>
    <xf numFmtId="166" fontId="63" fillId="0" borderId="4" applyAlignment="1" pivotButton="0" quotePrefix="0" xfId="69">
      <alignment horizontal="center" vertical="center"/>
    </xf>
    <xf numFmtId="166" fontId="63" fillId="0" borderId="0" applyAlignment="1" pivotButton="0" quotePrefix="0" xfId="69">
      <alignment horizontal="center" vertical="center"/>
    </xf>
    <xf numFmtId="0" fontId="76" fillId="0" borderId="0" pivotButton="0" quotePrefix="0" xfId="0"/>
    <xf numFmtId="0" fontId="77" fillId="68" borderId="0" applyAlignment="1" pivotButton="0" quotePrefix="0" xfId="0">
      <alignment horizontal="left" vertical="center"/>
    </xf>
    <xf numFmtId="0" fontId="77" fillId="68" borderId="0" applyAlignment="1" pivotButton="0" quotePrefix="0" xfId="0">
      <alignment horizontal="center" vertical="center"/>
    </xf>
    <xf numFmtId="0" fontId="78" fillId="0" borderId="33" pivotButton="0" quotePrefix="0" xfId="0"/>
    <xf numFmtId="168" fontId="0" fillId="0" borderId="33" applyAlignment="1" pivotButton="0" quotePrefix="0" xfId="0">
      <alignment horizontal="right" vertical="center"/>
    </xf>
    <xf numFmtId="0" fontId="0" fillId="0" borderId="33" applyAlignment="1" pivotButton="0" quotePrefix="0" xfId="0">
      <alignment horizontal="right" vertical="center"/>
    </xf>
    <xf numFmtId="0" fontId="79" fillId="0" borderId="0" pivotButton="0" quotePrefix="0" xfId="0"/>
    <xf numFmtId="0" fontId="77" fillId="68" borderId="0" pivotButton="0" quotePrefix="0" xfId="0"/>
    <xf numFmtId="168" fontId="80" fillId="69" borderId="33" pivotButton="0" quotePrefix="0" xfId="0"/>
    <xf numFmtId="168" fontId="0" fillId="0" borderId="33" applyAlignment="1" pivotButton="0" quotePrefix="0" xfId="0">
      <alignment horizontal="right" vertical="center"/>
    </xf>
    <xf numFmtId="168" fontId="80" fillId="69" borderId="33" pivotButton="0" quotePrefix="0" xfId="0"/>
  </cellXfs>
  <cellStyles count="70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Normal 2" xfId="43"/>
    <cellStyle name="Normal 3" xfId="44"/>
    <cellStyle name="Milliers 2" xfId="45"/>
    <cellStyle name="Milliers 3" xfId="46"/>
    <cellStyle name="標準_総時_時系列_acho (2)" xfId="47"/>
    <cellStyle name="Milliers 4" xfId="48"/>
    <cellStyle name="Milliers [0] 3" xfId="49"/>
    <cellStyle name="Standard 2" xfId="50"/>
    <cellStyle name="Normal 4" xfId="51"/>
    <cellStyle name="Lien hypertexte 2" xfId="52"/>
    <cellStyle name="Normal 5" xfId="53"/>
    <cellStyle name="標準 2" xfId="54"/>
    <cellStyle name="Normal 4 3" xfId="55"/>
    <cellStyle name="Milliers [0] 2" xfId="56"/>
    <cellStyle name="Normal 5 2" xfId="57"/>
    <cellStyle name="Normal 6" xfId="58"/>
    <cellStyle name="Comma 2" xfId="59"/>
    <cellStyle name="Normal 2 2" xfId="60"/>
    <cellStyle name="Normal 3 2" xfId="61"/>
    <cellStyle name="Normal 4 2" xfId="62"/>
    <cellStyle name="Note 2" xfId="63"/>
    <cellStyle name="Normal 7" xfId="64"/>
    <cellStyle name="Hyperlink 2" xfId="65"/>
    <cellStyle name="Comma 3" xfId="66"/>
    <cellStyle name="Hyperlink 3" xfId="67"/>
    <cellStyle name="Percent 2" xfId="68"/>
    <cellStyle name="Comma" xfId="69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fr-FR"/>
              <a:t>Real GDP YoY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504072057687025"/>
          <y val="0.1232507936507937"/>
          <w val="0.9466159046267281"/>
          <h val="0.7394959630046244"/>
        </manualLayout>
      </layout>
      <lineChart>
        <grouping val="standard"/>
        <varyColors val="0"/>
        <ser>
          <idx val="0"/>
          <order val="0"/>
          <tx>
            <strRef>
              <f>'GDP data'!$A$2</f>
              <strCache>
                <ptCount val="1"/>
                <pt idx="0">
                  <v>Australia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data'!$D$2:$AN$2</f>
              <numCache>
                <formatCode xml:space="preserve">#,##0.0_ ;\-#,##0.0\ </formatCode>
                <ptCount val="37"/>
                <pt idx="0">
                  <v>2.8</v>
                </pt>
                <pt idx="1">
                  <v>2.3</v>
                </pt>
                <pt idx="2">
                  <v>2.3</v>
                </pt>
                <pt idx="3">
                  <v>2.3</v>
                </pt>
                <pt idx="4">
                  <v>2.2</v>
                </pt>
                <pt idx="5">
                  <v>2.2</v>
                </pt>
                <pt idx="6">
                  <v>2.2</v>
                </pt>
                <pt idx="7">
                  <v>1.3</v>
                </pt>
                <pt idx="8">
                  <v>1.3</v>
                </pt>
                <pt idx="9">
                  <v>1.3</v>
                </pt>
                <pt idx="10">
                  <v>1.1</v>
                </pt>
                <pt idx="11">
                  <v>1.1</v>
                </pt>
                <pt idx="12">
                  <v>1.1</v>
                </pt>
                <pt idx="13">
                  <v>0.9</v>
                </pt>
                <pt idx="14">
                  <v>0.9</v>
                </pt>
                <pt idx="15">
                  <v>0.9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1.2</v>
                </pt>
                <pt idx="20">
                  <v>1.2</v>
                </pt>
                <pt idx="21">
                  <v>1.2</v>
                </pt>
                <pt idx="22">
                  <v>1.3</v>
                </pt>
                <pt idx="23">
                  <v>1.3</v>
                </pt>
                <pt idx="24">
                  <v>1.3</v>
                </pt>
                <pt idx="25">
                  <v>1.9</v>
                </pt>
                <pt idx="26">
                  <v>1.9</v>
                </pt>
                <pt idx="27">
                  <v>1.9</v>
                </pt>
                <pt idx="28">
                  <v>2.1</v>
                </pt>
                <pt idx="29">
                  <v>2.1</v>
                </pt>
                <pt idx="30">
                  <v>2.1</v>
                </pt>
                <pt idx="31">
                  <v>2.6</v>
                </pt>
                <pt idx="32">
                  <v>2.6</v>
                </pt>
                <pt idx="33">
                  <v>2.6</v>
                </pt>
                <pt idx="34">
                  <v>2.5</v>
                </pt>
                <pt idx="35">
                  <v>2.5</v>
                </pt>
                <pt idx="36">
                  <v>2.5</v>
                </pt>
              </numCache>
            </numRef>
          </val>
          <smooth val="0"/>
        </ser>
        <ser>
          <idx val="1"/>
          <order val="1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3"/>
          <order val="3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5"/>
          <order val="5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6"/>
          <order val="6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7"/>
          <order val="7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8"/>
          <order val="8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9"/>
          <order val="9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0"/>
          <order val="10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1"/>
          <order val="11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2"/>
          <order val="12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3"/>
          <order val="13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4"/>
          <order val="14"/>
          <tx>
            <strRef>
              <f>'GDP data'!$A$6</f>
              <strCache>
                <ptCount val="1"/>
                <pt idx="0">
                  <v>Switzerland</v>
                </pt>
              </strCache>
            </strRef>
          </tx>
          <spPr>
            <a:ln xmlns:a="http://schemas.openxmlformats.org/drawingml/2006/main" w="3492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5"/>
          <order val="15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3492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6"/>
          <order val="16"/>
          <tx>
            <strRef>
              <f>'GDP data'!$A$8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3492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data'!$D$8:$AN$8</f>
              <numCache>
                <formatCode>General</formatCode>
                <ptCount val="37"/>
                <pt idx="0">
                  <v>2.3</v>
                </pt>
                <pt idx="1">
                  <v>2.8</v>
                </pt>
                <pt idx="2">
                  <v>2.8</v>
                </pt>
                <pt idx="3">
                  <v>2.8</v>
                </pt>
                <pt idx="4">
                  <v>3.2</v>
                </pt>
                <pt idx="5">
                  <v>3.2</v>
                </pt>
                <pt idx="6">
                  <v>3.2</v>
                </pt>
                <pt idx="7">
                  <v>3.4</v>
                </pt>
                <pt idx="8">
                  <v>3.4</v>
                </pt>
                <pt idx="9">
                  <v>3.4</v>
                </pt>
                <pt idx="10">
                  <v>2.9</v>
                </pt>
                <pt idx="11">
                  <v>2.9</v>
                </pt>
                <pt idx="12">
                  <v>2.9</v>
                </pt>
                <pt idx="13">
                  <v>3.1</v>
                </pt>
                <pt idx="14">
                  <v>3.1</v>
                </pt>
                <pt idx="15">
                  <v>3.1</v>
                </pt>
                <pt idx="16">
                  <v>2.8</v>
                </pt>
                <pt idx="17">
                  <v>2.8</v>
                </pt>
                <pt idx="18">
                  <v>2.8</v>
                </pt>
                <pt idx="19">
                  <v>2.4</v>
                </pt>
                <pt idx="20">
                  <v>2.4</v>
                </pt>
                <pt idx="21">
                  <v>2.4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2.1</v>
                </pt>
                <pt idx="26">
                  <v>2.1</v>
                </pt>
                <pt idx="27">
                  <v>2.1</v>
                </pt>
                <pt idx="28">
                  <v>2.3</v>
                </pt>
                <pt idx="29">
                  <v>2.3</v>
                </pt>
                <pt idx="30">
                  <v>2.3</v>
                </pt>
                <pt idx="31">
                  <v>2</v>
                </pt>
                <pt idx="32">
                  <v>2</v>
                </pt>
                <pt idx="33">
                  <v>2</v>
                </pt>
                <pt idx="34">
                  <v>2.7</v>
                </pt>
                <pt idx="35">
                  <v>2.7</v>
                </pt>
                <pt idx="36">
                  <v>2.7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43838832"/>
        <axId val="443839920"/>
      </lineChart>
      <dateAx>
        <axId val="443838832"/>
        <scaling>
          <orientation val="minMax"/>
          <max val="46357"/>
          <min val="36586"/>
        </scaling>
        <delete val="0"/>
        <axPos val="b"/>
        <numFmt formatCode="[$-409]mmm\-yy;@" sourceLinked="1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43839920"/>
        <crosses val="autoZero"/>
        <lblOffset val="100"/>
        <baseTimeUnit val="months"/>
      </dateAx>
      <valAx>
        <axId val="443839920"/>
        <scaling>
          <orientation val="minMax"/>
          <max val="10"/>
          <min val="-1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#,##0.0_ ;\-#,##0.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43838832"/>
        <crosses val="autoZero"/>
        <crossBetween val="between"/>
        <majorUnit val="1"/>
        <minorUnit val="0.2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'GDP data'!$A$2</f>
              <strCache>
                <ptCount val="1"/>
                <pt idx="0">
                  <v>Australia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data'!$D$2:$AN$2</f>
              <numCache>
                <formatCode xml:space="preserve">#,##0.0_ ;\-#,##0.0\ </formatCode>
                <ptCount val="37"/>
                <pt idx="0">
                  <v>2.8</v>
                </pt>
                <pt idx="1">
                  <v>2.3</v>
                </pt>
                <pt idx="2">
                  <v>2.3</v>
                </pt>
                <pt idx="3">
                  <v>2.3</v>
                </pt>
                <pt idx="4">
                  <v>2.2</v>
                </pt>
                <pt idx="5">
                  <v>2.2</v>
                </pt>
                <pt idx="6">
                  <v>2.2</v>
                </pt>
                <pt idx="7">
                  <v>1.3</v>
                </pt>
                <pt idx="8">
                  <v>1.3</v>
                </pt>
                <pt idx="9">
                  <v>1.3</v>
                </pt>
                <pt idx="10">
                  <v>1.1</v>
                </pt>
                <pt idx="11">
                  <v>1.1</v>
                </pt>
                <pt idx="12">
                  <v>1.1</v>
                </pt>
                <pt idx="13">
                  <v>0.9</v>
                </pt>
                <pt idx="14">
                  <v>0.9</v>
                </pt>
                <pt idx="15">
                  <v>0.9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1.2</v>
                </pt>
                <pt idx="20">
                  <v>1.2</v>
                </pt>
                <pt idx="21">
                  <v>1.2</v>
                </pt>
                <pt idx="22">
                  <v>1.3</v>
                </pt>
                <pt idx="23">
                  <v>1.3</v>
                </pt>
                <pt idx="24">
                  <v>1.3</v>
                </pt>
                <pt idx="25">
                  <v>1.9</v>
                </pt>
                <pt idx="26">
                  <v>1.9</v>
                </pt>
                <pt idx="27">
                  <v>1.9</v>
                </pt>
                <pt idx="28">
                  <v>2.1</v>
                </pt>
                <pt idx="29">
                  <v>2.1</v>
                </pt>
                <pt idx="30">
                  <v>2.1</v>
                </pt>
                <pt idx="31">
                  <v>2.6</v>
                </pt>
                <pt idx="32">
                  <v>2.6</v>
                </pt>
                <pt idx="33">
                  <v>2.6</v>
                </pt>
                <pt idx="34">
                  <v>2.5</v>
                </pt>
                <pt idx="35">
                  <v>2.5</v>
                </pt>
                <pt idx="36">
                  <v>2.5</v>
                </pt>
              </numCache>
            </numRef>
          </val>
          <smooth val="0"/>
        </ser>
        <ser>
          <idx val="1"/>
          <order val="1"/>
          <tx>
            <strRef>
              <f>'GDP data'!$A$3</f>
              <strCache>
                <ptCount val="1"/>
                <pt idx="0">
                  <v>Canada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data'!$D$3:$AN$3</f>
              <numCache>
                <formatCode>General</formatCode>
                <ptCount val="37"/>
                <pt idx="0">
                  <v>3.1</v>
                </pt>
                <pt idx="1">
                  <v>2.1</v>
                </pt>
                <pt idx="2">
                  <v>2.1</v>
                </pt>
                <pt idx="3">
                  <v>2.1</v>
                </pt>
                <pt idx="4">
                  <v>1.3</v>
                </pt>
                <pt idx="5">
                  <v>1.3</v>
                </pt>
                <pt idx="6">
                  <v>1.3</v>
                </pt>
                <pt idx="7">
                  <v>1.3</v>
                </pt>
                <pt idx="8">
                  <v>1.3</v>
                </pt>
                <pt idx="9">
                  <v>1.3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1.7</v>
                </pt>
                <pt idx="14">
                  <v>1.7</v>
                </pt>
                <pt idx="15">
                  <v>1.7</v>
                </pt>
                <pt idx="16">
                  <v>2.4</v>
                </pt>
                <pt idx="17">
                  <v>2.4</v>
                </pt>
                <pt idx="18">
                  <v>2.4</v>
                </pt>
                <pt idx="19">
                  <v>3.1</v>
                </pt>
                <pt idx="20">
                  <v>3.1</v>
                </pt>
                <pt idx="21">
                  <v>3.1</v>
                </pt>
                <pt idx="22">
                  <v>2.9</v>
                </pt>
                <pt idx="23">
                  <v>2.9</v>
                </pt>
                <pt idx="24">
                  <v>2.9</v>
                </pt>
                <pt idx="25">
                  <v>1.8</v>
                </pt>
                <pt idx="26">
                  <v>1.8</v>
                </pt>
                <pt idx="27">
                  <v>1.8</v>
                </pt>
                <pt idx="28">
                  <v>1.6</v>
                </pt>
                <pt idx="29">
                  <v>1.6</v>
                </pt>
                <pt idx="30">
                  <v>1.6</v>
                </pt>
                <pt idx="31">
                  <v>0.7</v>
                </pt>
                <pt idx="32">
                  <v>0.7</v>
                </pt>
                <pt idx="33">
                  <v>0.7</v>
                </pt>
                <pt idx="34">
                  <v>0.1</v>
                </pt>
                <pt idx="35">
                  <v>0.1</v>
                </pt>
                <pt idx="36">
                  <v>0.1</v>
                </pt>
              </numCache>
            </numRef>
          </val>
          <smooth val="0"/>
        </ser>
        <ser>
          <idx val="2"/>
          <order val="2"/>
          <tx>
            <strRef>
              <f>'GDP data'!$A$4</f>
              <strCache>
                <ptCount val="1"/>
                <pt idx="0">
                  <v>Japan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data'!$D$4:$AN$4</f>
              <numCache>
                <formatCode>General</formatCode>
                <ptCount val="37"/>
                <pt idx="0">
                  <v>1.8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-1.3</v>
                </pt>
                <pt idx="11">
                  <v>-1.3</v>
                </pt>
                <pt idx="12">
                  <v>-1.3</v>
                </pt>
                <pt idx="13">
                  <v>-1.2</v>
                </pt>
                <pt idx="14">
                  <v>-1.2</v>
                </pt>
                <pt idx="15">
                  <v>-1.2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0.6</v>
                </pt>
                <pt idx="20">
                  <v>0.6</v>
                </pt>
                <pt idx="21">
                  <v>0.6</v>
                </pt>
                <pt idx="22">
                  <v>1.6</v>
                </pt>
                <pt idx="23">
                  <v>1.6</v>
                </pt>
                <pt idx="24">
                  <v>1.6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0.2</v>
                </pt>
                <pt idx="32">
                  <v>0.2</v>
                </pt>
                <pt idx="33">
                  <v>0.2</v>
                </pt>
                <pt idx="34">
                  <v>0.6</v>
                </pt>
                <pt idx="35">
                  <v>0.6</v>
                </pt>
                <pt idx="36">
                  <v>0.6</v>
                </pt>
              </numCache>
            </numRef>
          </val>
          <smooth val="0"/>
        </ser>
        <ser>
          <idx val="3"/>
          <order val="3"/>
          <tx>
            <strRef>
              <f>'GDP data'!$A$5</f>
              <strCache>
                <ptCount val="1"/>
                <pt idx="0">
                  <v>New Zealand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data'!$D$5:$AN$5</f>
              <numCache>
                <formatCode>General</formatCode>
                <ptCount val="37"/>
                <pt idx="0">
                  <v>3.1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1.2</v>
                </pt>
                <pt idx="5">
                  <v>1.2</v>
                </pt>
                <pt idx="6">
                  <v>1.2</v>
                </pt>
                <pt idx="7">
                  <v>1.4</v>
                </pt>
                <pt idx="8">
                  <v>1.4</v>
                </pt>
                <pt idx="9">
                  <v>1.4</v>
                </pt>
                <pt idx="10">
                  <v>1.6</v>
                </pt>
                <pt idx="11">
                  <v>1.6</v>
                </pt>
                <pt idx="12">
                  <v>1.6</v>
                </pt>
                <pt idx="13">
                  <v>0.1</v>
                </pt>
                <pt idx="14">
                  <v>0.1</v>
                </pt>
                <pt idx="15">
                  <v>0.1</v>
                </pt>
                <pt idx="16">
                  <v>-1.2</v>
                </pt>
                <pt idx="17">
                  <v>-1.2</v>
                </pt>
                <pt idx="18">
                  <v>-1.2</v>
                </pt>
                <pt idx="19">
                  <v>-1.6</v>
                </pt>
                <pt idx="20">
                  <v>-1.6</v>
                </pt>
                <pt idx="21">
                  <v>-1.6</v>
                </pt>
                <pt idx="22">
                  <v>-0.7</v>
                </pt>
                <pt idx="23">
                  <v>-0.7</v>
                </pt>
                <pt idx="24">
                  <v>-0.7</v>
                </pt>
                <pt idx="25">
                  <v>-1.1</v>
                </pt>
                <pt idx="26">
                  <v>-1.1</v>
                </pt>
                <pt idx="27">
                  <v>-1.1</v>
                </pt>
                <pt idx="28">
                  <v>1.1</v>
                </pt>
                <pt idx="29">
                  <v>1.1</v>
                </pt>
                <pt idx="30">
                  <v>1.1</v>
                </pt>
                <pt idx="31">
                  <v>1.3</v>
                </pt>
                <pt idx="32">
                  <v>1.3</v>
                </pt>
                <pt idx="33">
                  <v>1.3</v>
                </pt>
                <pt idx="34">
                  <v>1.5</v>
                </pt>
                <pt idx="35">
                  <v>1.5</v>
                </pt>
                <pt idx="36">
                  <v>1.5</v>
                </pt>
              </numCache>
            </numRef>
          </val>
          <smooth val="0"/>
        </ser>
        <ser>
          <idx val="4"/>
          <order val="4"/>
          <tx>
            <strRef>
              <f>'GDP data'!$A$6</f>
              <strCache>
                <ptCount val="1"/>
                <pt idx="0">
                  <v>Switzerland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data'!$D$6:$AN$6</f>
              <numCache>
                <formatCode>General</formatCode>
                <ptCount val="37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1.1</v>
                </pt>
                <pt idx="8">
                  <v>1.1</v>
                </pt>
                <pt idx="9">
                  <v>1.1</v>
                </pt>
                <pt idx="10">
                  <v>0.1</v>
                </pt>
                <pt idx="11">
                  <v>0.1</v>
                </pt>
                <pt idx="12">
                  <v>0.1</v>
                </pt>
                <pt idx="13">
                  <v>1.6</v>
                </pt>
                <pt idx="14">
                  <v>1.6</v>
                </pt>
                <pt idx="15">
                  <v>1.6</v>
                </pt>
                <pt idx="16">
                  <v>1.6</v>
                </pt>
                <pt idx="17">
                  <v>1.6</v>
                </pt>
                <pt idx="18">
                  <v>1.6</v>
                </pt>
                <pt idx="19">
                  <v>1.3</v>
                </pt>
                <pt idx="20">
                  <v>1.3</v>
                </pt>
                <pt idx="21">
                  <v>1.3</v>
                </pt>
                <pt idx="22">
                  <v>2.5</v>
                </pt>
                <pt idx="23">
                  <v>2.5</v>
                </pt>
                <pt idx="24">
                  <v>2.5</v>
                </pt>
                <pt idx="25">
                  <v>1.6</v>
                </pt>
                <pt idx="26">
                  <v>1.6</v>
                </pt>
                <pt idx="27">
                  <v>1.6</v>
                </pt>
                <pt idx="28">
                  <v>0.7</v>
                </pt>
                <pt idx="29">
                  <v>0.7</v>
                </pt>
                <pt idx="30">
                  <v>0.7</v>
                </pt>
                <pt idx="31">
                  <v>1.1</v>
                </pt>
                <pt idx="32">
                  <v>1.1</v>
                </pt>
                <pt idx="33">
                  <v>1.1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</numCache>
            </numRef>
          </val>
          <smooth val="0"/>
        </ser>
        <ser>
          <idx val="5"/>
          <order val="5"/>
          <tx>
            <strRef>
              <f>'GDP data'!$A$7</f>
              <strCache>
                <ptCount val="1"/>
                <pt idx="0">
                  <v>United Kingdom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data'!$D$7:$AN$7</f>
              <numCache>
                <formatCode>General</formatCode>
                <ptCount val="37"/>
                <pt idx="0">
                  <v>1</v>
                </pt>
                <pt idx="1">
                  <v>0.5</v>
                </pt>
                <pt idx="2">
                  <v>0.5</v>
                </pt>
                <pt idx="3">
                  <v>0.5</v>
                </pt>
                <pt idx="4">
                  <v>0.1</v>
                </pt>
                <pt idx="5">
                  <v>0.1</v>
                </pt>
                <pt idx="6">
                  <v>0.1</v>
                </pt>
                <pt idx="7">
                  <v>-0.5</v>
                </pt>
                <pt idx="8">
                  <v>-0.5</v>
                </pt>
                <pt idx="9">
                  <v>-0.5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1.3</v>
                </pt>
                <pt idx="17">
                  <v>1.3</v>
                </pt>
                <pt idx="18">
                  <v>1.3</v>
                </pt>
                <pt idx="19">
                  <v>1.9</v>
                </pt>
                <pt idx="20">
                  <v>1.9</v>
                </pt>
                <pt idx="21">
                  <v>1.9</v>
                </pt>
                <pt idx="22">
                  <v>1.8</v>
                </pt>
                <pt idx="23">
                  <v>1.8</v>
                </pt>
                <pt idx="24">
                  <v>1.8</v>
                </pt>
                <pt idx="25">
                  <v>1.4</v>
                </pt>
                <pt idx="26">
                  <v>1.4</v>
                </pt>
                <pt idx="27">
                  <v>1.4</v>
                </pt>
                <pt idx="28">
                  <v>1.3</v>
                </pt>
                <pt idx="29">
                  <v>1.3</v>
                </pt>
                <pt idx="30">
                  <v>1.3</v>
                </pt>
                <pt idx="31">
                  <v>0.9</v>
                </pt>
                <pt idx="32">
                  <v>0.9</v>
                </pt>
                <pt idx="33">
                  <v>0.9</v>
                </pt>
                <pt idx="34">
                  <v>0.9</v>
                </pt>
                <pt idx="35">
                  <v>0.9</v>
                </pt>
                <pt idx="36">
                  <v>0.9</v>
                </pt>
              </numCache>
            </numRef>
          </val>
          <smooth val="0"/>
        </ser>
        <ser>
          <idx val="6"/>
          <order val="6"/>
          <tx>
            <strRef>
              <f>'GDP data'!$A$8</f>
              <strCache>
                <ptCount val="1"/>
                <pt idx="0">
                  <v>United States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data'!$D$8:$AN$8</f>
              <numCache>
                <formatCode>General</formatCode>
                <ptCount val="37"/>
                <pt idx="0">
                  <v>2.3</v>
                </pt>
                <pt idx="1">
                  <v>2.8</v>
                </pt>
                <pt idx="2">
                  <v>2.8</v>
                </pt>
                <pt idx="3">
                  <v>2.8</v>
                </pt>
                <pt idx="4">
                  <v>3.2</v>
                </pt>
                <pt idx="5">
                  <v>3.2</v>
                </pt>
                <pt idx="6">
                  <v>3.2</v>
                </pt>
                <pt idx="7">
                  <v>3.4</v>
                </pt>
                <pt idx="8">
                  <v>3.4</v>
                </pt>
                <pt idx="9">
                  <v>3.4</v>
                </pt>
                <pt idx="10">
                  <v>2.9</v>
                </pt>
                <pt idx="11">
                  <v>2.9</v>
                </pt>
                <pt idx="12">
                  <v>2.9</v>
                </pt>
                <pt idx="13">
                  <v>3.1</v>
                </pt>
                <pt idx="14">
                  <v>3.1</v>
                </pt>
                <pt idx="15">
                  <v>3.1</v>
                </pt>
                <pt idx="16">
                  <v>2.8</v>
                </pt>
                <pt idx="17">
                  <v>2.8</v>
                </pt>
                <pt idx="18">
                  <v>2.8</v>
                </pt>
                <pt idx="19">
                  <v>2.4</v>
                </pt>
                <pt idx="20">
                  <v>2.4</v>
                </pt>
                <pt idx="21">
                  <v>2.4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2.1</v>
                </pt>
                <pt idx="26">
                  <v>2.1</v>
                </pt>
                <pt idx="27">
                  <v>2.1</v>
                </pt>
                <pt idx="28">
                  <v>2.3</v>
                </pt>
                <pt idx="29">
                  <v>2.3</v>
                </pt>
                <pt idx="30">
                  <v>2.3</v>
                </pt>
                <pt idx="31">
                  <v>2</v>
                </pt>
                <pt idx="32">
                  <v>2</v>
                </pt>
                <pt idx="33">
                  <v>2</v>
                </pt>
                <pt idx="34">
                  <v>2.7</v>
                </pt>
                <pt idx="35">
                  <v>2.7</v>
                </pt>
                <pt idx="36">
                  <v>2.7</v>
                </pt>
              </numCache>
            </numRef>
          </val>
          <smooth val="0"/>
        </ser>
        <ser>
          <idx val="7"/>
          <order val="7"/>
          <tx>
            <strRef>
              <f>'GDP data'!$A$9</f>
              <strCache>
                <ptCount val="1"/>
                <pt idx="0">
                  <v>Euro area (19 countries)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 data'!$D$1:$AN$1</f>
              <numCache>
                <formatCode>[$-409]mmm\-yy;@</formatCode>
                <ptCount val="37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</numCache>
            </numRef>
          </cat>
          <val>
            <numRef>
              <f>'GDP data'!$D$9:$AN$9</f>
              <numCache>
                <formatCode>General</formatCode>
                <ptCount val="37"/>
                <pt idx="0">
                  <v>1.3</v>
                </pt>
                <pt idx="1">
                  <v>0.6</v>
                </pt>
                <pt idx="2">
                  <v>0.6</v>
                </pt>
                <pt idx="3">
                  <v>0.6</v>
                </pt>
                <pt idx="4">
                  <v>0.1</v>
                </pt>
                <pt idx="5">
                  <v>0.1</v>
                </pt>
                <pt idx="6">
                  <v>0.1</v>
                </pt>
                <pt idx="7">
                  <v>0.2</v>
                </pt>
                <pt idx="8">
                  <v>0.2</v>
                </pt>
                <pt idx="9">
                  <v>0.2</v>
                </pt>
                <pt idx="10">
                  <v>0.6</v>
                </pt>
                <pt idx="11">
                  <v>0.6</v>
                </pt>
                <pt idx="12">
                  <v>0.6</v>
                </pt>
                <pt idx="13">
                  <v>0.6</v>
                </pt>
                <pt idx="14">
                  <v>0.6</v>
                </pt>
                <pt idx="15">
                  <v>0.6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1.3</v>
                </pt>
                <pt idx="20">
                  <v>1.3</v>
                </pt>
                <pt idx="21">
                  <v>1.3</v>
                </pt>
                <pt idx="22">
                  <v>1.6</v>
                </pt>
                <pt idx="23">
                  <v>1.6</v>
                </pt>
                <pt idx="24">
                  <v>1.6</v>
                </pt>
                <pt idx="25">
                  <v>1.4</v>
                </pt>
                <pt idx="26">
                  <v>1.4</v>
                </pt>
                <pt idx="27">
                  <v>1.4</v>
                </pt>
                <pt idx="28">
                  <v>1.2</v>
                </pt>
                <pt idx="29">
                  <v>1.2</v>
                </pt>
                <pt idx="30">
                  <v>1.2</v>
                </pt>
                <pt idx="31">
                  <v>1.1</v>
                </pt>
                <pt idx="32">
                  <v>1.1</v>
                </pt>
                <pt idx="33">
                  <v>1.1</v>
                </pt>
                <pt idx="34">
                  <v>0.5</v>
                </pt>
                <pt idx="35">
                  <v>0.5</v>
                </pt>
                <pt idx="36">
                  <v>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87686272"/>
        <axId val="387685376"/>
      </lineChart>
      <dateAx>
        <axId val="387686272"/>
        <scaling>
          <orientation val="minMax"/>
        </scaling>
        <delete val="0"/>
        <axPos val="b"/>
        <numFmt formatCode="[$-409]mmm\-yy;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387685376"/>
        <crosses val="autoZero"/>
        <lblOffset val="100"/>
        <baseTimeUnit val="months"/>
      </dateAx>
      <valAx>
        <axId val="387685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 ;\-#,##0.0\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38768627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1309971949087492"/>
          <y val="0.8276287866997466"/>
          <w val="0.9986899807799129"/>
          <h val="0.172371280070101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692849999295705"/>
          <y val="0.0476901889164995"/>
          <w val="0.9562879438817912"/>
          <h val="0.8651040388012335"/>
        </manualLayout>
      </layout>
      <areaChart>
        <grouping val="stacked"/>
        <varyColors val="0"/>
        <ser>
          <idx val="0"/>
          <order val="0"/>
          <tx>
            <strRef>
              <f>'GDP data'!$A$12</f>
              <strCache>
                <ptCount val="1"/>
                <pt idx="0">
                  <v>USD JPY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data'!$D$12:$AW$12</f>
              <numCache>
                <formatCode>General</formatCode>
                <ptCount val="46"/>
                <pt idx="0">
                  <v>-0.8000000000000003</v>
                </pt>
                <pt idx="1">
                  <v>0.6999999999999997</v>
                </pt>
                <pt idx="2">
                  <v>0.6999999999999997</v>
                </pt>
                <pt idx="3">
                  <v>0.6999999999999997</v>
                </pt>
                <pt idx="4">
                  <v>1.9</v>
                </pt>
                <pt idx="5">
                  <v>1.9</v>
                </pt>
                <pt idx="6">
                  <v>1.9</v>
                </pt>
                <pt idx="7">
                  <v>2.1</v>
                </pt>
                <pt idx="8">
                  <v>2.1</v>
                </pt>
                <pt idx="9">
                  <v>2.1</v>
                </pt>
                <pt idx="10">
                  <v>1.9</v>
                </pt>
                <pt idx="11">
                  <v>1.9</v>
                </pt>
                <pt idx="12">
                  <v>1.9</v>
                </pt>
                <pt idx="13">
                  <v>1.4</v>
                </pt>
                <pt idx="14">
                  <v>1.4</v>
                </pt>
                <pt idx="15">
                  <v>1.4</v>
                </pt>
                <pt idx="16">
                  <v>0.3999999999999999</v>
                </pt>
                <pt idx="17">
                  <v>0.3999999999999999</v>
                </pt>
                <pt idx="18">
                  <v>0.3999999999999999</v>
                </pt>
                <pt idx="19">
                  <v>-0.7000000000000002</v>
                </pt>
                <pt idx="20">
                  <v>-0.7000000000000002</v>
                </pt>
                <pt idx="21">
                  <v>-0.7000000000000002</v>
                </pt>
                <pt idx="22">
                  <v>-0.8999999999999999</v>
                </pt>
                <pt idx="23">
                  <v>-0.8999999999999999</v>
                </pt>
                <pt idx="24">
                  <v>-0.8999999999999999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0.6999999999999997</v>
                </pt>
                <pt idx="29">
                  <v>0.6999999999999997</v>
                </pt>
                <pt idx="30">
                  <v>0.6999999999999997</v>
                </pt>
                <pt idx="31">
                  <v>1.3</v>
                </pt>
                <pt idx="32">
                  <v>1.3</v>
                </pt>
                <pt idx="33">
                  <v>1.3</v>
                </pt>
                <pt idx="34">
                  <v>2.6</v>
                </pt>
                <pt idx="35">
                  <v>2.6</v>
                </pt>
                <pt idx="36">
                  <v>2.6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0.7</v>
                </pt>
                <pt idx="41">
                  <v>0.7</v>
                </pt>
                <pt idx="42">
                  <v>0.7</v>
                </pt>
                <pt idx="43">
                  <v>-0.2999999999999998</v>
                </pt>
                <pt idx="44">
                  <v>-0.2999999999999998</v>
                </pt>
                <pt idx="45">
                  <v>-0.2999999999999998</v>
                </pt>
              </numCache>
            </numRef>
          </val>
        </ser>
        <ser>
          <idx val="1"/>
          <order val="1"/>
          <tx>
            <strRef>
              <f>'GDP data'!$A$13</f>
              <strCache>
                <ptCount val="1"/>
                <pt idx="0">
                  <v>USD CHF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data'!$D$13:$AW$13</f>
              <numCache>
                <formatCode>General</formatCode>
                <ptCount val="46"/>
                <pt idx="0">
                  <v>0.2999999999999998</v>
                </pt>
                <pt idx="1">
                  <v>1.8</v>
                </pt>
                <pt idx="2">
                  <v>1.8</v>
                </pt>
                <pt idx="3">
                  <v>1.8</v>
                </pt>
                <pt idx="4">
                  <v>2.4</v>
                </pt>
                <pt idx="5">
                  <v>2.4</v>
                </pt>
                <pt idx="6">
                  <v>2.4</v>
                </pt>
                <pt idx="7">
                  <v>2.3</v>
                </pt>
                <pt idx="8">
                  <v>2.3</v>
                </pt>
                <pt idx="9">
                  <v>2.3</v>
                </pt>
                <pt idx="10">
                  <v>2.8</v>
                </pt>
                <pt idx="11">
                  <v>2.8</v>
                </pt>
                <pt idx="12">
                  <v>2.8</v>
                </pt>
                <pt idx="13">
                  <v>1.5</v>
                </pt>
                <pt idx="14">
                  <v>1.5</v>
                </pt>
                <pt idx="15">
                  <v>1.5</v>
                </pt>
                <pt idx="16">
                  <v>1.2</v>
                </pt>
                <pt idx="17">
                  <v>1.2</v>
                </pt>
                <pt idx="18">
                  <v>1.2</v>
                </pt>
                <pt idx="19">
                  <v>1.1</v>
                </pt>
                <pt idx="20">
                  <v>1.1</v>
                </pt>
                <pt idx="21">
                  <v>1.1</v>
                </pt>
                <pt idx="22">
                  <v>-0.5</v>
                </pt>
                <pt idx="23">
                  <v>-0.5</v>
                </pt>
                <pt idx="24">
                  <v>-0.5</v>
                </pt>
                <pt idx="25">
                  <v>0.5</v>
                </pt>
                <pt idx="26">
                  <v>0.5</v>
                </pt>
                <pt idx="27">
                  <v>0.5</v>
                </pt>
                <pt idx="28">
                  <v>1.6</v>
                </pt>
                <pt idx="29">
                  <v>1.6</v>
                </pt>
                <pt idx="30">
                  <v>1.6</v>
                </pt>
                <pt idx="31">
                  <v>0.8999999999999999</v>
                </pt>
                <pt idx="32">
                  <v>0.8999999999999999</v>
                </pt>
                <pt idx="33">
                  <v>0.8999999999999999</v>
                </pt>
                <pt idx="34">
                  <v>2.4</v>
                </pt>
                <pt idx="35">
                  <v>2.4</v>
                </pt>
                <pt idx="36">
                  <v>2.4</v>
                </pt>
                <pt idx="37">
                  <v>-0.1999999999999997</v>
                </pt>
                <pt idx="38">
                  <v>-0.1999999999999997</v>
                </pt>
                <pt idx="39">
                  <v>-0.1999999999999997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0.6000000000000001</v>
                </pt>
                <pt idx="44">
                  <v>0.6000000000000001</v>
                </pt>
                <pt idx="45">
                  <v>0.6000000000000001</v>
                </pt>
              </numCache>
            </numRef>
          </val>
        </ser>
        <ser>
          <idx val="2"/>
          <order val="2"/>
          <tx>
            <strRef>
              <f>'GDP data'!$A$14</f>
              <strCache>
                <ptCount val="1"/>
                <pt idx="0">
                  <v>USD CAD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data'!$D$14:$AW$14</f>
              <numCache>
                <formatCode>General</formatCode>
                <ptCount val="46"/>
                <pt idx="0">
                  <v>-0.8000000000000003</v>
                </pt>
                <pt idx="1">
                  <v>0.6999999999999997</v>
                </pt>
                <pt idx="2">
                  <v>0.6999999999999997</v>
                </pt>
                <pt idx="3">
                  <v>0.6999999999999997</v>
                </pt>
                <pt idx="4">
                  <v>1.9</v>
                </pt>
                <pt idx="5">
                  <v>1.9</v>
                </pt>
                <pt idx="6">
                  <v>1.9</v>
                </pt>
                <pt idx="7">
                  <v>2.1</v>
                </pt>
                <pt idx="8">
                  <v>2.1</v>
                </pt>
                <pt idx="9">
                  <v>2.1</v>
                </pt>
                <pt idx="10">
                  <v>1.9</v>
                </pt>
                <pt idx="11">
                  <v>1.9</v>
                </pt>
                <pt idx="12">
                  <v>1.9</v>
                </pt>
                <pt idx="13">
                  <v>1.4</v>
                </pt>
                <pt idx="14">
                  <v>1.4</v>
                </pt>
                <pt idx="15">
                  <v>1.4</v>
                </pt>
                <pt idx="16">
                  <v>0.3999999999999999</v>
                </pt>
                <pt idx="17">
                  <v>0.3999999999999999</v>
                </pt>
                <pt idx="18">
                  <v>0.3999999999999999</v>
                </pt>
                <pt idx="19">
                  <v>-0.7000000000000002</v>
                </pt>
                <pt idx="20">
                  <v>-0.7000000000000002</v>
                </pt>
                <pt idx="21">
                  <v>-0.7000000000000002</v>
                </pt>
                <pt idx="22">
                  <v>-0.8999999999999999</v>
                </pt>
                <pt idx="23">
                  <v>-0.8999999999999999</v>
                </pt>
                <pt idx="24">
                  <v>-0.8999999999999999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0.6999999999999997</v>
                </pt>
                <pt idx="29">
                  <v>0.6999999999999997</v>
                </pt>
                <pt idx="30">
                  <v>0.6999999999999997</v>
                </pt>
                <pt idx="31">
                  <v>1.3</v>
                </pt>
                <pt idx="32">
                  <v>1.3</v>
                </pt>
                <pt idx="33">
                  <v>1.3</v>
                </pt>
                <pt idx="34">
                  <v>2.6</v>
                </pt>
                <pt idx="35">
                  <v>2.6</v>
                </pt>
                <pt idx="36">
                  <v>2.6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0.7</v>
                </pt>
                <pt idx="41">
                  <v>0.7</v>
                </pt>
                <pt idx="42">
                  <v>0.7</v>
                </pt>
                <pt idx="43">
                  <v>-0.2999999999999998</v>
                </pt>
                <pt idx="44">
                  <v>-0.2999999999999998</v>
                </pt>
                <pt idx="45">
                  <v>-0.2999999999999998</v>
                </pt>
              </numCache>
            </numRef>
          </val>
        </ser>
        <ser>
          <idx val="3"/>
          <order val="3"/>
          <tx>
            <strRef>
              <f>'GDP data'!$A$15</f>
              <strCache>
                <ptCount val="1"/>
                <pt idx="0">
                  <v>EUR USD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data'!$D$15:$AW$15</f>
              <numCache>
                <formatCode>General</formatCode>
                <ptCount val="46"/>
                <pt idx="0">
                  <v>-0.9999999999999998</v>
                </pt>
                <pt idx="1">
                  <v>-2.2</v>
                </pt>
                <pt idx="2">
                  <v>-2.2</v>
                </pt>
                <pt idx="3">
                  <v>-2.2</v>
                </pt>
                <pt idx="4">
                  <v>-3.1</v>
                </pt>
                <pt idx="5">
                  <v>-3.1</v>
                </pt>
                <pt idx="6">
                  <v>-3.1</v>
                </pt>
                <pt idx="7">
                  <v>-3.2</v>
                </pt>
                <pt idx="8">
                  <v>-3.2</v>
                </pt>
                <pt idx="9">
                  <v>-3.2</v>
                </pt>
                <pt idx="10">
                  <v>-2.3</v>
                </pt>
                <pt idx="11">
                  <v>-2.3</v>
                </pt>
                <pt idx="12">
                  <v>-2.3</v>
                </pt>
                <pt idx="13">
                  <v>-2.5</v>
                </pt>
                <pt idx="14">
                  <v>-2.5</v>
                </pt>
                <pt idx="15">
                  <v>-2.5</v>
                </pt>
                <pt idx="16">
                  <v>-1.8</v>
                </pt>
                <pt idx="17">
                  <v>-1.8</v>
                </pt>
                <pt idx="18">
                  <v>-1.8</v>
                </pt>
                <pt idx="19">
                  <v>-1.1</v>
                </pt>
                <pt idx="20">
                  <v>-1.1</v>
                </pt>
                <pt idx="21">
                  <v>-1.1</v>
                </pt>
                <pt idx="22">
                  <v>-0.3999999999999999</v>
                </pt>
                <pt idx="23">
                  <v>-0.3999999999999999</v>
                </pt>
                <pt idx="24">
                  <v>-0.3999999999999999</v>
                </pt>
                <pt idx="25">
                  <v>-0.7000000000000002</v>
                </pt>
                <pt idx="26">
                  <v>-0.7000000000000002</v>
                </pt>
                <pt idx="27">
                  <v>-0.7000000000000002</v>
                </pt>
                <pt idx="28">
                  <v>-1.1</v>
                </pt>
                <pt idx="29">
                  <v>-1.1</v>
                </pt>
                <pt idx="30">
                  <v>-1.1</v>
                </pt>
                <pt idx="31">
                  <v>-0.8999999999999999</v>
                </pt>
                <pt idx="32">
                  <v>-0.8999999999999999</v>
                </pt>
                <pt idx="33">
                  <v>-0.8999999999999999</v>
                </pt>
                <pt idx="34">
                  <v>-2.2</v>
                </pt>
                <pt idx="35">
                  <v>-2.2</v>
                </pt>
                <pt idx="36">
                  <v>-2.2</v>
                </pt>
                <pt idx="37">
                  <v>-0.9000000000000001</v>
                </pt>
                <pt idx="38">
                  <v>-0.9000000000000001</v>
                </pt>
                <pt idx="39">
                  <v>-0.9000000000000001</v>
                </pt>
                <pt idx="40">
                  <v>-0.8</v>
                </pt>
                <pt idx="41">
                  <v>-0.8</v>
                </pt>
                <pt idx="42">
                  <v>-0.8</v>
                </pt>
                <pt idx="43">
                  <v>-0.9000000000000001</v>
                </pt>
                <pt idx="44">
                  <v>-0.9000000000000001</v>
                </pt>
                <pt idx="45">
                  <v>-0.9000000000000001</v>
                </pt>
              </numCache>
            </numRef>
          </val>
        </ser>
        <ser>
          <idx val="4"/>
          <order val="4"/>
          <tx>
            <strRef>
              <f>'GDP data'!$A$16</f>
              <strCache>
                <ptCount val="1"/>
                <pt idx="0">
                  <v>EUR JPY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data'!$D$16:$AW$16</f>
              <numCache>
                <formatCode>General</formatCode>
                <ptCount val="46"/>
                <pt idx="0">
                  <v>-0.5</v>
                </pt>
                <pt idx="1">
                  <v>-0.4</v>
                </pt>
                <pt idx="2">
                  <v>-0.4</v>
                </pt>
                <pt idx="3">
                  <v>-0.4</v>
                </pt>
                <pt idx="4">
                  <v>0.1</v>
                </pt>
                <pt idx="5">
                  <v>0.1</v>
                </pt>
                <pt idx="6">
                  <v>0.1</v>
                </pt>
                <pt idx="7">
                  <v>0.2</v>
                </pt>
                <pt idx="8">
                  <v>0.2</v>
                </pt>
                <pt idx="9">
                  <v>0.2</v>
                </pt>
                <pt idx="10">
                  <v>1.9</v>
                </pt>
                <pt idx="11">
                  <v>1.9</v>
                </pt>
                <pt idx="12">
                  <v>1.9</v>
                </pt>
                <pt idx="13">
                  <v>1.8</v>
                </pt>
                <pt idx="14">
                  <v>1.8</v>
                </pt>
                <pt idx="15">
                  <v>1.8</v>
                </pt>
                <pt idx="16">
                  <v>0.2</v>
                </pt>
                <pt idx="17">
                  <v>0.2</v>
                </pt>
                <pt idx="18">
                  <v>0.2</v>
                </pt>
                <pt idx="19">
                  <v>0.7000000000000001</v>
                </pt>
                <pt idx="20">
                  <v>0.7000000000000001</v>
                </pt>
                <pt idx="21">
                  <v>0.7000000000000001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-0.6000000000000001</v>
                </pt>
                <pt idx="26">
                  <v>-0.6000000000000001</v>
                </pt>
                <pt idx="27">
                  <v>-0.6000000000000001</v>
                </pt>
                <pt idx="28">
                  <v>0.7</v>
                </pt>
                <pt idx="29">
                  <v>0.7</v>
                </pt>
                <pt idx="30">
                  <v>0.7</v>
                </pt>
                <pt idx="31">
                  <v>0.9000000000000001</v>
                </pt>
                <pt idx="32">
                  <v>0.9000000000000001</v>
                </pt>
                <pt idx="33">
                  <v>0.9000000000000001</v>
                </pt>
                <pt idx="34">
                  <v>-0.09999999999999998</v>
                </pt>
                <pt idx="35">
                  <v>-0.09999999999999998</v>
                </pt>
                <pt idx="36">
                  <v>-0.09999999999999998</v>
                </pt>
                <pt idx="37">
                  <v>0.5</v>
                </pt>
                <pt idx="38">
                  <v>0.5</v>
                </pt>
                <pt idx="39">
                  <v>0.5</v>
                </pt>
                <pt idx="40">
                  <v>0.09999999999999998</v>
                </pt>
                <pt idx="41">
                  <v>0.09999999999999998</v>
                </pt>
                <pt idx="42">
                  <v>0.09999999999999998</v>
                </pt>
                <pt idx="43">
                  <v>-0.4000000000000001</v>
                </pt>
                <pt idx="44">
                  <v>-0.4000000000000001</v>
                </pt>
                <pt idx="45">
                  <v>-0.4000000000000001</v>
                </pt>
              </numCache>
            </numRef>
          </val>
        </ser>
        <ser>
          <idx val="5"/>
          <order val="5"/>
          <tx>
            <strRef>
              <f>'GDP data'!$A$17</f>
              <strCache>
                <ptCount val="1"/>
                <pt idx="0">
                  <v>EUR CHF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data'!$D$17:$AW$17</f>
              <numCache>
                <formatCode>General</formatCode>
                <ptCount val="46"/>
                <pt idx="0">
                  <v>-0.7</v>
                </pt>
                <pt idx="1">
                  <v>-0.4</v>
                </pt>
                <pt idx="2">
                  <v>-0.4</v>
                </pt>
                <pt idx="3">
                  <v>-0.4</v>
                </pt>
                <pt idx="4">
                  <v>-0.7000000000000001</v>
                </pt>
                <pt idx="5">
                  <v>-0.7000000000000001</v>
                </pt>
                <pt idx="6">
                  <v>-0.7000000000000001</v>
                </pt>
                <pt idx="7">
                  <v>-0.9000000000000001</v>
                </pt>
                <pt idx="8">
                  <v>-0.9000000000000001</v>
                </pt>
                <pt idx="9">
                  <v>-0.9000000000000001</v>
                </pt>
                <pt idx="10">
                  <v>0.5</v>
                </pt>
                <pt idx="11">
                  <v>0.5</v>
                </pt>
                <pt idx="12">
                  <v>0.5</v>
                </pt>
                <pt idx="13">
                  <v>-1</v>
                </pt>
                <pt idx="14">
                  <v>-1</v>
                </pt>
                <pt idx="15">
                  <v>-1</v>
                </pt>
                <pt idx="16">
                  <v>-0.6000000000000001</v>
                </pt>
                <pt idx="17">
                  <v>-0.6000000000000001</v>
                </pt>
                <pt idx="18">
                  <v>-0.6000000000000001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-0.8999999999999999</v>
                </pt>
                <pt idx="23">
                  <v>-0.8999999999999999</v>
                </pt>
                <pt idx="24">
                  <v>-0.8999999999999999</v>
                </pt>
                <pt idx="25">
                  <v>-0.2000000000000002</v>
                </pt>
                <pt idx="26">
                  <v>-0.2000000000000002</v>
                </pt>
                <pt idx="27">
                  <v>-0.2000000000000002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0.2</v>
                </pt>
                <pt idx="35">
                  <v>0.2</v>
                </pt>
                <pt idx="36">
                  <v>0.2</v>
                </pt>
                <pt idx="37">
                  <v>-1.1</v>
                </pt>
                <pt idx="38">
                  <v>-1.1</v>
                </pt>
                <pt idx="39">
                  <v>-1.1</v>
                </pt>
                <pt idx="40">
                  <v>0.2</v>
                </pt>
                <pt idx="41">
                  <v>0.2</v>
                </pt>
                <pt idx="42">
                  <v>0.2</v>
                </pt>
                <pt idx="43">
                  <v>-0.3</v>
                </pt>
                <pt idx="44">
                  <v>-0.3</v>
                </pt>
                <pt idx="45">
                  <v>-0.3</v>
                </pt>
              </numCache>
            </numRef>
          </val>
        </ser>
        <ser>
          <idx val="6"/>
          <order val="6"/>
          <tx>
            <strRef>
              <f>'GDP data'!$A$18</f>
              <strCache>
                <ptCount val="1"/>
                <pt idx="0">
                  <v>EUR GBP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data'!$D$18:$AW$18</f>
              <numCache>
                <formatCode>General</formatCode>
                <ptCount val="46"/>
                <pt idx="0">
                  <v>0.3</v>
                </pt>
                <pt idx="1">
                  <v>0.09999999999999998</v>
                </pt>
                <pt idx="2">
                  <v>0.09999999999999998</v>
                </pt>
                <pt idx="3">
                  <v>0.09999999999999998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0.7</v>
                </pt>
                <pt idx="8">
                  <v>0.7</v>
                </pt>
                <pt idx="9">
                  <v>0.7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-0.2000000000000001</v>
                </pt>
                <pt idx="14">
                  <v>-0.2000000000000001</v>
                </pt>
                <pt idx="15">
                  <v>-0.2000000000000001</v>
                </pt>
                <pt idx="16">
                  <v>-0.3</v>
                </pt>
                <pt idx="17">
                  <v>-0.3</v>
                </pt>
                <pt idx="18">
                  <v>-0.3</v>
                </pt>
                <pt idx="19">
                  <v>-0.5999999999999999</v>
                </pt>
                <pt idx="20">
                  <v>-0.5999999999999999</v>
                </pt>
                <pt idx="21">
                  <v>-0.5999999999999999</v>
                </pt>
                <pt idx="22">
                  <v>-0.2</v>
                </pt>
                <pt idx="23">
                  <v>-0.2</v>
                </pt>
                <pt idx="24">
                  <v>-0.2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-0.1000000000000001</v>
                </pt>
                <pt idx="29">
                  <v>-0.1000000000000001</v>
                </pt>
                <pt idx="30">
                  <v>-0.1000000000000001</v>
                </pt>
                <pt idx="31">
                  <v>0.2000000000000001</v>
                </pt>
                <pt idx="32">
                  <v>0.2000000000000001</v>
                </pt>
                <pt idx="33">
                  <v>0.2000000000000001</v>
                </pt>
                <pt idx="34">
                  <v>-0.4</v>
                </pt>
                <pt idx="35">
                  <v>-0.4</v>
                </pt>
                <pt idx="36">
                  <v>-0.4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-0.5</v>
                </pt>
                <pt idx="41">
                  <v>-0.5</v>
                </pt>
                <pt idx="42">
                  <v>-0.5</v>
                </pt>
                <pt idx="43">
                  <v>-0.7</v>
                </pt>
                <pt idx="44">
                  <v>-0.7</v>
                </pt>
                <pt idx="45">
                  <v>-0.7</v>
                </pt>
              </numCache>
            </numRef>
          </val>
        </ser>
        <ser>
          <idx val="7"/>
          <order val="7"/>
          <tx>
            <strRef>
              <f>'GDP data'!$A$19</f>
              <strCache>
                <ptCount val="1"/>
                <pt idx="0">
                  <v>EUR CAD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data'!$D$19:$AW$19</f>
              <numCache>
                <formatCode>General</formatCode>
                <ptCount val="46"/>
                <pt idx="0">
                  <v>-1.8</v>
                </pt>
                <pt idx="1">
                  <v>-1.5</v>
                </pt>
                <pt idx="2">
                  <v>-1.5</v>
                </pt>
                <pt idx="3">
                  <v>-1.5</v>
                </pt>
                <pt idx="4">
                  <v>-1.2</v>
                </pt>
                <pt idx="5">
                  <v>-1.2</v>
                </pt>
                <pt idx="6">
                  <v>-1.2</v>
                </pt>
                <pt idx="7">
                  <v>-1.1</v>
                </pt>
                <pt idx="8">
                  <v>-1.1</v>
                </pt>
                <pt idx="9">
                  <v>-1.1</v>
                </pt>
                <pt idx="10">
                  <v>-0.4</v>
                </pt>
                <pt idx="11">
                  <v>-0.4</v>
                </pt>
                <pt idx="12">
                  <v>-0.4</v>
                </pt>
                <pt idx="13">
                  <v>-1.1</v>
                </pt>
                <pt idx="14">
                  <v>-1.1</v>
                </pt>
                <pt idx="15">
                  <v>-1.1</v>
                </pt>
                <pt idx="16">
                  <v>-1.4</v>
                </pt>
                <pt idx="17">
                  <v>-1.4</v>
                </pt>
                <pt idx="18">
                  <v>-1.4</v>
                </pt>
                <pt idx="19">
                  <v>-1.8</v>
                </pt>
                <pt idx="20">
                  <v>-1.8</v>
                </pt>
                <pt idx="21">
                  <v>-1.8</v>
                </pt>
                <pt idx="22">
                  <v>-1.3</v>
                </pt>
                <pt idx="23">
                  <v>-1.3</v>
                </pt>
                <pt idx="24">
                  <v>-1.3</v>
                </pt>
                <pt idx="25">
                  <v>-0.4000000000000001</v>
                </pt>
                <pt idx="26">
                  <v>-0.4000000000000001</v>
                </pt>
                <pt idx="27">
                  <v>-0.4000000000000001</v>
                </pt>
                <pt idx="28">
                  <v>-0.4000000000000001</v>
                </pt>
                <pt idx="29">
                  <v>-0.4000000000000001</v>
                </pt>
                <pt idx="30">
                  <v>-0.4000000000000001</v>
                </pt>
                <pt idx="31">
                  <v>0.4000000000000001</v>
                </pt>
                <pt idx="32">
                  <v>0.4000000000000001</v>
                </pt>
                <pt idx="33">
                  <v>0.4000000000000001</v>
                </pt>
                <pt idx="34">
                  <v>0.4</v>
                </pt>
                <pt idx="35">
                  <v>0.4</v>
                </pt>
                <pt idx="36">
                  <v>0.4</v>
                </pt>
                <pt idx="37">
                  <v>0.09999999999999987</v>
                </pt>
                <pt idx="38">
                  <v>0.09999999999999987</v>
                </pt>
                <pt idx="39">
                  <v>0.09999999999999987</v>
                </pt>
                <pt idx="40">
                  <v>-0.1000000000000001</v>
                </pt>
                <pt idx="41">
                  <v>-0.1000000000000001</v>
                </pt>
                <pt idx="42">
                  <v>-0.1000000000000001</v>
                </pt>
                <pt idx="43">
                  <v>-1.2</v>
                </pt>
                <pt idx="44">
                  <v>-1.2</v>
                </pt>
                <pt idx="45">
                  <v>-1.2</v>
                </pt>
              </numCache>
            </numRef>
          </val>
        </ser>
        <ser>
          <idx val="8"/>
          <order val="8"/>
          <tx>
            <strRef>
              <f>'GDP data'!$A$20</f>
              <strCache>
                <ptCount val="1"/>
                <pt idx="0">
                  <v>EUR AUD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data'!$D$20:$AW$20</f>
              <numCache>
                <formatCode xml:space="preserve">#,##0.0_ ;\-#,##0.0\ </formatCode>
                <ptCount val="46"/>
                <pt idx="0">
                  <v>-1.5</v>
                </pt>
                <pt idx="1">
                  <v>-1.7</v>
                </pt>
                <pt idx="2">
                  <v>-1.7</v>
                </pt>
                <pt idx="3">
                  <v>-1.7</v>
                </pt>
                <pt idx="4">
                  <v>-2.1</v>
                </pt>
                <pt idx="5">
                  <v>-2.1</v>
                </pt>
                <pt idx="6">
                  <v>-2.1</v>
                </pt>
                <pt idx="7">
                  <v>-1.1</v>
                </pt>
                <pt idx="8">
                  <v>-1.1</v>
                </pt>
                <pt idx="9">
                  <v>-1.1</v>
                </pt>
                <pt idx="10">
                  <v>-0.5000000000000001</v>
                </pt>
                <pt idx="11">
                  <v>-0.5000000000000001</v>
                </pt>
                <pt idx="12">
                  <v>-0.5000000000000001</v>
                </pt>
                <pt idx="13">
                  <v>-0.3</v>
                </pt>
                <pt idx="14">
                  <v>-0.3</v>
                </pt>
                <pt idx="15">
                  <v>-0.3</v>
                </pt>
                <pt idx="16">
                  <v>0.2</v>
                </pt>
                <pt idx="17">
                  <v>0.2</v>
                </pt>
                <pt idx="18">
                  <v>0.2</v>
                </pt>
                <pt idx="19">
                  <v>0.1000000000000001</v>
                </pt>
                <pt idx="20">
                  <v>0.1000000000000001</v>
                </pt>
                <pt idx="21">
                  <v>0.1000000000000001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-0.5</v>
                </pt>
                <pt idx="26">
                  <v>-0.5</v>
                </pt>
                <pt idx="27">
                  <v>-0.5</v>
                </pt>
                <pt idx="28">
                  <v>-0.9000000000000001</v>
                </pt>
                <pt idx="29">
                  <v>-0.9000000000000001</v>
                </pt>
                <pt idx="30">
                  <v>-0.9000000000000001</v>
                </pt>
                <pt idx="31">
                  <v>-1.5</v>
                </pt>
                <pt idx="32">
                  <v>-1.5</v>
                </pt>
                <pt idx="33">
                  <v>-1.5</v>
                </pt>
                <pt idx="34">
                  <v>-2</v>
                </pt>
                <pt idx="35">
                  <v>-2</v>
                </pt>
                <pt idx="36">
                  <v>-2</v>
                </pt>
                <pt idx="37">
                  <v>-0.9000000000000001</v>
                </pt>
                <pt idx="38">
                  <v>-0.9000000000000001</v>
                </pt>
                <pt idx="39">
                  <v>-0.9000000000000001</v>
                </pt>
                <pt idx="40">
                  <v>-0.3999999999999999</v>
                </pt>
                <pt idx="41">
                  <v>-0.3999999999999999</v>
                </pt>
                <pt idx="42">
                  <v>-0.3999999999999999</v>
                </pt>
                <pt idx="43">
                  <v>-0.1000000000000001</v>
                </pt>
                <pt idx="44">
                  <v>-0.1000000000000001</v>
                </pt>
                <pt idx="45">
                  <v>-0.1000000000000001</v>
                </pt>
              </numCache>
            </numRef>
          </val>
        </ser>
        <ser>
          <idx val="9"/>
          <order val="9"/>
          <tx>
            <strRef>
              <f>'GDP data'!$A$21</f>
              <strCache>
                <ptCount val="1"/>
                <pt idx="0">
                  <v>EUR NZD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data'!$D$21:$AW$21</f>
              <numCache>
                <formatCode>General</formatCode>
                <ptCount val="46"/>
                <pt idx="0">
                  <v>-1.8</v>
                </pt>
                <pt idx="1">
                  <v>-2.4</v>
                </pt>
                <pt idx="2">
                  <v>-2.4</v>
                </pt>
                <pt idx="3">
                  <v>-2.4</v>
                </pt>
                <pt idx="4">
                  <v>-1.1</v>
                </pt>
                <pt idx="5">
                  <v>-1.1</v>
                </pt>
                <pt idx="6">
                  <v>-1.1</v>
                </pt>
                <pt idx="7">
                  <v>-1.2</v>
                </pt>
                <pt idx="8">
                  <v>-1.2</v>
                </pt>
                <pt idx="9">
                  <v>-1.2</v>
                </pt>
                <pt idx="10">
                  <v>-1</v>
                </pt>
                <pt idx="11">
                  <v>-1</v>
                </pt>
                <pt idx="12">
                  <v>-1</v>
                </pt>
                <pt idx="13">
                  <v>0.5</v>
                </pt>
                <pt idx="14">
                  <v>0.5</v>
                </pt>
                <pt idx="15">
                  <v>0.5</v>
                </pt>
                <pt idx="16">
                  <v>2.2</v>
                </pt>
                <pt idx="17">
                  <v>2.2</v>
                </pt>
                <pt idx="18">
                  <v>2.2</v>
                </pt>
                <pt idx="19">
                  <v>2.9</v>
                </pt>
                <pt idx="20">
                  <v>2.9</v>
                </pt>
                <pt idx="21">
                  <v>2.9</v>
                </pt>
                <pt idx="22">
                  <v>2.3</v>
                </pt>
                <pt idx="23">
                  <v>2.3</v>
                </pt>
                <pt idx="24">
                  <v>2.3</v>
                </pt>
                <pt idx="25">
                  <v>2.5</v>
                </pt>
                <pt idx="26">
                  <v>2.5</v>
                </pt>
                <pt idx="27">
                  <v>2.5</v>
                </pt>
                <pt idx="28">
                  <v>0.09999999999999987</v>
                </pt>
                <pt idx="29">
                  <v>0.09999999999999987</v>
                </pt>
                <pt idx="30">
                  <v>0.09999999999999987</v>
                </pt>
                <pt idx="31">
                  <v>-0.2</v>
                </pt>
                <pt idx="32">
                  <v>-0.2</v>
                </pt>
                <pt idx="33">
                  <v>-0.2</v>
                </pt>
                <pt idx="34">
                  <v>-1</v>
                </pt>
                <pt idx="35">
                  <v>-1</v>
                </pt>
                <pt idx="36">
                  <v>-1</v>
                </pt>
                <pt idx="37">
                  <v>-0.6000000000000001</v>
                </pt>
                <pt idx="38">
                  <v>-0.6000000000000001</v>
                </pt>
                <pt idx="39">
                  <v>-0.6000000000000001</v>
                </pt>
                <pt idx="40">
                  <v>-0.8</v>
                </pt>
                <pt idx="41">
                  <v>-0.8</v>
                </pt>
                <pt idx="42">
                  <v>-0.8</v>
                </pt>
                <pt idx="43">
                  <v>-1.2</v>
                </pt>
                <pt idx="44">
                  <v>-1.2</v>
                </pt>
                <pt idx="45">
                  <v>-1.2</v>
                </pt>
              </numCache>
            </numRef>
          </val>
        </ser>
        <ser>
          <idx val="10"/>
          <order val="10"/>
          <tx>
            <strRef>
              <f>'GDP data'!$A$22</f>
              <strCache>
                <ptCount val="1"/>
                <pt idx="0">
                  <v>GBP USD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data'!$D$22:$AW$22</f>
              <numCache>
                <formatCode>General</formatCode>
                <ptCount val="46"/>
                <pt idx="0">
                  <v>-1.3</v>
                </pt>
                <pt idx="1">
                  <v>-2.3</v>
                </pt>
                <pt idx="2">
                  <v>-2.3</v>
                </pt>
                <pt idx="3">
                  <v>-2.3</v>
                </pt>
                <pt idx="4">
                  <v>-3.1</v>
                </pt>
                <pt idx="5">
                  <v>-3.1</v>
                </pt>
                <pt idx="6">
                  <v>-3.1</v>
                </pt>
                <pt idx="7">
                  <v>-3.9</v>
                </pt>
                <pt idx="8">
                  <v>-3.9</v>
                </pt>
                <pt idx="9">
                  <v>-3.9</v>
                </pt>
                <pt idx="10">
                  <v>-2.6</v>
                </pt>
                <pt idx="11">
                  <v>-2.6</v>
                </pt>
                <pt idx="12">
                  <v>-2.6</v>
                </pt>
                <pt idx="13">
                  <v>-2.3</v>
                </pt>
                <pt idx="14">
                  <v>-2.3</v>
                </pt>
                <pt idx="15">
                  <v>-2.3</v>
                </pt>
                <pt idx="16">
                  <v>-1.5</v>
                </pt>
                <pt idx="17">
                  <v>-1.5</v>
                </pt>
                <pt idx="18">
                  <v>-1.5</v>
                </pt>
                <pt idx="19">
                  <v>-0.5</v>
                </pt>
                <pt idx="20">
                  <v>-0.5</v>
                </pt>
                <pt idx="21">
                  <v>-0.5</v>
                </pt>
                <pt idx="22">
                  <v>-0.2</v>
                </pt>
                <pt idx="23">
                  <v>-0.2</v>
                </pt>
                <pt idx="24">
                  <v>-0.2</v>
                </pt>
                <pt idx="25">
                  <v>-0.7000000000000002</v>
                </pt>
                <pt idx="26">
                  <v>-0.7000000000000002</v>
                </pt>
                <pt idx="27">
                  <v>-0.7000000000000002</v>
                </pt>
                <pt idx="28">
                  <v>-0.9999999999999998</v>
                </pt>
                <pt idx="29">
                  <v>-0.9999999999999998</v>
                </pt>
                <pt idx="30">
                  <v>-0.9999999999999998</v>
                </pt>
                <pt idx="31">
                  <v>-1.1</v>
                </pt>
                <pt idx="32">
                  <v>-1.1</v>
                </pt>
                <pt idx="33">
                  <v>-1.1</v>
                </pt>
                <pt idx="34">
                  <v>-1.8</v>
                </pt>
                <pt idx="35">
                  <v>-1.8</v>
                </pt>
                <pt idx="36">
                  <v>-1.8</v>
                </pt>
                <pt idx="37">
                  <v>-0.9000000000000001</v>
                </pt>
                <pt idx="38">
                  <v>-0.9000000000000001</v>
                </pt>
                <pt idx="39">
                  <v>-0.9000000000000001</v>
                </pt>
                <pt idx="40">
                  <v>-0.3</v>
                </pt>
                <pt idx="41">
                  <v>-0.3</v>
                </pt>
                <pt idx="42">
                  <v>-0.3</v>
                </pt>
                <pt idx="43">
                  <v>-0.2000000000000002</v>
                </pt>
                <pt idx="44">
                  <v>-0.2000000000000002</v>
                </pt>
                <pt idx="45">
                  <v>-0.2000000000000002</v>
                </pt>
              </numCache>
            </numRef>
          </val>
        </ser>
        <ser>
          <idx val="11"/>
          <order val="11"/>
          <tx>
            <strRef>
              <f>'GDP data'!$A$23</f>
              <strCache>
                <ptCount val="1"/>
                <pt idx="0">
                  <v>GBP JPY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data'!$D$23:$AW$23</f>
              <numCache>
                <formatCode>General</formatCode>
                <ptCount val="46"/>
                <pt idx="0">
                  <v>-0.8</v>
                </pt>
                <pt idx="1">
                  <v>-0.5</v>
                </pt>
                <pt idx="2">
                  <v>-0.5</v>
                </pt>
                <pt idx="3">
                  <v>-0.5</v>
                </pt>
                <pt idx="4">
                  <v>0.1</v>
                </pt>
                <pt idx="5">
                  <v>0.1</v>
                </pt>
                <pt idx="6">
                  <v>0.1</v>
                </pt>
                <pt idx="7">
                  <v>-0.5</v>
                </pt>
                <pt idx="8">
                  <v>-0.5</v>
                </pt>
                <pt idx="9">
                  <v>-0.5</v>
                </pt>
                <pt idx="10">
                  <v>1.6</v>
                </pt>
                <pt idx="11">
                  <v>1.6</v>
                </pt>
                <pt idx="12">
                  <v>1.6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0.5</v>
                </pt>
                <pt idx="17">
                  <v>0.5</v>
                </pt>
                <pt idx="18">
                  <v>0.5</v>
                </pt>
                <pt idx="19">
                  <v>1.3</v>
                </pt>
                <pt idx="20">
                  <v>1.3</v>
                </pt>
                <pt idx="21">
                  <v>1.3</v>
                </pt>
                <pt idx="22">
                  <v>0.2</v>
                </pt>
                <pt idx="23">
                  <v>0.2</v>
                </pt>
                <pt idx="24">
                  <v>0.2</v>
                </pt>
                <pt idx="25">
                  <v>-0.6000000000000001</v>
                </pt>
                <pt idx="26">
                  <v>-0.6000000000000001</v>
                </pt>
                <pt idx="27">
                  <v>-0.6000000000000001</v>
                </pt>
                <pt idx="28">
                  <v>0.8</v>
                </pt>
                <pt idx="29">
                  <v>0.8</v>
                </pt>
                <pt idx="30">
                  <v>0.8</v>
                </pt>
                <pt idx="31">
                  <v>0.7</v>
                </pt>
                <pt idx="32">
                  <v>0.7</v>
                </pt>
                <pt idx="33">
                  <v>0.7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0.5</v>
                </pt>
                <pt idx="38">
                  <v>0.5</v>
                </pt>
                <pt idx="39">
                  <v>0.5</v>
                </pt>
                <pt idx="40">
                  <v>0.6</v>
                </pt>
                <pt idx="41">
                  <v>0.6</v>
                </pt>
                <pt idx="42">
                  <v>0.6</v>
                </pt>
                <pt idx="43">
                  <v>0.2999999999999998</v>
                </pt>
                <pt idx="44">
                  <v>0.2999999999999998</v>
                </pt>
                <pt idx="45">
                  <v>0.2999999999999998</v>
                </pt>
              </numCache>
            </numRef>
          </val>
        </ser>
        <ser>
          <idx val="12"/>
          <order val="12"/>
          <tx>
            <strRef>
              <f>'GDP data'!$A$24</f>
              <strCache>
                <ptCount val="1"/>
                <pt idx="0">
                  <v>GBP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data'!$D$24:$AW$24</f>
              <numCache>
                <formatCode>General</formatCode>
                <ptCount val="46"/>
                <pt idx="0">
                  <v>-1</v>
                </pt>
                <pt idx="1">
                  <v>-0.5</v>
                </pt>
                <pt idx="2">
                  <v>-0.5</v>
                </pt>
                <pt idx="3">
                  <v>-0.5</v>
                </pt>
                <pt idx="4">
                  <v>-0.7000000000000001</v>
                </pt>
                <pt idx="5">
                  <v>-0.7000000000000001</v>
                </pt>
                <pt idx="6">
                  <v>-0.7000000000000001</v>
                </pt>
                <pt idx="7">
                  <v>-1.6</v>
                </pt>
                <pt idx="8">
                  <v>-1.6</v>
                </pt>
                <pt idx="9">
                  <v>-1.6</v>
                </pt>
                <pt idx="10">
                  <v>0.2</v>
                </pt>
                <pt idx="11">
                  <v>0.2</v>
                </pt>
                <pt idx="12">
                  <v>0.2</v>
                </pt>
                <pt idx="13">
                  <v>-0.8</v>
                </pt>
                <pt idx="14">
                  <v>-0.8</v>
                </pt>
                <pt idx="15">
                  <v>-0.8</v>
                </pt>
                <pt idx="16">
                  <v>-0.3</v>
                </pt>
                <pt idx="17">
                  <v>-0.3</v>
                </pt>
                <pt idx="18">
                  <v>-0.3</v>
                </pt>
                <pt idx="19">
                  <v>0.5999999999999999</v>
                </pt>
                <pt idx="20">
                  <v>0.5999999999999999</v>
                </pt>
                <pt idx="21">
                  <v>0.5999999999999999</v>
                </pt>
                <pt idx="22">
                  <v>-0.7</v>
                </pt>
                <pt idx="23">
                  <v>-0.7</v>
                </pt>
                <pt idx="24">
                  <v>-0.7</v>
                </pt>
                <pt idx="25">
                  <v>-0.2000000000000002</v>
                </pt>
                <pt idx="26">
                  <v>-0.2000000000000002</v>
                </pt>
                <pt idx="27">
                  <v>-0.2000000000000002</v>
                </pt>
                <pt idx="28">
                  <v>0.6000000000000001</v>
                </pt>
                <pt idx="29">
                  <v>0.6000000000000001</v>
                </pt>
                <pt idx="30">
                  <v>0.6000000000000001</v>
                </pt>
                <pt idx="31">
                  <v>-0.2000000000000001</v>
                </pt>
                <pt idx="32">
                  <v>-0.2000000000000001</v>
                </pt>
                <pt idx="33">
                  <v>-0.2000000000000001</v>
                </pt>
                <pt idx="34">
                  <v>0.6000000000000001</v>
                </pt>
                <pt idx="35">
                  <v>0.6000000000000001</v>
                </pt>
                <pt idx="36">
                  <v>0.6000000000000001</v>
                </pt>
                <pt idx="37">
                  <v>-1.1</v>
                </pt>
                <pt idx="38">
                  <v>-1.1</v>
                </pt>
                <pt idx="39">
                  <v>-1.1</v>
                </pt>
                <pt idx="40">
                  <v>0.7</v>
                </pt>
                <pt idx="41">
                  <v>0.7</v>
                </pt>
                <pt idx="42">
                  <v>0.7</v>
                </pt>
                <pt idx="43">
                  <v>0.3999999999999999</v>
                </pt>
                <pt idx="44">
                  <v>0.3999999999999999</v>
                </pt>
                <pt idx="45">
                  <v>0.3999999999999999</v>
                </pt>
              </numCache>
            </numRef>
          </val>
        </ser>
        <ser>
          <idx val="13"/>
          <order val="13"/>
          <tx>
            <strRef>
              <f>'GDP data'!$A$25</f>
              <strCache>
                <ptCount val="1"/>
                <pt idx="0">
                  <v>GBP CAD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data'!$D$25:$AW$25</f>
              <numCache>
                <formatCode>General</formatCode>
                <ptCount val="46"/>
                <pt idx="0">
                  <v>-2.1</v>
                </pt>
                <pt idx="1">
                  <v>-1.6</v>
                </pt>
                <pt idx="2">
                  <v>-1.6</v>
                </pt>
                <pt idx="3">
                  <v>-1.6</v>
                </pt>
                <pt idx="4">
                  <v>-1.2</v>
                </pt>
                <pt idx="5">
                  <v>-1.2</v>
                </pt>
                <pt idx="6">
                  <v>-1.2</v>
                </pt>
                <pt idx="7">
                  <v>-1.8</v>
                </pt>
                <pt idx="8">
                  <v>-1.8</v>
                </pt>
                <pt idx="9">
                  <v>-1.8</v>
                </pt>
                <pt idx="10">
                  <v>-0.7</v>
                </pt>
                <pt idx="11">
                  <v>-0.7</v>
                </pt>
                <pt idx="12">
                  <v>-0.7</v>
                </pt>
                <pt idx="13">
                  <v>-0.8999999999999999</v>
                </pt>
                <pt idx="14">
                  <v>-0.8999999999999999</v>
                </pt>
                <pt idx="15">
                  <v>-0.8999999999999999</v>
                </pt>
                <pt idx="16">
                  <v>-1.1</v>
                </pt>
                <pt idx="17">
                  <v>-1.1</v>
                </pt>
                <pt idx="18">
                  <v>-1.1</v>
                </pt>
                <pt idx="19">
                  <v>-1.2</v>
                </pt>
                <pt idx="20">
                  <v>-1.2</v>
                </pt>
                <pt idx="21">
                  <v>-1.2</v>
                </pt>
                <pt idx="22">
                  <v>-1.1</v>
                </pt>
                <pt idx="23">
                  <v>-1.1</v>
                </pt>
                <pt idx="24">
                  <v>-1.1</v>
                </pt>
                <pt idx="25">
                  <v>-0.4000000000000001</v>
                </pt>
                <pt idx="26">
                  <v>-0.4000000000000001</v>
                </pt>
                <pt idx="27">
                  <v>-0.4000000000000001</v>
                </pt>
                <pt idx="28">
                  <v>-0.3</v>
                </pt>
                <pt idx="29">
                  <v>-0.3</v>
                </pt>
                <pt idx="30">
                  <v>-0.3</v>
                </pt>
                <pt idx="31">
                  <v>0.2000000000000001</v>
                </pt>
                <pt idx="32">
                  <v>0.2000000000000001</v>
                </pt>
                <pt idx="33">
                  <v>0.2000000000000001</v>
                </pt>
                <pt idx="34">
                  <v>0.8</v>
                </pt>
                <pt idx="35">
                  <v>0.8</v>
                </pt>
                <pt idx="36">
                  <v>0.8</v>
                </pt>
                <pt idx="37">
                  <v>0.09999999999999987</v>
                </pt>
                <pt idx="38">
                  <v>0.09999999999999987</v>
                </pt>
                <pt idx="39">
                  <v>0.09999999999999987</v>
                </pt>
                <pt idx="40">
                  <v>0.3999999999999999</v>
                </pt>
                <pt idx="41">
                  <v>0.3999999999999999</v>
                </pt>
                <pt idx="42">
                  <v>0.3999999999999999</v>
                </pt>
                <pt idx="43">
                  <v>-0.5</v>
                </pt>
                <pt idx="44">
                  <v>-0.5</v>
                </pt>
                <pt idx="45">
                  <v>-0.5</v>
                </pt>
              </numCache>
            </numRef>
          </val>
        </ser>
        <ser>
          <idx val="14"/>
          <order val="14"/>
          <tx>
            <strRef>
              <f>'GDP data'!$A$26</f>
              <strCache>
                <ptCount val="1"/>
                <pt idx="0">
                  <v>GBP AUD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data'!$D$26:$AW$26</f>
              <numCache>
                <formatCode xml:space="preserve">#,##0.0_ ;\-#,##0.0\ </formatCode>
                <ptCount val="46"/>
                <pt idx="0">
                  <v>-1.8</v>
                </pt>
                <pt idx="1">
                  <v>-1.8</v>
                </pt>
                <pt idx="2">
                  <v>-1.8</v>
                </pt>
                <pt idx="3">
                  <v>-1.8</v>
                </pt>
                <pt idx="4">
                  <v>-2.1</v>
                </pt>
                <pt idx="5">
                  <v>-2.1</v>
                </pt>
                <pt idx="6">
                  <v>-2.1</v>
                </pt>
                <pt idx="7">
                  <v>-1.8</v>
                </pt>
                <pt idx="8">
                  <v>-1.8</v>
                </pt>
                <pt idx="9">
                  <v>-1.8</v>
                </pt>
                <pt idx="10">
                  <v>-0.8</v>
                </pt>
                <pt idx="11">
                  <v>-0.8</v>
                </pt>
                <pt idx="12">
                  <v>-0.8</v>
                </pt>
                <pt idx="13">
                  <v>-0.09999999999999998</v>
                </pt>
                <pt idx="14">
                  <v>-0.09999999999999998</v>
                </pt>
                <pt idx="15">
                  <v>-0.09999999999999998</v>
                </pt>
                <pt idx="16">
                  <v>0.5</v>
                </pt>
                <pt idx="17">
                  <v>0.5</v>
                </pt>
                <pt idx="18">
                  <v>0.5</v>
                </pt>
                <pt idx="19">
                  <v>0.7</v>
                </pt>
                <pt idx="20">
                  <v>0.7</v>
                </pt>
                <pt idx="21">
                  <v>0.7</v>
                </pt>
                <pt idx="22">
                  <v>0.5</v>
                </pt>
                <pt idx="23">
                  <v>0.5</v>
                </pt>
                <pt idx="24">
                  <v>0.5</v>
                </pt>
                <pt idx="25">
                  <v>-0.5</v>
                </pt>
                <pt idx="26">
                  <v>-0.5</v>
                </pt>
                <pt idx="27">
                  <v>-0.5</v>
                </pt>
                <pt idx="28">
                  <v>-0.8</v>
                </pt>
                <pt idx="29">
                  <v>-0.8</v>
                </pt>
                <pt idx="30">
                  <v>-0.8</v>
                </pt>
                <pt idx="31">
                  <v>-1.7</v>
                </pt>
                <pt idx="32">
                  <v>-1.7</v>
                </pt>
                <pt idx="33">
                  <v>-1.7</v>
                </pt>
                <pt idx="34">
                  <v>-1.6</v>
                </pt>
                <pt idx="35">
                  <v>-1.6</v>
                </pt>
                <pt idx="36">
                  <v>-1.6</v>
                </pt>
                <pt idx="37">
                  <v>-0.9000000000000001</v>
                </pt>
                <pt idx="38">
                  <v>-0.9000000000000001</v>
                </pt>
                <pt idx="39">
                  <v>-0.9000000000000001</v>
                </pt>
                <pt idx="40">
                  <v>0.1000000000000001</v>
                </pt>
                <pt idx="41">
                  <v>0.1000000000000001</v>
                </pt>
                <pt idx="42">
                  <v>0.1000000000000001</v>
                </pt>
                <pt idx="43">
                  <v>0.5999999999999999</v>
                </pt>
                <pt idx="44">
                  <v>0.5999999999999999</v>
                </pt>
                <pt idx="45">
                  <v>0.5999999999999999</v>
                </pt>
              </numCache>
            </numRef>
          </val>
        </ser>
        <ser>
          <idx val="15"/>
          <order val="15"/>
          <tx>
            <strRef>
              <f>'GDP data'!$A$27</f>
              <strCache>
                <ptCount val="1"/>
                <pt idx="0">
                  <v>GBP NZD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data'!$D$27:$AW$27</f>
              <numCache>
                <formatCode>General</formatCode>
                <ptCount val="46"/>
                <pt idx="0">
                  <v>-2.1</v>
                </pt>
                <pt idx="1">
                  <v>-2.5</v>
                </pt>
                <pt idx="2">
                  <v>-2.5</v>
                </pt>
                <pt idx="3">
                  <v>-2.5</v>
                </pt>
                <pt idx="4">
                  <v>-1.1</v>
                </pt>
                <pt idx="5">
                  <v>-1.1</v>
                </pt>
                <pt idx="6">
                  <v>-1.1</v>
                </pt>
                <pt idx="7">
                  <v>-1.9</v>
                </pt>
                <pt idx="8">
                  <v>-1.9</v>
                </pt>
                <pt idx="9">
                  <v>-1.9</v>
                </pt>
                <pt idx="10">
                  <v>-1.3</v>
                </pt>
                <pt idx="11">
                  <v>-1.3</v>
                </pt>
                <pt idx="12">
                  <v>-1.3</v>
                </pt>
                <pt idx="13">
                  <v>0.7000000000000001</v>
                </pt>
                <pt idx="14">
                  <v>0.7000000000000001</v>
                </pt>
                <pt idx="15">
                  <v>0.7000000000000001</v>
                </pt>
                <pt idx="16">
                  <v>2.5</v>
                </pt>
                <pt idx="17">
                  <v>2.5</v>
                </pt>
                <pt idx="18">
                  <v>2.5</v>
                </pt>
                <pt idx="19">
                  <v>3.5</v>
                </pt>
                <pt idx="20">
                  <v>3.5</v>
                </pt>
                <pt idx="21">
                  <v>3.5</v>
                </pt>
                <pt idx="22">
                  <v>2.5</v>
                </pt>
                <pt idx="23">
                  <v>2.5</v>
                </pt>
                <pt idx="24">
                  <v>2.5</v>
                </pt>
                <pt idx="25">
                  <v>2.5</v>
                </pt>
                <pt idx="26">
                  <v>2.5</v>
                </pt>
                <pt idx="27">
                  <v>2.5</v>
                </pt>
                <pt idx="28">
                  <v>0.2</v>
                </pt>
                <pt idx="29">
                  <v>0.2</v>
                </pt>
                <pt idx="30">
                  <v>0.2</v>
                </pt>
                <pt idx="31">
                  <v>-0.4</v>
                </pt>
                <pt idx="32">
                  <v>-0.4</v>
                </pt>
                <pt idx="33">
                  <v>-0.4</v>
                </pt>
                <pt idx="34">
                  <v>-0.6</v>
                </pt>
                <pt idx="35">
                  <v>-0.6</v>
                </pt>
                <pt idx="36">
                  <v>-0.6</v>
                </pt>
                <pt idx="37">
                  <v>-0.6000000000000001</v>
                </pt>
                <pt idx="38">
                  <v>-0.6000000000000001</v>
                </pt>
                <pt idx="39">
                  <v>-0.6000000000000001</v>
                </pt>
                <pt idx="40">
                  <v>-0.3</v>
                </pt>
                <pt idx="41">
                  <v>-0.3</v>
                </pt>
                <pt idx="42">
                  <v>-0.3</v>
                </pt>
                <pt idx="43">
                  <v>-0.5</v>
                </pt>
                <pt idx="44">
                  <v>-0.5</v>
                </pt>
                <pt idx="45">
                  <v>-0.5</v>
                </pt>
              </numCache>
            </numRef>
          </val>
        </ser>
        <ser>
          <idx val="16"/>
          <order val="16"/>
          <tx>
            <strRef>
              <f>'GDP data'!$A$28</f>
              <strCache>
                <ptCount val="1"/>
                <pt idx="0">
                  <v xml:space="preserve">CHF JPY 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data'!$D$28:$AW$28</f>
              <numCache>
                <formatCode>General</formatCode>
                <ptCount val="46"/>
                <pt idx="0">
                  <v>0.2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1.1</v>
                </pt>
                <pt idx="8">
                  <v>1.1</v>
                </pt>
                <pt idx="9">
                  <v>1.1</v>
                </pt>
                <pt idx="10">
                  <v>1.4</v>
                </pt>
                <pt idx="11">
                  <v>1.4</v>
                </pt>
                <pt idx="12">
                  <v>1.4</v>
                </pt>
                <pt idx="13">
                  <v>2.8</v>
                </pt>
                <pt idx="14">
                  <v>2.8</v>
                </pt>
                <pt idx="15">
                  <v>2.8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0.7000000000000001</v>
                </pt>
                <pt idx="20">
                  <v>0.7000000000000001</v>
                </pt>
                <pt idx="21">
                  <v>0.7000000000000001</v>
                </pt>
                <pt idx="22">
                  <v>0.8999999999999999</v>
                </pt>
                <pt idx="23">
                  <v>0.8999999999999999</v>
                </pt>
                <pt idx="24">
                  <v>0.8999999999999999</v>
                </pt>
                <pt idx="25">
                  <v>-0.3999999999999999</v>
                </pt>
                <pt idx="26">
                  <v>-0.3999999999999999</v>
                </pt>
                <pt idx="27">
                  <v>-0.3999999999999999</v>
                </pt>
                <pt idx="28">
                  <v>0.2</v>
                </pt>
                <pt idx="29">
                  <v>0.2</v>
                </pt>
                <pt idx="30">
                  <v>0.2</v>
                </pt>
                <pt idx="31">
                  <v>0.9000000000000001</v>
                </pt>
                <pt idx="32">
                  <v>0.9000000000000001</v>
                </pt>
                <pt idx="33">
                  <v>0.9000000000000001</v>
                </pt>
                <pt idx="34">
                  <v>-0.3</v>
                </pt>
                <pt idx="35">
                  <v>-0.3</v>
                </pt>
                <pt idx="36">
                  <v>-0.3</v>
                </pt>
                <pt idx="37">
                  <v>1.6</v>
                </pt>
                <pt idx="38">
                  <v>1.6</v>
                </pt>
                <pt idx="39">
                  <v>1.6</v>
                </pt>
                <pt idx="40">
                  <v>-0.09999999999999998</v>
                </pt>
                <pt idx="41">
                  <v>-0.09999999999999998</v>
                </pt>
                <pt idx="42">
                  <v>-0.09999999999999998</v>
                </pt>
                <pt idx="43">
                  <v>-0.1000000000000001</v>
                </pt>
                <pt idx="44">
                  <v>-0.1000000000000001</v>
                </pt>
                <pt idx="45">
                  <v>-0.1000000000000001</v>
                </pt>
              </numCache>
            </numRef>
          </val>
        </ser>
        <ser>
          <idx val="17"/>
          <order val="17"/>
          <tx>
            <strRef>
              <f>'GDP data'!$A$29</f>
              <strCache>
                <ptCount val="1"/>
                <pt idx="0">
                  <v>AUD USD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data'!$D$29:$AW$29</f>
              <numCache>
                <formatCode xml:space="preserve">#,##0.0_ ;\-#,##0.0\ </formatCode>
                <ptCount val="46"/>
                <pt idx="0">
                  <v>0.5</v>
                </pt>
                <pt idx="1">
                  <v>-0.5</v>
                </pt>
                <pt idx="2">
                  <v>-0.5</v>
                </pt>
                <pt idx="3">
                  <v>-0.5</v>
                </pt>
                <pt idx="4">
                  <v>-1</v>
                </pt>
                <pt idx="5">
                  <v>-1</v>
                </pt>
                <pt idx="6">
                  <v>-1</v>
                </pt>
                <pt idx="7">
                  <v>-2.1</v>
                </pt>
                <pt idx="8">
                  <v>-2.1</v>
                </pt>
                <pt idx="9">
                  <v>-2.1</v>
                </pt>
                <pt idx="10">
                  <v>-1.8</v>
                </pt>
                <pt idx="11">
                  <v>-1.8</v>
                </pt>
                <pt idx="12">
                  <v>-1.8</v>
                </pt>
                <pt idx="13">
                  <v>-2.2</v>
                </pt>
                <pt idx="14">
                  <v>-2.2</v>
                </pt>
                <pt idx="15">
                  <v>-2.2</v>
                </pt>
                <pt idx="16">
                  <v>-2</v>
                </pt>
                <pt idx="17">
                  <v>-2</v>
                </pt>
                <pt idx="18">
                  <v>-2</v>
                </pt>
                <pt idx="19">
                  <v>-1.2</v>
                </pt>
                <pt idx="20">
                  <v>-1.2</v>
                </pt>
                <pt idx="21">
                  <v>-1.2</v>
                </pt>
                <pt idx="22">
                  <v>-0.7</v>
                </pt>
                <pt idx="23">
                  <v>-0.7</v>
                </pt>
                <pt idx="24">
                  <v>-0.7</v>
                </pt>
                <pt idx="25">
                  <v>-0.2000000000000002</v>
                </pt>
                <pt idx="26">
                  <v>-0.2000000000000002</v>
                </pt>
                <pt idx="27">
                  <v>-0.2000000000000002</v>
                </pt>
                <pt idx="28">
                  <v>-0.1999999999999997</v>
                </pt>
                <pt idx="29">
                  <v>-0.1999999999999997</v>
                </pt>
                <pt idx="30">
                  <v>-0.1999999999999997</v>
                </pt>
                <pt idx="31">
                  <v>0.6000000000000001</v>
                </pt>
                <pt idx="32">
                  <v>0.6000000000000001</v>
                </pt>
                <pt idx="33">
                  <v>0.6000000000000001</v>
                </pt>
                <pt idx="34">
                  <v>-0.2000000000000002</v>
                </pt>
                <pt idx="35">
                  <v>-0.2000000000000002</v>
                </pt>
                <pt idx="36">
                  <v>-0.2000000000000002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-0.4000000000000001</v>
                </pt>
                <pt idx="41">
                  <v>-0.4000000000000001</v>
                </pt>
                <pt idx="42">
                  <v>-0.4000000000000001</v>
                </pt>
                <pt idx="43">
                  <v>-0.8</v>
                </pt>
                <pt idx="44">
                  <v>-0.8</v>
                </pt>
                <pt idx="45">
                  <v>-0.8</v>
                </pt>
              </numCache>
            </numRef>
          </val>
        </ser>
        <ser>
          <idx val="18"/>
          <order val="18"/>
          <tx>
            <strRef>
              <f>'GDP data'!$A$30</f>
              <strCache>
                <ptCount val="1"/>
                <pt idx="0">
                  <v>AUD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data'!$D$30:$AW$30</f>
              <numCache>
                <formatCode xml:space="preserve">#,##0.0_ ;\-#,##0.0\ </formatCode>
                <ptCount val="46"/>
                <pt idx="0">
                  <v>0.7999999999999998</v>
                </pt>
                <pt idx="1">
                  <v>1.3</v>
                </pt>
                <pt idx="2">
                  <v>1.3</v>
                </pt>
                <pt idx="3">
                  <v>1.3</v>
                </pt>
                <pt idx="4">
                  <v>1.4</v>
                </pt>
                <pt idx="5">
                  <v>1.4</v>
                </pt>
                <pt idx="6">
                  <v>1.4</v>
                </pt>
                <pt idx="7">
                  <v>0.2</v>
                </pt>
                <pt idx="8">
                  <v>0.2</v>
                </pt>
                <pt idx="9">
                  <v>0.2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-0.7000000000000001</v>
                </pt>
                <pt idx="14">
                  <v>-0.7000000000000001</v>
                </pt>
                <pt idx="15">
                  <v>-0.7000000000000001</v>
                </pt>
                <pt idx="16">
                  <v>-0.8</v>
                </pt>
                <pt idx="17">
                  <v>-0.8</v>
                </pt>
                <pt idx="18">
                  <v>-0.8</v>
                </pt>
                <pt idx="19">
                  <v>-0.1000000000000001</v>
                </pt>
                <pt idx="20">
                  <v>-0.1000000000000001</v>
                </pt>
                <pt idx="21">
                  <v>-0.1000000000000001</v>
                </pt>
                <pt idx="22">
                  <v>-1.2</v>
                </pt>
                <pt idx="23">
                  <v>-1.2</v>
                </pt>
                <pt idx="24">
                  <v>-1.2</v>
                </pt>
                <pt idx="25">
                  <v>0.2999999999999998</v>
                </pt>
                <pt idx="26">
                  <v>0.2999999999999998</v>
                </pt>
                <pt idx="27">
                  <v>0.2999999999999998</v>
                </pt>
                <pt idx="28">
                  <v>1.4</v>
                </pt>
                <pt idx="29">
                  <v>1.4</v>
                </pt>
                <pt idx="30">
                  <v>1.4</v>
                </pt>
                <pt idx="31">
                  <v>1.5</v>
                </pt>
                <pt idx="32">
                  <v>1.5</v>
                </pt>
                <pt idx="33">
                  <v>1.5</v>
                </pt>
                <pt idx="34">
                  <v>2.2</v>
                </pt>
                <pt idx="35">
                  <v>2.2</v>
                </pt>
                <pt idx="36">
                  <v>2.2</v>
                </pt>
                <pt idx="37">
                  <v>-0.1999999999999997</v>
                </pt>
                <pt idx="38">
                  <v>-0.1999999999999997</v>
                </pt>
                <pt idx="39">
                  <v>-0.1999999999999997</v>
                </pt>
                <pt idx="40">
                  <v>0.5999999999999999</v>
                </pt>
                <pt idx="41">
                  <v>0.5999999999999999</v>
                </pt>
                <pt idx="42">
                  <v>0.5999999999999999</v>
                </pt>
                <pt idx="43">
                  <v>-0.2</v>
                </pt>
                <pt idx="44">
                  <v>-0.2</v>
                </pt>
                <pt idx="45">
                  <v>-0.2</v>
                </pt>
              </numCache>
            </numRef>
          </val>
        </ser>
        <ser>
          <idx val="19"/>
          <order val="19"/>
          <tx>
            <strRef>
              <f>'GDP data'!$A$31</f>
              <strCache>
                <ptCount val="1"/>
                <pt idx="0">
                  <v>AUD JPY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data'!$D$31:$AW$31</f>
              <numCache>
                <formatCode xml:space="preserve">#,##0.0_ ;\-#,##0.0\ </formatCode>
                <ptCount val="46"/>
                <pt idx="0">
                  <v>0.9999999999999998</v>
                </pt>
                <pt idx="1">
                  <v>1.3</v>
                </pt>
                <pt idx="2">
                  <v>1.3</v>
                </pt>
                <pt idx="3">
                  <v>1.3</v>
                </pt>
                <pt idx="4">
                  <v>2.2</v>
                </pt>
                <pt idx="5">
                  <v>2.2</v>
                </pt>
                <pt idx="6">
                  <v>2.2</v>
                </pt>
                <pt idx="7">
                  <v>1.3</v>
                </pt>
                <pt idx="8">
                  <v>1.3</v>
                </pt>
                <pt idx="9">
                  <v>1.3</v>
                </pt>
                <pt idx="10">
                  <v>2.4</v>
                </pt>
                <pt idx="11">
                  <v>2.4</v>
                </pt>
                <pt idx="12">
                  <v>2.4</v>
                </pt>
                <pt idx="13">
                  <v>2.1</v>
                </pt>
                <pt idx="14">
                  <v>2.1</v>
                </pt>
                <pt idx="15">
                  <v>2.1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0.6</v>
                </pt>
                <pt idx="20">
                  <v>0.6</v>
                </pt>
                <pt idx="21">
                  <v>0.6</v>
                </pt>
                <pt idx="22">
                  <v>-0.3</v>
                </pt>
                <pt idx="23">
                  <v>-0.3</v>
                </pt>
                <pt idx="24">
                  <v>-0.3</v>
                </pt>
                <pt idx="25">
                  <v>-0.1000000000000001</v>
                </pt>
                <pt idx="26">
                  <v>-0.1000000000000001</v>
                </pt>
                <pt idx="27">
                  <v>-0.1000000000000001</v>
                </pt>
                <pt idx="28">
                  <v>1.6</v>
                </pt>
                <pt idx="29">
                  <v>1.6</v>
                </pt>
                <pt idx="30">
                  <v>1.6</v>
                </pt>
                <pt idx="31">
                  <v>2.4</v>
                </pt>
                <pt idx="32">
                  <v>2.4</v>
                </pt>
                <pt idx="33">
                  <v>2.4</v>
                </pt>
                <pt idx="34">
                  <v>1.9</v>
                </pt>
                <pt idx="35">
                  <v>1.9</v>
                </pt>
                <pt idx="36">
                  <v>1.9</v>
                </pt>
                <pt idx="37">
                  <v>1.4</v>
                </pt>
                <pt idx="38">
                  <v>1.4</v>
                </pt>
                <pt idx="39">
                  <v>1.4</v>
                </pt>
                <pt idx="40">
                  <v>0.4999999999999999</v>
                </pt>
                <pt idx="41">
                  <v>0.4999999999999999</v>
                </pt>
                <pt idx="42">
                  <v>0.4999999999999999</v>
                </pt>
                <pt idx="43">
                  <v>-0.3</v>
                </pt>
                <pt idx="44">
                  <v>-0.3</v>
                </pt>
                <pt idx="45">
                  <v>-0.3</v>
                </pt>
              </numCache>
            </numRef>
          </val>
        </ser>
        <ser>
          <idx val="20"/>
          <order val="20"/>
          <tx>
            <strRef>
              <f>'GDP data'!$A$32</f>
              <strCache>
                <ptCount val="1"/>
                <pt idx="0">
                  <v>AUD NZD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data'!$D$32:$AW$32</f>
              <numCache>
                <formatCode xml:space="preserve">#,##0.0_ ;\-#,##0.0\ </formatCode>
                <ptCount val="46"/>
                <pt idx="0">
                  <v>-0.3000000000000003</v>
                </pt>
                <pt idx="1">
                  <v>-0.7000000000000002</v>
                </pt>
                <pt idx="2">
                  <v>-0.7000000000000002</v>
                </pt>
                <pt idx="3">
                  <v>-0.7000000000000002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-0.09999999999999987</v>
                </pt>
                <pt idx="8">
                  <v>-0.09999999999999987</v>
                </pt>
                <pt idx="9">
                  <v>-0.09999999999999987</v>
                </pt>
                <pt idx="10">
                  <v>-0.5</v>
                </pt>
                <pt idx="11">
                  <v>-0.5</v>
                </pt>
                <pt idx="12">
                  <v>-0.5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2.8</v>
                </pt>
                <pt idx="20">
                  <v>2.8</v>
                </pt>
                <pt idx="21">
                  <v>2.8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3</v>
                </pt>
                <pt idx="26">
                  <v>3</v>
                </pt>
                <pt idx="27">
                  <v>3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1.3</v>
                </pt>
                <pt idx="32">
                  <v>1.3</v>
                </pt>
                <pt idx="33">
                  <v>1.3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-0.4000000000000001</v>
                </pt>
                <pt idx="41">
                  <v>-0.4000000000000001</v>
                </pt>
                <pt idx="42">
                  <v>-0.4000000000000001</v>
                </pt>
                <pt idx="43">
                  <v>-1.1</v>
                </pt>
                <pt idx="44">
                  <v>-1.1</v>
                </pt>
                <pt idx="45">
                  <v>-1.1</v>
                </pt>
              </numCache>
            </numRef>
          </val>
        </ser>
        <ser>
          <idx val="21"/>
          <order val="21"/>
          <tx>
            <strRef>
              <f>'GDP data'!$A$33</f>
              <strCache>
                <ptCount val="1"/>
                <pt idx="0">
                  <v>AUD CAD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data'!$D$33:$AW$33</f>
              <numCache>
                <formatCode xml:space="preserve">#,##0.0_ ;\-#,##0.0\ </formatCode>
                <ptCount val="46"/>
                <pt idx="0">
                  <v>-0.3000000000000003</v>
                </pt>
                <pt idx="1">
                  <v>0.1999999999999997</v>
                </pt>
                <pt idx="2">
                  <v>0.1999999999999997</v>
                </pt>
                <pt idx="3">
                  <v>0.1999999999999997</v>
                </pt>
                <pt idx="4">
                  <v>0.9000000000000001</v>
                </pt>
                <pt idx="5">
                  <v>0.9000000000000001</v>
                </pt>
                <pt idx="6">
                  <v>0.9000000000000001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0.1000000000000001</v>
                </pt>
                <pt idx="11">
                  <v>0.1000000000000001</v>
                </pt>
                <pt idx="12">
                  <v>0.1000000000000001</v>
                </pt>
                <pt idx="13">
                  <v>-0.7999999999999999</v>
                </pt>
                <pt idx="14">
                  <v>-0.7999999999999999</v>
                </pt>
                <pt idx="15">
                  <v>-0.7999999999999999</v>
                </pt>
                <pt idx="16">
                  <v>-1.6</v>
                </pt>
                <pt idx="17">
                  <v>-1.6</v>
                </pt>
                <pt idx="18">
                  <v>-1.6</v>
                </pt>
                <pt idx="19">
                  <v>-1.9</v>
                </pt>
                <pt idx="20">
                  <v>-1.9</v>
                </pt>
                <pt idx="21">
                  <v>-1.9</v>
                </pt>
                <pt idx="22">
                  <v>-1.6</v>
                </pt>
                <pt idx="23">
                  <v>-1.6</v>
                </pt>
                <pt idx="24">
                  <v>-1.6</v>
                </pt>
                <pt idx="25">
                  <v>0.09999999999999987</v>
                </pt>
                <pt idx="26">
                  <v>0.09999999999999987</v>
                </pt>
                <pt idx="27">
                  <v>0.09999999999999987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1.9</v>
                </pt>
                <pt idx="32">
                  <v>1.9</v>
                </pt>
                <pt idx="33">
                  <v>1.9</v>
                </pt>
                <pt idx="34">
                  <v>2.4</v>
                </pt>
                <pt idx="35">
                  <v>2.4</v>
                </pt>
                <pt idx="36">
                  <v>2.4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0.2999999999999998</v>
                </pt>
                <pt idx="41">
                  <v>0.2999999999999998</v>
                </pt>
                <pt idx="42">
                  <v>0.2999999999999998</v>
                </pt>
                <pt idx="43">
                  <v>-1.1</v>
                </pt>
                <pt idx="44">
                  <v>-1.1</v>
                </pt>
                <pt idx="45">
                  <v>-1.1</v>
                </pt>
              </numCache>
            </numRef>
          </val>
        </ser>
        <ser>
          <idx val="22"/>
          <order val="22"/>
          <tx>
            <strRef>
              <f>'GDP data'!$A$34</f>
              <strCache>
                <ptCount val="1"/>
                <pt idx="0">
                  <v>CAD JPY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'GDP data'!$D$11:$AW$11</f>
              <numCache>
                <formatCode>[$-409]mmm\-yy;@</formatCode>
                <ptCount val="46"/>
                <pt idx="0">
                  <v>44986</v>
                </pt>
                <pt idx="1">
                  <v>45017</v>
                </pt>
                <pt idx="2">
                  <v>45047</v>
                </pt>
                <pt idx="3">
                  <v>45078</v>
                </pt>
                <pt idx="4">
                  <v>45108</v>
                </pt>
                <pt idx="5">
                  <v>45139</v>
                </pt>
                <pt idx="6">
                  <v>45170</v>
                </pt>
                <pt idx="7">
                  <v>45200</v>
                </pt>
                <pt idx="8">
                  <v>45231</v>
                </pt>
                <pt idx="9">
                  <v>45261</v>
                </pt>
                <pt idx="10">
                  <v>45292</v>
                </pt>
                <pt idx="11">
                  <v>45323</v>
                </pt>
                <pt idx="12">
                  <v>45352</v>
                </pt>
                <pt idx="13">
                  <v>45383</v>
                </pt>
                <pt idx="14">
                  <v>45413</v>
                </pt>
                <pt idx="15">
                  <v>45444</v>
                </pt>
                <pt idx="16">
                  <v>45474</v>
                </pt>
                <pt idx="17">
                  <v>45505</v>
                </pt>
                <pt idx="18">
                  <v>45536</v>
                </pt>
                <pt idx="19">
                  <v>45566</v>
                </pt>
                <pt idx="20">
                  <v>45597</v>
                </pt>
                <pt idx="21">
                  <v>45627</v>
                </pt>
                <pt idx="22">
                  <v>45658</v>
                </pt>
                <pt idx="23">
                  <v>45689</v>
                </pt>
                <pt idx="24">
                  <v>45717</v>
                </pt>
                <pt idx="25">
                  <v>45748</v>
                </pt>
                <pt idx="26">
                  <v>45778</v>
                </pt>
                <pt idx="27">
                  <v>45809</v>
                </pt>
                <pt idx="28">
                  <v>45839</v>
                </pt>
                <pt idx="29">
                  <v>45870</v>
                </pt>
                <pt idx="30">
                  <v>45901</v>
                </pt>
                <pt idx="31">
                  <v>45931</v>
                </pt>
                <pt idx="32">
                  <v>45962</v>
                </pt>
                <pt idx="33">
                  <v>45992</v>
                </pt>
                <pt idx="34">
                  <v>46023</v>
                </pt>
                <pt idx="35">
                  <v>46054</v>
                </pt>
                <pt idx="36">
                  <v>46082</v>
                </pt>
                <pt idx="37">
                  <v>46113</v>
                </pt>
                <pt idx="38">
                  <v>46143</v>
                </pt>
                <pt idx="39">
                  <v>46174</v>
                </pt>
                <pt idx="40">
                  <v>46204</v>
                </pt>
                <pt idx="41">
                  <v>46235</v>
                </pt>
                <pt idx="42">
                  <v>46266</v>
                </pt>
                <pt idx="43">
                  <v>46296</v>
                </pt>
                <pt idx="44">
                  <v>46327</v>
                </pt>
                <pt idx="45">
                  <v>46357</v>
                </pt>
              </numCache>
            </numRef>
          </cat>
          <val>
            <numRef>
              <f>'GDP data'!$D$34:$AW$34</f>
              <numCache>
                <formatCode>General</formatCode>
                <ptCount val="46"/>
                <pt idx="0">
                  <v>1.3</v>
                </pt>
                <pt idx="1">
                  <v>1.1</v>
                </pt>
                <pt idx="2">
                  <v>1.1</v>
                </pt>
                <pt idx="3">
                  <v>1.1</v>
                </pt>
                <pt idx="4">
                  <v>1.3</v>
                </pt>
                <pt idx="5">
                  <v>1.3</v>
                </pt>
                <pt idx="6">
                  <v>1.3</v>
                </pt>
                <pt idx="7">
                  <v>1.3</v>
                </pt>
                <pt idx="8">
                  <v>1.3</v>
                </pt>
                <pt idx="9">
                  <v>1.3</v>
                </pt>
                <pt idx="10">
                  <v>2.3</v>
                </pt>
                <pt idx="11">
                  <v>2.3</v>
                </pt>
                <pt idx="12">
                  <v>2.3</v>
                </pt>
                <pt idx="13">
                  <v>2.9</v>
                </pt>
                <pt idx="14">
                  <v>2.9</v>
                </pt>
                <pt idx="15">
                  <v>2.9</v>
                </pt>
                <pt idx="16">
                  <v>1.6</v>
                </pt>
                <pt idx="17">
                  <v>1.6</v>
                </pt>
                <pt idx="18">
                  <v>1.6</v>
                </pt>
                <pt idx="19">
                  <v>2.5</v>
                </pt>
                <pt idx="20">
                  <v>2.5</v>
                </pt>
                <pt idx="21">
                  <v>2.5</v>
                </pt>
                <pt idx="22">
                  <v>1.3</v>
                </pt>
                <pt idx="23">
                  <v>1.3</v>
                </pt>
                <pt idx="24">
                  <v>1.3</v>
                </pt>
                <pt idx="25">
                  <v>-0.2</v>
                </pt>
                <pt idx="26">
                  <v>-0.2</v>
                </pt>
                <pt idx="27">
                  <v>-0.2</v>
                </pt>
                <pt idx="28">
                  <v>1.1</v>
                </pt>
                <pt idx="29">
                  <v>1.1</v>
                </pt>
                <pt idx="30">
                  <v>1.1</v>
                </pt>
                <pt idx="31">
                  <v>0.4999999999999999</v>
                </pt>
                <pt idx="32">
                  <v>0.4999999999999999</v>
                </pt>
                <pt idx="33">
                  <v>0.4999999999999999</v>
                </pt>
                <pt idx="34">
                  <v>-0.5</v>
                </pt>
                <pt idx="35">
                  <v>-0.5</v>
                </pt>
                <pt idx="36">
                  <v>-0.5</v>
                </pt>
                <pt idx="37">
                  <v>0.4000000000000001</v>
                </pt>
                <pt idx="38">
                  <v>0.4000000000000001</v>
                </pt>
                <pt idx="39">
                  <v>0.4000000000000001</v>
                </pt>
                <pt idx="40">
                  <v>0.2000000000000001</v>
                </pt>
                <pt idx="41">
                  <v>0.2000000000000001</v>
                </pt>
                <pt idx="42">
                  <v>0.2000000000000001</v>
                </pt>
                <pt idx="43">
                  <v>0.7999999999999998</v>
                </pt>
                <pt idx="44">
                  <v>0.7999999999999998</v>
                </pt>
                <pt idx="45">
                  <v>0.7999999999999998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'GDP data'!$D$11</f>
              <strCache>
                <ptCount val="1"/>
                <pt idx="0">
                  <v>Mar-23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data'!$D$12:$D$34</f>
              <numCache>
                <formatCode>General</formatCode>
                <ptCount val="23"/>
                <pt idx="0">
                  <v>-0.8000000000000003</v>
                </pt>
                <pt idx="1">
                  <v>0.2999999999999998</v>
                </pt>
                <pt idx="2">
                  <v>-0.8000000000000003</v>
                </pt>
                <pt idx="3">
                  <v>-0.9999999999999998</v>
                </pt>
                <pt idx="4">
                  <v>-0.5</v>
                </pt>
                <pt idx="5">
                  <v>-0.7</v>
                </pt>
                <pt idx="6">
                  <v>0.3</v>
                </pt>
                <pt idx="7">
                  <v>-1.8</v>
                </pt>
                <pt idx="8">
                  <formatCode xml:space="preserve">#,##0.0_ ;\-#,##0.0\ </formatCode>
                  <v>-1.5</v>
                </pt>
                <pt idx="9">
                  <v>-1.8</v>
                </pt>
                <pt idx="10">
                  <v>-1.3</v>
                </pt>
                <pt idx="11">
                  <v>-0.8</v>
                </pt>
                <pt idx="12">
                  <v>-1</v>
                </pt>
                <pt idx="13">
                  <v>-2.1</v>
                </pt>
                <pt idx="14">
                  <formatCode xml:space="preserve">#,##0.0_ ;\-#,##0.0\ </formatCode>
                  <v>-1.8</v>
                </pt>
                <pt idx="15">
                  <v>-2.1</v>
                </pt>
                <pt idx="16">
                  <v>0.2</v>
                </pt>
                <pt idx="17">
                  <formatCode xml:space="preserve">#,##0.0_ ;\-#,##0.0\ </formatCode>
                  <v>0.5</v>
                </pt>
                <pt idx="18">
                  <formatCode xml:space="preserve">#,##0.0_ ;\-#,##0.0\ </formatCode>
                  <v>0.7999999999999998</v>
                </pt>
                <pt idx="19">
                  <formatCode xml:space="preserve">#,##0.0_ ;\-#,##0.0\ </formatCode>
                  <v>0.9999999999999998</v>
                </pt>
                <pt idx="20">
                  <formatCode xml:space="preserve">#,##0.0_ ;\-#,##0.0\ </formatCode>
                  <v>-0.3000000000000003</v>
                </pt>
                <pt idx="21">
                  <formatCode xml:space="preserve">#,##0.0_ ;\-#,##0.0\ </formatCode>
                  <v>-0.3000000000000003</v>
                </pt>
                <pt idx="22">
                  <v>1.3</v>
                </pt>
              </numCache>
            </numRef>
          </val>
          <smooth val="0"/>
        </ser>
        <ser>
          <idx val="1"/>
          <order val="1"/>
          <tx>
            <strRef>
              <f>'GDP data'!$G$11</f>
              <strCache>
                <ptCount val="1"/>
                <pt idx="0">
                  <v>Jun-23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data'!$G$12:$G$34</f>
              <numCache>
                <formatCode>General</formatCode>
                <ptCount val="23"/>
                <pt idx="0">
                  <v>0.6999999999999997</v>
                </pt>
                <pt idx="1">
                  <v>1.8</v>
                </pt>
                <pt idx="2">
                  <v>0.6999999999999997</v>
                </pt>
                <pt idx="3">
                  <v>-2.2</v>
                </pt>
                <pt idx="4">
                  <v>-0.4</v>
                </pt>
                <pt idx="5">
                  <v>-0.4</v>
                </pt>
                <pt idx="6">
                  <v>0.09999999999999998</v>
                </pt>
                <pt idx="7">
                  <v>-1.5</v>
                </pt>
                <pt idx="8">
                  <formatCode xml:space="preserve">#,##0.0_ ;\-#,##0.0\ </formatCode>
                  <v>-1.7</v>
                </pt>
                <pt idx="9">
                  <v>-2.4</v>
                </pt>
                <pt idx="10">
                  <v>-2.3</v>
                </pt>
                <pt idx="11">
                  <v>-0.5</v>
                </pt>
                <pt idx="12">
                  <v>-0.5</v>
                </pt>
                <pt idx="13">
                  <v>-1.6</v>
                </pt>
                <pt idx="14">
                  <formatCode xml:space="preserve">#,##0.0_ ;\-#,##0.0\ </formatCode>
                  <v>-1.8</v>
                </pt>
                <pt idx="15">
                  <v>-2.5</v>
                </pt>
                <pt idx="16">
                  <v>0</v>
                </pt>
                <pt idx="17">
                  <formatCode xml:space="preserve">#,##0.0_ ;\-#,##0.0\ </formatCode>
                  <v>-0.5</v>
                </pt>
                <pt idx="18">
                  <formatCode xml:space="preserve">#,##0.0_ ;\-#,##0.0\ </formatCode>
                  <v>1.3</v>
                </pt>
                <pt idx="19">
                  <formatCode xml:space="preserve">#,##0.0_ ;\-#,##0.0\ </formatCode>
                  <v>1.3</v>
                </pt>
                <pt idx="20">
                  <formatCode xml:space="preserve">#,##0.0_ ;\-#,##0.0\ </formatCode>
                  <v>-0.7000000000000002</v>
                </pt>
                <pt idx="21">
                  <formatCode xml:space="preserve">#,##0.0_ ;\-#,##0.0\ </formatCode>
                  <v>0.1999999999999997</v>
                </pt>
                <pt idx="22">
                  <v>1.1</v>
                </pt>
              </numCache>
            </numRef>
          </val>
          <smooth val="0"/>
        </ser>
        <ser>
          <idx val="2"/>
          <order val="2"/>
          <tx>
            <strRef>
              <f>'GDP data'!$J$11</f>
              <strCache>
                <ptCount val="1"/>
                <pt idx="0">
                  <v>Sep-23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data'!$J$12:$J$34</f>
              <numCache>
                <formatCode>General</formatCode>
                <ptCount val="23"/>
                <pt idx="0">
                  <v>1.9</v>
                </pt>
                <pt idx="1">
                  <v>2.4</v>
                </pt>
                <pt idx="2">
                  <v>1.9</v>
                </pt>
                <pt idx="3">
                  <v>-3.1</v>
                </pt>
                <pt idx="4">
                  <v>0.1</v>
                </pt>
                <pt idx="5">
                  <v>-0.7000000000000001</v>
                </pt>
                <pt idx="6">
                  <v>0</v>
                </pt>
                <pt idx="7">
                  <v>-1.2</v>
                </pt>
                <pt idx="8">
                  <formatCode xml:space="preserve">#,##0.0_ ;\-#,##0.0\ </formatCode>
                  <v>-2.1</v>
                </pt>
                <pt idx="9">
                  <v>-1.1</v>
                </pt>
                <pt idx="10">
                  <v>-3.1</v>
                </pt>
                <pt idx="11">
                  <v>0.1</v>
                </pt>
                <pt idx="12">
                  <v>-0.7000000000000001</v>
                </pt>
                <pt idx="13">
                  <v>-1.2</v>
                </pt>
                <pt idx="14">
                  <formatCode xml:space="preserve">#,##0.0_ ;\-#,##0.0\ </formatCode>
                  <v>-2.1</v>
                </pt>
                <pt idx="15">
                  <v>-1.1</v>
                </pt>
                <pt idx="16">
                  <v>0.8</v>
                </pt>
                <pt idx="17">
                  <formatCode xml:space="preserve">#,##0.0_ ;\-#,##0.0\ </formatCode>
                  <v>-1</v>
                </pt>
                <pt idx="18">
                  <formatCode xml:space="preserve">#,##0.0_ ;\-#,##0.0\ </formatCode>
                  <v>1.4</v>
                </pt>
                <pt idx="19">
                  <formatCode xml:space="preserve">#,##0.0_ ;\-#,##0.0\ </formatCode>
                  <v>2.2</v>
                </pt>
                <pt idx="20">
                  <formatCode xml:space="preserve">#,##0.0_ ;\-#,##0.0\ </formatCode>
                  <v>1</v>
                </pt>
                <pt idx="21">
                  <formatCode xml:space="preserve">#,##0.0_ ;\-#,##0.0\ </formatCode>
                  <v>0.9000000000000001</v>
                </pt>
                <pt idx="22">
                  <v>1.3</v>
                </pt>
              </numCache>
            </numRef>
          </val>
          <smooth val="0"/>
        </ser>
        <ser>
          <idx val="3"/>
          <order val="3"/>
          <tx>
            <strRef>
              <f>'GDP data'!$M$11</f>
              <strCache>
                <ptCount val="1"/>
                <pt idx="0">
                  <v>Dec-23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data'!$M$12:$M$34</f>
              <numCache>
                <formatCode>General</formatCode>
                <ptCount val="23"/>
                <pt idx="0">
                  <v>2.1</v>
                </pt>
                <pt idx="1">
                  <v>2.3</v>
                </pt>
                <pt idx="2">
                  <v>2.1</v>
                </pt>
                <pt idx="3">
                  <v>-3.2</v>
                </pt>
                <pt idx="4">
                  <v>0.2</v>
                </pt>
                <pt idx="5">
                  <v>-0.9000000000000001</v>
                </pt>
                <pt idx="6">
                  <v>0.7</v>
                </pt>
                <pt idx="7">
                  <v>-1.1</v>
                </pt>
                <pt idx="8">
                  <formatCode xml:space="preserve">#,##0.0_ ;\-#,##0.0\ </formatCode>
                  <v>-1.1</v>
                </pt>
                <pt idx="9">
                  <v>-1.2</v>
                </pt>
                <pt idx="10">
                  <v>-3.9</v>
                </pt>
                <pt idx="11">
                  <v>-0.5</v>
                </pt>
                <pt idx="12">
                  <v>-1.6</v>
                </pt>
                <pt idx="13">
                  <v>-1.8</v>
                </pt>
                <pt idx="14">
                  <formatCode xml:space="preserve">#,##0.0_ ;\-#,##0.0\ </formatCode>
                  <v>-1.8</v>
                </pt>
                <pt idx="15">
                  <v>-1.9</v>
                </pt>
                <pt idx="16">
                  <v>1.1</v>
                </pt>
                <pt idx="17">
                  <formatCode xml:space="preserve">#,##0.0_ ;\-#,##0.0\ </formatCode>
                  <v>-2.1</v>
                </pt>
                <pt idx="18">
                  <formatCode xml:space="preserve">#,##0.0_ ;\-#,##0.0\ </formatCode>
                  <v>0.2</v>
                </pt>
                <pt idx="19">
                  <formatCode xml:space="preserve">#,##0.0_ ;\-#,##0.0\ </formatCode>
                  <v>1.3</v>
                </pt>
                <pt idx="20">
                  <formatCode xml:space="preserve">#,##0.0_ ;\-#,##0.0\ </formatCode>
                  <v>-0.09999999999999987</v>
                </pt>
                <pt idx="21">
                  <formatCode xml:space="preserve">#,##0.0_ ;\-#,##0.0\ </formatCode>
                  <v>0</v>
                </pt>
                <pt idx="22">
                  <v>1.3</v>
                </pt>
              </numCache>
            </numRef>
          </val>
          <smooth val="0"/>
        </ser>
        <ser>
          <idx val="4"/>
          <order val="4"/>
          <tx>
            <strRef>
              <f>'GDP data'!$P$11</f>
              <strCache>
                <ptCount val="1"/>
                <pt idx="0">
                  <v>Mar-24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data'!$P$12:$P$34</f>
              <numCache>
                <formatCode>General</formatCode>
                <ptCount val="23"/>
                <pt idx="0">
                  <v>1.9</v>
                </pt>
                <pt idx="1">
                  <v>2.8</v>
                </pt>
                <pt idx="2">
                  <v>1.9</v>
                </pt>
                <pt idx="3">
                  <v>-2.3</v>
                </pt>
                <pt idx="4">
                  <v>1.9</v>
                </pt>
                <pt idx="5">
                  <v>0.5</v>
                </pt>
                <pt idx="6">
                  <v>0.3</v>
                </pt>
                <pt idx="7">
                  <v>-0.4</v>
                </pt>
                <pt idx="8">
                  <formatCode xml:space="preserve">#,##0.0_ ;\-#,##0.0\ </formatCode>
                  <v>-0.5000000000000001</v>
                </pt>
                <pt idx="9">
                  <v>-1</v>
                </pt>
                <pt idx="10">
                  <v>-2.6</v>
                </pt>
                <pt idx="11">
                  <v>1.6</v>
                </pt>
                <pt idx="12">
                  <v>0.2</v>
                </pt>
                <pt idx="13">
                  <v>-0.7</v>
                </pt>
                <pt idx="14">
                  <formatCode xml:space="preserve">#,##0.0_ ;\-#,##0.0\ </formatCode>
                  <v>-0.8</v>
                </pt>
                <pt idx="15">
                  <v>-1.3</v>
                </pt>
                <pt idx="16">
                  <v>1.4</v>
                </pt>
                <pt idx="17">
                  <formatCode xml:space="preserve">#,##0.0_ ;\-#,##0.0\ </formatCode>
                  <v>-1.8</v>
                </pt>
                <pt idx="18">
                  <formatCode xml:space="preserve">#,##0.0_ ;\-#,##0.0\ </formatCode>
                  <v>1</v>
                </pt>
                <pt idx="19">
                  <formatCode xml:space="preserve">#,##0.0_ ;\-#,##0.0\ </formatCode>
                  <v>2.4</v>
                </pt>
                <pt idx="20">
                  <formatCode xml:space="preserve">#,##0.0_ ;\-#,##0.0\ </formatCode>
                  <v>-0.5</v>
                </pt>
                <pt idx="21">
                  <formatCode xml:space="preserve">#,##0.0_ ;\-#,##0.0\ </formatCode>
                  <v>0.1000000000000001</v>
                </pt>
                <pt idx="22">
                  <v>2.3</v>
                </pt>
              </numCache>
            </numRef>
          </val>
          <smooth val="0"/>
        </ser>
        <ser>
          <idx val="5"/>
          <order val="5"/>
          <tx>
            <strRef>
              <f>'GDP data'!$S$11</f>
              <strCache>
                <ptCount val="1"/>
                <pt idx="0">
                  <v>Jun-24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data'!$S$12:$S$34</f>
              <numCache>
                <formatCode>General</formatCode>
                <ptCount val="23"/>
                <pt idx="0">
                  <v>1.4</v>
                </pt>
                <pt idx="1">
                  <v>1.5</v>
                </pt>
                <pt idx="2">
                  <v>1.4</v>
                </pt>
                <pt idx="3">
                  <v>-2.5</v>
                </pt>
                <pt idx="4">
                  <v>1.8</v>
                </pt>
                <pt idx="5">
                  <v>-1</v>
                </pt>
                <pt idx="6">
                  <v>-0.2000000000000001</v>
                </pt>
                <pt idx="7">
                  <v>-1.1</v>
                </pt>
                <pt idx="8">
                  <formatCode xml:space="preserve">#,##0.0_ ;\-#,##0.0\ </formatCode>
                  <v>-0.3</v>
                </pt>
                <pt idx="9">
                  <v>0.5</v>
                </pt>
                <pt idx="10">
                  <v>-2.3</v>
                </pt>
                <pt idx="11">
                  <v>2</v>
                </pt>
                <pt idx="12">
                  <v>-0.8</v>
                </pt>
                <pt idx="13">
                  <v>-0.8999999999999999</v>
                </pt>
                <pt idx="14">
                  <formatCode xml:space="preserve">#,##0.0_ ;\-#,##0.0\ </formatCode>
                  <v>-0.09999999999999998</v>
                </pt>
                <pt idx="15">
                  <v>0.7000000000000001</v>
                </pt>
                <pt idx="16">
                  <v>2.8</v>
                </pt>
                <pt idx="17">
                  <formatCode xml:space="preserve">#,##0.0_ ;\-#,##0.0\ </formatCode>
                  <v>-2.2</v>
                </pt>
                <pt idx="18">
                  <formatCode xml:space="preserve">#,##0.0_ ;\-#,##0.0\ </formatCode>
                  <v>-0.7000000000000001</v>
                </pt>
                <pt idx="19">
                  <formatCode xml:space="preserve">#,##0.0_ ;\-#,##0.0\ </formatCode>
                  <v>2.1</v>
                </pt>
                <pt idx="20">
                  <formatCode xml:space="preserve">#,##0.0_ ;\-#,##0.0\ </formatCode>
                  <v>0.8</v>
                </pt>
                <pt idx="21">
                  <formatCode xml:space="preserve">#,##0.0_ ;\-#,##0.0\ </formatCode>
                  <v>-0.7999999999999999</v>
                </pt>
                <pt idx="22">
                  <v>2.9</v>
                </pt>
              </numCache>
            </numRef>
          </val>
          <smooth val="0"/>
        </ser>
        <ser>
          <idx val="6"/>
          <order val="6"/>
          <tx>
            <strRef>
              <f>'GDP data'!$V$11</f>
              <strCache>
                <ptCount val="1"/>
                <pt idx="0">
                  <v>Sep-24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data'!$V$12:$V$34</f>
              <numCache>
                <formatCode>General</formatCode>
                <ptCount val="23"/>
                <pt idx="0">
                  <v>0.3999999999999999</v>
                </pt>
                <pt idx="1">
                  <v>1.2</v>
                </pt>
                <pt idx="2">
                  <v>0.3999999999999999</v>
                </pt>
                <pt idx="3">
                  <v>-1.8</v>
                </pt>
                <pt idx="4">
                  <v>0.2</v>
                </pt>
                <pt idx="5">
                  <v>-0.6000000000000001</v>
                </pt>
                <pt idx="6">
                  <v>-0.3</v>
                </pt>
                <pt idx="7">
                  <v>-1.4</v>
                </pt>
                <pt idx="8">
                  <formatCode xml:space="preserve">#,##0.0_ ;\-#,##0.0\ </formatCode>
                  <v>0.2</v>
                </pt>
                <pt idx="9">
                  <v>2.2</v>
                </pt>
                <pt idx="10">
                  <v>-1.5</v>
                </pt>
                <pt idx="11">
                  <v>0.5</v>
                </pt>
                <pt idx="12">
                  <v>-0.3</v>
                </pt>
                <pt idx="13">
                  <v>-1.1</v>
                </pt>
                <pt idx="14">
                  <formatCode xml:space="preserve">#,##0.0_ ;\-#,##0.0\ </formatCode>
                  <v>0.5</v>
                </pt>
                <pt idx="15">
                  <v>2.5</v>
                </pt>
                <pt idx="16">
                  <v>0.8</v>
                </pt>
                <pt idx="17">
                  <formatCode xml:space="preserve">#,##0.0_ ;\-#,##0.0\ </formatCode>
                  <v>-2</v>
                </pt>
                <pt idx="18">
                  <formatCode xml:space="preserve">#,##0.0_ ;\-#,##0.0\ </formatCode>
                  <v>-0.8</v>
                </pt>
                <pt idx="19">
                  <formatCode xml:space="preserve">#,##0.0_ ;\-#,##0.0\ </formatCode>
                  <v>0</v>
                </pt>
                <pt idx="20">
                  <formatCode xml:space="preserve">#,##0.0_ ;\-#,##0.0\ </formatCode>
                  <v>2</v>
                </pt>
                <pt idx="21">
                  <formatCode xml:space="preserve">#,##0.0_ ;\-#,##0.0\ </formatCode>
                  <v>-1.6</v>
                </pt>
                <pt idx="22">
                  <v>1.6</v>
                </pt>
              </numCache>
            </numRef>
          </val>
          <smooth val="0"/>
        </ser>
        <ser>
          <idx val="7"/>
          <order val="7"/>
          <tx>
            <strRef>
              <f>'GDP data'!$Y$11</f>
              <strCache>
                <ptCount val="1"/>
                <pt idx="0">
                  <v>Dec-24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data'!$Y$12:$Y$34</f>
              <numCache>
                <formatCode>General</formatCode>
                <ptCount val="23"/>
                <pt idx="0">
                  <v>-0.7000000000000002</v>
                </pt>
                <pt idx="1">
                  <v>1.1</v>
                </pt>
                <pt idx="2">
                  <v>-0.7000000000000002</v>
                </pt>
                <pt idx="3">
                  <v>-1.1</v>
                </pt>
                <pt idx="4">
                  <v>0.7000000000000001</v>
                </pt>
                <pt idx="5">
                  <v>0</v>
                </pt>
                <pt idx="6">
                  <v>-0.5999999999999999</v>
                </pt>
                <pt idx="7">
                  <v>-1.8</v>
                </pt>
                <pt idx="8">
                  <formatCode xml:space="preserve">#,##0.0_ ;\-#,##0.0\ </formatCode>
                  <v>0.1000000000000001</v>
                </pt>
                <pt idx="9">
                  <v>2.9</v>
                </pt>
                <pt idx="10">
                  <v>-0.5</v>
                </pt>
                <pt idx="11">
                  <v>1.3</v>
                </pt>
                <pt idx="12">
                  <v>0.5999999999999999</v>
                </pt>
                <pt idx="13">
                  <v>-1.2</v>
                </pt>
                <pt idx="14">
                  <formatCode xml:space="preserve">#,##0.0_ ;\-#,##0.0\ </formatCode>
                  <v>0.7</v>
                </pt>
                <pt idx="15">
                  <v>3.5</v>
                </pt>
                <pt idx="16">
                  <v>0.7000000000000001</v>
                </pt>
                <pt idx="17">
                  <formatCode xml:space="preserve">#,##0.0_ ;\-#,##0.0\ </formatCode>
                  <v>-1.2</v>
                </pt>
                <pt idx="18">
                  <formatCode xml:space="preserve">#,##0.0_ ;\-#,##0.0\ </formatCode>
                  <v>-0.1000000000000001</v>
                </pt>
                <pt idx="19">
                  <formatCode xml:space="preserve">#,##0.0_ ;\-#,##0.0\ </formatCode>
                  <v>0.6</v>
                </pt>
                <pt idx="20">
                  <formatCode xml:space="preserve">#,##0.0_ ;\-#,##0.0\ </formatCode>
                  <v>2.8</v>
                </pt>
                <pt idx="21">
                  <formatCode xml:space="preserve">#,##0.0_ ;\-#,##0.0\ </formatCode>
                  <v>-1.9</v>
                </pt>
                <pt idx="22">
                  <v>2.5</v>
                </pt>
              </numCache>
            </numRef>
          </val>
          <smooth val="0"/>
        </ser>
        <ser>
          <idx val="8"/>
          <order val="8"/>
          <tx>
            <strRef>
              <f>'GDP data'!$AB$11</f>
              <strCache>
                <ptCount val="1"/>
                <pt idx="0">
                  <v>Mar-25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data'!$AB$12:$AB$34</f>
              <numCache>
                <formatCode>General</formatCode>
                <ptCount val="23"/>
                <pt idx="0">
                  <v>-0.8999999999999999</v>
                </pt>
                <pt idx="1">
                  <v>-0.5</v>
                </pt>
                <pt idx="2">
                  <v>-0.8999999999999999</v>
                </pt>
                <pt idx="3">
                  <v>-0.3999999999999999</v>
                </pt>
                <pt idx="4">
                  <v>0</v>
                </pt>
                <pt idx="5">
                  <v>-0.8999999999999999</v>
                </pt>
                <pt idx="6">
                  <v>-0.2</v>
                </pt>
                <pt idx="7">
                  <v>-1.3</v>
                </pt>
                <pt idx="8">
                  <formatCode xml:space="preserve">#,##0.0_ ;\-#,##0.0\ </formatCode>
                  <v>0.3</v>
                </pt>
                <pt idx="9">
                  <v>2.3</v>
                </pt>
                <pt idx="10">
                  <v>-0.2</v>
                </pt>
                <pt idx="11">
                  <v>0.2</v>
                </pt>
                <pt idx="12">
                  <v>-0.7</v>
                </pt>
                <pt idx="13">
                  <v>-1.1</v>
                </pt>
                <pt idx="14">
                  <formatCode xml:space="preserve">#,##0.0_ ;\-#,##0.0\ </formatCode>
                  <v>0.5</v>
                </pt>
                <pt idx="15">
                  <v>2.5</v>
                </pt>
                <pt idx="16">
                  <v>0.8999999999999999</v>
                </pt>
                <pt idx="17">
                  <formatCode xml:space="preserve">#,##0.0_ ;\-#,##0.0\ </formatCode>
                  <v>-0.7</v>
                </pt>
                <pt idx="18">
                  <formatCode xml:space="preserve">#,##0.0_ ;\-#,##0.0\ </formatCode>
                  <v>-1.2</v>
                </pt>
                <pt idx="19">
                  <formatCode xml:space="preserve">#,##0.0_ ;\-#,##0.0\ </formatCode>
                  <v>-0.3</v>
                </pt>
                <pt idx="20">
                  <formatCode xml:space="preserve">#,##0.0_ ;\-#,##0.0\ </formatCode>
                  <v>2</v>
                </pt>
                <pt idx="21">
                  <formatCode xml:space="preserve">#,##0.0_ ;\-#,##0.0\ </formatCode>
                  <v>-1.6</v>
                </pt>
                <pt idx="22">
                  <v>1.3</v>
                </pt>
              </numCache>
            </numRef>
          </val>
          <smooth val="0"/>
        </ser>
        <ser>
          <idx val="9"/>
          <order val="9"/>
          <tx>
            <strRef>
              <f>'GDP data'!$AE$11</f>
              <strCache>
                <ptCount val="1"/>
                <pt idx="0">
                  <v>Jun-25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data'!$AE$12:$AE$34</f>
              <numCache>
                <formatCode>General</formatCode>
                <ptCount val="23"/>
                <pt idx="0">
                  <v>0.3</v>
                </pt>
                <pt idx="1">
                  <v>0.5</v>
                </pt>
                <pt idx="2">
                  <v>0.3</v>
                </pt>
                <pt idx="3">
                  <v>-0.7000000000000002</v>
                </pt>
                <pt idx="4">
                  <v>-0.6000000000000001</v>
                </pt>
                <pt idx="5">
                  <v>-0.2000000000000002</v>
                </pt>
                <pt idx="6">
                  <v>0</v>
                </pt>
                <pt idx="7">
                  <v>-0.4000000000000001</v>
                </pt>
                <pt idx="8">
                  <formatCode xml:space="preserve">#,##0.0_ ;\-#,##0.0\ </formatCode>
                  <v>-0.5</v>
                </pt>
                <pt idx="9">
                  <v>2.5</v>
                </pt>
                <pt idx="10">
                  <v>-0.7000000000000002</v>
                </pt>
                <pt idx="11">
                  <v>-0.6000000000000001</v>
                </pt>
                <pt idx="12">
                  <v>-0.2000000000000002</v>
                </pt>
                <pt idx="13">
                  <v>-0.4000000000000001</v>
                </pt>
                <pt idx="14">
                  <formatCode xml:space="preserve">#,##0.0_ ;\-#,##0.0\ </formatCode>
                  <v>-0.5</v>
                </pt>
                <pt idx="15">
                  <v>2.5</v>
                </pt>
                <pt idx="16">
                  <v>-0.3999999999999999</v>
                </pt>
                <pt idx="17">
                  <formatCode xml:space="preserve">#,##0.0_ ;\-#,##0.0\ </formatCode>
                  <v>-0.2000000000000002</v>
                </pt>
                <pt idx="18">
                  <formatCode xml:space="preserve">#,##0.0_ ;\-#,##0.0\ </formatCode>
                  <v>0.2999999999999998</v>
                </pt>
                <pt idx="19">
                  <formatCode xml:space="preserve">#,##0.0_ ;\-#,##0.0\ </formatCode>
                  <v>-0.1000000000000001</v>
                </pt>
                <pt idx="20">
                  <formatCode xml:space="preserve">#,##0.0_ ;\-#,##0.0\ </formatCode>
                  <v>3</v>
                </pt>
                <pt idx="21">
                  <formatCode xml:space="preserve">#,##0.0_ ;\-#,##0.0\ </formatCode>
                  <v>0.09999999999999987</v>
                </pt>
                <pt idx="22">
                  <v>-0.2</v>
                </pt>
              </numCache>
            </numRef>
          </val>
          <smooth val="0"/>
        </ser>
        <ser>
          <idx val="10"/>
          <order val="10"/>
          <tx>
            <strRef>
              <f>'GDP data'!$AH$11</f>
              <strCache>
                <ptCount val="1"/>
                <pt idx="0">
                  <v>Sep-25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data'!$AH$12:$AH$34</f>
              <numCache>
                <formatCode>General</formatCode>
                <ptCount val="23"/>
                <pt idx="0">
                  <v>0.6999999999999997</v>
                </pt>
                <pt idx="1">
                  <v>1.6</v>
                </pt>
                <pt idx="2">
                  <v>0.6999999999999997</v>
                </pt>
                <pt idx="3">
                  <v>-1.1</v>
                </pt>
                <pt idx="4">
                  <v>0.7</v>
                </pt>
                <pt idx="5">
                  <v>0.5</v>
                </pt>
                <pt idx="6">
                  <v>-0.1000000000000001</v>
                </pt>
                <pt idx="7">
                  <v>-0.4000000000000001</v>
                </pt>
                <pt idx="8">
                  <formatCode xml:space="preserve">#,##0.0_ ;\-#,##0.0\ </formatCode>
                  <v>-0.9000000000000001</v>
                </pt>
                <pt idx="9">
                  <v>0.09999999999999987</v>
                </pt>
                <pt idx="10">
                  <v>-0.9999999999999998</v>
                </pt>
                <pt idx="11">
                  <v>0.8</v>
                </pt>
                <pt idx="12">
                  <v>0.6000000000000001</v>
                </pt>
                <pt idx="13">
                  <v>-0.3</v>
                </pt>
                <pt idx="14">
                  <formatCode xml:space="preserve">#,##0.0_ ;\-#,##0.0\ </formatCode>
                  <v>-0.8</v>
                </pt>
                <pt idx="15">
                  <v>0.2</v>
                </pt>
                <pt idx="16">
                  <v>0.2</v>
                </pt>
                <pt idx="17">
                  <formatCode xml:space="preserve">#,##0.0_ ;\-#,##0.0\ </formatCode>
                  <v>-0.1999999999999997</v>
                </pt>
                <pt idx="18">
                  <formatCode xml:space="preserve">#,##0.0_ ;\-#,##0.0\ </formatCode>
                  <v>1.4</v>
                </pt>
                <pt idx="19">
                  <formatCode xml:space="preserve">#,##0.0_ ;\-#,##0.0\ </formatCode>
                  <v>1.6</v>
                </pt>
                <pt idx="20">
                  <formatCode xml:space="preserve">#,##0.0_ ;\-#,##0.0\ </formatCode>
                  <v>1</v>
                </pt>
                <pt idx="21">
                  <formatCode xml:space="preserve">#,##0.0_ ;\-#,##0.0\ </formatCode>
                  <v>0.5</v>
                </pt>
                <pt idx="22">
                  <v>1.1</v>
                </pt>
              </numCache>
            </numRef>
          </val>
          <smooth val="0"/>
        </ser>
        <ser>
          <idx val="11"/>
          <order val="11"/>
          <tx>
            <strRef>
              <f>'GDP data'!$AK$11</f>
              <strCache>
                <ptCount val="1"/>
                <pt idx="0">
                  <v>Dec-25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data'!$AK$12:$AK$34</f>
              <numCache>
                <formatCode>General</formatCode>
                <ptCount val="23"/>
                <pt idx="0">
                  <v>1.3</v>
                </pt>
                <pt idx="1">
                  <v>0.8999999999999999</v>
                </pt>
                <pt idx="2">
                  <v>1.3</v>
                </pt>
                <pt idx="3">
                  <v>-0.8999999999999999</v>
                </pt>
                <pt idx="4">
                  <v>0.9000000000000001</v>
                </pt>
                <pt idx="5">
                  <v>0</v>
                </pt>
                <pt idx="6">
                  <v>0.2000000000000001</v>
                </pt>
                <pt idx="7">
                  <v>0.4000000000000001</v>
                </pt>
                <pt idx="8">
                  <formatCode xml:space="preserve">#,##0.0_ ;\-#,##0.0\ </formatCode>
                  <v>-1.5</v>
                </pt>
                <pt idx="9">
                  <v>-0.2</v>
                </pt>
                <pt idx="10">
                  <v>-1.1</v>
                </pt>
                <pt idx="11">
                  <v>0.7</v>
                </pt>
                <pt idx="12">
                  <v>-0.2000000000000001</v>
                </pt>
                <pt idx="13">
                  <v>0.2000000000000001</v>
                </pt>
                <pt idx="14">
                  <formatCode xml:space="preserve">#,##0.0_ ;\-#,##0.0\ </formatCode>
                  <v>-1.7</v>
                </pt>
                <pt idx="15">
                  <v>-0.4</v>
                </pt>
                <pt idx="16">
                  <v>0.9000000000000001</v>
                </pt>
                <pt idx="17">
                  <formatCode xml:space="preserve">#,##0.0_ ;\-#,##0.0\ </formatCode>
                  <v>0.6000000000000001</v>
                </pt>
                <pt idx="18">
                  <formatCode xml:space="preserve">#,##0.0_ ;\-#,##0.0\ </formatCode>
                  <v>1.5</v>
                </pt>
                <pt idx="19">
                  <formatCode xml:space="preserve">#,##0.0_ ;\-#,##0.0\ </formatCode>
                  <v>2.4</v>
                </pt>
                <pt idx="20">
                  <formatCode xml:space="preserve">#,##0.0_ ;\-#,##0.0\ </formatCode>
                  <v>1.3</v>
                </pt>
                <pt idx="21">
                  <formatCode xml:space="preserve">#,##0.0_ ;\-#,##0.0\ </formatCode>
                  <v>1.9</v>
                </pt>
                <pt idx="22">
                  <v>0.4999999999999999</v>
                </pt>
              </numCache>
            </numRef>
          </val>
          <smooth val="0"/>
        </ser>
        <ser>
          <idx val="12"/>
          <order val="12"/>
          <tx>
            <strRef>
              <f>'GDP data'!$AN$11</f>
              <strCache>
                <ptCount val="1"/>
                <pt idx="0">
                  <v>Mar-26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data'!$AN$12:$AN$34</f>
              <numCache>
                <formatCode>General</formatCode>
                <ptCount val="23"/>
                <pt idx="0">
                  <v>2.6</v>
                </pt>
                <pt idx="1">
                  <v>2.4</v>
                </pt>
                <pt idx="2">
                  <v>2.6</v>
                </pt>
                <pt idx="3">
                  <v>-2.2</v>
                </pt>
                <pt idx="4">
                  <v>-0.09999999999999998</v>
                </pt>
                <pt idx="5">
                  <v>0.2</v>
                </pt>
                <pt idx="6">
                  <v>-0.4</v>
                </pt>
                <pt idx="7">
                  <v>0.4</v>
                </pt>
                <pt idx="8">
                  <formatCode xml:space="preserve">#,##0.0_ ;\-#,##0.0\ </formatCode>
                  <v>-2</v>
                </pt>
                <pt idx="9">
                  <v>-1</v>
                </pt>
                <pt idx="10">
                  <v>-1.8</v>
                </pt>
                <pt idx="11">
                  <v>0.3</v>
                </pt>
                <pt idx="12">
                  <v>0.6000000000000001</v>
                </pt>
                <pt idx="13">
                  <v>0.8</v>
                </pt>
                <pt idx="14">
                  <formatCode xml:space="preserve">#,##0.0_ ;\-#,##0.0\ </formatCode>
                  <v>-1.6</v>
                </pt>
                <pt idx="15">
                  <v>-0.6</v>
                </pt>
                <pt idx="16">
                  <v>-0.3</v>
                </pt>
                <pt idx="17">
                  <formatCode xml:space="preserve">#,##0.0_ ;\-#,##0.0\ </formatCode>
                  <v>-0.2000000000000002</v>
                </pt>
                <pt idx="18">
                  <formatCode xml:space="preserve">#,##0.0_ ;\-#,##0.0\ </formatCode>
                  <v>2.2</v>
                </pt>
                <pt idx="19">
                  <formatCode xml:space="preserve">#,##0.0_ ;\-#,##0.0\ </formatCode>
                  <v>1.9</v>
                </pt>
                <pt idx="20">
                  <formatCode xml:space="preserve">#,##0.0_ ;\-#,##0.0\ </formatCode>
                  <v>1</v>
                </pt>
                <pt idx="21">
                  <formatCode xml:space="preserve">#,##0.0_ ;\-#,##0.0\ </formatCode>
                  <v>2.4</v>
                </pt>
                <pt idx="22">
                  <v>-0.5</v>
                </pt>
              </numCache>
            </numRef>
          </val>
          <smooth val="0"/>
        </ser>
        <ser>
          <idx val="13"/>
          <order val="13"/>
          <tx>
            <strRef>
              <f>'GDP data'!$AS$11</f>
              <strCache>
                <ptCount val="1"/>
                <pt idx="0">
                  <v>Aug-26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data'!$AS$12:$AS$34</f>
              <numCache>
                <formatCode>General</formatCode>
                <ptCount val="23"/>
                <pt idx="0">
                  <v>0.7</v>
                </pt>
                <pt idx="1">
                  <v>1</v>
                </pt>
                <pt idx="2">
                  <v>0.7</v>
                </pt>
                <pt idx="3">
                  <v>-0.8</v>
                </pt>
                <pt idx="4">
                  <v>0.09999999999999998</v>
                </pt>
                <pt idx="5">
                  <v>0.2</v>
                </pt>
                <pt idx="6">
                  <v>-0.5</v>
                </pt>
                <pt idx="7">
                  <v>-0.1000000000000001</v>
                </pt>
                <pt idx="8">
                  <formatCode xml:space="preserve">#,##0.0_ ;\-#,##0.0\ </formatCode>
                  <v>-0.3999999999999999</v>
                </pt>
                <pt idx="9">
                  <v>-0.8</v>
                </pt>
                <pt idx="10">
                  <v>-0.3</v>
                </pt>
                <pt idx="11">
                  <v>0.6</v>
                </pt>
                <pt idx="12">
                  <v>0.7</v>
                </pt>
                <pt idx="13">
                  <v>0.3999999999999999</v>
                </pt>
                <pt idx="14">
                  <formatCode xml:space="preserve">#,##0.0_ ;\-#,##0.0\ </formatCode>
                  <v>0.1000000000000001</v>
                </pt>
                <pt idx="15">
                  <v>-0.3</v>
                </pt>
                <pt idx="16">
                  <v>-0.09999999999999998</v>
                </pt>
                <pt idx="17">
                  <formatCode xml:space="preserve">#,##0.0_ ;\-#,##0.0\ </formatCode>
                  <v>-0.4000000000000001</v>
                </pt>
                <pt idx="18">
                  <formatCode xml:space="preserve">#,##0.0_ ;\-#,##0.0\ </formatCode>
                  <v>0.5999999999999999</v>
                </pt>
                <pt idx="19">
                  <formatCode xml:space="preserve">#,##0.0_ ;\-#,##0.0\ </formatCode>
                  <v>0.4999999999999999</v>
                </pt>
                <pt idx="20">
                  <formatCode xml:space="preserve">#,##0.0_ ;\-#,##0.0\ </formatCode>
                  <v>-0.4000000000000001</v>
                </pt>
                <pt idx="21">
                  <formatCode xml:space="preserve">#,##0.0_ ;\-#,##0.0\ </formatCode>
                  <v>0.2999999999999998</v>
                </pt>
                <pt idx="22">
                  <v>0.2000000000000001</v>
                </pt>
              </numCache>
            </numRef>
          </val>
          <smooth val="0"/>
        </ser>
        <ser>
          <idx val="14"/>
          <order val="14"/>
          <tx>
            <strRef>
              <f>'GDP data'!$AV$11</f>
              <strCache>
                <ptCount val="1"/>
                <pt idx="0">
                  <v>Nov-26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data'!$AV$12:$AV$34</f>
              <numCache>
                <formatCode>General</formatCode>
                <ptCount val="23"/>
                <pt idx="0">
                  <v>-0.2999999999999998</v>
                </pt>
                <pt idx="1">
                  <v>0.6000000000000001</v>
                </pt>
                <pt idx="2">
                  <v>-0.2999999999999998</v>
                </pt>
                <pt idx="3">
                  <v>-0.9000000000000001</v>
                </pt>
                <pt idx="4">
                  <v>-0.4000000000000001</v>
                </pt>
                <pt idx="5">
                  <v>-0.3</v>
                </pt>
                <pt idx="6">
                  <v>-0.7</v>
                </pt>
                <pt idx="7">
                  <v>-1.2</v>
                </pt>
                <pt idx="8">
                  <formatCode xml:space="preserve">#,##0.0_ ;\-#,##0.0\ </formatCode>
                  <v>-0.1000000000000001</v>
                </pt>
                <pt idx="9">
                  <v>-1.2</v>
                </pt>
                <pt idx="10">
                  <v>-0.2000000000000002</v>
                </pt>
                <pt idx="11">
                  <v>0.2999999999999998</v>
                </pt>
                <pt idx="12">
                  <v>0.3999999999999999</v>
                </pt>
                <pt idx="13">
                  <v>-0.5</v>
                </pt>
                <pt idx="14">
                  <formatCode xml:space="preserve">#,##0.0_ ;\-#,##0.0\ </formatCode>
                  <v>0.5999999999999999</v>
                </pt>
                <pt idx="15">
                  <v>-0.5</v>
                </pt>
                <pt idx="16">
                  <v>-0.1000000000000001</v>
                </pt>
                <pt idx="17">
                  <formatCode xml:space="preserve">#,##0.0_ ;\-#,##0.0\ </formatCode>
                  <v>-0.8</v>
                </pt>
                <pt idx="18">
                  <formatCode xml:space="preserve">#,##0.0_ ;\-#,##0.0\ </formatCode>
                  <v>-0.2</v>
                </pt>
                <pt idx="19">
                  <formatCode xml:space="preserve">#,##0.0_ ;\-#,##0.0\ </formatCode>
                  <v>-0.3</v>
                </pt>
                <pt idx="20">
                  <formatCode xml:space="preserve">#,##0.0_ ;\-#,##0.0\ </formatCode>
                  <v>-1.1</v>
                </pt>
                <pt idx="21">
                  <formatCode xml:space="preserve">#,##0.0_ ;\-#,##0.0\ </formatCode>
                  <v>-1.1</v>
                </pt>
                <pt idx="22">
                  <v>0.7999999999999998</v>
                </pt>
              </numCache>
            </numRef>
          </val>
          <smooth val="0"/>
        </ser>
        <ser>
          <idx val="15"/>
          <order val="15"/>
          <tx>
            <strRef>
              <f>'GDP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CH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'GDP data'!$A$12:$A$34</f>
              <strCache>
                <ptCount val="23"/>
                <pt idx="0">
                  <v>USD JPY</v>
                </pt>
                <pt idx="1">
                  <v>USD CHF</v>
                </pt>
                <pt idx="2">
                  <v>USD CAD</v>
                </pt>
                <pt idx="3">
                  <v>EUR USD</v>
                </pt>
                <pt idx="4">
                  <v>EUR JPY</v>
                </pt>
                <pt idx="5">
                  <v>EUR CHF</v>
                </pt>
                <pt idx="6">
                  <v>EUR GBP</v>
                </pt>
                <pt idx="7">
                  <v>EUR CAD</v>
                </pt>
                <pt idx="8">
                  <v>EUR AUD</v>
                </pt>
                <pt idx="9">
                  <v>EUR NZD</v>
                </pt>
                <pt idx="10">
                  <v>GBP USD</v>
                </pt>
                <pt idx="11">
                  <v>GBP JPY</v>
                </pt>
                <pt idx="12">
                  <v>GBP CHF</v>
                </pt>
                <pt idx="13">
                  <v>GBP CAD</v>
                </pt>
                <pt idx="14">
                  <v>GBP AUD</v>
                </pt>
                <pt idx="15">
                  <v>GBP NZD</v>
                </pt>
                <pt idx="16">
                  <v xml:space="preserve">CHF JPY </v>
                </pt>
                <pt idx="17">
                  <v>AUD USD</v>
                </pt>
                <pt idx="18">
                  <v>AUD CHF</v>
                </pt>
                <pt idx="19">
                  <v>AUD JPY</v>
                </pt>
                <pt idx="20">
                  <v>AUD NZD</v>
                </pt>
                <pt idx="21">
                  <v>AUD CAD</v>
                </pt>
                <pt idx="22">
                  <v>CAD JPY</v>
                </pt>
              </strCache>
            </strRef>
          </cat>
          <val>
            <numRef>
              <f>'GDP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smooth val="0"/>
        <axId val="610982912"/>
        <axId val="610980672"/>
      </lineChart>
      <catAx>
        <axId val="6109829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610980672"/>
        <crosses val="autoZero"/>
        <auto val="1"/>
        <lblAlgn val="ctr"/>
        <lblOffset val="100"/>
        <noMultiLvlLbl val="0"/>
      </catAx>
      <valAx>
        <axId val="6109806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610982912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title>
    <plotArea>
      <layout/>
      <areaChart>
        <grouping val="stacked"/>
        <varyColors val="0"/>
        <ser>
          <idx val="0"/>
          <order val="0"/>
          <tx>
            <strRef>
              <f>'CA GDP DATA'!$A$15</f>
              <strCache>
                <ptCount val="1"/>
                <pt idx="0">
                  <v>USD JPY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DATA'!$B$15:$AK$15</f>
              <numCache>
                <formatCode>#,##0.00</formatCode>
                <ptCount val="36"/>
                <pt idx="0">
                  <v>-5.460061</v>
                </pt>
                <pt idx="1">
                  <v>-5.460061</v>
                </pt>
                <pt idx="2">
                  <v>-5.460061</v>
                </pt>
                <pt idx="3">
                  <v>-7.342235000000001</v>
                </pt>
                <pt idx="4">
                  <v>-7.342235000000001</v>
                </pt>
                <pt idx="5">
                  <v>-7.342235000000001</v>
                </pt>
                <pt idx="6">
                  <v>-7.352777</v>
                </pt>
                <pt idx="7">
                  <v>-7.352777</v>
                </pt>
                <pt idx="8">
                  <v>-7.352777</v>
                </pt>
                <pt idx="9">
                  <v>-7.827762</v>
                </pt>
                <pt idx="10">
                  <v>-7.827762</v>
                </pt>
                <pt idx="11">
                  <v>-7.827762</v>
                </pt>
                <pt idx="12">
                  <v>-7.853270999999999</v>
                </pt>
                <pt idx="13">
                  <v>-7.853270999999999</v>
                </pt>
                <pt idx="14">
                  <v>-7.853270999999999</v>
                </pt>
                <pt idx="15">
                  <v>-8.340024</v>
                </pt>
                <pt idx="16">
                  <v>-8.340024</v>
                </pt>
                <pt idx="17">
                  <v>-8.340024</v>
                </pt>
                <pt idx="18">
                  <v>-8.817041</v>
                </pt>
                <pt idx="19">
                  <v>-8.817041</v>
                </pt>
                <pt idx="20">
                  <v>-8.817041</v>
                </pt>
                <pt idx="21">
                  <v>-9.126092</v>
                </pt>
                <pt idx="22">
                  <v>-9.126092</v>
                </pt>
                <pt idx="23">
                  <v>-9.126092</v>
                </pt>
                <pt idx="24">
                  <v>-10.466133</v>
                </pt>
                <pt idx="25">
                  <v>-10.466133</v>
                </pt>
                <pt idx="26">
                  <v>-10.466133</v>
                </pt>
                <pt idx="27">
                  <v>-7.591391</v>
                </pt>
                <pt idx="28">
                  <v>-7.591391</v>
                </pt>
                <pt idx="29">
                  <v>-7.591391</v>
                </pt>
                <pt idx="30">
                  <v>-8.089717</v>
                </pt>
                <pt idx="31">
                  <v>-8.089717</v>
                </pt>
                <pt idx="32">
                  <v>-8.089717</v>
                </pt>
                <pt idx="33">
                  <v>-7.76</v>
                </pt>
                <pt idx="34">
                  <v>-7.76</v>
                </pt>
                <pt idx="35">
                  <v>-7.76</v>
                </pt>
              </numCache>
            </numRef>
          </val>
        </ser>
        <ser>
          <idx val="1"/>
          <order val="1"/>
          <tx>
            <strRef>
              <f>'CA GDP DATA'!$A$16</f>
              <strCache>
                <ptCount val="1"/>
                <pt idx="0">
                  <v>USD CHF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DATA'!$B$16:$AK$16</f>
              <numCache>
                <formatCode>#,##0.00</formatCode>
                <ptCount val="36"/>
                <pt idx="0">
                  <v>-9.730974</v>
                </pt>
                <pt idx="1">
                  <v>-9.730974</v>
                </pt>
                <pt idx="2">
                  <v>-9.730974</v>
                </pt>
                <pt idx="3">
                  <v>-10.744186</v>
                </pt>
                <pt idx="4">
                  <v>-10.744186</v>
                </pt>
                <pt idx="5">
                  <v>-10.744186</v>
                </pt>
                <pt idx="6">
                  <v>-11.199446</v>
                </pt>
                <pt idx="7">
                  <v>-11.199446</v>
                </pt>
                <pt idx="8">
                  <v>-11.199446</v>
                </pt>
                <pt idx="9">
                  <v>-4.097177</v>
                </pt>
                <pt idx="10">
                  <v>-4.097177</v>
                </pt>
                <pt idx="11">
                  <v>-4.097177</v>
                </pt>
                <pt idx="12">
                  <v>-17.633742</v>
                </pt>
                <pt idx="13">
                  <v>-17.633742</v>
                </pt>
                <pt idx="14">
                  <v>-17.633742</v>
                </pt>
                <pt idx="15">
                  <v>-14.999824</v>
                </pt>
                <pt idx="16">
                  <v>-14.999824</v>
                </pt>
                <pt idx="17">
                  <v>-14.999824</v>
                </pt>
                <pt idx="18">
                  <v>-6.426041</v>
                </pt>
                <pt idx="19">
                  <v>-6.426041</v>
                </pt>
                <pt idx="20">
                  <v>-6.426041</v>
                </pt>
                <pt idx="21">
                  <v>-14.493161</v>
                </pt>
                <pt idx="22">
                  <v>-14.493161</v>
                </pt>
                <pt idx="23">
                  <v>-14.493161</v>
                </pt>
                <pt idx="24">
                  <v>-20.549463</v>
                </pt>
                <pt idx="25">
                  <v>-20.549463</v>
                </pt>
                <pt idx="26">
                  <v>-20.549463</v>
                </pt>
                <pt idx="27">
                  <v>-7.43995</v>
                </pt>
                <pt idx="28">
                  <v>-7.43995</v>
                </pt>
                <pt idx="29">
                  <v>-7.43995</v>
                </pt>
                <pt idx="30">
                  <v>-7.62</v>
                </pt>
                <pt idx="31">
                  <v>-7.62</v>
                </pt>
                <pt idx="32">
                  <v>-7.62</v>
                </pt>
                <pt idx="33">
                  <v>-4.03</v>
                </pt>
                <pt idx="34">
                  <v>-4.03</v>
                </pt>
                <pt idx="35">
                  <v>0.48</v>
                </pt>
              </numCache>
            </numRef>
          </val>
        </ser>
        <ser>
          <idx val="2"/>
          <order val="2"/>
          <tx>
            <strRef>
              <f>'CA GDP DATA'!$A$17</f>
              <strCache>
                <ptCount val="1"/>
                <pt idx="0">
                  <v>USD CAD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DATA'!$B$17:$AK$17</f>
              <numCache>
                <formatCode>#,##0.00</formatCode>
                <ptCount val="36"/>
                <pt idx="0">
                  <v>-2.4414913</v>
                </pt>
                <pt idx="1">
                  <v>-2.4414913</v>
                </pt>
                <pt idx="2">
                  <v>-2.4414913</v>
                </pt>
                <pt idx="3">
                  <v>-2.6371585</v>
                </pt>
                <pt idx="4">
                  <v>-2.6371585</v>
                </pt>
                <pt idx="5">
                  <v>-2.6371585</v>
                </pt>
                <pt idx="6">
                  <v>-2.3470077</v>
                </pt>
                <pt idx="7">
                  <v>-2.3470077</v>
                </pt>
                <pt idx="8">
                  <v>-2.3470077</v>
                </pt>
                <pt idx="9">
                  <v>-3.1556991</v>
                </pt>
                <pt idx="10">
                  <v>-3.1556991</v>
                </pt>
                <pt idx="11">
                  <v>-3.1556991</v>
                </pt>
                <pt idx="12">
                  <v>-2.8653383</v>
                </pt>
                <pt idx="13">
                  <v>-2.8653383</v>
                </pt>
                <pt idx="14">
                  <v>-2.8653383</v>
                </pt>
                <pt idx="15">
                  <v>-3.4488948</v>
                </pt>
                <pt idx="16">
                  <v>-3.4488948</v>
                </pt>
                <pt idx="17">
                  <v>-3.4488948</v>
                </pt>
                <pt idx="18">
                  <v>-3.8298188</v>
                </pt>
                <pt idx="19">
                  <v>-3.8298188</v>
                </pt>
                <pt idx="20">
                  <v>-3.8298188</v>
                </pt>
                <pt idx="21">
                  <v>-4.0834668</v>
                </pt>
                <pt idx="22">
                  <v>-4.0834668</v>
                </pt>
                <pt idx="23">
                  <v>-4.0834668</v>
                </pt>
                <pt idx="24">
                  <v>-5.477540100000001</v>
                </pt>
                <pt idx="25">
                  <v>-5.477540100000001</v>
                </pt>
                <pt idx="26">
                  <v>-5.477540100000001</v>
                </pt>
                <pt idx="27">
                  <v>-0.5827820000000004</v>
                </pt>
                <pt idx="28">
                  <v>-0.5827820000000004</v>
                </pt>
                <pt idx="29">
                  <v>-0.5827820000000004</v>
                </pt>
                <pt idx="30">
                  <v>-2.43</v>
                </pt>
                <pt idx="31">
                  <v>-2.43</v>
                </pt>
                <pt idx="32">
                  <v>-2.43</v>
                </pt>
                <pt idx="33">
                  <v>-2.69</v>
                </pt>
                <pt idx="34">
                  <v>-2.69</v>
                </pt>
                <pt idx="35">
                  <v>-2.69</v>
                </pt>
              </numCache>
            </numRef>
          </val>
        </ser>
        <ser>
          <idx val="3"/>
          <order val="3"/>
          <tx>
            <strRef>
              <f>'CA GDP DATA'!$A$18</f>
              <strCache>
                <ptCount val="1"/>
                <pt idx="0">
                  <v>EUR USD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DATA'!$B$18:$AK$18</f>
              <numCache>
                <formatCode>#,##0.00</formatCode>
                <ptCount val="36"/>
                <pt idx="0">
                  <v>4.431129</v>
                </pt>
                <pt idx="1">
                  <v>4.431129</v>
                </pt>
                <pt idx="2">
                  <v>4.431129</v>
                </pt>
                <pt idx="3">
                  <v>5.098638</v>
                </pt>
                <pt idx="4">
                  <v>5.098638</v>
                </pt>
                <pt idx="5">
                  <v>5.098638</v>
                </pt>
                <pt idx="6">
                  <v>5.304288</v>
                </pt>
                <pt idx="7">
                  <v>5.304288</v>
                </pt>
                <pt idx="8">
                  <v>5.304288</v>
                </pt>
                <pt idx="9">
                  <v>6.113875</v>
                </pt>
                <pt idx="10">
                  <v>6.113875</v>
                </pt>
                <pt idx="11">
                  <v>6.113875</v>
                </pt>
                <pt idx="12">
                  <v>6.707087</v>
                </pt>
                <pt idx="13">
                  <v>6.707087</v>
                </pt>
                <pt idx="14">
                  <v>6.707087</v>
                </pt>
                <pt idx="15">
                  <v>6.633117</v>
                </pt>
                <pt idx="16">
                  <v>6.633117</v>
                </pt>
                <pt idx="17">
                  <v>6.633117</v>
                </pt>
                <pt idx="18">
                  <v>6.544506</v>
                </pt>
                <pt idx="19">
                  <v>6.544506</v>
                </pt>
                <pt idx="20">
                  <v>6.544506</v>
                </pt>
                <pt idx="21">
                  <v>6.269731999999999</v>
                </pt>
                <pt idx="22">
                  <v>6.269731999999999</v>
                </pt>
                <pt idx="23">
                  <v>6.269731999999999</v>
                </pt>
                <pt idx="24">
                  <v>8.156072999999999</v>
                </pt>
                <pt idx="25">
                  <v>8.156072999999999</v>
                </pt>
                <pt idx="26">
                  <v>8.156072999999999</v>
                </pt>
                <pt idx="27">
                  <v>5.36995</v>
                </pt>
                <pt idx="28">
                  <v>5.36995</v>
                </pt>
                <pt idx="29">
                  <v>5.36995</v>
                </pt>
                <pt idx="30">
                  <v>4.88</v>
                </pt>
                <pt idx="31">
                  <v>4.88</v>
                </pt>
                <pt idx="32">
                  <v>4.88</v>
                </pt>
                <pt idx="33">
                  <v>4.51</v>
                </pt>
                <pt idx="34">
                  <v>4.51</v>
                </pt>
                <pt idx="35">
                  <v>4.51</v>
                </pt>
              </numCache>
            </numRef>
          </val>
        </ser>
        <ser>
          <idx val="4"/>
          <order val="4"/>
          <tx>
            <strRef>
              <f>'CA GDP DATA'!$A$19</f>
              <strCache>
                <ptCount val="1"/>
                <pt idx="0">
                  <v>EUR JPY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DATA'!$B$19:$AK$19</f>
              <numCache>
                <formatCode>#,##0.00</formatCode>
                <ptCount val="36"/>
                <pt idx="0">
                  <v>-1.028932</v>
                </pt>
                <pt idx="1">
                  <v>-1.028932</v>
                </pt>
                <pt idx="2">
                  <v>-1.028932</v>
                </pt>
                <pt idx="3">
                  <v>-2.243597</v>
                </pt>
                <pt idx="4">
                  <v>-2.243597</v>
                </pt>
                <pt idx="5">
                  <v>-2.243597</v>
                </pt>
                <pt idx="6">
                  <v>-2.048489</v>
                </pt>
                <pt idx="7">
                  <v>-2.048489</v>
                </pt>
                <pt idx="8">
                  <v>-2.048489</v>
                </pt>
                <pt idx="9">
                  <v>-1.713887</v>
                </pt>
                <pt idx="10">
                  <v>-1.713887</v>
                </pt>
                <pt idx="11">
                  <v>-1.713887</v>
                </pt>
                <pt idx="12">
                  <v>-1.146183999999999</v>
                </pt>
                <pt idx="13">
                  <v>-1.146183999999999</v>
                </pt>
                <pt idx="14">
                  <v>-1.146183999999999</v>
                </pt>
                <pt idx="15">
                  <v>-1.706907</v>
                </pt>
                <pt idx="16">
                  <v>-1.706907</v>
                </pt>
                <pt idx="17">
                  <v>-1.706907</v>
                </pt>
                <pt idx="18">
                  <v>-2.272535</v>
                </pt>
                <pt idx="19">
                  <v>-2.272535</v>
                </pt>
                <pt idx="20">
                  <v>-2.272535</v>
                </pt>
                <pt idx="21">
                  <v>-2.85636</v>
                </pt>
                <pt idx="22">
                  <v>-2.85636</v>
                </pt>
                <pt idx="23">
                  <v>-2.85636</v>
                </pt>
                <pt idx="24">
                  <v>-2.31006</v>
                </pt>
                <pt idx="25">
                  <v>-2.31006</v>
                </pt>
                <pt idx="26">
                  <v>-2.31006</v>
                </pt>
                <pt idx="27">
                  <v>-2.221441</v>
                </pt>
                <pt idx="28">
                  <v>-2.221441</v>
                </pt>
                <pt idx="29">
                  <v>-2.221441</v>
                </pt>
                <pt idx="30">
                  <v>-3.209717</v>
                </pt>
                <pt idx="31">
                  <v>-3.209717</v>
                </pt>
                <pt idx="32">
                  <v>-3.209717</v>
                </pt>
                <pt idx="33">
                  <v>-3.25</v>
                </pt>
                <pt idx="34">
                  <v>-3.25</v>
                </pt>
                <pt idx="35">
                  <v>-3.25</v>
                </pt>
              </numCache>
            </numRef>
          </val>
        </ser>
        <ser>
          <idx val="5"/>
          <order val="5"/>
          <tx>
            <strRef>
              <f>'CA GDP DATA'!$A$20</f>
              <strCache>
                <ptCount val="1"/>
                <pt idx="0">
                  <v>EUR CHF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DATA'!$B$20:$AK$20</f>
              <numCache>
                <formatCode>#,##0.00</formatCode>
                <ptCount val="36"/>
                <pt idx="0">
                  <v>-5.299845</v>
                </pt>
                <pt idx="1">
                  <v>-5.299845</v>
                </pt>
                <pt idx="2">
                  <v>-5.299845</v>
                </pt>
                <pt idx="3">
                  <v>-5.645548000000001</v>
                </pt>
                <pt idx="4">
                  <v>-5.645548000000001</v>
                </pt>
                <pt idx="5">
                  <v>-5.645548000000001</v>
                </pt>
                <pt idx="6">
                  <v>-5.895157999999999</v>
                </pt>
                <pt idx="7">
                  <v>-5.895157999999999</v>
                </pt>
                <pt idx="8">
                  <v>-5.895157999999999</v>
                </pt>
                <pt idx="9">
                  <v>2.016698</v>
                </pt>
                <pt idx="10">
                  <v>2.016698</v>
                </pt>
                <pt idx="11">
                  <v>2.016698</v>
                </pt>
                <pt idx="12">
                  <v>-10.926655</v>
                </pt>
                <pt idx="13">
                  <v>-10.926655</v>
                </pt>
                <pt idx="14">
                  <v>-10.926655</v>
                </pt>
                <pt idx="15">
                  <v>-8.366707</v>
                </pt>
                <pt idx="16">
                  <v>-8.366707</v>
                </pt>
                <pt idx="17">
                  <v>-8.366707</v>
                </pt>
                <pt idx="18">
                  <v>0.118465</v>
                </pt>
                <pt idx="19">
                  <v>0.118465</v>
                </pt>
                <pt idx="20">
                  <v>0.118465</v>
                </pt>
                <pt idx="21">
                  <v>-8.223428999999999</v>
                </pt>
                <pt idx="22">
                  <v>-8.223428999999999</v>
                </pt>
                <pt idx="23">
                  <v>-8.223428999999999</v>
                </pt>
                <pt idx="24">
                  <v>-12.39339</v>
                </pt>
                <pt idx="25">
                  <v>-12.39339</v>
                </pt>
                <pt idx="26">
                  <v>-12.39339</v>
                </pt>
                <pt idx="27">
                  <v>-2.07</v>
                </pt>
                <pt idx="28">
                  <v>-2.07</v>
                </pt>
                <pt idx="29">
                  <v>-2.07</v>
                </pt>
                <pt idx="30">
                  <v>-2.74</v>
                </pt>
                <pt idx="31">
                  <v>-2.74</v>
                </pt>
                <pt idx="32">
                  <v>-2.74</v>
                </pt>
                <pt idx="33">
                  <v>0.48</v>
                </pt>
                <pt idx="34">
                  <v>0.48</v>
                </pt>
                <pt idx="35">
                  <v>0.48</v>
                </pt>
              </numCache>
            </numRef>
          </val>
        </ser>
        <ser>
          <idx val="6"/>
          <order val="6"/>
          <tx>
            <strRef>
              <f>'CA GDP DATA'!$A$21</f>
              <strCache>
                <ptCount val="1"/>
                <pt idx="0">
                  <v>EUR GBP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DATA'!$B$21:$AK$21</f>
              <numCache>
                <formatCode>#,##0.00</formatCode>
                <ptCount val="36"/>
                <pt idx="0">
                  <v>3.993227</v>
                </pt>
                <pt idx="1">
                  <v>3.993227</v>
                </pt>
                <pt idx="2">
                  <v>3.993227</v>
                </pt>
                <pt idx="3">
                  <v>6.714816</v>
                </pt>
                <pt idx="4">
                  <v>6.714816</v>
                </pt>
                <pt idx="5">
                  <v>6.714816</v>
                </pt>
                <pt idx="6">
                  <v>4.429724</v>
                </pt>
                <pt idx="7">
                  <v>4.429724</v>
                </pt>
                <pt idx="8">
                  <v>4.429724</v>
                </pt>
                <pt idx="9">
                  <v>6.739013</v>
                </pt>
                <pt idx="10">
                  <v>6.739013</v>
                </pt>
                <pt idx="11">
                  <v>6.739013</v>
                </pt>
                <pt idx="12">
                  <v>6.017755</v>
                </pt>
                <pt idx="13">
                  <v>6.017755</v>
                </pt>
                <pt idx="14">
                  <v>6.017755</v>
                </pt>
                <pt idx="15">
                  <v>5.963922999999999</v>
                </pt>
                <pt idx="16">
                  <v>5.963922999999999</v>
                </pt>
                <pt idx="17">
                  <v>5.963922999999999</v>
                </pt>
                <pt idx="18">
                  <v>0.1936370000000001</v>
                </pt>
                <pt idx="19">
                  <v>0.1936370000000001</v>
                </pt>
                <pt idx="20">
                  <v>0.1936370000000001</v>
                </pt>
                <pt idx="21">
                  <v>5.735791</v>
                </pt>
                <pt idx="22">
                  <v>5.735791</v>
                </pt>
                <pt idx="23">
                  <v>5.735791</v>
                </pt>
                <pt idx="24">
                  <v>5.4</v>
                </pt>
                <pt idx="25">
                  <v>5.4</v>
                </pt>
                <pt idx="26">
                  <v>5.4</v>
                </pt>
                <pt idx="27">
                  <v>5.33</v>
                </pt>
                <pt idx="28">
                  <v>5.33</v>
                </pt>
                <pt idx="29">
                  <v>5.33</v>
                </pt>
                <pt idx="30">
                  <v>4.43</v>
                </pt>
                <pt idx="31">
                  <v>4.43</v>
                </pt>
                <pt idx="32">
                  <v>4.43</v>
                </pt>
                <pt idx="33">
                  <v>5.24</v>
                </pt>
                <pt idx="34">
                  <v>5.24</v>
                </pt>
                <pt idx="35">
                  <v>5.24</v>
                </pt>
              </numCache>
            </numRef>
          </val>
        </ser>
        <ser>
          <idx val="7"/>
          <order val="7"/>
          <tx>
            <strRef>
              <f>'CA GDP DATA'!$A$22</f>
              <strCache>
                <ptCount val="1"/>
                <pt idx="0">
                  <v>EUR CAD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DATA'!$B$22:$AK$22</f>
              <numCache>
                <formatCode>#,##0.00</formatCode>
                <ptCount val="36"/>
                <pt idx="0">
                  <v>1.9896377</v>
                </pt>
                <pt idx="1">
                  <v>1.9896377</v>
                </pt>
                <pt idx="2">
                  <v>1.9896377</v>
                </pt>
                <pt idx="3">
                  <v>2.4614795</v>
                </pt>
                <pt idx="4">
                  <v>2.4614795</v>
                </pt>
                <pt idx="5">
                  <v>2.4614795</v>
                </pt>
                <pt idx="6">
                  <v>2.9572803</v>
                </pt>
                <pt idx="7">
                  <v>2.9572803</v>
                </pt>
                <pt idx="8">
                  <v>2.9572803</v>
                </pt>
                <pt idx="9">
                  <v>2.9581759</v>
                </pt>
                <pt idx="10">
                  <v>2.9581759</v>
                </pt>
                <pt idx="11">
                  <v>2.9581759</v>
                </pt>
                <pt idx="12">
                  <v>3.8417487</v>
                </pt>
                <pt idx="13">
                  <v>3.8417487</v>
                </pt>
                <pt idx="14">
                  <v>3.8417487</v>
                </pt>
                <pt idx="15">
                  <v>3.1842222</v>
                </pt>
                <pt idx="16">
                  <v>3.1842222</v>
                </pt>
                <pt idx="17">
                  <v>3.1842222</v>
                </pt>
                <pt idx="18">
                  <v>2.7146872</v>
                </pt>
                <pt idx="19">
                  <v>2.7146872</v>
                </pt>
                <pt idx="20">
                  <v>2.7146872</v>
                </pt>
                <pt idx="21">
                  <v>2.1862652</v>
                </pt>
                <pt idx="22">
                  <v>2.1862652</v>
                </pt>
                <pt idx="23">
                  <v>2.1862652</v>
                </pt>
                <pt idx="24">
                  <v>2.6785329</v>
                </pt>
                <pt idx="25">
                  <v>2.6785329</v>
                </pt>
                <pt idx="26">
                  <v>2.6785329</v>
                </pt>
                <pt idx="27">
                  <v>4.787167999999999</v>
                </pt>
                <pt idx="28">
                  <v>4.787167999999999</v>
                </pt>
                <pt idx="29">
                  <v>4.787167999999999</v>
                </pt>
                <pt idx="30">
                  <v>2.45</v>
                </pt>
                <pt idx="31">
                  <v>2.45</v>
                </pt>
                <pt idx="32">
                  <v>2.45</v>
                </pt>
                <pt idx="33">
                  <v>1.82</v>
                </pt>
                <pt idx="34">
                  <v>1.82</v>
                </pt>
                <pt idx="35">
                  <v>1.82</v>
                </pt>
              </numCache>
            </numRef>
          </val>
        </ser>
        <ser>
          <idx val="8"/>
          <order val="8"/>
          <tx>
            <strRef>
              <f>'CA GDP DATA'!$A$23</f>
              <strCache>
                <ptCount val="1"/>
                <pt idx="0">
                  <v>EUR AUD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DATA'!$B$23:$AK$23</f>
              <numCache>
                <formatCode>#,##0.00</formatCode>
                <ptCount val="3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4.58</v>
                </pt>
                <pt idx="28">
                  <v>4.58</v>
                </pt>
                <pt idx="29">
                  <v>4.58</v>
                </pt>
                <pt idx="30">
                  <v>4.49</v>
                </pt>
                <pt idx="31">
                  <v>4.49</v>
                </pt>
                <pt idx="32">
                  <v>4.49</v>
                </pt>
                <pt idx="33">
                  <v>4.85</v>
                </pt>
                <pt idx="34">
                  <v>4.85</v>
                </pt>
                <pt idx="35">
                  <v>4.85</v>
                </pt>
              </numCache>
            </numRef>
          </val>
        </ser>
        <ser>
          <idx val="9"/>
          <order val="9"/>
          <tx>
            <strRef>
              <f>'CA GDP DATA'!$A$24</f>
              <strCache>
                <ptCount val="1"/>
                <pt idx="0">
                  <v>EUR NZD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DATA'!$B$24:$AK$24</f>
              <numCache>
                <formatCode>#,##0.00</formatCode>
                <ptCount val="36"/>
                <pt idx="0">
                  <v>8.570421</v>
                </pt>
                <pt idx="1">
                  <v>8.570421</v>
                </pt>
                <pt idx="2">
                  <v>8.570421</v>
                </pt>
                <pt idx="3">
                  <v>7.631067</v>
                </pt>
                <pt idx="4">
                  <v>7.631067</v>
                </pt>
                <pt idx="5">
                  <v>7.631067</v>
                </pt>
                <pt idx="6">
                  <v>8.249983</v>
                </pt>
                <pt idx="7">
                  <v>8.249983</v>
                </pt>
                <pt idx="8">
                  <v>8.249983</v>
                </pt>
                <pt idx="9">
                  <v>8.216166000000001</v>
                </pt>
                <pt idx="10">
                  <v>8.216166000000001</v>
                </pt>
                <pt idx="11">
                  <v>8.216166000000001</v>
                </pt>
                <pt idx="12">
                  <v>8.397885</v>
                </pt>
                <pt idx="13">
                  <v>8.397885</v>
                </pt>
                <pt idx="14">
                  <v>8.397885</v>
                </pt>
                <pt idx="15">
                  <v>7.857537000000001</v>
                </pt>
                <pt idx="16">
                  <v>7.857537000000001</v>
                </pt>
                <pt idx="17">
                  <v>7.857537000000001</v>
                </pt>
                <pt idx="18">
                  <v>6.853215000000001</v>
                </pt>
                <pt idx="19">
                  <v>6.853215000000001</v>
                </pt>
                <pt idx="20">
                  <v>6.853215000000001</v>
                </pt>
                <pt idx="21">
                  <v>5.594433</v>
                </pt>
                <pt idx="22">
                  <v>5.594433</v>
                </pt>
                <pt idx="23">
                  <v>5.594433</v>
                </pt>
                <pt idx="24">
                  <v>6.043608</v>
                </pt>
                <pt idx="25">
                  <v>6.043608</v>
                </pt>
                <pt idx="26">
                  <v>6.043608</v>
                </pt>
                <pt idx="27">
                  <v>5.393688</v>
                </pt>
                <pt idx="28">
                  <v>5.393688</v>
                </pt>
                <pt idx="29">
                  <v>5.393688</v>
                </pt>
                <pt idx="30">
                  <v>-2.74</v>
                </pt>
                <pt idx="31">
                  <v>5.177225</v>
                </pt>
                <pt idx="32">
                  <v>5.177225</v>
                </pt>
                <pt idx="33">
                  <v>5.62</v>
                </pt>
                <pt idx="34">
                  <v>5.62</v>
                </pt>
                <pt idx="35">
                  <v>5.62</v>
                </pt>
              </numCache>
            </numRef>
          </val>
        </ser>
        <ser>
          <idx val="10"/>
          <order val="10"/>
          <tx>
            <strRef>
              <f>'CA GDP DATA'!$A$25</f>
              <strCache>
                <ptCount val="1"/>
                <pt idx="0">
                  <v>GBP USD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DATA'!$B$25:$AK$25</f>
              <numCache>
                <formatCode>#,##0.00</formatCode>
                <ptCount val="36"/>
                <pt idx="0">
                  <v>0.4379019999999998</v>
                </pt>
                <pt idx="1">
                  <v>0.4379019999999998</v>
                </pt>
                <pt idx="2">
                  <v>0.4379019999999998</v>
                </pt>
                <pt idx="3">
                  <v>-1.616178</v>
                </pt>
                <pt idx="4">
                  <v>-1.616178</v>
                </pt>
                <pt idx="5">
                  <v>-1.616178</v>
                </pt>
                <pt idx="6">
                  <v>0.8745639999999999</v>
                </pt>
                <pt idx="7">
                  <v>0.8745639999999999</v>
                </pt>
                <pt idx="8">
                  <v>0.8745639999999999</v>
                </pt>
                <pt idx="9">
                  <v>-0.6251379999999997</v>
                </pt>
                <pt idx="10">
                  <v>-0.6251379999999997</v>
                </pt>
                <pt idx="11">
                  <v>-0.6251379999999997</v>
                </pt>
                <pt idx="12">
                  <v>0.6893319999999998</v>
                </pt>
                <pt idx="13">
                  <v>0.6893319999999998</v>
                </pt>
                <pt idx="14">
                  <v>0.6893319999999998</v>
                </pt>
                <pt idx="15">
                  <v>0.6691940000000001</v>
                </pt>
                <pt idx="16">
                  <v>0.6691940000000001</v>
                </pt>
                <pt idx="17">
                  <v>0.6691940000000001</v>
                </pt>
                <pt idx="18">
                  <v>6.350868999999999</v>
                </pt>
                <pt idx="19">
                  <v>6.350868999999999</v>
                </pt>
                <pt idx="20">
                  <v>6.350868999999999</v>
                </pt>
                <pt idx="21">
                  <v>0.533941</v>
                </pt>
                <pt idx="22">
                  <v>0.533941</v>
                </pt>
                <pt idx="23">
                  <v>0.533941</v>
                </pt>
                <pt idx="24">
                  <v>2.756073</v>
                </pt>
                <pt idx="25">
                  <v>2.756073</v>
                </pt>
                <pt idx="26">
                  <v>2.756073</v>
                </pt>
                <pt idx="27">
                  <v>0.03995000000000015</v>
                </pt>
                <pt idx="28">
                  <v>0.03995000000000015</v>
                </pt>
                <pt idx="29">
                  <v>0.03995000000000015</v>
                </pt>
                <pt idx="30">
                  <v>0.4500000000000002</v>
                </pt>
                <pt idx="31">
                  <v>0.4500000000000002</v>
                </pt>
                <pt idx="32">
                  <v>0.4500000000000002</v>
                </pt>
                <pt idx="33">
                  <v>-0.73</v>
                </pt>
                <pt idx="34">
                  <v>-0.73</v>
                </pt>
                <pt idx="35">
                  <v>-0.73</v>
                </pt>
              </numCache>
            </numRef>
          </val>
        </ser>
        <ser>
          <idx val="11"/>
          <order val="11"/>
          <tx>
            <strRef>
              <f>'CA GDP DATA'!$A$26</f>
              <strCache>
                <ptCount val="1"/>
                <pt idx="0">
                  <v>GBP JPY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DATA'!$B$26:$AK$26</f>
              <numCache>
                <formatCode>#,##0.00</formatCode>
                <ptCount val="36"/>
                <pt idx="0">
                  <v>-5.022159</v>
                </pt>
                <pt idx="1">
                  <v>-5.022159</v>
                </pt>
                <pt idx="2">
                  <v>-5.022159</v>
                </pt>
                <pt idx="3">
                  <v>-8.958413</v>
                </pt>
                <pt idx="4">
                  <v>-8.958413</v>
                </pt>
                <pt idx="5">
                  <v>-8.958413</v>
                </pt>
                <pt idx="6">
                  <v>-6.478213</v>
                </pt>
                <pt idx="7">
                  <v>-6.478213</v>
                </pt>
                <pt idx="8">
                  <v>-6.478213</v>
                </pt>
                <pt idx="9">
                  <v>-8.4529</v>
                </pt>
                <pt idx="10">
                  <v>-8.4529</v>
                </pt>
                <pt idx="11">
                  <v>-8.4529</v>
                </pt>
                <pt idx="12">
                  <v>-7.163938999999999</v>
                </pt>
                <pt idx="13">
                  <v>-7.163938999999999</v>
                </pt>
                <pt idx="14">
                  <v>-7.163938999999999</v>
                </pt>
                <pt idx="15">
                  <v>-7.67083</v>
                </pt>
                <pt idx="16">
                  <v>-7.67083</v>
                </pt>
                <pt idx="17">
                  <v>-7.67083</v>
                </pt>
                <pt idx="18">
                  <v>-2.466172</v>
                </pt>
                <pt idx="19">
                  <v>-2.466172</v>
                </pt>
                <pt idx="20">
                  <v>-2.466172</v>
                </pt>
                <pt idx="21">
                  <v>-8.592150999999999</v>
                </pt>
                <pt idx="22">
                  <v>-8.592150999999999</v>
                </pt>
                <pt idx="23">
                  <v>-8.592150999999999</v>
                </pt>
                <pt idx="24">
                  <v>-7.71006</v>
                </pt>
                <pt idx="25">
                  <v>-7.71006</v>
                </pt>
                <pt idx="26">
                  <v>-7.71006</v>
                </pt>
                <pt idx="27">
                  <v>-7.551441000000001</v>
                </pt>
                <pt idx="28">
                  <v>-7.551441000000001</v>
                </pt>
                <pt idx="29">
                  <v>-7.551441000000001</v>
                </pt>
                <pt idx="30">
                  <v>-7.639717</v>
                </pt>
                <pt idx="31">
                  <v>-7.639717</v>
                </pt>
                <pt idx="32">
                  <v>-7.639717</v>
                </pt>
                <pt idx="33">
                  <v>-8.49</v>
                </pt>
                <pt idx="34">
                  <v>-8.49</v>
                </pt>
                <pt idx="35">
                  <v>-8.49</v>
                </pt>
              </numCache>
            </numRef>
          </val>
        </ser>
        <ser>
          <idx val="12"/>
          <order val="12"/>
          <tx>
            <strRef>
              <f>'CA GDP DATA'!$A$27</f>
              <strCache>
                <ptCount val="1"/>
                <pt idx="0">
                  <v>GBP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DATA'!$B$27:$AK$27</f>
              <numCache>
                <formatCode>#,##0.00</formatCode>
                <ptCount val="36"/>
                <pt idx="0">
                  <v>-9.293072</v>
                </pt>
                <pt idx="1">
                  <v>-9.293072</v>
                </pt>
                <pt idx="2">
                  <v>-9.293072</v>
                </pt>
                <pt idx="3">
                  <v>-12.360364</v>
                </pt>
                <pt idx="4">
                  <v>-12.360364</v>
                </pt>
                <pt idx="5">
                  <v>-12.360364</v>
                </pt>
                <pt idx="6">
                  <v>-10.324882</v>
                </pt>
                <pt idx="7">
                  <v>-10.324882</v>
                </pt>
                <pt idx="8">
                  <v>-10.324882</v>
                </pt>
                <pt idx="9">
                  <v>-4.722315</v>
                </pt>
                <pt idx="10">
                  <v>-4.722315</v>
                </pt>
                <pt idx="11">
                  <v>-4.722315</v>
                </pt>
                <pt idx="12">
                  <v>-16.94441</v>
                </pt>
                <pt idx="13">
                  <v>-16.94441</v>
                </pt>
                <pt idx="14">
                  <v>-16.94441</v>
                </pt>
                <pt idx="15">
                  <v>-14.33063</v>
                </pt>
                <pt idx="16">
                  <v>-14.33063</v>
                </pt>
                <pt idx="17">
                  <v>-14.33063</v>
                </pt>
                <pt idx="18">
                  <v>-0.07517200000000002</v>
                </pt>
                <pt idx="19">
                  <v>-0.07517200000000002</v>
                </pt>
                <pt idx="20">
                  <v>-0.07517200000000002</v>
                </pt>
                <pt idx="21">
                  <v>-13.95922</v>
                </pt>
                <pt idx="22">
                  <v>-13.95922</v>
                </pt>
                <pt idx="23">
                  <v>-13.95922</v>
                </pt>
                <pt idx="24">
                  <v>-17.79339</v>
                </pt>
                <pt idx="25">
                  <v>-17.79339</v>
                </pt>
                <pt idx="26">
                  <v>-17.79339</v>
                </pt>
                <pt idx="27">
                  <v>-7.4</v>
                </pt>
                <pt idx="28">
                  <v>-7.4</v>
                </pt>
                <pt idx="29">
                  <v>-7.4</v>
                </pt>
                <pt idx="30">
                  <v>-7.17</v>
                </pt>
                <pt idx="31">
                  <v>-7.17</v>
                </pt>
                <pt idx="32">
                  <v>-7.17</v>
                </pt>
                <pt idx="33">
                  <v>-4.76</v>
                </pt>
                <pt idx="34">
                  <v>-4.76</v>
                </pt>
                <pt idx="35">
                  <v>-4.76</v>
                </pt>
              </numCache>
            </numRef>
          </val>
        </ser>
        <ser>
          <idx val="13"/>
          <order val="13"/>
          <tx>
            <strRef>
              <f>'CA GDP DATA'!$A$28</f>
              <strCache>
                <ptCount val="1"/>
                <pt idx="0">
                  <v>GBP CAD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DATA'!$B$28:$AK$28</f>
              <numCache>
                <formatCode>#,##0.00</formatCode>
                <ptCount val="36"/>
                <pt idx="0">
                  <v>-2.0035893</v>
                </pt>
                <pt idx="1">
                  <v>-2.0035893</v>
                </pt>
                <pt idx="2">
                  <v>-2.0035893</v>
                </pt>
                <pt idx="3">
                  <v>-4.253336500000001</v>
                </pt>
                <pt idx="4">
                  <v>-4.253336500000001</v>
                </pt>
                <pt idx="5">
                  <v>-4.253336500000001</v>
                </pt>
                <pt idx="6">
                  <v>-1.4724437</v>
                </pt>
                <pt idx="7">
                  <v>-1.4724437</v>
                </pt>
                <pt idx="8">
                  <v>-1.4724437</v>
                </pt>
                <pt idx="9">
                  <v>-3.7808371</v>
                </pt>
                <pt idx="10">
                  <v>-3.7808371</v>
                </pt>
                <pt idx="11">
                  <v>-3.7808371</v>
                </pt>
                <pt idx="12">
                  <v>-2.1760063</v>
                </pt>
                <pt idx="13">
                  <v>-2.1760063</v>
                </pt>
                <pt idx="14">
                  <v>-2.1760063</v>
                </pt>
                <pt idx="15">
                  <v>-2.7797008</v>
                </pt>
                <pt idx="16">
                  <v>-2.7797008</v>
                </pt>
                <pt idx="17">
                  <v>-2.7797008</v>
                </pt>
                <pt idx="18">
                  <v>2.5210502</v>
                </pt>
                <pt idx="19">
                  <v>2.5210502</v>
                </pt>
                <pt idx="20">
                  <v>2.5210502</v>
                </pt>
                <pt idx="21">
                  <v>-3.5495258</v>
                </pt>
                <pt idx="22">
                  <v>-3.5495258</v>
                </pt>
                <pt idx="23">
                  <v>-3.5495258</v>
                </pt>
                <pt idx="24">
                  <v>-2.7214671</v>
                </pt>
                <pt idx="25">
                  <v>-2.7214671</v>
                </pt>
                <pt idx="26">
                  <v>-2.7214671</v>
                </pt>
                <pt idx="27">
                  <v>-0.5428320000000002</v>
                </pt>
                <pt idx="28">
                  <v>-0.5428320000000002</v>
                </pt>
                <pt idx="29">
                  <v>-0.5428320000000002</v>
                </pt>
                <pt idx="30">
                  <v>-1.98</v>
                </pt>
                <pt idx="31">
                  <v>-1.98</v>
                </pt>
                <pt idx="32">
                  <v>-1.98</v>
                </pt>
                <pt idx="33">
                  <v>-3.42</v>
                </pt>
                <pt idx="34">
                  <v>-3.42</v>
                </pt>
                <pt idx="35">
                  <v>-3.42</v>
                </pt>
              </numCache>
            </numRef>
          </val>
        </ser>
        <ser>
          <idx val="14"/>
          <order val="14"/>
          <tx>
            <strRef>
              <f>'CA GDP DATA'!$A$29</f>
              <strCache>
                <ptCount val="1"/>
                <pt idx="0">
                  <v>GBP AUD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DATA'!$B$29:$AK$29</f>
              <numCache>
                <formatCode>#,##0.00</formatCode>
                <ptCount val="36"/>
                <pt idx="0">
                  <v>-3.1344054</v>
                </pt>
                <pt idx="1">
                  <v>-3.1344054</v>
                </pt>
                <pt idx="2">
                  <v>-3.1344054</v>
                </pt>
                <pt idx="3">
                  <v>-4.7791706</v>
                </pt>
                <pt idx="4">
                  <v>-4.7791706</v>
                </pt>
                <pt idx="5">
                  <v>-4.7791706</v>
                </pt>
                <pt idx="6">
                  <v>-1.006236</v>
                </pt>
                <pt idx="7">
                  <v>-1.006236</v>
                </pt>
                <pt idx="8">
                  <v>-1.006236</v>
                </pt>
                <pt idx="9">
                  <v>-3.6497941</v>
                </pt>
                <pt idx="10">
                  <v>-3.6497941</v>
                </pt>
                <pt idx="11">
                  <v>-3.6497941</v>
                </pt>
                <pt idx="12">
                  <v>-1.3873</v>
                </pt>
                <pt idx="13">
                  <v>-1.3873</v>
                </pt>
                <pt idx="14">
                  <v>-1.3873</v>
                </pt>
                <pt idx="15">
                  <v>-0.8594599999999999</v>
                </pt>
                <pt idx="16">
                  <v>-0.8594599999999999</v>
                </pt>
                <pt idx="17">
                  <v>-0.8594599999999999</v>
                </pt>
                <pt idx="18">
                  <v>4.223561</v>
                </pt>
                <pt idx="19">
                  <v>4.223561</v>
                </pt>
                <pt idx="20">
                  <v>4.223561</v>
                </pt>
                <pt idx="21">
                  <v>-1.183055</v>
                </pt>
                <pt idx="22">
                  <v>-1.183055</v>
                </pt>
                <pt idx="23">
                  <v>-1.183055</v>
                </pt>
                <pt idx="24">
                  <v>-0.6699999999999999</v>
                </pt>
                <pt idx="25">
                  <v>-0.6699999999999999</v>
                </pt>
                <pt idx="26">
                  <v>-0.6699999999999999</v>
                </pt>
                <pt idx="27">
                  <v>-0.75</v>
                </pt>
                <pt idx="28">
                  <v>-0.75</v>
                </pt>
                <pt idx="29">
                  <v>-0.75</v>
                </pt>
                <pt idx="30">
                  <v>0.06000000000000005</v>
                </pt>
                <pt idx="31">
                  <v>0.06000000000000005</v>
                </pt>
                <pt idx="32">
                  <v>0.06000000000000005</v>
                </pt>
                <pt idx="33">
                  <v>-0.3900000000000001</v>
                </pt>
                <pt idx="34">
                  <v>-0.3900000000000001</v>
                </pt>
                <pt idx="35">
                  <v>-0.3900000000000001</v>
                </pt>
              </numCache>
            </numRef>
          </val>
        </ser>
        <ser>
          <idx val="15"/>
          <order val="15"/>
          <tx>
            <strRef>
              <f>'CA GDP DATA'!$A$30</f>
              <strCache>
                <ptCount val="1"/>
                <pt idx="0">
                  <v>GBP NZD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DATA'!$B$30:$AK$30</f>
              <numCache>
                <formatCode>#,##0.00</formatCode>
                <ptCount val="36"/>
                <pt idx="0">
                  <v>4.577194</v>
                </pt>
                <pt idx="1">
                  <v>4.577194</v>
                </pt>
                <pt idx="2">
                  <v>4.577194</v>
                </pt>
                <pt idx="3">
                  <v>0.9162509999999999</v>
                </pt>
                <pt idx="4">
                  <v>0.9162509999999999</v>
                </pt>
                <pt idx="5">
                  <v>0.9162509999999999</v>
                </pt>
                <pt idx="6">
                  <v>3.820259</v>
                </pt>
                <pt idx="7">
                  <v>3.820259</v>
                </pt>
                <pt idx="8">
                  <v>3.820259</v>
                </pt>
                <pt idx="9">
                  <v>1.477153</v>
                </pt>
                <pt idx="10">
                  <v>1.477153</v>
                </pt>
                <pt idx="11">
                  <v>1.477153</v>
                </pt>
                <pt idx="12">
                  <v>2.38013</v>
                </pt>
                <pt idx="13">
                  <v>2.38013</v>
                </pt>
                <pt idx="14">
                  <v>2.38013</v>
                </pt>
                <pt idx="15">
                  <v>1.893614</v>
                </pt>
                <pt idx="16">
                  <v>1.893614</v>
                </pt>
                <pt idx="17">
                  <v>1.893614</v>
                </pt>
                <pt idx="18">
                  <v>6.659578</v>
                </pt>
                <pt idx="19">
                  <v>6.659578</v>
                </pt>
                <pt idx="20">
                  <v>6.659578</v>
                </pt>
                <pt idx="21">
                  <v>-0.1413579999999999</v>
                </pt>
                <pt idx="22">
                  <v>-0.1413579999999999</v>
                </pt>
                <pt idx="23">
                  <v>-0.1413579999999999</v>
                </pt>
                <pt idx="24">
                  <v>0.643608</v>
                </pt>
                <pt idx="25">
                  <v>0.643608</v>
                </pt>
                <pt idx="26">
                  <v>0.643608</v>
                </pt>
                <pt idx="27">
                  <v>0.06368799999999997</v>
                </pt>
                <pt idx="28">
                  <v>0.06368799999999997</v>
                </pt>
                <pt idx="29">
                  <v>0.06368799999999997</v>
                </pt>
                <pt idx="30">
                  <v>-7.17</v>
                </pt>
                <pt idx="31">
                  <v>0.7472250000000003</v>
                </pt>
                <pt idx="32">
                  <v>0.7472250000000003</v>
                </pt>
                <pt idx="33">
                  <v>0.3799999999999999</v>
                </pt>
                <pt idx="34">
                  <v>0.3799999999999999</v>
                </pt>
                <pt idx="35">
                  <v>0.3799999999999999</v>
                </pt>
              </numCache>
            </numRef>
          </val>
        </ser>
        <ser>
          <idx val="16"/>
          <order val="16"/>
          <tx>
            <strRef>
              <f>'CA GDP DATA'!$A$31</f>
              <strCache>
                <ptCount val="1"/>
                <pt idx="0">
                  <v xml:space="preserve">CHF JPY 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DATA'!$B$31:$AK$31</f>
              <numCache>
                <formatCode>#,##0.00</formatCode>
                <ptCount val="36"/>
                <pt idx="0">
                  <v>4.270913</v>
                </pt>
                <pt idx="1">
                  <v>4.270913</v>
                </pt>
                <pt idx="2">
                  <v>4.270913</v>
                </pt>
                <pt idx="3">
                  <v>3.401951</v>
                </pt>
                <pt idx="4">
                  <v>3.401951</v>
                </pt>
                <pt idx="5">
                  <v>3.401951</v>
                </pt>
                <pt idx="6">
                  <v>3.846668999999999</v>
                </pt>
                <pt idx="7">
                  <v>3.846668999999999</v>
                </pt>
                <pt idx="8">
                  <v>3.846668999999999</v>
                </pt>
                <pt idx="9">
                  <v>-3.730585</v>
                </pt>
                <pt idx="10">
                  <v>-3.730585</v>
                </pt>
                <pt idx="11">
                  <v>-3.730585</v>
                </pt>
                <pt idx="12">
                  <v>9.780471000000002</v>
                </pt>
                <pt idx="13">
                  <v>9.780471000000002</v>
                </pt>
                <pt idx="14">
                  <v>9.780471000000002</v>
                </pt>
                <pt idx="15">
                  <v>6.6598</v>
                </pt>
                <pt idx="16">
                  <v>6.6598</v>
                </pt>
                <pt idx="17">
                  <v>6.6598</v>
                </pt>
                <pt idx="18">
                  <v>-2.391</v>
                </pt>
                <pt idx="19">
                  <v>-2.391</v>
                </pt>
                <pt idx="20">
                  <v>-2.391</v>
                </pt>
                <pt idx="21">
                  <v>5.367069</v>
                </pt>
                <pt idx="22">
                  <v>5.367069</v>
                </pt>
                <pt idx="23">
                  <v>5.367069</v>
                </pt>
                <pt idx="24">
                  <v>10.08333</v>
                </pt>
                <pt idx="25">
                  <v>10.08333</v>
                </pt>
                <pt idx="26">
                  <v>10.08333</v>
                </pt>
                <pt idx="27">
                  <v>-0.1514410000000002</v>
                </pt>
                <pt idx="28">
                  <v>-0.1514410000000002</v>
                </pt>
                <pt idx="29">
                  <v>-0.1514410000000002</v>
                </pt>
                <pt idx="30">
                  <v>-0.4697170000000002</v>
                </pt>
                <pt idx="31">
                  <v>-0.4697170000000002</v>
                </pt>
                <pt idx="32">
                  <v>-0.4697170000000002</v>
                </pt>
                <pt idx="33">
                  <v>-3.73</v>
                </pt>
                <pt idx="34">
                  <v>-3.73</v>
                </pt>
                <pt idx="35">
                  <v>-3.73</v>
                </pt>
              </numCache>
            </numRef>
          </val>
        </ser>
        <ser>
          <idx val="17"/>
          <order val="17"/>
          <tx>
            <strRef>
              <f>'CA GDP DATA'!$A$32</f>
              <strCache>
                <ptCount val="1"/>
                <pt idx="0">
                  <v>AUD USD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DATA'!$B$32:$AK$32</f>
              <numCache>
                <formatCode>#,##0.00</formatCode>
                <ptCount val="36"/>
                <pt idx="0">
                  <v>3.5723074</v>
                </pt>
                <pt idx="1">
                  <v>3.5723074</v>
                </pt>
                <pt idx="2">
                  <v>3.5723074</v>
                </pt>
                <pt idx="3">
                  <v>3.1629926</v>
                </pt>
                <pt idx="4">
                  <v>3.1629926</v>
                </pt>
                <pt idx="5">
                  <v>3.1629926</v>
                </pt>
                <pt idx="6">
                  <v>1.8808</v>
                </pt>
                <pt idx="7">
                  <v>1.8808</v>
                </pt>
                <pt idx="8">
                  <v>1.8808</v>
                </pt>
                <pt idx="9">
                  <v>3.0246561</v>
                </pt>
                <pt idx="10">
                  <v>3.0246561</v>
                </pt>
                <pt idx="11">
                  <v>3.0246561</v>
                </pt>
                <pt idx="12">
                  <v>2.076632</v>
                </pt>
                <pt idx="13">
                  <v>2.076632</v>
                </pt>
                <pt idx="14">
                  <v>2.076632</v>
                </pt>
                <pt idx="15">
                  <v>1.528654</v>
                </pt>
                <pt idx="16">
                  <v>1.528654</v>
                </pt>
                <pt idx="17">
                  <v>1.528654</v>
                </pt>
                <pt idx="18">
                  <v>2.127308</v>
                </pt>
                <pt idx="19">
                  <v>2.127308</v>
                </pt>
                <pt idx="20">
                  <v>2.127308</v>
                </pt>
                <pt idx="21">
                  <v>1.716996</v>
                </pt>
                <pt idx="22">
                  <v>1.716996</v>
                </pt>
                <pt idx="23">
                  <v>1.716996</v>
                </pt>
                <pt idx="24">
                  <v>3.426073</v>
                </pt>
                <pt idx="25">
                  <v>3.426073</v>
                </pt>
                <pt idx="26">
                  <v>3.426073</v>
                </pt>
                <pt idx="27">
                  <v>0.7899500000000002</v>
                </pt>
                <pt idx="28">
                  <v>0.7899500000000002</v>
                </pt>
                <pt idx="29">
                  <v>0.7899500000000002</v>
                </pt>
                <pt idx="30">
                  <v>0.3900000000000001</v>
                </pt>
                <pt idx="31">
                  <v>0.3900000000000001</v>
                </pt>
                <pt idx="32">
                  <v>0.3900000000000001</v>
                </pt>
                <pt idx="33">
                  <v>-0.3399999999999999</v>
                </pt>
                <pt idx="34">
                  <v>-0.3399999999999999</v>
                </pt>
                <pt idx="35">
                  <v>-0.3399999999999999</v>
                </pt>
              </numCache>
            </numRef>
          </val>
        </ser>
        <ser>
          <idx val="18"/>
          <order val="18"/>
          <tx>
            <strRef>
              <f>'CA GDP DATA'!$A$33</f>
              <strCache>
                <ptCount val="1"/>
                <pt idx="0">
                  <v>AUD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DATA'!$B$33:$AK$33</f>
              <numCache>
                <formatCode>#,##0.00</formatCode>
                <ptCount val="36"/>
                <pt idx="0">
                  <v>-6.1586666</v>
                </pt>
                <pt idx="1">
                  <v>-6.1586666</v>
                </pt>
                <pt idx="2">
                  <v>-6.1586666</v>
                </pt>
                <pt idx="3">
                  <v>-7.5811934</v>
                </pt>
                <pt idx="4">
                  <v>-7.5811934</v>
                </pt>
                <pt idx="5">
                  <v>-7.5811934</v>
                </pt>
                <pt idx="6">
                  <v>-9.318645999999999</v>
                </pt>
                <pt idx="7">
                  <v>-9.318645999999999</v>
                </pt>
                <pt idx="8">
                  <v>-9.318645999999999</v>
                </pt>
                <pt idx="9">
                  <v>-1.0725209</v>
                </pt>
                <pt idx="10">
                  <v>-1.0725209</v>
                </pt>
                <pt idx="11">
                  <v>-1.0725209</v>
                </pt>
                <pt idx="12">
                  <v>-15.55711</v>
                </pt>
                <pt idx="13">
                  <v>-15.55711</v>
                </pt>
                <pt idx="14">
                  <v>-15.55711</v>
                </pt>
                <pt idx="15">
                  <v>-13.47117</v>
                </pt>
                <pt idx="16">
                  <v>-13.47117</v>
                </pt>
                <pt idx="17">
                  <v>-13.47117</v>
                </pt>
                <pt idx="18">
                  <v>-4.298733</v>
                </pt>
                <pt idx="19">
                  <v>-4.298733</v>
                </pt>
                <pt idx="20">
                  <v>-4.298733</v>
                </pt>
                <pt idx="21">
                  <v>-12.776165</v>
                </pt>
                <pt idx="22">
                  <v>-12.776165</v>
                </pt>
                <pt idx="23">
                  <v>-12.776165</v>
                </pt>
                <pt idx="24">
                  <v>-17.12339</v>
                </pt>
                <pt idx="25">
                  <v>-17.12339</v>
                </pt>
                <pt idx="26">
                  <v>-17.12339</v>
                </pt>
                <pt idx="27">
                  <v>-6.65</v>
                </pt>
                <pt idx="28">
                  <v>-6.65</v>
                </pt>
                <pt idx="29">
                  <v>-6.65</v>
                </pt>
                <pt idx="30">
                  <v>-7.23</v>
                </pt>
                <pt idx="31">
                  <v>-7.23</v>
                </pt>
                <pt idx="32">
                  <v>-7.23</v>
                </pt>
                <pt idx="33">
                  <v>-4.37</v>
                </pt>
                <pt idx="34">
                  <v>-4.37</v>
                </pt>
                <pt idx="35">
                  <v>-4.37</v>
                </pt>
              </numCache>
            </numRef>
          </val>
        </ser>
        <ser>
          <idx val="19"/>
          <order val="19"/>
          <tx>
            <strRef>
              <f>'CA GDP DATA'!$A$34</f>
              <strCache>
                <ptCount val="1"/>
                <pt idx="0">
                  <v>AUD JPY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DATA'!$B$34:$AK$34</f>
              <numCache>
                <formatCode>#,##0.00</formatCode>
                <ptCount val="36"/>
                <pt idx="0">
                  <v>-1.8877536</v>
                </pt>
                <pt idx="1">
                  <v>-1.8877536</v>
                </pt>
                <pt idx="2">
                  <v>-1.8877536</v>
                </pt>
                <pt idx="3">
                  <v>-4.1792424</v>
                </pt>
                <pt idx="4">
                  <v>-4.1792424</v>
                </pt>
                <pt idx="5">
                  <v>-4.1792424</v>
                </pt>
                <pt idx="6">
                  <v>-5.471977</v>
                </pt>
                <pt idx="7">
                  <v>-5.471977</v>
                </pt>
                <pt idx="8">
                  <v>-5.471977</v>
                </pt>
                <pt idx="9">
                  <v>-4.803105899999999</v>
                </pt>
                <pt idx="10">
                  <v>-4.803105899999999</v>
                </pt>
                <pt idx="11">
                  <v>-4.803105899999999</v>
                </pt>
                <pt idx="12">
                  <v>-5.776638999999999</v>
                </pt>
                <pt idx="13">
                  <v>-5.776638999999999</v>
                </pt>
                <pt idx="14">
                  <v>-5.776638999999999</v>
                </pt>
                <pt idx="15">
                  <v>-6.81137</v>
                </pt>
                <pt idx="16">
                  <v>-6.81137</v>
                </pt>
                <pt idx="17">
                  <v>-6.81137</v>
                </pt>
                <pt idx="18">
                  <v>-6.689733</v>
                </pt>
                <pt idx="19">
                  <v>-6.689733</v>
                </pt>
                <pt idx="20">
                  <v>-6.689733</v>
                </pt>
                <pt idx="21">
                  <v>-7.409096</v>
                </pt>
                <pt idx="22">
                  <v>-7.409096</v>
                </pt>
                <pt idx="23">
                  <v>-7.409096</v>
                </pt>
                <pt idx="24">
                  <v>-7.04006</v>
                </pt>
                <pt idx="25">
                  <v>-7.04006</v>
                </pt>
                <pt idx="26">
                  <v>-7.04006</v>
                </pt>
                <pt idx="27">
                  <v>-6.801441000000001</v>
                </pt>
                <pt idx="28">
                  <v>-6.801441000000001</v>
                </pt>
                <pt idx="29">
                  <v>-6.801441000000001</v>
                </pt>
                <pt idx="30">
                  <v>-7.699717</v>
                </pt>
                <pt idx="31">
                  <v>-7.699717</v>
                </pt>
                <pt idx="32">
                  <v>-7.699717</v>
                </pt>
                <pt idx="33">
                  <v>-8.1</v>
                </pt>
                <pt idx="34">
                  <v>-8.1</v>
                </pt>
                <pt idx="35">
                  <v>-8.1</v>
                </pt>
              </numCache>
            </numRef>
          </val>
        </ser>
        <ser>
          <idx val="20"/>
          <order val="20"/>
          <tx>
            <strRef>
              <f>'CA GDP DATA'!$A$35</f>
              <strCache>
                <ptCount val="1"/>
                <pt idx="0">
                  <v>AUD NZD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DATA'!$B$35:$AK$35</f>
              <numCache>
                <formatCode>#,##0.00</formatCode>
                <ptCount val="36"/>
                <pt idx="0">
                  <v>7.7115994</v>
                </pt>
                <pt idx="1">
                  <v>7.7115994</v>
                </pt>
                <pt idx="2">
                  <v>7.7115994</v>
                </pt>
                <pt idx="3">
                  <v>5.6954216</v>
                </pt>
                <pt idx="4">
                  <v>5.6954216</v>
                </pt>
                <pt idx="5">
                  <v>5.6954216</v>
                </pt>
                <pt idx="6">
                  <v>4.826495</v>
                </pt>
                <pt idx="7">
                  <v>4.826495</v>
                </pt>
                <pt idx="8">
                  <v>4.826495</v>
                </pt>
                <pt idx="9">
                  <v>5.126947100000001</v>
                </pt>
                <pt idx="10">
                  <v>5.126947100000001</v>
                </pt>
                <pt idx="11">
                  <v>5.126947100000001</v>
                </pt>
                <pt idx="12">
                  <v>3.76743</v>
                </pt>
                <pt idx="13">
                  <v>3.76743</v>
                </pt>
                <pt idx="14">
                  <v>3.76743</v>
                </pt>
                <pt idx="15">
                  <v>2.753074</v>
                </pt>
                <pt idx="16">
                  <v>2.753074</v>
                </pt>
                <pt idx="17">
                  <v>2.753074</v>
                </pt>
                <pt idx="18">
                  <v>2.436017</v>
                </pt>
                <pt idx="19">
                  <v>2.436017</v>
                </pt>
                <pt idx="20">
                  <v>2.436017</v>
                </pt>
                <pt idx="21">
                  <v>1.041697</v>
                </pt>
                <pt idx="22">
                  <v>1.041697</v>
                </pt>
                <pt idx="23">
                  <v>1.041697</v>
                </pt>
                <pt idx="24">
                  <v>1.313608</v>
                </pt>
                <pt idx="25">
                  <v>1.313608</v>
                </pt>
                <pt idx="26">
                  <v>1.313608</v>
                </pt>
                <pt idx="27">
                  <v>0.813688</v>
                </pt>
                <pt idx="28">
                  <v>0.813688</v>
                </pt>
                <pt idx="29">
                  <v>0.813688</v>
                </pt>
                <pt idx="30">
                  <v>-7.23</v>
                </pt>
                <pt idx="31">
                  <v>0.6872250000000002</v>
                </pt>
                <pt idx="32">
                  <v>0.6872250000000002</v>
                </pt>
                <pt idx="33">
                  <v>0.77</v>
                </pt>
                <pt idx="34">
                  <v>0.77</v>
                </pt>
                <pt idx="35">
                  <v>0.77</v>
                </pt>
              </numCache>
            </numRef>
          </val>
        </ser>
        <ser>
          <idx val="21"/>
          <order val="21"/>
          <tx>
            <strRef>
              <f>'CA GDP DATA'!$A$36</f>
              <strCache>
                <ptCount val="1"/>
                <pt idx="0">
                  <v>AUD CAD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DATA'!$B$36:$AK$36</f>
              <numCache>
                <formatCode>#,##0.00</formatCode>
                <ptCount val="36"/>
                <pt idx="0">
                  <v>1.1308161</v>
                </pt>
                <pt idx="1">
                  <v>1.1308161</v>
                </pt>
                <pt idx="2">
                  <v>1.1308161</v>
                </pt>
                <pt idx="3">
                  <v>0.5258341</v>
                </pt>
                <pt idx="4">
                  <v>0.5258341</v>
                </pt>
                <pt idx="5">
                  <v>0.5258341</v>
                </pt>
                <pt idx="6">
                  <v>-0.4662077000000001</v>
                </pt>
                <pt idx="7">
                  <v>-0.4662077000000001</v>
                </pt>
                <pt idx="8">
                  <v>-0.4662077000000001</v>
                </pt>
                <pt idx="9">
                  <v>-0.131043</v>
                </pt>
                <pt idx="10">
                  <v>-0.131043</v>
                </pt>
                <pt idx="11">
                  <v>-0.131043</v>
                </pt>
                <pt idx="12">
                  <v>-0.7887063000000001</v>
                </pt>
                <pt idx="13">
                  <v>-0.7887063000000001</v>
                </pt>
                <pt idx="14">
                  <v>-0.7887063000000001</v>
                </pt>
                <pt idx="15">
                  <v>-1.9202408</v>
                </pt>
                <pt idx="16">
                  <v>-1.9202408</v>
                </pt>
                <pt idx="17">
                  <v>-1.9202408</v>
                </pt>
                <pt idx="18">
                  <v>-1.7025108</v>
                </pt>
                <pt idx="19">
                  <v>-1.7025108</v>
                </pt>
                <pt idx="20">
                  <v>-1.7025108</v>
                </pt>
                <pt idx="21">
                  <v>-2.3664708</v>
                </pt>
                <pt idx="22">
                  <v>-2.3664708</v>
                </pt>
                <pt idx="23">
                  <v>-2.3664708</v>
                </pt>
                <pt idx="24">
                  <v>-2.0514671</v>
                </pt>
                <pt idx="25">
                  <v>-2.0514671</v>
                </pt>
                <pt idx="26">
                  <v>-2.0514671</v>
                </pt>
                <pt idx="27">
                  <v>0.2071679999999998</v>
                </pt>
                <pt idx="28">
                  <v>0.2071679999999998</v>
                </pt>
                <pt idx="29">
                  <v>0.2071679999999998</v>
                </pt>
                <pt idx="30">
                  <v>-2.04</v>
                </pt>
                <pt idx="31">
                  <v>-2.04</v>
                </pt>
                <pt idx="32">
                  <v>-2.04</v>
                </pt>
                <pt idx="33">
                  <v>-3.03</v>
                </pt>
                <pt idx="34">
                  <v>-3.03</v>
                </pt>
                <pt idx="35">
                  <v>-3.03</v>
                </pt>
              </numCache>
            </numRef>
          </val>
        </ser>
        <ser>
          <idx val="22"/>
          <order val="22"/>
          <tx>
            <strRef>
              <f>'CA GDP DATA'!$A$37</f>
              <strCache>
                <ptCount val="1"/>
                <pt idx="0">
                  <v>CAD JPY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'CA GDP DATA'!$B$14:$AK$14</f>
              <numCache>
                <formatCode>[$-409]mmm\-yy;@</formatCode>
                <ptCount val="36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</numCache>
            </numRef>
          </cat>
          <val>
            <numRef>
              <f>'CA GDP DATA'!$B$37:$AK$37</f>
              <numCache>
                <formatCode>#,##0.00</formatCode>
                <ptCount val="36"/>
                <pt idx="0">
                  <v>-3.0185697</v>
                </pt>
                <pt idx="1">
                  <v>-3.0185697</v>
                </pt>
                <pt idx="2">
                  <v>-3.0185697</v>
                </pt>
                <pt idx="3">
                  <v>-4.7050765</v>
                </pt>
                <pt idx="4">
                  <v>-4.7050765</v>
                </pt>
                <pt idx="5">
                  <v>-4.7050765</v>
                </pt>
                <pt idx="6">
                  <v>-5.0057693</v>
                </pt>
                <pt idx="7">
                  <v>-5.0057693</v>
                </pt>
                <pt idx="8">
                  <v>-5.0057693</v>
                </pt>
                <pt idx="9">
                  <v>-4.672062899999999</v>
                </pt>
                <pt idx="10">
                  <v>-4.672062899999999</v>
                </pt>
                <pt idx="11">
                  <v>-4.672062899999999</v>
                </pt>
                <pt idx="12">
                  <v>-4.9879327</v>
                </pt>
                <pt idx="13">
                  <v>-4.9879327</v>
                </pt>
                <pt idx="14">
                  <v>-4.9879327</v>
                </pt>
                <pt idx="15">
                  <v>-4.8911292</v>
                </pt>
                <pt idx="16">
                  <v>-4.8911292</v>
                </pt>
                <pt idx="17">
                  <v>-4.8911292</v>
                </pt>
                <pt idx="18">
                  <v>-4.9872222</v>
                </pt>
                <pt idx="19">
                  <v>-4.9872222</v>
                </pt>
                <pt idx="20">
                  <v>-4.9872222</v>
                </pt>
                <pt idx="21">
                  <v>-5.0426252</v>
                </pt>
                <pt idx="22">
                  <v>-5.0426252</v>
                </pt>
                <pt idx="23">
                  <v>-5.0426252</v>
                </pt>
                <pt idx="24">
                  <v>-4.9885929</v>
                </pt>
                <pt idx="25">
                  <v>-4.9885929</v>
                </pt>
                <pt idx="26">
                  <v>-4.9885929</v>
                </pt>
                <pt idx="27">
                  <v>-7.008609</v>
                </pt>
                <pt idx="28">
                  <v>-7.008609</v>
                </pt>
                <pt idx="29">
                  <v>-7.008609</v>
                </pt>
                <pt idx="30">
                  <v>-5.659717000000001</v>
                </pt>
                <pt idx="31">
                  <v>-5.659717000000001</v>
                </pt>
                <pt idx="32">
                  <v>-5.659717000000001</v>
                </pt>
                <pt idx="33">
                  <v>-5.07</v>
                </pt>
                <pt idx="34">
                  <v>-5.07</v>
                </pt>
                <pt idx="35">
                  <v>-5.07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title>
    <plotArea>
      <layout/>
      <areaChart>
        <grouping val="stacked"/>
        <varyColors val="0"/>
        <ser>
          <idx val="0"/>
          <order val="0"/>
          <tx>
            <strRef>
              <f>'FX RESERVE DATA'!$A$37</f>
              <strCache>
                <ptCount val="1"/>
                <pt idx="0">
                  <v>USD JPY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DATA'!$N$37:$AX$37</f>
              <numCache>
                <formatCode>#,##0.00</formatCode>
                <ptCount val="37"/>
                <pt idx="0">
                  <v>11231.52527500583</v>
                </pt>
                <pt idx="1">
                  <v>12419.4179601275</v>
                </pt>
                <pt idx="2">
                  <v>7902.394531579167</v>
                </pt>
                <pt idx="3">
                  <v>4825.413774126666</v>
                </pt>
                <pt idx="4">
                  <v>6282.149817873333</v>
                </pt>
                <pt idx="5">
                  <v>5598.112727974167</v>
                </pt>
                <pt idx="6">
                  <v>6458.00954182</v>
                </pt>
                <pt idx="7">
                  <v>3802.079447534167</v>
                </pt>
                <pt idx="8">
                  <v>577.8507945074998</v>
                </pt>
                <pt idx="9">
                  <v>-2779.064785640833</v>
                </pt>
                <pt idx="10">
                  <v>-3056.003302235833</v>
                </pt>
                <pt idx="11">
                  <v>-5178.355888104999</v>
                </pt>
                <pt idx="12">
                  <v>-3662.883238379166</v>
                </pt>
                <pt idx="13">
                  <v>-4389.675590255833</v>
                </pt>
                <pt idx="14">
                  <v>-2590.973444911666</v>
                </pt>
                <pt idx="15">
                  <v>-783.1397891058332</v>
                </pt>
                <pt idx="16">
                  <v>2612.30129048</v>
                </pt>
                <pt idx="17">
                  <v>2001.007344595</v>
                </pt>
                <pt idx="18">
                  <v>3747.63070729</v>
                </pt>
                <pt idx="19">
                  <v>2996.867856944166</v>
                </pt>
                <pt idx="20">
                  <v>775.6926057250002</v>
                </pt>
                <pt idx="21">
                  <v>1892.9637592975</v>
                </pt>
                <pt idx="22">
                  <v>3930.793753354166</v>
                </pt>
                <pt idx="23">
                  <v>6306.627949498334</v>
                </pt>
                <pt idx="24">
                  <v>5957.256055125833</v>
                </pt>
                <pt idx="25">
                  <v>4133.488466709166</v>
                </pt>
                <pt idx="26">
                  <v>3761.367161800833</v>
                </pt>
                <pt idx="27">
                  <v>1318.2359436325</v>
                </pt>
                <pt idx="28">
                  <v>-2856.028926681667</v>
                </pt>
                <pt idx="29">
                  <v>-3897.720810026667</v>
                </pt>
                <pt idx="30">
                  <v>-4759.864078238334</v>
                </pt>
                <pt idx="31">
                  <v>-4949.492293788333</v>
                </pt>
                <pt idx="32">
                  <v>-4227.349854504167</v>
                </pt>
                <pt idx="33">
                  <v>-5762.168945196667</v>
                </pt>
                <pt idx="34">
                  <v>-6008.179520775833</v>
                </pt>
                <pt idx="35">
                  <v>-7034.917541761666</v>
                </pt>
                <pt idx="36">
                  <v>-7137.809902944166</v>
                </pt>
              </numCache>
            </numRef>
          </val>
        </ser>
        <ser>
          <idx val="1"/>
          <order val="1"/>
          <tx>
            <strRef>
              <f>'FX RESERVE DATA'!$A$38</f>
              <strCache>
                <ptCount val="1"/>
                <pt idx="0">
                  <v>USD CHF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DATA'!$N$38:$AX$38</f>
              <numCache>
                <formatCode>#,##0.00</formatCode>
                <ptCount val="37"/>
                <pt idx="0">
                  <v>13657.75085265834</v>
                </pt>
                <pt idx="1">
                  <v>16213.80817244417</v>
                </pt>
                <pt idx="2">
                  <v>14192.61310092458</v>
                </pt>
                <pt idx="3">
                  <v>11193.040562736</v>
                </pt>
                <pt idx="4">
                  <v>13148.59625457092</v>
                </pt>
                <pt idx="5">
                  <v>6635.704075326914</v>
                </pt>
                <pt idx="6">
                  <v>7084.170192320834</v>
                </pt>
                <pt idx="7">
                  <v>7764.811160567497</v>
                </pt>
                <pt idx="8">
                  <v>6887.673166955005</v>
                </pt>
                <pt idx="9">
                  <v>7619.140567957501</v>
                </pt>
                <pt idx="10">
                  <v>8325.841967121662</v>
                </pt>
                <pt idx="11">
                  <v>5720.542280549162</v>
                </pt>
                <pt idx="12">
                  <v>6327.14713183083</v>
                </pt>
                <pt idx="13">
                  <v>4259.666154775</v>
                </pt>
                <pt idx="14">
                  <v>1528.122869934173</v>
                </pt>
                <pt idx="15">
                  <v>2509.684147011669</v>
                </pt>
                <pt idx="16">
                  <v>800.7754284916609</v>
                </pt>
                <pt idx="17">
                  <v>1263.866643891669</v>
                </pt>
                <pt idx="18">
                  <v>41.16673453833756</v>
                </pt>
                <pt idx="19">
                  <v>-2511.787130784998</v>
                </pt>
                <pt idx="20">
                  <v>-8662.1298490875</v>
                </pt>
                <pt idx="21">
                  <v>-8817.657019209171</v>
                </pt>
                <pt idx="22">
                  <v>-7406.12196079833</v>
                </pt>
                <pt idx="23">
                  <v>-2542.095685599166</v>
                </pt>
                <pt idx="24">
                  <v>-3067.331566389997</v>
                </pt>
                <pt idx="25">
                  <v>-3686.657511425832</v>
                </pt>
                <pt idx="26">
                  <v>-2381.272109516673</v>
                </pt>
                <pt idx="27">
                  <v>-5314.205590626663</v>
                </pt>
                <pt idx="28">
                  <v>-4661.691585687501</v>
                </pt>
                <pt idx="29">
                  <v>-8198.597801234164</v>
                </pt>
                <pt idx="30">
                  <v>-6348.041492389999</v>
                </pt>
                <pt idx="31">
                  <v>-6182.92724928417</v>
                </pt>
                <pt idx="32">
                  <v>-5229.571467561667</v>
                </pt>
                <pt idx="33">
                  <v>-5723.285175374165</v>
                </pt>
                <pt idx="34">
                  <v>-6587.370180320002</v>
                </pt>
                <pt idx="35">
                  <v>-8571.431681603328</v>
                </pt>
                <pt idx="36">
                  <v>-9371.941350259995</v>
                </pt>
              </numCache>
            </numRef>
          </val>
        </ser>
        <ser>
          <idx val="2"/>
          <order val="2"/>
          <tx>
            <strRef>
              <f>'FX RESERVE DATA'!$A$39</f>
              <strCache>
                <ptCount val="1"/>
                <pt idx="0">
                  <v>USD CAD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DATA'!$N$39:$AX$39</f>
              <numCache>
                <formatCode>#,##0.00</formatCode>
                <ptCount val="37"/>
                <pt idx="0">
                  <v>-713.4747249941665</v>
                </pt>
                <pt idx="1">
                  <v>-853.998706539167</v>
                </pt>
                <pt idx="2">
                  <v>-677.8554684208333</v>
                </pt>
                <pt idx="3">
                  <v>-639.0862258733334</v>
                </pt>
                <pt idx="4">
                  <v>-578.2668487933333</v>
                </pt>
                <pt idx="5">
                  <v>-590.5539386924999</v>
                </pt>
                <pt idx="6">
                  <v>-488.5737915133335</v>
                </pt>
                <pt idx="7">
                  <v>-353.0038857991664</v>
                </pt>
                <pt idx="8">
                  <v>-544.7325388258336</v>
                </pt>
                <pt idx="9">
                  <v>-527.064785640833</v>
                </pt>
                <pt idx="10">
                  <v>-630.003302235833</v>
                </pt>
                <pt idx="11">
                  <v>-839.7725547716667</v>
                </pt>
                <pt idx="12">
                  <v>-630.2165717124996</v>
                </pt>
                <pt idx="13">
                  <v>-652.6755902558331</v>
                </pt>
                <pt idx="14">
                  <v>-801.3067782449998</v>
                </pt>
                <pt idx="15">
                  <v>-803.3064557724998</v>
                </pt>
                <pt idx="16">
                  <v>-822.1987095200002</v>
                </pt>
                <pt idx="17">
                  <v>-824.1593220716665</v>
                </pt>
                <pt idx="18">
                  <v>-849.7859593766667</v>
                </pt>
                <pt idx="19">
                  <v>-811.1321430558335</v>
                </pt>
                <pt idx="20">
                  <v>-1022.557394275</v>
                </pt>
                <pt idx="21">
                  <v>-705.7862407025004</v>
                </pt>
                <pt idx="22">
                  <v>-623.1229133125004</v>
                </pt>
                <pt idx="23">
                  <v>-534.7053838349997</v>
                </pt>
                <pt idx="24">
                  <v>-261.2439448741667</v>
                </pt>
                <pt idx="25">
                  <v>-332.6781999575002</v>
                </pt>
                <pt idx="26">
                  <v>-609.0495048658335</v>
                </pt>
                <pt idx="27">
                  <v>88.48594363249987</v>
                </pt>
                <pt idx="28">
                  <v>149.5544066516668</v>
                </pt>
                <pt idx="29">
                  <v>55.19585663999953</v>
                </pt>
                <pt idx="30">
                  <v>13.96925509500034</v>
                </pt>
                <pt idx="31">
                  <v>48.67437287833307</v>
                </pt>
                <pt idx="32">
                  <v>278.9001454958331</v>
                </pt>
                <pt idx="33">
                  <v>-253.0022785300001</v>
                </pt>
                <pt idx="34">
                  <v>-131.5128541091666</v>
                </pt>
                <pt idx="35">
                  <v>-61.75087509500008</v>
                </pt>
                <pt idx="36">
                  <v>-388.0599029441668</v>
                </pt>
              </numCache>
            </numRef>
          </val>
        </ser>
        <ser>
          <idx val="3"/>
          <order val="3"/>
          <tx>
            <strRef>
              <f>'FX RESERVE DATA'!$A$40</f>
              <strCache>
                <ptCount val="1"/>
                <pt idx="0">
                  <v>EUR USD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DATA'!$N$40:$AX$40</f>
              <numCache>
                <formatCode>#,##0.00</formatCode>
                <ptCount val="37"/>
                <pt idx="0">
                  <v>83.39139166083319</v>
                </pt>
                <pt idx="1">
                  <v>-1315.6679601275</v>
                </pt>
                <pt idx="2">
                  <v>-822.4778649125001</v>
                </pt>
                <pt idx="3">
                  <v>-888.6637741266666</v>
                </pt>
                <pt idx="4">
                  <v>-1158.06648454</v>
                </pt>
                <pt idx="5">
                  <v>-1106.029394640834</v>
                </pt>
                <pt idx="6">
                  <v>-1285.592875153333</v>
                </pt>
                <pt idx="7">
                  <v>-1245.829447534167</v>
                </pt>
                <pt idx="8">
                  <v>-1634.3507945075</v>
                </pt>
                <pt idx="9">
                  <v>-1513.018547692501</v>
                </pt>
                <pt idx="10">
                  <v>-1206.413364430834</v>
                </pt>
                <pt idx="11">
                  <v>-1165.227445228333</v>
                </pt>
                <pt idx="12">
                  <v>-877.3667616208338</v>
                </pt>
                <pt idx="13">
                  <v>451.2589235891664</v>
                </pt>
                <pt idx="14">
                  <v>164.1401115783331</v>
                </pt>
                <pt idx="15">
                  <v>223.9731224391665</v>
                </pt>
                <pt idx="16">
                  <v>564.1987095200002</v>
                </pt>
                <pt idx="17">
                  <v>801.6593220716665</v>
                </pt>
                <pt idx="18">
                  <v>610.2859593766667</v>
                </pt>
                <pt idx="19">
                  <v>633.2154763891667</v>
                </pt>
                <pt idx="20">
                  <v>1365.140727608333</v>
                </pt>
                <pt idx="21">
                  <v>900.1195740358338</v>
                </pt>
                <pt idx="22">
                  <v>475.7062466458337</v>
                </pt>
                <pt idx="23">
                  <v>136.538717168333</v>
                </pt>
                <pt idx="24">
                  <v>19.24394487416673</v>
                </pt>
                <pt idx="25">
                  <v>319.0115332908335</v>
                </pt>
                <pt idx="26">
                  <v>503.2995048658334</v>
                </pt>
                <pt idx="27">
                  <v>987.7640563675002</v>
                </pt>
                <pt idx="28">
                  <v>934.8622600149999</v>
                </pt>
                <pt idx="29">
                  <v>906.6374766933338</v>
                </pt>
                <pt idx="30">
                  <v>943.6974115716663</v>
                </pt>
                <pt idx="31">
                  <v>1181.158960455</v>
                </pt>
                <pt idx="32">
                  <v>1461.849854504167</v>
                </pt>
                <pt idx="33">
                  <v>1749.335611863333</v>
                </pt>
                <pt idx="34">
                  <v>1878.762854109166</v>
                </pt>
                <pt idx="35">
                  <v>2500.250875095</v>
                </pt>
                <pt idx="36">
                  <v>3406.809902944167</v>
                </pt>
              </numCache>
            </numRef>
          </val>
        </ser>
        <ser>
          <idx val="4"/>
          <order val="4"/>
          <tx>
            <strRef>
              <f>'FX RESERVE DATA'!$A$41</f>
              <strCache>
                <ptCount val="1"/>
                <pt idx="0">
                  <v>EUR JPY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DATA'!$N$41:$AX$41</f>
              <numCache>
                <formatCode>#,##0.00</formatCode>
                <ptCount val="37"/>
                <pt idx="0">
                  <v>11314.91666666667</v>
                </pt>
                <pt idx="1">
                  <v>11103.75</v>
                </pt>
                <pt idx="2">
                  <v>7079.916666666667</v>
                </pt>
                <pt idx="3">
                  <v>3936.75</v>
                </pt>
                <pt idx="4">
                  <v>5124.083333333333</v>
                </pt>
                <pt idx="5">
                  <v>4492.083333333333</v>
                </pt>
                <pt idx="6">
                  <v>5172.416666666667</v>
                </pt>
                <pt idx="7">
                  <v>2556.25</v>
                </pt>
                <pt idx="8">
                  <v>-1056.5</v>
                </pt>
                <pt idx="9">
                  <v>-4292.083333333334</v>
                </pt>
                <pt idx="10">
                  <v>-4262.416666666666</v>
                </pt>
                <pt idx="11">
                  <v>-6343.583333333333</v>
                </pt>
                <pt idx="12">
                  <v>-4540.25</v>
                </pt>
                <pt idx="13">
                  <v>-3938.416666666667</v>
                </pt>
                <pt idx="14">
                  <v>-2426.833333333333</v>
                </pt>
                <pt idx="15">
                  <v>-559.1666666666666</v>
                </pt>
                <pt idx="16">
                  <v>3176.5</v>
                </pt>
                <pt idx="17">
                  <v>2802.666666666667</v>
                </pt>
                <pt idx="18">
                  <v>4357.916666666666</v>
                </pt>
                <pt idx="19">
                  <v>3630.083333333333</v>
                </pt>
                <pt idx="20">
                  <v>2140.833333333333</v>
                </pt>
                <pt idx="21">
                  <v>2793.083333333333</v>
                </pt>
                <pt idx="22">
                  <v>4406.5</v>
                </pt>
                <pt idx="23">
                  <v>6443.166666666667</v>
                </pt>
                <pt idx="24">
                  <v>5976.5</v>
                </pt>
                <pt idx="25">
                  <v>4452.5</v>
                </pt>
                <pt idx="26">
                  <v>4264.666666666666</v>
                </pt>
                <pt idx="27">
                  <v>2306</v>
                </pt>
                <pt idx="28">
                  <v>-1921.166666666667</v>
                </pt>
                <pt idx="29">
                  <v>-2991.083333333333</v>
                </pt>
                <pt idx="30">
                  <v>-3816.166666666667</v>
                </pt>
                <pt idx="31">
                  <v>-3768.333333333333</v>
                </pt>
                <pt idx="32">
                  <v>-2765.5</v>
                </pt>
                <pt idx="33">
                  <v>-4012.833333333334</v>
                </pt>
                <pt idx="34">
                  <v>-4129.416666666666</v>
                </pt>
                <pt idx="35">
                  <v>-4534.666666666666</v>
                </pt>
                <pt idx="36">
                  <v>-3731</v>
                </pt>
              </numCache>
            </numRef>
          </val>
        </ser>
        <ser>
          <idx val="5"/>
          <order val="5"/>
          <tx>
            <strRef>
              <f>'FX RESERVE DATA'!$A$42</f>
              <strCache>
                <ptCount val="1"/>
                <pt idx="0">
                  <v>EUR CHF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DATA'!$N$42:$AX$42</f>
              <numCache>
                <formatCode>#,##0.00</formatCode>
                <ptCount val="37"/>
                <pt idx="0">
                  <v>13741.14224431917</v>
                </pt>
                <pt idx="1">
                  <v>14898.14021231667</v>
                </pt>
                <pt idx="2">
                  <v>13370.13523601208</v>
                </pt>
                <pt idx="3">
                  <v>10304.37678860933</v>
                </pt>
                <pt idx="4">
                  <v>11990.52977003092</v>
                </pt>
                <pt idx="5">
                  <v>5529.67468068608</v>
                </pt>
                <pt idx="6">
                  <v>5798.577317167501</v>
                </pt>
                <pt idx="7">
                  <v>6518.98171303333</v>
                </pt>
                <pt idx="8">
                  <v>5253.322372447506</v>
                </pt>
                <pt idx="9">
                  <v>6106.122020265</v>
                </pt>
                <pt idx="10">
                  <v>7119.428602690828</v>
                </pt>
                <pt idx="11">
                  <v>4555.314835320828</v>
                </pt>
                <pt idx="12">
                  <v>5449.780370209997</v>
                </pt>
                <pt idx="13">
                  <v>4710.925078364166</v>
                </pt>
                <pt idx="14">
                  <v>1692.262981512506</v>
                </pt>
                <pt idx="15">
                  <v>2733.657269450836</v>
                </pt>
                <pt idx="16">
                  <v>1364.974138011661</v>
                </pt>
                <pt idx="17">
                  <v>2065.525965963335</v>
                </pt>
                <pt idx="18">
                  <v>651.4526939150043</v>
                </pt>
                <pt idx="19">
                  <v>-1878.571654395831</v>
                </pt>
                <pt idx="20">
                  <v>-7296.989121479166</v>
                </pt>
                <pt idx="21">
                  <v>-7917.537445173337</v>
                </pt>
                <pt idx="22">
                  <v>-6930.415714152497</v>
                </pt>
                <pt idx="23">
                  <v>-2405.556968430833</v>
                </pt>
                <pt idx="24">
                  <v>-3048.087621515831</v>
                </pt>
                <pt idx="25">
                  <v>-3367.645978134999</v>
                </pt>
                <pt idx="26">
                  <v>-1877.972604650839</v>
                </pt>
                <pt idx="27">
                  <v>-4326.441534259163</v>
                </pt>
                <pt idx="28">
                  <v>-3726.829325672501</v>
                </pt>
                <pt idx="29">
                  <v>-7291.960324540831</v>
                </pt>
                <pt idx="30">
                  <v>-5404.344080818332</v>
                </pt>
                <pt idx="31">
                  <v>-5001.76828882917</v>
                </pt>
                <pt idx="32">
                  <v>-3767.721613057501</v>
                </pt>
                <pt idx="33">
                  <v>-3973.949563510832</v>
                </pt>
                <pt idx="34">
                  <v>-4708.607326210835</v>
                </pt>
                <pt idx="35">
                  <v>-6071.180806508328</v>
                </pt>
                <pt idx="36">
                  <v>-5965.131447315827</v>
                </pt>
              </numCache>
            </numRef>
          </val>
        </ser>
        <ser>
          <idx val="6"/>
          <order val="6"/>
          <tx>
            <strRef>
              <f>'FX RESERVE DATA'!$A$43</f>
              <strCache>
                <ptCount val="1"/>
                <pt idx="0">
                  <v>EUR GBP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DATA'!$N$43:$AX$43</f>
              <numCache>
                <formatCode>#,##0.00</formatCode>
                <ptCount val="37"/>
                <pt idx="0">
                  <v>865.8453299073323</v>
                </pt>
                <pt idx="1">
                  <v>-151.6711820119999</v>
                </pt>
                <pt idx="2">
                  <v>541.8743874657496</v>
                </pt>
                <pt idx="3">
                  <v>-229.6652958064176</v>
                </pt>
                <pt idx="4">
                  <v>-542.3034695847504</v>
                </pt>
                <pt idx="5">
                  <v>-717.3147866295003</v>
                </pt>
                <pt idx="6">
                  <v>-1347.099940764333</v>
                </pt>
                <pt idx="7">
                  <v>-1249.580944026417</v>
                </pt>
                <pt idx="8">
                  <v>-2021.525873314275</v>
                </pt>
                <pt idx="9">
                  <v>-1547.78880627175</v>
                </pt>
                <pt idx="10">
                  <v>-969.4413570480004</v>
                </pt>
                <pt idx="11">
                  <v>-1029.560930670667</v>
                </pt>
                <pt idx="12">
                  <v>-759.8949723187495</v>
                </pt>
                <pt idx="13">
                  <v>247.8520354366665</v>
                </pt>
                <pt idx="14">
                  <v>-4.448292138666147</v>
                </pt>
                <pt idx="15">
                  <v>665.8406302675006</v>
                </pt>
                <pt idx="16">
                  <v>549.8195923489171</v>
                </pt>
                <pt idx="17">
                  <v>1009.278903315999</v>
                </pt>
                <pt idx="18">
                  <v>869.8147255677504</v>
                </pt>
                <pt idx="19">
                  <v>806.0949053523327</v>
                </pt>
                <pt idx="20">
                  <v>1312.106506481917</v>
                </pt>
                <pt idx="21">
                  <v>949.4530302699168</v>
                </pt>
                <pt idx="22">
                  <v>549.0073178070003</v>
                </pt>
                <pt idx="23">
                  <v>439.0868495497501</v>
                </pt>
                <pt idx="24">
                  <v>164.9165635198333</v>
                </pt>
                <pt idx="25">
                  <v>322.3043884964997</v>
                </pt>
                <pt idx="26">
                  <v>482.0584685962494</v>
                </pt>
                <pt idx="27">
                  <v>331.483185468917</v>
                </pt>
                <pt idx="28">
                  <v>400.3171272559169</v>
                </pt>
                <pt idx="29">
                  <v>29.5950460540007</v>
                </pt>
                <pt idx="30">
                  <v>287.1006922447499</v>
                </pt>
                <pt idx="31">
                  <v>448.2684925462503</v>
                </pt>
                <pt idx="32">
                  <v>304.5243465351668</v>
                </pt>
                <pt idx="33">
                  <v>516.1548229818327</v>
                </pt>
                <pt idx="34">
                  <v>565.4537205013328</v>
                </pt>
                <pt idx="35">
                  <v>1055.997533431917</v>
                </pt>
                <pt idx="36">
                  <v>1973.963912664917</v>
                </pt>
              </numCache>
            </numRef>
          </val>
        </ser>
        <ser>
          <idx val="7"/>
          <order val="7"/>
          <tx>
            <strRef>
              <f>'FX RESERVE DATA'!$A$44</f>
              <strCache>
                <ptCount val="1"/>
                <pt idx="0">
                  <v>EUR CAD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DATA'!$N$44:$AX$44</f>
              <numCache>
                <formatCode>#,##0.00</formatCode>
                <ptCount val="37"/>
                <pt idx="0">
                  <v>-630.0833333333334</v>
                </pt>
                <pt idx="1">
                  <v>-2169.666666666667</v>
                </pt>
                <pt idx="2">
                  <v>-1500.333333333333</v>
                </pt>
                <pt idx="3">
                  <v>-1527.75</v>
                </pt>
                <pt idx="4">
                  <v>-1736.333333333333</v>
                </pt>
                <pt idx="5">
                  <v>-1696.583333333333</v>
                </pt>
                <pt idx="6">
                  <v>-1774.166666666667</v>
                </pt>
                <pt idx="7">
                  <v>-1598.833333333333</v>
                </pt>
                <pt idx="8">
                  <v>-2179.083333333333</v>
                </pt>
                <pt idx="9">
                  <v>-2040.083333333333</v>
                </pt>
                <pt idx="10">
                  <v>-1836.416666666667</v>
                </pt>
                <pt idx="11">
                  <v>-2005</v>
                </pt>
                <pt idx="12">
                  <v>-1507.583333333333</v>
                </pt>
                <pt idx="13">
                  <v>-201.4166666666666</v>
                </pt>
                <pt idx="14">
                  <v>-637.1666666666666</v>
                </pt>
                <pt idx="15">
                  <v>-579.3333333333333</v>
                </pt>
                <pt idx="16">
                  <v>-258</v>
                </pt>
                <pt idx="17">
                  <v>-22.5</v>
                </pt>
                <pt idx="18">
                  <v>-239.5</v>
                </pt>
                <pt idx="19">
                  <v>-177.9166666666667</v>
                </pt>
                <pt idx="20">
                  <v>342.5833333333333</v>
                </pt>
                <pt idx="21">
                  <v>194.3333333333334</v>
                </pt>
                <pt idx="22">
                  <v>-147.4166666666666</v>
                </pt>
                <pt idx="23">
                  <v>-398.1666666666667</v>
                </pt>
                <pt idx="24">
                  <v>-242</v>
                </pt>
                <pt idx="25">
                  <v>-13.66666666666669</v>
                </pt>
                <pt idx="26">
                  <v>-105.75</v>
                </pt>
                <pt idx="27">
                  <v>1076.25</v>
                </pt>
                <pt idx="28">
                  <v>1084.416666666667</v>
                </pt>
                <pt idx="29">
                  <v>961.8333333333333</v>
                </pt>
                <pt idx="30">
                  <v>957.6666666666666</v>
                </pt>
                <pt idx="31">
                  <v>1229.833333333333</v>
                </pt>
                <pt idx="32">
                  <v>1740.75</v>
                </pt>
                <pt idx="33">
                  <v>1496.333333333333</v>
                </pt>
                <pt idx="34">
                  <v>1747.25</v>
                </pt>
                <pt idx="35">
                  <v>2438.5</v>
                </pt>
                <pt idx="36">
                  <v>3018.75</v>
                </pt>
              </numCache>
            </numRef>
          </val>
        </ser>
        <ser>
          <idx val="8"/>
          <order val="8"/>
          <tx>
            <strRef>
              <f>'FX RESERVE DATA'!$A$45</f>
              <strCache>
                <ptCount val="1"/>
                <pt idx="0">
                  <v>EUR AUD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DATA'!$N$45:$AX$45</f>
              <numCache>
                <formatCode>#,##0.00</formatCode>
                <ptCount val="3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751.1666666666667</v>
                </pt>
                <pt idx="28">
                  <v>649.3333333333335</v>
                </pt>
                <pt idx="29">
                  <v>1065.166666666667</v>
                </pt>
                <pt idx="30">
                  <v>868.5833333333334</v>
                </pt>
                <pt idx="31">
                  <v>1325.833333333333</v>
                </pt>
                <pt idx="32">
                  <v>1393.666666666667</v>
                </pt>
                <pt idx="33">
                  <v>1709.75</v>
                </pt>
                <pt idx="34">
                  <v>1797.916666666667</v>
                </pt>
                <pt idx="35">
                  <v>2366.083333333333</v>
                </pt>
                <pt idx="36">
                  <v>3725.166666666667</v>
                </pt>
              </numCache>
            </numRef>
          </val>
        </ser>
        <ser>
          <idx val="9"/>
          <order val="9"/>
          <tx>
            <strRef>
              <f>'FX RESERVE DATA'!$A$46</f>
              <strCache>
                <ptCount val="1"/>
                <pt idx="0">
                  <v>EUR NZD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DATA'!$N$46:$AX$46</f>
              <numCache>
                <formatCode>#,##0.00</formatCode>
                <ptCount val="37"/>
                <pt idx="0">
                  <v>-157</v>
                </pt>
                <pt idx="1">
                  <v>-1835.083333333333</v>
                </pt>
                <pt idx="2">
                  <v>-843.8333333333334</v>
                </pt>
                <pt idx="3">
                  <v>-1173.083333333333</v>
                </pt>
                <pt idx="4">
                  <v>-1376.333333333333</v>
                </pt>
                <pt idx="5">
                  <v>-1142.416666666667</v>
                </pt>
                <pt idx="6">
                  <v>-1486.75</v>
                </pt>
                <pt idx="7">
                  <v>-1487.916666666667</v>
                </pt>
                <pt idx="8">
                  <v>-1950.916666666667</v>
                </pt>
                <pt idx="9">
                  <v>-1885.416666666667</v>
                </pt>
                <pt idx="10">
                  <v>-1533.666666666667</v>
                </pt>
                <pt idx="11">
                  <v>-1243.916666666667</v>
                </pt>
                <pt idx="12">
                  <v>-1276.583333333333</v>
                </pt>
                <pt idx="13">
                  <v>197.8333333333333</v>
                </pt>
                <pt idx="14">
                  <v>-94.41666666666666</v>
                </pt>
                <pt idx="15">
                  <v>-233.5</v>
                </pt>
                <pt idx="16">
                  <v>329.4166666666666</v>
                </pt>
                <pt idx="17">
                  <v>305.6666666666666</v>
                </pt>
                <pt idx="18">
                  <v>207.75</v>
                </pt>
                <pt idx="19">
                  <v>362.7499999999999</v>
                </pt>
                <pt idx="20">
                  <v>1247.083333333333</v>
                </pt>
                <pt idx="21">
                  <v>352.25</v>
                </pt>
                <pt idx="22">
                  <v>168.6666666666667</v>
                </pt>
                <pt idx="23">
                  <v>-628</v>
                </pt>
                <pt idx="24">
                  <v>-790.5</v>
                </pt>
                <pt idx="25">
                  <v>-468.9166666666667</v>
                </pt>
                <pt idx="26">
                  <v>-256.3333333333334</v>
                </pt>
                <pt idx="27">
                  <v>618.9166666666666</v>
                </pt>
                <pt idx="28">
                  <v>332.5833333333334</v>
                </pt>
                <pt idx="29">
                  <v>439.4166666666666</v>
                </pt>
                <pt idx="30">
                  <v>474.0833333333334</v>
                </pt>
                <pt idx="31">
                  <v>682.3333333333334</v>
                </pt>
                <pt idx="32">
                  <v>1021</v>
                </pt>
                <pt idx="33">
                  <v>1586.833333333333</v>
                </pt>
                <pt idx="34">
                  <v>1301.833333333333</v>
                </pt>
                <pt idx="35">
                  <v>2319.5</v>
                </pt>
                <pt idx="36">
                  <v>3391.166666666667</v>
                </pt>
              </numCache>
            </numRef>
          </val>
        </ser>
        <ser>
          <idx val="10"/>
          <order val="10"/>
          <tx>
            <strRef>
              <f>'FX RESERVE DATA'!$A$47</f>
              <strCache>
                <ptCount val="1"/>
                <pt idx="0">
                  <v>GBP USD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DATA'!$N$47:$AX$47</f>
              <numCache>
                <formatCode>#,##0.00</formatCode>
                <ptCount val="37"/>
                <pt idx="0">
                  <v>-782.4539382464991</v>
                </pt>
                <pt idx="1">
                  <v>-1163.9967781155</v>
                </pt>
                <pt idx="2">
                  <v>-1364.35225237825</v>
                </pt>
                <pt idx="3">
                  <v>-658.998478320249</v>
                </pt>
                <pt idx="4">
                  <v>-615.7630149552497</v>
                </pt>
                <pt idx="5">
                  <v>-388.7146080113332</v>
                </pt>
                <pt idx="6">
                  <v>61.50706561100014</v>
                </pt>
                <pt idx="7">
                  <v>3.751496492249629</v>
                </pt>
                <pt idx="8">
                  <v>387.1750788067753</v>
                </pt>
                <pt idx="9">
                  <v>34.77025857924976</v>
                </pt>
                <pt idx="10">
                  <v>-236.9720073828333</v>
                </pt>
                <pt idx="11">
                  <v>-135.6665145576662</v>
                </pt>
                <pt idx="12">
                  <v>-117.4717893020843</v>
                </pt>
                <pt idx="13">
                  <v>203.4068881525</v>
                </pt>
                <pt idx="14">
                  <v>168.5884037169993</v>
                </pt>
                <pt idx="15">
                  <v>-441.8675078283341</v>
                </pt>
                <pt idx="16">
                  <v>14.37911717108303</v>
                </pt>
                <pt idx="17">
                  <v>-207.6195812443329</v>
                </pt>
                <pt idx="18">
                  <v>-259.5287661910837</v>
                </pt>
                <pt idx="19">
                  <v>-172.879428963166</v>
                </pt>
                <pt idx="20">
                  <v>53.03422112641601</v>
                </pt>
                <pt idx="21">
                  <v>-49.33345623408302</v>
                </pt>
                <pt idx="22">
                  <v>-73.30107116116658</v>
                </pt>
                <pt idx="23">
                  <v>-302.5481323814171</v>
                </pt>
                <pt idx="24">
                  <v>-145.6726186456666</v>
                </pt>
                <pt idx="25">
                  <v>-3.292855205666157</v>
                </pt>
                <pt idx="26">
                  <v>21.24103626958398</v>
                </pt>
                <pt idx="27">
                  <v>656.2808708985831</v>
                </pt>
                <pt idx="28">
                  <v>534.545132759083</v>
                </pt>
                <pt idx="29">
                  <v>877.0424306393331</v>
                </pt>
                <pt idx="30">
                  <v>656.5967193269164</v>
                </pt>
                <pt idx="31">
                  <v>732.89046790875</v>
                </pt>
                <pt idx="32">
                  <v>1157.325507969</v>
                </pt>
                <pt idx="33">
                  <v>1233.180788881501</v>
                </pt>
                <pt idx="34">
                  <v>1313.309133607834</v>
                </pt>
                <pt idx="35">
                  <v>1444.253341663083</v>
                </pt>
                <pt idx="36">
                  <v>1432.84599027925</v>
                </pt>
              </numCache>
            </numRef>
          </val>
        </ser>
        <ser>
          <idx val="11"/>
          <order val="11"/>
          <tx>
            <strRef>
              <f>'FX RESERVE DATA'!$A$48</f>
              <strCache>
                <ptCount val="1"/>
                <pt idx="0">
                  <v>GBP JPY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DATA'!$N$48:$AX$48</f>
              <numCache>
                <formatCode>#,##0.00</formatCode>
                <ptCount val="37"/>
                <pt idx="0">
                  <v>10449.07133675933</v>
                </pt>
                <pt idx="1">
                  <v>11255.421182012</v>
                </pt>
                <pt idx="2">
                  <v>6538.042279200918</v>
                </pt>
                <pt idx="3">
                  <v>4166.415295806417</v>
                </pt>
                <pt idx="4">
                  <v>5666.386802918083</v>
                </pt>
                <pt idx="5">
                  <v>5209.398119962833</v>
                </pt>
                <pt idx="6">
                  <v>6519.516607431</v>
                </pt>
                <pt idx="7">
                  <v>3805.830944026417</v>
                </pt>
                <pt idx="8">
                  <v>965.0258733142751</v>
                </pt>
                <pt idx="9">
                  <v>-2744.294527061583</v>
                </pt>
                <pt idx="10">
                  <v>-3292.975309618666</v>
                </pt>
                <pt idx="11">
                  <v>-5314.022402662666</v>
                </pt>
                <pt idx="12">
                  <v>-3780.35502768125</v>
                </pt>
                <pt idx="13">
                  <v>-4186.268702103333</v>
                </pt>
                <pt idx="14">
                  <v>-2422.385041194667</v>
                </pt>
                <pt idx="15">
                  <v>-1225.007296934167</v>
                </pt>
                <pt idx="16">
                  <v>2626.680407651083</v>
                </pt>
                <pt idx="17">
                  <v>1793.387763350667</v>
                </pt>
                <pt idx="18">
                  <v>3488.101941098916</v>
                </pt>
                <pt idx="19">
                  <v>2823.988427981</v>
                </pt>
                <pt idx="20">
                  <v>828.7268268514163</v>
                </pt>
                <pt idx="21">
                  <v>1843.630303063416</v>
                </pt>
                <pt idx="22">
                  <v>3857.492682193</v>
                </pt>
                <pt idx="23">
                  <v>6004.079817116917</v>
                </pt>
                <pt idx="24">
                  <v>5811.583436480167</v>
                </pt>
                <pt idx="25">
                  <v>4130.195611503501</v>
                </pt>
                <pt idx="26">
                  <v>3782.608198070417</v>
                </pt>
                <pt idx="27">
                  <v>1974.516814531083</v>
                </pt>
                <pt idx="28">
                  <v>-2321.483793922584</v>
                </pt>
                <pt idx="29">
                  <v>-3020.678379387334</v>
                </pt>
                <pt idx="30">
                  <v>-4103.267358911417</v>
                </pt>
                <pt idx="31">
                  <v>-4216.601825879583</v>
                </pt>
                <pt idx="32">
                  <v>-3070.024346535167</v>
                </pt>
                <pt idx="33">
                  <v>-4528.988156315167</v>
                </pt>
                <pt idx="34">
                  <v>-4694.870387167999</v>
                </pt>
                <pt idx="35">
                  <v>-5590.664200098583</v>
                </pt>
                <pt idx="36">
                  <v>-5704.963912664916</v>
                </pt>
              </numCache>
            </numRef>
          </val>
        </ser>
        <ser>
          <idx val="12"/>
          <order val="12"/>
          <tx>
            <strRef>
              <f>'FX RESERVE DATA'!$A$49</f>
              <strCache>
                <ptCount val="1"/>
                <pt idx="0">
                  <v>GBP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DATA'!$N$49:$AX$49</f>
              <numCache>
                <formatCode>#,##0.00</formatCode>
                <ptCount val="37"/>
                <pt idx="0">
                  <v>12875.29691441184</v>
                </pt>
                <pt idx="1">
                  <v>15049.81139432867</v>
                </pt>
                <pt idx="2">
                  <v>12828.26084854633</v>
                </pt>
                <pt idx="3">
                  <v>10534.04208441575</v>
                </pt>
                <pt idx="4">
                  <v>12532.83323961567</v>
                </pt>
                <pt idx="5">
                  <v>6246.98946731558</v>
                </pt>
                <pt idx="6">
                  <v>7145.677257931834</v>
                </pt>
                <pt idx="7">
                  <v>7768.562657059747</v>
                </pt>
                <pt idx="8">
                  <v>7274.848245761781</v>
                </pt>
                <pt idx="9">
                  <v>7653.91082653675</v>
                </pt>
                <pt idx="10">
                  <v>8088.869959738829</v>
                </pt>
                <pt idx="11">
                  <v>5584.875765991495</v>
                </pt>
                <pt idx="12">
                  <v>6209.675342528746</v>
                </pt>
                <pt idx="13">
                  <v>4463.0730429275</v>
                </pt>
                <pt idx="14">
                  <v>1696.711273651172</v>
                </pt>
                <pt idx="15">
                  <v>2067.816639183335</v>
                </pt>
                <pt idx="16">
                  <v>815.154545662744</v>
                </pt>
                <pt idx="17">
                  <v>1056.247062647336</v>
                </pt>
                <pt idx="18">
                  <v>-218.3620316527461</v>
                </pt>
                <pt idx="19">
                  <v>-2684.666559748164</v>
                </pt>
                <pt idx="20">
                  <v>-8609.095627961084</v>
                </pt>
                <pt idx="21">
                  <v>-8866.990475443254</v>
                </pt>
                <pt idx="22">
                  <v>-7479.423031959497</v>
                </pt>
                <pt idx="23">
                  <v>-2844.643817980584</v>
                </pt>
                <pt idx="24">
                  <v>-3213.004185035664</v>
                </pt>
                <pt idx="25">
                  <v>-3689.950366631499</v>
                </pt>
                <pt idx="26">
                  <v>-2360.031073247088</v>
                </pt>
                <pt idx="27">
                  <v>-4657.92471972808</v>
                </pt>
                <pt idx="28">
                  <v>-4127.146452928419</v>
                </pt>
                <pt idx="29">
                  <v>-7321.555370594831</v>
                </pt>
                <pt idx="30">
                  <v>-5691.444773063082</v>
                </pt>
                <pt idx="31">
                  <v>-5450.03678137542</v>
                </pt>
                <pt idx="32">
                  <v>-4072.245959592668</v>
                </pt>
                <pt idx="33">
                  <v>-4490.104386492665</v>
                </pt>
                <pt idx="34">
                  <v>-5274.061046712168</v>
                </pt>
                <pt idx="35">
                  <v>-7127.178339940244</v>
                </pt>
                <pt idx="36">
                  <v>-7939.095359980744</v>
                </pt>
              </numCache>
            </numRef>
          </val>
        </ser>
        <ser>
          <idx val="13"/>
          <order val="13"/>
          <tx>
            <strRef>
              <f>'FX RESERVE DATA'!$A$50</f>
              <strCache>
                <ptCount val="1"/>
                <pt idx="0">
                  <v>GBP CAD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DATA'!$N$50:$AX$50</f>
              <numCache>
                <formatCode>#,##0.00</formatCode>
                <ptCount val="37"/>
                <pt idx="0">
                  <v>-1495.928663240666</v>
                </pt>
                <pt idx="1">
                  <v>-2017.995484654667</v>
                </pt>
                <pt idx="2">
                  <v>-2042.207720799083</v>
                </pt>
                <pt idx="3">
                  <v>-1298.084704193582</v>
                </pt>
                <pt idx="4">
                  <v>-1194.029863748583</v>
                </pt>
                <pt idx="5">
                  <v>-979.268546703833</v>
                </pt>
                <pt idx="6">
                  <v>-427.0667259023334</v>
                </pt>
                <pt idx="7">
                  <v>-349.2523893069168</v>
                </pt>
                <pt idx="8">
                  <v>-157.5574600190582</v>
                </pt>
                <pt idx="9">
                  <v>-492.2945270615832</v>
                </pt>
                <pt idx="10">
                  <v>-866.9753096186662</v>
                </pt>
                <pt idx="11">
                  <v>-975.4390693293329</v>
                </pt>
                <pt idx="12">
                  <v>-747.6883610145838</v>
                </pt>
                <pt idx="13">
                  <v>-449.2687021033331</v>
                </pt>
                <pt idx="14">
                  <v>-632.7183745280005</v>
                </pt>
                <pt idx="15">
                  <v>-1245.173963600834</v>
                </pt>
                <pt idx="16">
                  <v>-807.8195923489171</v>
                </pt>
                <pt idx="17">
                  <v>-1031.778903315999</v>
                </pt>
                <pt idx="18">
                  <v>-1109.31472556775</v>
                </pt>
                <pt idx="19">
                  <v>-984.0115720189995</v>
                </pt>
                <pt idx="20">
                  <v>-969.5231731485839</v>
                </pt>
                <pt idx="21">
                  <v>-755.1196969365834</v>
                </pt>
                <pt idx="22">
                  <v>-696.4239844736669</v>
                </pt>
                <pt idx="23">
                  <v>-837.2535162164168</v>
                </pt>
                <pt idx="24">
                  <v>-406.9165635198333</v>
                </pt>
                <pt idx="25">
                  <v>-335.9710551631663</v>
                </pt>
                <pt idx="26">
                  <v>-587.8084685962494</v>
                </pt>
                <pt idx="27">
                  <v>744.766814531083</v>
                </pt>
                <pt idx="28">
                  <v>684.0995394107498</v>
                </pt>
                <pt idx="29">
                  <v>932.2382872793326</v>
                </pt>
                <pt idx="30">
                  <v>670.5659744219167</v>
                </pt>
                <pt idx="31">
                  <v>781.5648407870831</v>
                </pt>
                <pt idx="32">
                  <v>1436.225653464833</v>
                </pt>
                <pt idx="33">
                  <v>980.1785103515006</v>
                </pt>
                <pt idx="34">
                  <v>1181.796279498667</v>
                </pt>
                <pt idx="35">
                  <v>1382.502466568083</v>
                </pt>
                <pt idx="36">
                  <v>1044.786087335084</v>
                </pt>
              </numCache>
            </numRef>
          </val>
        </ser>
        <ser>
          <idx val="14"/>
          <order val="14"/>
          <tx>
            <strRef>
              <f>'FX RESERVE DATA'!$A$51</f>
              <strCache>
                <ptCount val="1"/>
                <pt idx="0">
                  <v>GBP AUD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DATA'!$N$51:$AX$51</f>
              <numCache>
                <formatCode>#,##0.00</formatCode>
                <ptCount val="37"/>
                <pt idx="0">
                  <v>-1186.178663240666</v>
                </pt>
                <pt idx="1">
                  <v>-1412.578817988</v>
                </pt>
                <pt idx="2">
                  <v>-1513.12438746575</v>
                </pt>
                <pt idx="3">
                  <v>-950.5013708602492</v>
                </pt>
                <pt idx="4">
                  <v>-796.6965304152496</v>
                </pt>
                <pt idx="5">
                  <v>-563.1852133704997</v>
                </pt>
                <pt idx="6">
                  <v>-56.31672590233333</v>
                </pt>
                <pt idx="7">
                  <v>-93.08572264025013</v>
                </pt>
                <pt idx="8">
                  <v>468.1092066476085</v>
                </pt>
                <pt idx="9">
                  <v>169.5388062717502</v>
                </pt>
                <pt idx="10">
                  <v>-94.14197628533292</v>
                </pt>
                <pt idx="11">
                  <v>-328.1057359959996</v>
                </pt>
                <pt idx="12">
                  <v>33.06163898541612</v>
                </pt>
                <pt idx="13">
                  <v>175.5646312300002</v>
                </pt>
                <pt idx="14">
                  <v>217.5316254719995</v>
                </pt>
                <pt idx="15">
                  <v>-228.1739636008339</v>
                </pt>
                <pt idx="16">
                  <v>-2.652925682250498</v>
                </pt>
                <pt idx="17">
                  <v>-385.4455699826661</v>
                </pt>
                <pt idx="18">
                  <v>-198.7313922344171</v>
                </pt>
                <pt idx="19">
                  <v>-281.7615720189994</v>
                </pt>
                <pt idx="20">
                  <v>-115.4398398152504</v>
                </pt>
                <pt idx="21">
                  <v>-217.5363636032501</v>
                </pt>
                <pt idx="22">
                  <v>-221.2573178070003</v>
                </pt>
                <pt idx="23">
                  <v>-396.7535162164168</v>
                </pt>
                <pt idx="24">
                  <v>-726.9165635198333</v>
                </pt>
                <pt idx="25">
                  <v>-613.5543884964998</v>
                </pt>
                <pt idx="26">
                  <v>-502.8918019295828</v>
                </pt>
                <pt idx="27">
                  <v>419.6834811977497</v>
                </pt>
                <pt idx="28">
                  <v>249.0162060774165</v>
                </pt>
                <pt idx="29">
                  <v>1035.571620612666</v>
                </pt>
                <pt idx="30">
                  <v>581.4826410885835</v>
                </pt>
                <pt idx="31">
                  <v>877.5648407870831</v>
                </pt>
                <pt idx="32">
                  <v>1089.1423201315</v>
                </pt>
                <pt idx="33">
                  <v>1193.595177018167</v>
                </pt>
                <pt idx="34">
                  <v>1232.462946165334</v>
                </pt>
                <pt idx="35">
                  <v>1310.085799901417</v>
                </pt>
                <pt idx="36">
                  <v>1751.20275400175</v>
                </pt>
              </numCache>
            </numRef>
          </val>
        </ser>
        <ser>
          <idx val="15"/>
          <order val="15"/>
          <tx>
            <strRef>
              <f>'FX RESERVE DATA'!$A$52</f>
              <strCache>
                <ptCount val="1"/>
                <pt idx="0">
                  <v>GBP NZD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DATA'!$N$52:$AX$52</f>
              <numCache>
                <formatCode>#,##0.00</formatCode>
                <ptCount val="37"/>
                <pt idx="0">
                  <v>-1022.845329907332</v>
                </pt>
                <pt idx="1">
                  <v>-1683.412151321334</v>
                </pt>
                <pt idx="2">
                  <v>-1385.707720799083</v>
                </pt>
                <pt idx="3">
                  <v>-943.4180375269158</v>
                </pt>
                <pt idx="4">
                  <v>-834.029863748583</v>
                </pt>
                <pt idx="5">
                  <v>-425.1018800371664</v>
                </pt>
                <pt idx="6">
                  <v>-139.6500592356667</v>
                </pt>
                <pt idx="7">
                  <v>-238.3357226402501</v>
                </pt>
                <pt idx="8">
                  <v>70.60920664760846</v>
                </pt>
                <pt idx="9">
                  <v>-337.6278603949165</v>
                </pt>
                <pt idx="10">
                  <v>-564.2253096186663</v>
                </pt>
                <pt idx="11">
                  <v>-214.3557359959996</v>
                </pt>
                <pt idx="12">
                  <v>-516.6883610145838</v>
                </pt>
                <pt idx="13">
                  <v>-50.01870210333314</v>
                </pt>
                <pt idx="14">
                  <v>-89.96837452800051</v>
                </pt>
                <pt idx="15">
                  <v>-899.3406302675005</v>
                </pt>
                <pt idx="16">
                  <v>-220.4029256822505</v>
                </pt>
                <pt idx="17">
                  <v>-703.6122366493328</v>
                </pt>
                <pt idx="18">
                  <v>-662.0647255677504</v>
                </pt>
                <pt idx="19">
                  <v>-443.3449053523327</v>
                </pt>
                <pt idx="20">
                  <v>-65.02317314858377</v>
                </pt>
                <pt idx="21">
                  <v>-597.2030302699168</v>
                </pt>
                <pt idx="22">
                  <v>-380.3406511403336</v>
                </pt>
                <pt idx="23">
                  <v>-1067.08684954975</v>
                </pt>
                <pt idx="24">
                  <v>-955.4165635198333</v>
                </pt>
                <pt idx="25">
                  <v>-791.2210551631664</v>
                </pt>
                <pt idx="26">
                  <v>-738.3918019295828</v>
                </pt>
                <pt idx="27">
                  <v>287.4334811977496</v>
                </pt>
                <pt idx="28">
                  <v>-67.73379392258357</v>
                </pt>
                <pt idx="29">
                  <v>409.8216206126659</v>
                </pt>
                <pt idx="30">
                  <v>186.9826410885835</v>
                </pt>
                <pt idx="31">
                  <v>234.0648407870831</v>
                </pt>
                <pt idx="32">
                  <v>716.4756534648332</v>
                </pt>
                <pt idx="33">
                  <v>1070.678510351501</v>
                </pt>
                <pt idx="34">
                  <v>736.3796128320004</v>
                </pt>
                <pt idx="35">
                  <v>1263.502466568083</v>
                </pt>
                <pt idx="36">
                  <v>1417.20275400175</v>
                </pt>
              </numCache>
            </numRef>
          </val>
        </ser>
        <ser>
          <idx val="16"/>
          <order val="16"/>
          <tx>
            <strRef>
              <f>'FX RESERVE DATA'!$A$53</f>
              <strCache>
                <ptCount val="1"/>
                <pt idx="0">
                  <v xml:space="preserve">CHF JPY 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DATA'!$N$53:$AX$53</f>
              <numCache>
                <formatCode>#,##0.00</formatCode>
                <ptCount val="37"/>
                <pt idx="0">
                  <v>-2426.225577652503</v>
                </pt>
                <pt idx="1">
                  <v>-3794.390212316668</v>
                </pt>
                <pt idx="2">
                  <v>-6290.218569345413</v>
                </pt>
                <pt idx="3">
                  <v>-6367.626788609331</v>
                </pt>
                <pt idx="4">
                  <v>-6866.446436697589</v>
                </pt>
                <pt idx="5">
                  <v>-1037.591347352747</v>
                </pt>
                <pt idx="6">
                  <v>-626.160650500834</v>
                </pt>
                <pt idx="7">
                  <v>-3962.73171303333</v>
                </pt>
                <pt idx="8">
                  <v>-6309.822372447506</v>
                </pt>
                <pt idx="9">
                  <v>-10398.20535359833</v>
                </pt>
                <pt idx="10">
                  <v>-11381.84526935749</v>
                </pt>
                <pt idx="11">
                  <v>-10898.89816865416</v>
                </pt>
                <pt idx="12">
                  <v>-9990.030370209997</v>
                </pt>
                <pt idx="13">
                  <v>-8649.341745030833</v>
                </pt>
                <pt idx="14">
                  <v>-4119.09631484584</v>
                </pt>
                <pt idx="15">
                  <v>-3292.823936117502</v>
                </pt>
                <pt idx="16">
                  <v>1811.525861988339</v>
                </pt>
                <pt idx="17">
                  <v>737.1407007033315</v>
                </pt>
                <pt idx="18">
                  <v>3706.463972751662</v>
                </pt>
                <pt idx="19">
                  <v>5508.654987729164</v>
                </pt>
                <pt idx="20">
                  <v>9437.8224548125</v>
                </pt>
                <pt idx="21">
                  <v>10710.62077850667</v>
                </pt>
                <pt idx="22">
                  <v>11336.9157141525</v>
                </pt>
                <pt idx="23">
                  <v>8848.7236350975</v>
                </pt>
                <pt idx="24">
                  <v>9024.58762151583</v>
                </pt>
                <pt idx="25">
                  <v>7820.145978134999</v>
                </pt>
                <pt idx="26">
                  <v>6142.639271317506</v>
                </pt>
                <pt idx="27">
                  <v>6632.441534259163</v>
                </pt>
                <pt idx="28">
                  <v>1805.662659005834</v>
                </pt>
                <pt idx="29">
                  <v>4300.876991207498</v>
                </pt>
                <pt idx="30">
                  <v>1588.177414151665</v>
                </pt>
                <pt idx="31">
                  <v>1233.434955495837</v>
                </pt>
                <pt idx="32">
                  <v>1002.221613057501</v>
                </pt>
                <pt idx="33">
                  <v>-38.88376982250156</v>
                </pt>
                <pt idx="34">
                  <v>579.1906595441687</v>
                </pt>
                <pt idx="35">
                  <v>1536.514139841661</v>
                </pt>
                <pt idx="36">
                  <v>2234.131447315828</v>
                </pt>
              </numCache>
            </numRef>
          </val>
        </ser>
        <ser>
          <idx val="17"/>
          <order val="17"/>
          <tx>
            <strRef>
              <f>'FX RESERVE DATA'!$A$54</f>
              <strCache>
                <ptCount val="1"/>
                <pt idx="0">
                  <v>AUD USD</v>
                </pt>
              </strCache>
            </strRef>
          </tx>
          <spPr>
            <a:solidFill xmlns:a="http://schemas.openxmlformats.org/drawingml/2006/main">
              <a:schemeClr val="accent6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DATA'!$N$54:$AX$54</f>
              <numCache>
                <formatCode>#,##0.00</formatCode>
                <ptCount val="37"/>
                <pt idx="0">
                  <v>403.7247249941665</v>
                </pt>
                <pt idx="1">
                  <v>248.5820398725003</v>
                </pt>
                <pt idx="2">
                  <v>148.7721350874999</v>
                </pt>
                <pt idx="3">
                  <v>291.5028925400002</v>
                </pt>
                <pt idx="4">
                  <v>180.93351546</v>
                </pt>
                <pt idx="5">
                  <v>174.4706053591666</v>
                </pt>
                <pt idx="6">
                  <v>117.8237915133335</v>
                </pt>
                <pt idx="7">
                  <v>96.83721913249975</v>
                </pt>
                <pt idx="8">
                  <v>-80.93412784083316</v>
                </pt>
                <pt idx="9">
                  <v>-134.7685476925005</v>
                </pt>
                <pt idx="10">
                  <v>-142.8300310975004</v>
                </pt>
                <pt idx="11">
                  <v>192.4392214383333</v>
                </pt>
                <pt idx="12">
                  <v>-150.5334282875004</v>
                </pt>
                <pt idx="13">
                  <v>27.84225692249978</v>
                </pt>
                <pt idx="14">
                  <v>-48.9432217550002</v>
                </pt>
                <pt idx="15">
                  <v>-213.6935442275001</v>
                </pt>
                <pt idx="16">
                  <v>17.03204285333353</v>
                </pt>
                <pt idx="17">
                  <v>177.8259887383332</v>
                </pt>
                <pt idx="18">
                  <v>-60.79737395666658</v>
                </pt>
                <pt idx="19">
                  <v>108.8821430558334</v>
                </pt>
                <pt idx="20">
                  <v>168.4740609416664</v>
                </pt>
                <pt idx="21">
                  <v>168.2029073691671</v>
                </pt>
                <pt idx="22">
                  <v>147.9562466458337</v>
                </pt>
                <pt idx="23">
                  <v>94.20538383499964</v>
                </pt>
                <pt idx="24">
                  <v>581.2439448741668</v>
                </pt>
                <pt idx="25">
                  <v>610.2615332908335</v>
                </pt>
                <pt idx="26">
                  <v>524.1328381991668</v>
                </pt>
                <pt idx="27">
                  <v>236.5973897008334</v>
                </pt>
                <pt idx="28">
                  <v>285.5289266816665</v>
                </pt>
                <pt idx="29">
                  <v>-158.5291899733329</v>
                </pt>
                <pt idx="30">
                  <v>75.11407823833298</v>
                </pt>
                <pt idx="31">
                  <v>-144.6743728783331</v>
                </pt>
                <pt idx="32">
                  <v>68.18318783750026</v>
                </pt>
                <pt idx="33">
                  <v>39.58561186333344</v>
                </pt>
                <pt idx="34">
                  <v>80.84618744249988</v>
                </pt>
                <pt idx="35">
                  <v>134.1675417616667</v>
                </pt>
                <pt idx="36">
                  <v>-318.3567637224999</v>
                </pt>
              </numCache>
            </numRef>
          </val>
        </ser>
        <ser>
          <idx val="18"/>
          <order val="18"/>
          <tx>
            <strRef>
              <f>'FX RESERVE DATA'!$A$55</f>
              <strCache>
                <ptCount val="1"/>
                <pt idx="0">
                  <v>AUD CHF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DATA'!$N$55:$AX$55</f>
              <numCache>
                <formatCode>#,##0.00</formatCode>
                <ptCount val="37"/>
                <pt idx="0">
                  <v>14061.4755776525</v>
                </pt>
                <pt idx="1">
                  <v>16462.39021231667</v>
                </pt>
                <pt idx="2">
                  <v>14341.38523601208</v>
                </pt>
                <pt idx="3">
                  <v>11484.543455276</v>
                </pt>
                <pt idx="4">
                  <v>13329.52977003092</v>
                </pt>
                <pt idx="5">
                  <v>6810.17468068608</v>
                </pt>
                <pt idx="6">
                  <v>7201.993983834167</v>
                </pt>
                <pt idx="7">
                  <v>7861.648379699996</v>
                </pt>
                <pt idx="8">
                  <v>6806.739039114173</v>
                </pt>
                <pt idx="9">
                  <v>7484.372020265</v>
                </pt>
                <pt idx="10">
                  <v>8183.011936024162</v>
                </pt>
                <pt idx="11">
                  <v>5912.981501987495</v>
                </pt>
                <pt idx="12">
                  <v>6176.61370354333</v>
                </pt>
                <pt idx="13">
                  <v>4287.508411697499</v>
                </pt>
                <pt idx="14">
                  <v>1479.179648179173</v>
                </pt>
                <pt idx="15">
                  <v>2295.990602784169</v>
                </pt>
                <pt idx="16">
                  <v>817.8074713449945</v>
                </pt>
                <pt idx="17">
                  <v>1441.692632630002</v>
                </pt>
                <pt idx="18">
                  <v>-19.63063941832903</v>
                </pt>
                <pt idx="19">
                  <v>-2402.904987729164</v>
                </pt>
                <pt idx="20">
                  <v>-8493.655788145832</v>
                </pt>
                <pt idx="21">
                  <v>-8649.454111840003</v>
                </pt>
                <pt idx="22">
                  <v>-7258.165714152497</v>
                </pt>
                <pt idx="23">
                  <v>-2447.890301764167</v>
                </pt>
                <pt idx="24">
                  <v>-2486.087621515831</v>
                </pt>
                <pt idx="25">
                  <v>-3076.395978134999</v>
                </pt>
                <pt idx="26">
                  <v>-1857.139271317506</v>
                </pt>
                <pt idx="27">
                  <v>-5077.60820092583</v>
                </pt>
                <pt idx="28">
                  <v>-4376.162659005835</v>
                </pt>
                <pt idx="29">
                  <v>-8357.126991207497</v>
                </pt>
                <pt idx="30">
                  <v>-6272.927414151665</v>
                </pt>
                <pt idx="31">
                  <v>-6327.601622162503</v>
                </pt>
                <pt idx="32">
                  <v>-5161.388279724168</v>
                </pt>
                <pt idx="33">
                  <v>-5683.699563510832</v>
                </pt>
                <pt idx="34">
                  <v>-6506.523992877502</v>
                </pt>
                <pt idx="35">
                  <v>-8437.26413984166</v>
                </pt>
                <pt idx="36">
                  <v>-9690.298113982495</v>
                </pt>
              </numCache>
            </numRef>
          </val>
        </ser>
        <ser>
          <idx val="19"/>
          <order val="19"/>
          <tx>
            <strRef>
              <f>'FX RESERVE DATA'!$A$56</f>
              <strCache>
                <ptCount val="1"/>
                <pt idx="0">
                  <v>AUD JPY</v>
                </pt>
              </strCache>
            </strRef>
          </tx>
          <spPr>
            <a:solidFill xmlns:a="http://schemas.openxmlformats.org/drawingml/2006/main">
              <a:schemeClr val="accent2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DATA'!$N$56:$AX$56</f>
              <numCache>
                <formatCode>#,##0.00</formatCode>
                <ptCount val="37"/>
                <pt idx="0">
                  <v>11635.25</v>
                </pt>
                <pt idx="1">
                  <v>12668</v>
                </pt>
                <pt idx="2">
                  <v>8051.166666666667</v>
                </pt>
                <pt idx="3">
                  <v>5116.916666666666</v>
                </pt>
                <pt idx="4">
                  <v>6463.083333333333</v>
                </pt>
                <pt idx="5">
                  <v>5772.583333333333</v>
                </pt>
                <pt idx="6">
                  <v>6575.833333333333</v>
                </pt>
                <pt idx="7">
                  <v>3898.916666666667</v>
                </pt>
                <pt idx="8">
                  <v>496.9166666666667</v>
                </pt>
                <pt idx="9">
                  <v>-2913.833333333333</v>
                </pt>
                <pt idx="10">
                  <v>-3198.833333333333</v>
                </pt>
                <pt idx="11">
                  <v>-4985.916666666666</v>
                </pt>
                <pt idx="12">
                  <v>-3813.416666666667</v>
                </pt>
                <pt idx="13">
                  <v>-4361.833333333334</v>
                </pt>
                <pt idx="14">
                  <v>-2639.916666666667</v>
                </pt>
                <pt idx="15">
                  <v>-996.8333333333333</v>
                </pt>
                <pt idx="16">
                  <v>2629.333333333333</v>
                </pt>
                <pt idx="17">
                  <v>2178.833333333333</v>
                </pt>
                <pt idx="18">
                  <v>3686.833333333333</v>
                </pt>
                <pt idx="19">
                  <v>3105.75</v>
                </pt>
                <pt idx="20">
                  <v>944.1666666666667</v>
                </pt>
                <pt idx="21">
                  <v>2061.166666666667</v>
                </pt>
                <pt idx="22">
                  <v>4078.75</v>
                </pt>
                <pt idx="23">
                  <v>6400.833333333334</v>
                </pt>
                <pt idx="24">
                  <v>6538.5</v>
                </pt>
                <pt idx="25">
                  <v>4743.75</v>
                </pt>
                <pt idx="26">
                  <v>4285.5</v>
                </pt>
                <pt idx="27">
                  <v>1554.833333333333</v>
                </pt>
                <pt idx="28">
                  <v>-2570.5</v>
                </pt>
                <pt idx="29">
                  <v>-4056.25</v>
                </pt>
                <pt idx="30">
                  <v>-4684.75</v>
                </pt>
                <pt idx="31">
                  <v>-5094.166666666666</v>
                </pt>
                <pt idx="32">
                  <v>-4159.166666666667</v>
                </pt>
                <pt idx="33">
                  <v>-5722.583333333334</v>
                </pt>
                <pt idx="34">
                  <v>-5927.333333333333</v>
                </pt>
                <pt idx="35">
                  <v>-6900.75</v>
                </pt>
                <pt idx="36">
                  <v>-7456.166666666666</v>
                </pt>
              </numCache>
            </numRef>
          </val>
        </ser>
        <ser>
          <idx val="20"/>
          <order val="20"/>
          <tx>
            <strRef>
              <f>'FX RESERVE DATA'!$A$57</f>
              <strCache>
                <ptCount val="1"/>
                <pt idx="0">
                  <v>AUD NZD</v>
                </pt>
              </strCache>
            </strRef>
          </tx>
          <spPr>
            <a:solidFill xmlns:a="http://schemas.openxmlformats.org/drawingml/2006/main">
              <a:schemeClr val="accent3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DATA'!$N$57:$AX$57</f>
              <numCache>
                <formatCode>#,##0.00</formatCode>
                <ptCount val="37"/>
                <pt idx="0">
                  <v>163.3333333333333</v>
                </pt>
                <pt idx="1">
                  <v>-270.8333333333333</v>
                </pt>
                <pt idx="2">
                  <v>127.4166666666667</v>
                </pt>
                <pt idx="3">
                  <v>7.083333333333314</v>
                </pt>
                <pt idx="4">
                  <v>-37.33333333333333</v>
                </pt>
                <pt idx="5">
                  <v>138.0833333333333</v>
                </pt>
                <pt idx="6">
                  <v>-83.33333333333334</v>
                </pt>
                <pt idx="7">
                  <v>-145.25</v>
                </pt>
                <pt idx="8">
                  <v>-397.5</v>
                </pt>
                <pt idx="9">
                  <v>-507.1666666666667</v>
                </pt>
                <pt idx="10">
                  <v>-470.0833333333334</v>
                </pt>
                <pt idx="11">
                  <v>113.75</v>
                </pt>
                <pt idx="12">
                  <v>-549.75</v>
                </pt>
                <pt idx="13">
                  <v>-225.5833333333333</v>
                </pt>
                <pt idx="14">
                  <v>-307.5</v>
                </pt>
                <pt idx="15">
                  <v>-671.1666666666666</v>
                </pt>
                <pt idx="16">
                  <v>-217.75</v>
                </pt>
                <pt idx="17">
                  <v>-318.1666666666667</v>
                </pt>
                <pt idx="18">
                  <v>-463.3333333333333</v>
                </pt>
                <pt idx="19">
                  <v>-161.5833333333333</v>
                </pt>
                <pt idx="20">
                  <v>50.41666666666663</v>
                </pt>
                <pt idx="21">
                  <v>-379.6666666666667</v>
                </pt>
                <pt idx="22">
                  <v>-159.0833333333333</v>
                </pt>
                <pt idx="23">
                  <v>-670.3333333333334</v>
                </pt>
                <pt idx="24">
                  <v>-228.4999999999999</v>
                </pt>
                <pt idx="25">
                  <v>-177.6666666666666</v>
                </pt>
                <pt idx="26">
                  <v>-235.5</v>
                </pt>
                <pt idx="27">
                  <v>-132.2500000000001</v>
                </pt>
                <pt idx="28">
                  <v>-316.7500000000001</v>
                </pt>
                <pt idx="29">
                  <v>-625.75</v>
                </pt>
                <pt idx="30">
                  <v>-394.5</v>
                </pt>
                <pt idx="31">
                  <v>-643.5</v>
                </pt>
                <pt idx="32">
                  <v>-372.6666666666666</v>
                </pt>
                <pt idx="33">
                  <v>-122.9166666666667</v>
                </pt>
                <pt idx="34">
                  <v>-496.0833333333334</v>
                </pt>
                <pt idx="35">
                  <v>-46.58333333333337</v>
                </pt>
                <pt idx="36">
                  <v>-334</v>
                </pt>
              </numCache>
            </numRef>
          </val>
        </ser>
        <ser>
          <idx val="21"/>
          <order val="21"/>
          <tx>
            <strRef>
              <f>'FX RESERVE DATA'!$A$58</f>
              <strCache>
                <ptCount val="1"/>
                <pt idx="0">
                  <v>AUD CAD</v>
                </pt>
              </strCache>
            </strRef>
          </tx>
          <spPr>
            <a:solidFill xmlns:a="http://schemas.openxmlformats.org/drawingml/2006/main">
              <a:schemeClr val="accent4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DATA'!$N$58:$AX$58</f>
              <numCache>
                <formatCode>#,##0.00</formatCode>
                <ptCount val="37"/>
                <pt idx="0">
                  <v>-309.75</v>
                </pt>
                <pt idx="1">
                  <v>-605.4166666666666</v>
                </pt>
                <pt idx="2">
                  <v>-529.0833333333334</v>
                </pt>
                <pt idx="3">
                  <v>-347.5833333333333</v>
                </pt>
                <pt idx="4">
                  <v>-397.3333333333333</v>
                </pt>
                <pt idx="5">
                  <v>-416.0833333333333</v>
                </pt>
                <pt idx="6">
                  <v>-370.75</v>
                </pt>
                <pt idx="7">
                  <v>-256.1666666666666</v>
                </pt>
                <pt idx="8">
                  <v>-625.6666666666667</v>
                </pt>
                <pt idx="9">
                  <v>-661.8333333333334</v>
                </pt>
                <pt idx="10">
                  <v>-772.8333333333333</v>
                </pt>
                <pt idx="11">
                  <v>-647.3333333333334</v>
                </pt>
                <pt idx="12">
                  <v>-780.75</v>
                </pt>
                <pt idx="13">
                  <v>-624.8333333333333</v>
                </pt>
                <pt idx="14">
                  <v>-850.25</v>
                </pt>
                <pt idx="15">
                  <v>-1017</v>
                </pt>
                <pt idx="16">
                  <v>-805.1666666666666</v>
                </pt>
                <pt idx="17">
                  <v>-646.3333333333333</v>
                </pt>
                <pt idx="18">
                  <v>-910.5833333333334</v>
                </pt>
                <pt idx="19">
                  <v>-702.25</v>
                </pt>
                <pt idx="20">
                  <v>-854.0833333333335</v>
                </pt>
                <pt idx="21">
                  <v>-537.5833333333333</v>
                </pt>
                <pt idx="22">
                  <v>-475.1666666666666</v>
                </pt>
                <pt idx="23">
                  <v>-440.5</v>
                </pt>
                <pt idx="24">
                  <v>320</v>
                </pt>
                <pt idx="25">
                  <v>277.5833333333334</v>
                </pt>
                <pt idx="26">
                  <v>-84.91666666666663</v>
                </pt>
                <pt idx="27">
                  <v>325.0833333333333</v>
                </pt>
                <pt idx="28">
                  <v>435.0833333333333</v>
                </pt>
                <pt idx="29">
                  <v>-103.3333333333333</v>
                </pt>
                <pt idx="30">
                  <v>89.08333333333331</v>
                </pt>
                <pt idx="31">
                  <v>-96</v>
                </pt>
                <pt idx="32">
                  <v>347.0833333333334</v>
                </pt>
                <pt idx="33">
                  <v>-213.4166666666667</v>
                </pt>
                <pt idx="34">
                  <v>-50.66666666666669</v>
                </pt>
                <pt idx="35">
                  <v>72.41666666666663</v>
                </pt>
                <pt idx="36">
                  <v>-706.4166666666667</v>
                </pt>
              </numCache>
            </numRef>
          </val>
        </ser>
        <ser>
          <idx val="22"/>
          <order val="22"/>
          <tx>
            <strRef>
              <f>'FX RESERVE DATA'!$A$59</f>
              <strCache>
                <ptCount val="1"/>
                <pt idx="0">
                  <v>CAD JPY</v>
                </pt>
              </strCache>
            </strRef>
          </tx>
          <spPr>
            <a:solidFill xmlns:a="http://schemas.openxmlformats.org/drawingml/2006/main">
              <a:schemeClr val="accent5">
                <a:lumMod val="80000"/>
              </a:schemeClr>
            </a:solidFill>
            <a:ln xmlns:a="http://schemas.openxmlformats.org/drawingml/2006/main">
              <a:noFill/>
              <a:prstDash val="solid"/>
            </a:ln>
          </spPr>
          <cat>
            <numRef>
              <f>'FX RESERVE DATA'!$N$36:$AX$36</f>
              <numCache>
                <formatCode>[$-409]mmm\-yy;@</formatCode>
                <ptCount val="37"/>
                <pt idx="0">
                  <v>44927</v>
                </pt>
                <pt idx="1">
                  <v>44958</v>
                </pt>
                <pt idx="2">
                  <v>44986</v>
                </pt>
                <pt idx="3">
                  <v>45017</v>
                </pt>
                <pt idx="4">
                  <v>45047</v>
                </pt>
                <pt idx="5">
                  <v>45078</v>
                </pt>
                <pt idx="6">
                  <v>45108</v>
                </pt>
                <pt idx="7">
                  <v>45139</v>
                </pt>
                <pt idx="8">
                  <v>45170</v>
                </pt>
                <pt idx="9">
                  <v>45200</v>
                </pt>
                <pt idx="10">
                  <v>45231</v>
                </pt>
                <pt idx="11">
                  <v>45261</v>
                </pt>
                <pt idx="12">
                  <v>45292</v>
                </pt>
                <pt idx="13">
                  <v>45323</v>
                </pt>
                <pt idx="14">
                  <v>45352</v>
                </pt>
                <pt idx="15">
                  <v>45383</v>
                </pt>
                <pt idx="16">
                  <v>45413</v>
                </pt>
                <pt idx="17">
                  <v>45444</v>
                </pt>
                <pt idx="18">
                  <v>45474</v>
                </pt>
                <pt idx="19">
                  <v>45505</v>
                </pt>
                <pt idx="20">
                  <v>45536</v>
                </pt>
                <pt idx="21">
                  <v>45566</v>
                </pt>
                <pt idx="22">
                  <v>45597</v>
                </pt>
                <pt idx="23">
                  <v>45627</v>
                </pt>
                <pt idx="24">
                  <v>45658</v>
                </pt>
                <pt idx="25">
                  <v>45689</v>
                </pt>
                <pt idx="26">
                  <v>45717</v>
                </pt>
                <pt idx="27">
                  <v>45748</v>
                </pt>
                <pt idx="28">
                  <v>45778</v>
                </pt>
                <pt idx="29">
                  <v>45809</v>
                </pt>
                <pt idx="30">
                  <v>45839</v>
                </pt>
                <pt idx="31">
                  <v>45870</v>
                </pt>
                <pt idx="32">
                  <v>45901</v>
                </pt>
                <pt idx="33">
                  <v>45931</v>
                </pt>
                <pt idx="34">
                  <v>45962</v>
                </pt>
                <pt idx="35">
                  <v>45992</v>
                </pt>
                <pt idx="36">
                  <v>46023</v>
                </pt>
              </numCache>
            </numRef>
          </cat>
          <val>
            <numRef>
              <f>'FX RESERVE DATA'!$N$59:$AX$59</f>
              <numCache>
                <formatCode>#,##0.00</formatCode>
                <ptCount val="37"/>
                <pt idx="0">
                  <v>11945</v>
                </pt>
                <pt idx="1">
                  <v>13273.41666666667</v>
                </pt>
                <pt idx="2">
                  <v>8580.25</v>
                </pt>
                <pt idx="3">
                  <v>5464.5</v>
                </pt>
                <pt idx="4">
                  <v>6860.416666666666</v>
                </pt>
                <pt idx="5">
                  <v>6188.666666666667</v>
                </pt>
                <pt idx="6">
                  <v>6946.583333333333</v>
                </pt>
                <pt idx="7">
                  <v>4155.083333333334</v>
                </pt>
                <pt idx="8">
                  <v>1122.583333333333</v>
                </pt>
                <pt idx="9">
                  <v>-2252</v>
                </pt>
                <pt idx="10">
                  <v>-2426</v>
                </pt>
                <pt idx="11">
                  <v>-4338.583333333333</v>
                </pt>
                <pt idx="12">
                  <v>-3032.666666666667</v>
                </pt>
                <pt idx="13">
                  <v>-3737</v>
                </pt>
                <pt idx="14">
                  <v>-1789.666666666667</v>
                </pt>
                <pt idx="15">
                  <v>20.16666666666663</v>
                </pt>
                <pt idx="16">
                  <v>3434.5</v>
                </pt>
                <pt idx="17">
                  <v>2825.166666666667</v>
                </pt>
                <pt idx="18">
                  <v>4597.416666666666</v>
                </pt>
                <pt idx="19">
                  <v>3808</v>
                </pt>
                <pt idx="20">
                  <v>1798.25</v>
                </pt>
                <pt idx="21">
                  <v>2598.75</v>
                </pt>
                <pt idx="22">
                  <v>4553.916666666667</v>
                </pt>
                <pt idx="23">
                  <v>6841.333333333334</v>
                </pt>
                <pt idx="24">
                  <v>6218.5</v>
                </pt>
                <pt idx="25">
                  <v>4466.166666666667</v>
                </pt>
                <pt idx="26">
                  <v>4370.416666666666</v>
                </pt>
                <pt idx="27">
                  <v>1229.75</v>
                </pt>
                <pt idx="28">
                  <v>-3005.583333333333</v>
                </pt>
                <pt idx="29">
                  <v>-3952.916666666667</v>
                </pt>
                <pt idx="30">
                  <v>-4773.833333333334</v>
                </pt>
                <pt idx="31">
                  <v>-4998.166666666666</v>
                </pt>
                <pt idx="32">
                  <v>-4506.25</v>
                </pt>
                <pt idx="33">
                  <v>-5509.166666666667</v>
                </pt>
                <pt idx="34">
                  <v>-5876.666666666666</v>
                </pt>
                <pt idx="35">
                  <v>-6973.166666666666</v>
                </pt>
                <pt idx="36">
                  <v>-6749.75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JAPAN FX Reserve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RESERVE DATA'!$B$2:$BD$2</f>
              <numCache>
                <formatCode>[$-409]mmm\-yy;@</formatCode>
                <ptCount val="55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  <pt idx="53">
                  <v>46174</v>
                </pt>
                <pt idx="54">
                  <v>46204</v>
                </pt>
              </numCache>
            </numRef>
          </cat>
          <val>
            <numRef>
              <f>'FX RESERVE DATA'!$B$5:$BC$5</f>
              <numCache>
                <formatCode>_(* #,##0.00_);_(* \(#,##0.00\);_(* "-"??_);_(@_)</formatCode>
                <ptCount val="54"/>
                <pt idx="0">
                  <v>1264244</v>
                </pt>
                <pt idx="1">
                  <v>1259159</v>
                </pt>
                <pt idx="2">
                  <v>1230520</v>
                </pt>
                <pt idx="3">
                  <v>1199561</v>
                </pt>
                <pt idx="4">
                  <v>1208699</v>
                </pt>
                <pt idx="5">
                  <v>1192911</v>
                </pt>
                <pt idx="6">
                  <v>1206630</v>
                </pt>
                <pt idx="7">
                  <v>1176896</v>
                </pt>
                <pt idx="8">
                  <v>1125304</v>
                </pt>
                <pt idx="9">
                  <v>1082452</v>
                </pt>
                <pt idx="10">
                  <v>1109364</v>
                </pt>
                <pt idx="11">
                  <v>1108189</v>
                </pt>
                <pt idx="12">
                  <v>1126868</v>
                </pt>
                <pt idx="13">
                  <v>1106343</v>
                </pt>
                <pt idx="14">
                  <v>1134005</v>
                </pt>
                <pt idx="15">
                  <v>1142230</v>
                </pt>
                <pt idx="16">
                  <v>1132162</v>
                </pt>
                <pt idx="17">
                  <v>1126104</v>
                </pt>
                <pt idx="18">
                  <v>1130301</v>
                </pt>
                <pt idx="19">
                  <v>1132621</v>
                </pt>
                <pt idx="20">
                  <v>1120048</v>
                </pt>
                <pt idx="21">
                  <v>1117193</v>
                </pt>
                <pt idx="22">
                  <v>1146719</v>
                </pt>
                <pt idx="23">
                  <v>1170437</v>
                </pt>
                <pt idx="24">
                  <v>1169506</v>
                </pt>
                <pt idx="25">
                  <v>1158491</v>
                </pt>
                <pt idx="26">
                  <v>1163521</v>
                </pt>
                <pt idx="27">
                  <v>1149316</v>
                </pt>
                <pt idx="28">
                  <v>1100113</v>
                </pt>
                <pt idx="29">
                  <v>1100691</v>
                </pt>
                <pt idx="30">
                  <v>1084573</v>
                </pt>
                <pt idx="31">
                  <v>1097528</v>
                </pt>
                <pt idx="32">
                  <v>1112931</v>
                </pt>
                <pt idx="33">
                  <v>1095601</v>
                </pt>
                <pt idx="34">
                  <v>1099052</v>
                </pt>
                <pt idx="35">
                  <v>1092306</v>
                </pt>
                <pt idx="36">
                  <v>1096788</v>
                </pt>
                <pt idx="37">
                  <v>1108410</v>
                </pt>
                <pt idx="38">
                  <v>1118981</v>
                </pt>
                <pt idx="39">
                  <v>1136746</v>
                </pt>
                <pt idx="40">
                  <v>1137098</v>
                </pt>
                <pt idx="41">
                  <v>1151692</v>
                </pt>
                <pt idx="42">
                  <v>1143537</v>
                </pt>
                <pt idx="43">
                  <v>1158765</v>
                </pt>
                <pt idx="44">
                  <v>1165059</v>
                </pt>
                <pt idx="45">
                  <v>1166724</v>
                </pt>
                <pt idx="46">
                  <v>1173675</v>
                </pt>
                <pt idx="47">
                  <v>1180501</v>
                </pt>
                <pt idx="48">
                  <v>1186456</v>
                </pt>
                <pt idx="49">
                  <v>1196112</v>
                </pt>
                <pt idx="50">
                  <v>1177804</v>
                </pt>
                <pt idx="51">
                  <v>1185242</v>
                </pt>
                <pt idx="52">
                  <v>1109822</v>
                </pt>
                <pt idx="53">
                  <v>1106270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RESERVE DATA'!$B$2:$BD$2</f>
              <numCache>
                <formatCode>[$-409]mmm\-yy;@</formatCode>
                <ptCount val="55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  <pt idx="53">
                  <v>46174</v>
                </pt>
                <pt idx="54">
                  <v>46204</v>
                </pt>
              </numCache>
            </numRef>
          </cat>
          <val>
            <numRef>
              <f>'FX RESERVE DATA'!$B$5:$BC$5</f>
              <numCache>
                <formatCode>_(* #,##0.00_);_(* \(#,##0.00\);_(* "-"??_);_(@_)</formatCode>
                <ptCount val="54"/>
                <pt idx="0">
                  <v>1264244</v>
                </pt>
                <pt idx="1">
                  <v>1259159</v>
                </pt>
                <pt idx="2">
                  <v>1230520</v>
                </pt>
                <pt idx="3">
                  <v>1199561</v>
                </pt>
                <pt idx="4">
                  <v>1208699</v>
                </pt>
                <pt idx="5">
                  <v>1192911</v>
                </pt>
                <pt idx="6">
                  <v>1206630</v>
                </pt>
                <pt idx="7">
                  <v>1176896</v>
                </pt>
                <pt idx="8">
                  <v>1125304</v>
                </pt>
                <pt idx="9">
                  <v>1082452</v>
                </pt>
                <pt idx="10">
                  <v>1109364</v>
                </pt>
                <pt idx="11">
                  <v>1108189</v>
                </pt>
                <pt idx="12">
                  <v>1126868</v>
                </pt>
                <pt idx="13">
                  <v>1106343</v>
                </pt>
                <pt idx="14">
                  <v>1134005</v>
                </pt>
                <pt idx="15">
                  <v>1142230</v>
                </pt>
                <pt idx="16">
                  <v>1132162</v>
                </pt>
                <pt idx="17">
                  <v>1126104</v>
                </pt>
                <pt idx="18">
                  <v>1130301</v>
                </pt>
                <pt idx="19">
                  <v>1132621</v>
                </pt>
                <pt idx="20">
                  <v>1120048</v>
                </pt>
                <pt idx="21">
                  <v>1117193</v>
                </pt>
                <pt idx="22">
                  <v>1146719</v>
                </pt>
                <pt idx="23">
                  <v>1170437</v>
                </pt>
                <pt idx="24">
                  <v>1169506</v>
                </pt>
                <pt idx="25">
                  <v>1158491</v>
                </pt>
                <pt idx="26">
                  <v>1163521</v>
                </pt>
                <pt idx="27">
                  <v>1149316</v>
                </pt>
                <pt idx="28">
                  <v>1100113</v>
                </pt>
                <pt idx="29">
                  <v>1100691</v>
                </pt>
                <pt idx="30">
                  <v>1084573</v>
                </pt>
                <pt idx="31">
                  <v>1097528</v>
                </pt>
                <pt idx="32">
                  <v>1112931</v>
                </pt>
                <pt idx="33">
                  <v>1095601</v>
                </pt>
                <pt idx="34">
                  <v>1099052</v>
                </pt>
                <pt idx="35">
                  <v>1092306</v>
                </pt>
                <pt idx="36">
                  <v>1096788</v>
                </pt>
                <pt idx="37">
                  <v>1108410</v>
                </pt>
                <pt idx="38">
                  <v>1118981</v>
                </pt>
                <pt idx="39">
                  <v>1136746</v>
                </pt>
                <pt idx="40">
                  <v>1137098</v>
                </pt>
                <pt idx="41">
                  <v>1151692</v>
                </pt>
                <pt idx="42">
                  <v>1143537</v>
                </pt>
                <pt idx="43">
                  <v>1158765</v>
                </pt>
                <pt idx="44">
                  <v>1165059</v>
                </pt>
                <pt idx="45">
                  <v>1166724</v>
                </pt>
                <pt idx="46">
                  <v>1173675</v>
                </pt>
                <pt idx="47">
                  <v>1180501</v>
                </pt>
                <pt idx="48">
                  <v>1186456</v>
                </pt>
                <pt idx="49">
                  <v>1196112</v>
                </pt>
                <pt idx="50">
                  <v>1177804</v>
                </pt>
                <pt idx="51">
                  <v>1185242</v>
                </pt>
                <pt idx="52">
                  <v>1109822</v>
                </pt>
                <pt idx="53">
                  <v>1106270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RESERVE DATA'!$B$2:$BD$2</f>
              <numCache>
                <formatCode>[$-409]mmm\-yy;@</formatCode>
                <ptCount val="55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  <pt idx="53">
                  <v>46174</v>
                </pt>
                <pt idx="54">
                  <v>46204</v>
                </pt>
              </numCache>
            </numRef>
          </cat>
          <val>
            <numRef>
              <f>'FX RESERVE DATA'!$B$5:$BC$5</f>
              <numCache>
                <formatCode>_(* #,##0.00_);_(* \(#,##0.00\);_(* "-"??_);_(@_)</formatCode>
                <ptCount val="54"/>
                <pt idx="0">
                  <v>1264244</v>
                </pt>
                <pt idx="1">
                  <v>1259159</v>
                </pt>
                <pt idx="2">
                  <v>1230520</v>
                </pt>
                <pt idx="3">
                  <v>1199561</v>
                </pt>
                <pt idx="4">
                  <v>1208699</v>
                </pt>
                <pt idx="5">
                  <v>1192911</v>
                </pt>
                <pt idx="6">
                  <v>1206630</v>
                </pt>
                <pt idx="7">
                  <v>1176896</v>
                </pt>
                <pt idx="8">
                  <v>1125304</v>
                </pt>
                <pt idx="9">
                  <v>1082452</v>
                </pt>
                <pt idx="10">
                  <v>1109364</v>
                </pt>
                <pt idx="11">
                  <v>1108189</v>
                </pt>
                <pt idx="12">
                  <v>1126868</v>
                </pt>
                <pt idx="13">
                  <v>1106343</v>
                </pt>
                <pt idx="14">
                  <v>1134005</v>
                </pt>
                <pt idx="15">
                  <v>1142230</v>
                </pt>
                <pt idx="16">
                  <v>1132162</v>
                </pt>
                <pt idx="17">
                  <v>1126104</v>
                </pt>
                <pt idx="18">
                  <v>1130301</v>
                </pt>
                <pt idx="19">
                  <v>1132621</v>
                </pt>
                <pt idx="20">
                  <v>1120048</v>
                </pt>
                <pt idx="21">
                  <v>1117193</v>
                </pt>
                <pt idx="22">
                  <v>1146719</v>
                </pt>
                <pt idx="23">
                  <v>1170437</v>
                </pt>
                <pt idx="24">
                  <v>1169506</v>
                </pt>
                <pt idx="25">
                  <v>1158491</v>
                </pt>
                <pt idx="26">
                  <v>1163521</v>
                </pt>
                <pt idx="27">
                  <v>1149316</v>
                </pt>
                <pt idx="28">
                  <v>1100113</v>
                </pt>
                <pt idx="29">
                  <v>1100691</v>
                </pt>
                <pt idx="30">
                  <v>1084573</v>
                </pt>
                <pt idx="31">
                  <v>1097528</v>
                </pt>
                <pt idx="32">
                  <v>1112931</v>
                </pt>
                <pt idx="33">
                  <v>1095601</v>
                </pt>
                <pt idx="34">
                  <v>1099052</v>
                </pt>
                <pt idx="35">
                  <v>1092306</v>
                </pt>
                <pt idx="36">
                  <v>1096788</v>
                </pt>
                <pt idx="37">
                  <v>1108410</v>
                </pt>
                <pt idx="38">
                  <v>1118981</v>
                </pt>
                <pt idx="39">
                  <v>1136746</v>
                </pt>
                <pt idx="40">
                  <v>1137098</v>
                </pt>
                <pt idx="41">
                  <v>1151692</v>
                </pt>
                <pt idx="42">
                  <v>1143537</v>
                </pt>
                <pt idx="43">
                  <v>1158765</v>
                </pt>
                <pt idx="44">
                  <v>1165059</v>
                </pt>
                <pt idx="45">
                  <v>1166724</v>
                </pt>
                <pt idx="46">
                  <v>1173675</v>
                </pt>
                <pt idx="47">
                  <v>1180501</v>
                </pt>
                <pt idx="48">
                  <v>1186456</v>
                </pt>
                <pt idx="49">
                  <v>1196112</v>
                </pt>
                <pt idx="50">
                  <v>1177804</v>
                </pt>
                <pt idx="51">
                  <v>1185242</v>
                </pt>
                <pt idx="52">
                  <v>1109822</v>
                </pt>
                <pt idx="53">
                  <v>1106270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RESERVE DATA'!$B$2:$BD$2</f>
              <numCache>
                <formatCode>[$-409]mmm\-yy;@</formatCode>
                <ptCount val="55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  <pt idx="53">
                  <v>46174</v>
                </pt>
                <pt idx="54">
                  <v>46204</v>
                </pt>
              </numCache>
            </numRef>
          </cat>
          <val>
            <numRef>
              <f>'FX RESERVE DATA'!$B$5:$BC$5</f>
              <numCache>
                <formatCode>_(* #,##0.00_);_(* \(#,##0.00\);_(* "-"??_);_(@_)</formatCode>
                <ptCount val="54"/>
                <pt idx="0">
                  <v>1264244</v>
                </pt>
                <pt idx="1">
                  <v>1259159</v>
                </pt>
                <pt idx="2">
                  <v>1230520</v>
                </pt>
                <pt idx="3">
                  <v>1199561</v>
                </pt>
                <pt idx="4">
                  <v>1208699</v>
                </pt>
                <pt idx="5">
                  <v>1192911</v>
                </pt>
                <pt idx="6">
                  <v>1206630</v>
                </pt>
                <pt idx="7">
                  <v>1176896</v>
                </pt>
                <pt idx="8">
                  <v>1125304</v>
                </pt>
                <pt idx="9">
                  <v>1082452</v>
                </pt>
                <pt idx="10">
                  <v>1109364</v>
                </pt>
                <pt idx="11">
                  <v>1108189</v>
                </pt>
                <pt idx="12">
                  <v>1126868</v>
                </pt>
                <pt idx="13">
                  <v>1106343</v>
                </pt>
                <pt idx="14">
                  <v>1134005</v>
                </pt>
                <pt idx="15">
                  <v>1142230</v>
                </pt>
                <pt idx="16">
                  <v>1132162</v>
                </pt>
                <pt idx="17">
                  <v>1126104</v>
                </pt>
                <pt idx="18">
                  <v>1130301</v>
                </pt>
                <pt idx="19">
                  <v>1132621</v>
                </pt>
                <pt idx="20">
                  <v>1120048</v>
                </pt>
                <pt idx="21">
                  <v>1117193</v>
                </pt>
                <pt idx="22">
                  <v>1146719</v>
                </pt>
                <pt idx="23">
                  <v>1170437</v>
                </pt>
                <pt idx="24">
                  <v>1169506</v>
                </pt>
                <pt idx="25">
                  <v>1158491</v>
                </pt>
                <pt idx="26">
                  <v>1163521</v>
                </pt>
                <pt idx="27">
                  <v>1149316</v>
                </pt>
                <pt idx="28">
                  <v>1100113</v>
                </pt>
                <pt idx="29">
                  <v>1100691</v>
                </pt>
                <pt idx="30">
                  <v>1084573</v>
                </pt>
                <pt idx="31">
                  <v>1097528</v>
                </pt>
                <pt idx="32">
                  <v>1112931</v>
                </pt>
                <pt idx="33">
                  <v>1095601</v>
                </pt>
                <pt idx="34">
                  <v>1099052</v>
                </pt>
                <pt idx="35">
                  <v>1092306</v>
                </pt>
                <pt idx="36">
                  <v>1096788</v>
                </pt>
                <pt idx="37">
                  <v>1108410</v>
                </pt>
                <pt idx="38">
                  <v>1118981</v>
                </pt>
                <pt idx="39">
                  <v>1136746</v>
                </pt>
                <pt idx="40">
                  <v>1137098</v>
                </pt>
                <pt idx="41">
                  <v>1151692</v>
                </pt>
                <pt idx="42">
                  <v>1143537</v>
                </pt>
                <pt idx="43">
                  <v>1158765</v>
                </pt>
                <pt idx="44">
                  <v>1165059</v>
                </pt>
                <pt idx="45">
                  <v>1166724</v>
                </pt>
                <pt idx="46">
                  <v>1173675</v>
                </pt>
                <pt idx="47">
                  <v>1180501</v>
                </pt>
                <pt idx="48">
                  <v>1186456</v>
                </pt>
                <pt idx="49">
                  <v>1196112</v>
                </pt>
                <pt idx="50">
                  <v>1177804</v>
                </pt>
                <pt idx="51">
                  <v>1185242</v>
                </pt>
                <pt idx="52">
                  <v>1109822</v>
                </pt>
                <pt idx="53">
                  <v>1106270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20108480"/>
        <axId val="1620108928"/>
      </lineChart>
      <dateAx>
        <axId val="1620108480"/>
        <scaling>
          <orientation val="minMax"/>
        </scaling>
        <delete val="0"/>
        <axPos val="b"/>
        <numFmt formatCode="[$-409]mmm\-yy;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1620108928"/>
        <crosses val="autoZero"/>
        <lblOffset val="100"/>
        <baseTimeUnit val="months"/>
      </dateAx>
      <valAx>
        <axId val="16201089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162010848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</a:t>
            </a:r>
            <a:r>
              <a:rPr lang="en-US" baseline="0"/>
              <a:t xml:space="preserve"> FX RESERVE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CH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 RESERVE DATA'!$B$2:$BD$2</f>
              <numCache>
                <formatCode>[$-409]mmm\-yy;@</formatCode>
                <ptCount val="55"/>
                <pt idx="0">
                  <v>44562</v>
                </pt>
                <pt idx="1">
                  <v>44593</v>
                </pt>
                <pt idx="2">
                  <v>44621</v>
                </pt>
                <pt idx="3">
                  <v>44652</v>
                </pt>
                <pt idx="4">
                  <v>44682</v>
                </pt>
                <pt idx="5">
                  <v>44713</v>
                </pt>
                <pt idx="6">
                  <v>44743</v>
                </pt>
                <pt idx="7">
                  <v>44774</v>
                </pt>
                <pt idx="8">
                  <v>44805</v>
                </pt>
                <pt idx="9">
                  <v>44835</v>
                </pt>
                <pt idx="10">
                  <v>44866</v>
                </pt>
                <pt idx="11">
                  <v>44896</v>
                </pt>
                <pt idx="12">
                  <v>44927</v>
                </pt>
                <pt idx="13">
                  <v>44958</v>
                </pt>
                <pt idx="14">
                  <v>44986</v>
                </pt>
                <pt idx="15">
                  <v>45017</v>
                </pt>
                <pt idx="16">
                  <v>45047</v>
                </pt>
                <pt idx="17">
                  <v>45078</v>
                </pt>
                <pt idx="18">
                  <v>45108</v>
                </pt>
                <pt idx="19">
                  <v>45139</v>
                </pt>
                <pt idx="20">
                  <v>45170</v>
                </pt>
                <pt idx="21">
                  <v>45200</v>
                </pt>
                <pt idx="22">
                  <v>45231</v>
                </pt>
                <pt idx="23">
                  <v>45261</v>
                </pt>
                <pt idx="24">
                  <v>45292</v>
                </pt>
                <pt idx="25">
                  <v>45323</v>
                </pt>
                <pt idx="26">
                  <v>45352</v>
                </pt>
                <pt idx="27">
                  <v>45383</v>
                </pt>
                <pt idx="28">
                  <v>45413</v>
                </pt>
                <pt idx="29">
                  <v>45444</v>
                </pt>
                <pt idx="30">
                  <v>45474</v>
                </pt>
                <pt idx="31">
                  <v>45505</v>
                </pt>
                <pt idx="32">
                  <v>45536</v>
                </pt>
                <pt idx="33">
                  <v>45566</v>
                </pt>
                <pt idx="34">
                  <v>45597</v>
                </pt>
                <pt idx="35">
                  <v>45627</v>
                </pt>
                <pt idx="36">
                  <v>45658</v>
                </pt>
                <pt idx="37">
                  <v>45689</v>
                </pt>
                <pt idx="38">
                  <v>45717</v>
                </pt>
                <pt idx="39">
                  <v>45748</v>
                </pt>
                <pt idx="40">
                  <v>45778</v>
                </pt>
                <pt idx="41">
                  <v>45809</v>
                </pt>
                <pt idx="42">
                  <v>45839</v>
                </pt>
                <pt idx="43">
                  <v>45870</v>
                </pt>
                <pt idx="44">
                  <v>45901</v>
                </pt>
                <pt idx="45">
                  <v>45931</v>
                </pt>
                <pt idx="46">
                  <v>45962</v>
                </pt>
                <pt idx="47">
                  <v>45992</v>
                </pt>
                <pt idx="48">
                  <v>46023</v>
                </pt>
                <pt idx="49">
                  <v>46054</v>
                </pt>
                <pt idx="50">
                  <v>46082</v>
                </pt>
                <pt idx="51">
                  <v>46113</v>
                </pt>
                <pt idx="52">
                  <v>46143</v>
                </pt>
                <pt idx="53">
                  <v>46174</v>
                </pt>
                <pt idx="54">
                  <v>46204</v>
                </pt>
              </numCache>
            </numRef>
          </cat>
          <val>
            <numRef>
              <f>'FX RESERVE DATA'!$B$9:$BD$9</f>
              <numCache>
                <formatCode>_(* #,##0.00_);_(* \(#,##0.00\);_(* "-"??_);_(@_)</formatCode>
                <ptCount val="55"/>
                <pt idx="0">
                  <v>40353.1706343</v>
                </pt>
                <pt idx="1">
                  <v>40387.91233823</v>
                </pt>
                <pt idx="2">
                  <v>39252.16693201</v>
                </pt>
                <pt idx="3">
                  <v>37053.6449655</v>
                </pt>
                <pt idx="4">
                  <v>37610.20996898</v>
                </pt>
                <pt idx="5">
                  <v>36273.38946662</v>
                </pt>
                <pt idx="6">
                  <v>35946.73222559</v>
                </pt>
                <pt idx="7">
                  <v>35098.67703565</v>
                </pt>
                <pt idx="8">
                  <v>33935.23095782</v>
                </pt>
                <pt idx="9">
                  <v>33821.29593925</v>
                </pt>
                <pt idx="10">
                  <v>35619.66883589</v>
                </pt>
                <pt idx="11">
                  <v>37208.74576442</v>
                </pt>
                <pt idx="12">
                  <v>37755.47393437</v>
                </pt>
                <pt idx="13">
                  <v>36604.92785976</v>
                </pt>
                <pt idx="14">
                  <v>37565.90131096</v>
                </pt>
                <pt idx="15">
                  <v>37627.61025502</v>
                </pt>
                <pt idx="16">
                  <v>36459.00778346</v>
                </pt>
                <pt idx="17">
                  <v>36643.74220231</v>
                </pt>
                <pt idx="18">
                  <v>37113.84672743</v>
                </pt>
                <pt idx="19">
                  <v>36448.63040606</v>
                </pt>
                <pt idx="20">
                  <v>35613.44049191</v>
                </pt>
                <pt idx="21">
                  <v>35213.51851156</v>
                </pt>
                <pt idx="22">
                  <v>36302.62920906</v>
                </pt>
                <pt idx="23">
                  <v>37316.47510716</v>
                </pt>
                <pt idx="24">
                  <v>36438.87507382</v>
                </pt>
                <pt idx="25">
                  <v>36076.82077669</v>
                </pt>
                <pt idx="26">
                  <v>35990.21997202</v>
                </pt>
                <pt idx="27">
                  <v>35315.93278575</v>
                </pt>
                <pt idx="28">
                  <v>35757.62326922</v>
                </pt>
                <pt idx="29">
                  <v>35242.83033745</v>
                </pt>
                <pt idx="30">
                  <v>36357.41521491</v>
                </pt>
                <pt idx="31">
                  <v>37318.04468939</v>
                </pt>
                <pt idx="32">
                  <v>37804.75176061</v>
                </pt>
                <pt idx="33">
                  <v>36337.08362313</v>
                </pt>
                <pt idx="34">
                  <v>35805.15424931</v>
                </pt>
                <pt idx="35">
                  <v>34865.01050114</v>
                </pt>
                <pt idx="36">
                  <v>35207.94773533</v>
                </pt>
                <pt idx="37">
                  <v>35597.6823772</v>
                </pt>
                <pt idx="38">
                  <v>36586.62591363</v>
                </pt>
                <pt idx="39">
                  <v>38564.76410934</v>
                </pt>
                <pt idx="40">
                  <v>38470.27614904</v>
                </pt>
                <pt idx="41">
                  <v>39471.18061713</v>
                </pt>
                <pt idx="42">
                  <v>38203.04627605</v>
                </pt>
                <pt idx="43">
                  <v>39161.13716393</v>
                </pt>
                <pt idx="44">
                  <v>39204.55350656</v>
                </pt>
                <pt idx="45">
                  <v>38314.05628077</v>
                </pt>
                <pt idx="46">
                  <v>38330</v>
                </pt>
                <pt idx="47">
                  <v>38641</v>
                </pt>
                <pt idx="48">
                  <v>39222.2289</v>
                </pt>
                <pt idx="49">
                  <v>38992.34</v>
                </pt>
                <pt idx="50">
                  <v>38121</v>
                </pt>
                <pt idx="51">
                  <v>38121</v>
                </pt>
                <pt idx="52">
                  <v>39000</v>
                </pt>
                <pt idx="53">
                  <v>38591</v>
                </pt>
                <pt idx="54">
                  <v>38992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19344704"/>
        <axId val="1583163456"/>
      </lineChart>
      <dateAx>
        <axId val="1619344704"/>
        <scaling>
          <orientation val="minMax"/>
        </scaling>
        <delete val="0"/>
        <axPos val="b"/>
        <numFmt formatCode="[$-409]mmm\-yy;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1583163456"/>
        <crosses val="autoZero"/>
        <lblOffset val="100"/>
        <baseTimeUnit val="months"/>
      </dateAx>
      <valAx>
        <axId val="1583163456"/>
        <scaling>
          <orientation val="minMax"/>
          <max val="45000"/>
          <min val="3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CH"/>
          </a:p>
        </txPr>
        <crossAx val="1619344704"/>
        <crosses val="autoZero"/>
        <crossBetween val="between"/>
        <majorUnit val="5000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money market interest rate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790962997805155"/>
          <y val="0.1003678943252868"/>
          <w val="0.8208629093612257"/>
          <h val="0.7703161147170245"/>
        </manualLayout>
      </layout>
      <lineChart>
        <grouping val="standard"/>
        <varyColors val="0"/>
        <ser>
          <idx val="0"/>
          <order val="0"/>
          <tx>
            <strRef>
              <f>'Interest Rates data'!$B$3</f>
              <strCache>
                <ptCount val="1"/>
                <pt idx="0">
                  <v>Australia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data'!$O$3:$S$3</f>
              <numCache>
                <formatCode>0.00</formatCode>
                <ptCount val="5"/>
                <pt idx="0">
                  <v>4.35</v>
                </pt>
                <pt idx="1">
                  <v>4.35</v>
                </pt>
                <pt idx="2">
                  <v>4.35</v>
                </pt>
                <pt idx="3">
                  <v>4.35</v>
                </pt>
                <pt idx="4">
                  <v>4.35</v>
                </pt>
              </numCache>
            </numRef>
          </val>
          <smooth val="0"/>
        </ser>
        <ser>
          <idx val="1"/>
          <order val="1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3"/>
          <order val="3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5"/>
          <order val="5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6"/>
          <order val="6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7"/>
          <order val="7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8"/>
          <order val="8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9"/>
          <order val="9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0"/>
          <order val="10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1"/>
          <order val="11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2"/>
          <order val="12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3"/>
          <order val="13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4"/>
          <order val="14"/>
          <tx>
            <strRef>
              <f>'Interest Rates data'!#REF!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'Interest Rates data'!$O$2:$S$2</f>
              <numCache>
                <formatCode>m/d/yy</formatCode>
                <ptCount val="5"/>
                <pt idx="0">
                  <v>45292</v>
                </pt>
                <pt idx="1">
                  <v>45323</v>
                </pt>
                <pt idx="2">
                  <v>45352</v>
                </pt>
                <pt idx="3">
                  <v>45383</v>
                </pt>
                <pt idx="4">
                  <v>45413</v>
                </pt>
              </numCache>
            </numRef>
          </cat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14462160"/>
        <axId val="614461072"/>
      </lineChart>
      <dateAx>
        <axId val="614462160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S"/>
          </a:p>
        </txPr>
        <crossAx val="614461072"/>
        <crosses val="autoZero"/>
        <lblOffset val="100"/>
        <baseTimeUnit val="months"/>
      </dateAx>
      <valAx>
        <axId val="614461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S"/>
          </a:p>
        </txPr>
        <crossAx val="6144621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interest</a:t>
            </a:r>
            <a:r>
              <a:rPr lang="fr-FR" baseline="0"/>
              <a:t xml:space="preserve"> rates</a:t>
            </a:r>
            <a:endParaRPr lang="fr-F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974746610602996"/>
          <y val="0.1212426532325777"/>
          <w val="0.6613129748152275"/>
          <h val="0.8049370277078086"/>
        </manualLayout>
      </layout>
      <barChart>
        <barDir val="bar"/>
        <grouping val="clustered"/>
        <varyColors val="0"/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614459984"/>
        <axId val="614444752"/>
      </barChart>
      <catAx>
        <axId val="614459984"/>
        <scaling>
          <orientation val="minMax"/>
        </scaling>
        <delete val="1"/>
        <axPos val="l"/>
        <numFmt formatCode="m/d/yy" sourceLinked="1"/>
        <majorTickMark val="out"/>
        <minorTickMark val="none"/>
        <tickLblPos val="nextTo"/>
        <crossAx val="614444752"/>
        <crosses val="autoZero"/>
        <auto val="1"/>
        <lblAlgn val="ctr"/>
        <lblOffset val="100"/>
        <noMultiLvlLbl val="1"/>
      </catAx>
      <valAx>
        <axId val="61444475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S"/>
          </a:p>
        </txPr>
        <crossAx val="614459984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679964212618219"/>
          <y val="0.1036656815882901"/>
          <w val="0.2077614886989669"/>
          <h val="0.812987320246941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money market interest rate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790962997805155"/>
          <y val="0.1003678943252868"/>
          <w val="0.8208629093612257"/>
          <h val="0.7703161147170245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'Interest Rates data'!#REF!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14462160"/>
        <axId val="614461072"/>
      </lineChart>
      <catAx>
        <axId val="614462160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S"/>
          </a:p>
        </txPr>
        <crossAx val="614461072"/>
        <crosses val="autoZero"/>
        <auto val="1"/>
        <lblAlgn val="ctr"/>
        <lblOffset val="100"/>
        <noMultiLvlLbl val="1"/>
      </catAx>
      <valAx>
        <axId val="614461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ES"/>
          </a:p>
        </txPr>
        <crossAx val="6144621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 xml:space="preserve">E: Estimated value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twoCellAnchor>
    <from>
      <col>330</col>
      <colOff>104775</colOff>
      <row>15</row>
      <rowOff>19050</rowOff>
    </from>
    <to>
      <col>337</col>
      <colOff>733425</colOff>
      <row>40</row>
      <rowOff>28574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338</col>
      <colOff>33420</colOff>
      <row>10</row>
      <rowOff>211667</rowOff>
    </from>
    <to>
      <col>348</col>
      <colOff>256229</colOff>
      <row>39</row>
      <rowOff>144825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158750</colOff>
      <row>61</row>
      <rowOff>63500</rowOff>
    </from>
    <to>
      <col>49</col>
      <colOff>31750</colOff>
      <row>112</row>
      <rowOff>31750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49</col>
      <colOff>95248</colOff>
      <row>61</row>
      <rowOff>12700</rowOff>
    </from>
    <to>
      <col>61</col>
      <colOff>558800</colOff>
      <row>111</row>
      <rowOff>135467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228600</colOff>
      <row>67</row>
      <rowOff>25400</rowOff>
    </from>
    <to>
      <col>24</col>
      <colOff>889000</colOff>
      <row>115</row>
      <rowOff>50800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228600</colOff>
      <row>89</row>
      <rowOff>25400</rowOff>
    </from>
    <to>
      <col>36</col>
      <colOff>889000</colOff>
      <row>137</row>
      <rowOff>50800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65</col>
      <colOff>684069</colOff>
      <row>2</row>
      <rowOff>316923</rowOff>
    </from>
    <to>
      <col>75</col>
      <colOff>245342</colOff>
      <row>16</row>
      <rowOff>101023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65</col>
      <colOff>549851</colOff>
      <row>17</row>
      <rowOff>28286</rowOff>
    </from>
    <to>
      <col>75</col>
      <colOff>173180</colOff>
      <row>29</row>
      <rowOff>187614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76</col>
      <colOff>208785</colOff>
      <row>8</row>
      <rowOff>64266</rowOff>
    </from>
    <to>
      <col>88</col>
      <colOff>396109</colOff>
      <row>17</row>
      <rowOff>175392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58</col>
      <colOff>333374</colOff>
      <row>8</row>
      <rowOff>-1</rowOff>
    </from>
    <to>
      <col>68</col>
      <colOff>263525</colOff>
      <row>19</row>
      <rowOff>92074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79</col>
      <colOff>208785</colOff>
      <row>16</row>
      <rowOff>64266</rowOff>
    </from>
    <to>
      <col>91</col>
      <colOff>396109</colOff>
      <row>25</row>
      <rowOff>175392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tats.oecd.org/index.aspx?queryid=350" TargetMode="External" Id="rId1"/><Relationship Type="http://schemas.openxmlformats.org/officeDocument/2006/relationships/hyperlink" Target="http://stats.oecd.org/OECDStat_Metadata/ShowMetadata.ashx?Dataset=QNA&amp;Coords=%5bLOCATION%5d.%5bAUS%5d&amp;ShowOnWeb=true&amp;Lang=en" TargetMode="External" Id="rId2"/><Relationship Type="http://schemas.openxmlformats.org/officeDocument/2006/relationships/hyperlink" Target="http://stats.oecd.org/OECDStat_Metadata/ShowMetadata.ashx?Dataset=QNA&amp;Coords=%5bLOCATION%5d.%5bCAN%5d&amp;ShowOnWeb=true&amp;Lang=en" TargetMode="External" Id="rId3"/><Relationship Type="http://schemas.openxmlformats.org/officeDocument/2006/relationships/hyperlink" Target="http://stats.oecd.org/OECDStat_Metadata/ShowMetadata.ashx?Dataset=QNA&amp;Coords=%5bLOCATION%5d.%5bJPN%5d&amp;ShowOnWeb=true&amp;Lang=en" TargetMode="External" Id="rId4"/><Relationship Type="http://schemas.openxmlformats.org/officeDocument/2006/relationships/hyperlink" Target="http://stats.oecd.org/OECDStat_Metadata/ShowMetadata.ashx?Dataset=QNA&amp;Coords=%5bLOCATION%5d.%5bNZL%5d&amp;ShowOnWeb=true&amp;Lang=en" TargetMode="External" Id="rId5"/><Relationship Type="http://schemas.openxmlformats.org/officeDocument/2006/relationships/hyperlink" Target="http://stats.oecd.org/OECDStat_Metadata/ShowMetadata.ashx?Dataset=QNA&amp;Coords=%5bLOCATION%5d.%5bCHE%5d&amp;ShowOnWeb=true&amp;Lang=en" TargetMode="External" Id="rId6"/><Relationship Type="http://schemas.openxmlformats.org/officeDocument/2006/relationships/hyperlink" Target="http://stats.oecd.org/OECDStat_Metadata/ShowMetadata.ashx?Dataset=QNA&amp;Coords=%5bLOCATION%5d.%5bGBR%5d&amp;ShowOnWeb=true&amp;Lang=en" TargetMode="External" Id="rId7"/><Relationship Type="http://schemas.openxmlformats.org/officeDocument/2006/relationships/hyperlink" Target="http://stats.oecd.org/OECDStat_Metadata/ShowMetadata.ashx?Dataset=QNA&amp;Coords=%5bLOCATION%5d.%5bUSA%5d&amp;ShowOnWeb=true&amp;Lang=en" TargetMode="External" Id="rId8"/><Relationship Type="http://schemas.openxmlformats.org/officeDocument/2006/relationships/hyperlink" Target="http://stats.oecd.org/OECDStat_Metadata/ShowMetadata.ashx?Dataset=QNA&amp;Coords=%5bLOCATION%5d.%5bEA19%5d&amp;ShowOnWeb=true&amp;Lang=en" TargetMode="External" Id="rId9"/><Relationship Type="http://schemas.openxmlformats.org/officeDocument/2006/relationships/drawing" Target="/xl/drawings/drawing1.xml" Id="rId1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data.imf.org/?sk=4FFB52B2-3653-409A-B471-D47B46D904B5&amp;sId=1485878855236" TargetMode="External" Id="rId1"/><Relationship Type="http://schemas.openxmlformats.org/officeDocument/2006/relationships/hyperlink" Target="https://fred.stlouisfed.org/series/EU28CPALTT01GYM" TargetMode="External" Id="rId2"/><Relationship Type="http://schemas.openxmlformats.org/officeDocument/2006/relationships/drawing" Target="/xl/drawings/drawing2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data.imf.org/?sk=4FFB52B2-3653-409A-B471-D47B46D904B5&amp;sId=1485878855236" TargetMode="External" Id="rId1"/><Relationship Type="http://schemas.openxmlformats.org/officeDocument/2006/relationships/hyperlink" Target="https://fred.stlouisfed.org/series/EU28CPALTT01GY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data.imf.org/?sk=4FFB52B2-3653-409A-B471-D47B46D904B5&amp;sId=1485878855236" TargetMode="External" Id="rId1"/><Relationship Type="http://schemas.openxmlformats.org/officeDocument/2006/relationships/hyperlink" Target="https://fred.stlouisfed.org/series/EU28CPALTT01GYM" TargetMode="External" Id="rId2"/><Relationship Type="http://schemas.openxmlformats.org/officeDocument/2006/relationships/hyperlink" Target="https://data.imf.org/?sk=4FFB52B2-3653-409A-B471-D47B46D904B5&amp;sId=1485878855236" TargetMode="External" Id="rId3"/><Relationship Type="http://schemas.openxmlformats.org/officeDocument/2006/relationships/hyperlink" Target="https://fred.stlouisfed.org/series/EU28CPALTT01GYM" TargetMode="External" Id="rId4"/><Relationship Type="http://schemas.openxmlformats.org/officeDocument/2006/relationships/hyperlink" Target="https://data.imf.org/?sk=4FFB52B2-3653-409A-B471-D47B46D904B5&amp;sId=1485878855236" TargetMode="External" Id="rId5"/><Relationship Type="http://schemas.openxmlformats.org/officeDocument/2006/relationships/hyperlink" Target="https://fred.stlouisfed.org/series/EU28CPALTT01GYM" TargetMode="External" Id="rId6"/><Relationship Type="http://schemas.openxmlformats.org/officeDocument/2006/relationships/drawing" Target="/xl/drawings/drawing3.xm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fred.stlouisfed.org/series/EU28CPALTT01GYM" TargetMode="External" Id="rId1"/><Relationship Type="http://schemas.openxmlformats.org/officeDocument/2006/relationships/drawing" Target="/xl/drawings/drawing4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60"/>
  <sheetViews>
    <sheetView zoomScale="162" zoomScaleNormal="60" workbookViewId="0">
      <pane xSplit="1" ySplit="1" topLeftCell="AO2" activePane="bottomRight" state="frozen"/>
      <selection pane="topRight" activeCell="B1" sqref="B1"/>
      <selection pane="bottomLeft" activeCell="A2" sqref="A2"/>
      <selection pane="bottomRight" activeCell="AP6" sqref="AP6"/>
    </sheetView>
  </sheetViews>
  <sheetFormatPr baseColWidth="10" defaultColWidth="11.5" defaultRowHeight="13"/>
  <cols>
    <col width="22.5" customWidth="1" style="82" min="1" max="1"/>
    <col width="11.5" customWidth="1" style="82" min="2" max="2"/>
    <col width="11.33203125" customWidth="1" style="82" min="3" max="3"/>
    <col width="11.5" customWidth="1" style="82" min="4" max="281"/>
    <col width="11.5" customWidth="1" style="104" min="282" max="282"/>
    <col width="11.5" customWidth="1" style="82" min="283" max="16384"/>
  </cols>
  <sheetData>
    <row r="1" ht="14" customHeight="1">
      <c r="A1" s="81" t="inlineStr">
        <is>
          <t>country</t>
        </is>
      </c>
      <c r="B1" s="287" t="n">
        <v>44927</v>
      </c>
      <c r="C1" s="287" t="n">
        <v>44958</v>
      </c>
      <c r="D1" s="287" t="n">
        <v>44986</v>
      </c>
      <c r="E1" s="287" t="n">
        <v>45017</v>
      </c>
      <c r="F1" s="287" t="n">
        <v>45047</v>
      </c>
      <c r="G1" s="287" t="n">
        <v>45078</v>
      </c>
      <c r="H1" s="287" t="n">
        <v>45108</v>
      </c>
      <c r="I1" s="287" t="n">
        <v>45139</v>
      </c>
      <c r="J1" s="287" t="n">
        <v>45170</v>
      </c>
      <c r="K1" s="287" t="n">
        <v>45200</v>
      </c>
      <c r="L1" s="287" t="n">
        <v>45231</v>
      </c>
      <c r="M1" s="287" t="n">
        <v>45261</v>
      </c>
      <c r="N1" s="287" t="n">
        <v>45292</v>
      </c>
      <c r="O1" s="287" t="n">
        <v>45323</v>
      </c>
      <c r="P1" s="287" t="n">
        <v>45352</v>
      </c>
      <c r="Q1" s="287" t="n">
        <v>45383</v>
      </c>
      <c r="R1" s="287" t="n">
        <v>45413</v>
      </c>
      <c r="S1" s="287" t="n">
        <v>45444</v>
      </c>
      <c r="T1" s="287" t="n">
        <v>45474</v>
      </c>
      <c r="U1" s="287" t="n">
        <v>45505</v>
      </c>
      <c r="V1" s="287" t="n">
        <v>45536</v>
      </c>
      <c r="W1" s="287" t="n">
        <v>45566</v>
      </c>
      <c r="X1" s="287" t="n">
        <v>45597</v>
      </c>
      <c r="Y1" s="287" t="n">
        <v>45627</v>
      </c>
      <c r="Z1" s="287" t="n">
        <v>45658</v>
      </c>
      <c r="AA1" s="287" t="n">
        <v>45689</v>
      </c>
      <c r="AB1" s="287" t="n">
        <v>45717</v>
      </c>
      <c r="AC1" s="287" t="n">
        <v>45748</v>
      </c>
      <c r="AD1" s="287" t="n">
        <v>45778</v>
      </c>
      <c r="AE1" s="287" t="n">
        <v>45809</v>
      </c>
      <c r="AF1" s="287" t="n">
        <v>45839</v>
      </c>
      <c r="AG1" s="287" t="n">
        <v>45870</v>
      </c>
      <c r="AH1" s="287" t="n">
        <v>45901</v>
      </c>
      <c r="AI1" s="287" t="n">
        <v>45931</v>
      </c>
      <c r="AJ1" s="287" t="n">
        <v>45962</v>
      </c>
      <c r="AK1" s="287" t="n">
        <v>45992</v>
      </c>
      <c r="AL1" s="287" t="n">
        <v>46023</v>
      </c>
      <c r="AM1" s="287" t="n">
        <v>46054</v>
      </c>
      <c r="AN1" s="287" t="n">
        <v>46082</v>
      </c>
      <c r="AO1" s="287" t="n">
        <v>46113</v>
      </c>
      <c r="AP1" s="287" t="n">
        <v>46143</v>
      </c>
      <c r="AQ1" s="287" t="n">
        <v>46174</v>
      </c>
      <c r="AR1" s="287" t="n">
        <v>46204</v>
      </c>
      <c r="AS1" s="287" t="n">
        <v>46235</v>
      </c>
      <c r="AT1" s="287" t="n">
        <v>46266</v>
      </c>
      <c r="AU1" s="287" t="n">
        <v>46296</v>
      </c>
      <c r="AV1" s="287" t="n">
        <v>46327</v>
      </c>
      <c r="AW1" s="287" t="n">
        <v>46357</v>
      </c>
      <c r="JV1" s="82" t="n"/>
    </row>
    <row r="2" ht="25" customHeight="1">
      <c r="A2" s="83" t="inlineStr">
        <is>
          <t>Australia</t>
        </is>
      </c>
      <c r="B2" s="288" t="n">
        <v>2.8</v>
      </c>
      <c r="C2" s="288" t="n">
        <v>2.8</v>
      </c>
      <c r="D2" s="288" t="n">
        <v>2.8</v>
      </c>
      <c r="E2" s="288" t="n">
        <v>2.2</v>
      </c>
      <c r="F2" s="288" t="n">
        <v>2.2</v>
      </c>
      <c r="G2" s="288" t="n">
        <v>2.2</v>
      </c>
      <c r="H2" s="288" t="n">
        <v>2.2</v>
      </c>
      <c r="I2" s="288" t="n">
        <v>2.2</v>
      </c>
      <c r="J2" s="288" t="n">
        <v>2.2</v>
      </c>
      <c r="K2" s="288" t="n">
        <v>1.3</v>
      </c>
      <c r="L2" s="288" t="n">
        <v>1.3</v>
      </c>
      <c r="M2" s="288" t="n">
        <v>1.3</v>
      </c>
      <c r="N2" s="288" t="n">
        <v>1.1</v>
      </c>
      <c r="O2" s="288" t="n">
        <v>1.1</v>
      </c>
      <c r="P2" s="288" t="n">
        <v>1.1</v>
      </c>
      <c r="Q2" s="288" t="n">
        <v>0.9</v>
      </c>
      <c r="R2" s="288" t="n">
        <v>0.9</v>
      </c>
      <c r="S2" s="288" t="n">
        <v>0.9</v>
      </c>
      <c r="T2" s="288" t="n">
        <v>0.8</v>
      </c>
      <c r="U2" s="288" t="n">
        <v>0.8</v>
      </c>
      <c r="V2" s="288" t="n">
        <v>0.8</v>
      </c>
      <c r="W2" s="288" t="n">
        <v>1.2</v>
      </c>
      <c r="X2" s="288" t="n">
        <v>1.2</v>
      </c>
      <c r="Y2" s="288" t="n">
        <v>1.2</v>
      </c>
      <c r="Z2" s="288" t="n">
        <v>1.3</v>
      </c>
      <c r="AA2" s="288" t="n">
        <v>1.3</v>
      </c>
      <c r="AB2" s="288" t="n">
        <v>1.3</v>
      </c>
      <c r="AC2" s="288" t="n">
        <v>1.9</v>
      </c>
      <c r="AD2" s="288" t="n">
        <v>1.9</v>
      </c>
      <c r="AE2" s="288" t="n">
        <v>1.9</v>
      </c>
      <c r="AF2" s="288" t="n">
        <v>2.1</v>
      </c>
      <c r="AG2" s="288" t="n">
        <v>2.1</v>
      </c>
      <c r="AH2" s="288" t="n">
        <v>2.1</v>
      </c>
      <c r="AI2" s="289" t="n">
        <v>2.6</v>
      </c>
      <c r="AJ2" s="289" t="n">
        <v>2.6</v>
      </c>
      <c r="AK2" s="289" t="n">
        <v>2.6</v>
      </c>
      <c r="AL2" s="289" t="n">
        <v>2.5</v>
      </c>
      <c r="AM2" s="289" t="n">
        <v>2.5</v>
      </c>
      <c r="AN2" s="289" t="n">
        <v>2.5</v>
      </c>
      <c r="AO2" s="290" t="n">
        <v>2.1</v>
      </c>
      <c r="AP2" s="290" t="n">
        <v>2.1</v>
      </c>
      <c r="AQ2" s="290" t="n">
        <v>2.1</v>
      </c>
      <c r="AR2" s="290" t="n">
        <v>2.1</v>
      </c>
      <c r="AS2" s="290" t="n">
        <v>2.1</v>
      </c>
      <c r="AT2" s="290" t="n">
        <v>2.1</v>
      </c>
      <c r="AU2" s="290" t="n">
        <v>1.5</v>
      </c>
      <c r="AV2" s="290" t="n">
        <v>1.5</v>
      </c>
      <c r="AW2" s="290" t="n">
        <v>1.5</v>
      </c>
      <c r="AY2" s="87" t="inlineStr">
        <is>
          <t>Valeur</t>
        </is>
      </c>
      <c r="AZ2" s="87" t="inlineStr">
        <is>
          <t>rating</t>
        </is>
      </c>
      <c r="JV2" s="82" t="n"/>
    </row>
    <row r="3" ht="25" customHeight="1">
      <c r="A3" s="83" t="inlineStr">
        <is>
          <t>Canada</t>
        </is>
      </c>
      <c r="B3" s="88" t="n">
        <v>3.1</v>
      </c>
      <c r="C3" s="88" t="n">
        <v>3.1</v>
      </c>
      <c r="D3" s="88" t="n">
        <v>3.1</v>
      </c>
      <c r="E3" s="88" t="n">
        <v>2.1</v>
      </c>
      <c r="F3" s="88" t="n">
        <v>2.1</v>
      </c>
      <c r="G3" s="88" t="n">
        <v>2.1</v>
      </c>
      <c r="H3" s="88" t="n">
        <v>1.3</v>
      </c>
      <c r="I3" s="88" t="n">
        <v>1.3</v>
      </c>
      <c r="J3" s="88" t="n">
        <v>1.3</v>
      </c>
      <c r="K3" s="88" t="n">
        <v>1.3</v>
      </c>
      <c r="L3" s="88" t="n">
        <v>1.3</v>
      </c>
      <c r="M3" s="88" t="n">
        <v>1.3</v>
      </c>
      <c r="N3" s="88" t="n">
        <v>1</v>
      </c>
      <c r="O3" s="88" t="n">
        <v>1</v>
      </c>
      <c r="P3" s="88" t="n">
        <v>1</v>
      </c>
      <c r="Q3" s="88" t="n">
        <v>1.7</v>
      </c>
      <c r="R3" s="88" t="n">
        <v>1.7</v>
      </c>
      <c r="S3" s="88" t="n">
        <v>1.7</v>
      </c>
      <c r="T3" s="88" t="n">
        <v>2.4</v>
      </c>
      <c r="U3" s="88" t="n">
        <v>2.4</v>
      </c>
      <c r="V3" s="88" t="n">
        <v>2.4</v>
      </c>
      <c r="W3" s="88" t="n">
        <v>3.1</v>
      </c>
      <c r="X3" s="88" t="n">
        <v>3.1</v>
      </c>
      <c r="Y3" s="88" t="n">
        <v>3.1</v>
      </c>
      <c r="Z3" s="88" t="n">
        <v>3.1</v>
      </c>
      <c r="AA3" s="88" t="n">
        <v>3.1</v>
      </c>
      <c r="AB3" s="88" t="n">
        <v>3.1</v>
      </c>
      <c r="AC3" s="88" t="n">
        <v>2</v>
      </c>
      <c r="AD3" s="88" t="n">
        <v>2</v>
      </c>
      <c r="AE3" s="88" t="n">
        <v>2</v>
      </c>
      <c r="AF3" s="88" t="n">
        <v>1.7</v>
      </c>
      <c r="AG3" s="88" t="n">
        <v>1.7</v>
      </c>
      <c r="AH3" s="88" t="n">
        <v>1.7</v>
      </c>
      <c r="AI3" s="88" t="n">
        <v>0.7</v>
      </c>
      <c r="AJ3" s="88" t="n">
        <v>0.7</v>
      </c>
      <c r="AK3" s="88" t="n">
        <v>0.7</v>
      </c>
      <c r="AL3" s="88" t="n">
        <v>0.1</v>
      </c>
      <c r="AM3" s="88" t="n">
        <v>0.1</v>
      </c>
      <c r="AN3" s="88" t="n">
        <v>0.1</v>
      </c>
      <c r="AO3" s="88" t="n">
        <v>1.1</v>
      </c>
      <c r="AP3" s="88" t="n">
        <v>1.1</v>
      </c>
      <c r="AQ3" s="88" t="n">
        <v>1.1</v>
      </c>
      <c r="AR3" s="89" t="n">
        <v>0.9</v>
      </c>
      <c r="AS3" s="89" t="n">
        <v>0.9</v>
      </c>
      <c r="AT3" s="89" t="n">
        <v>0.9</v>
      </c>
      <c r="AU3" s="89" t="n">
        <v>1.5</v>
      </c>
      <c r="AV3" s="89" t="n">
        <v>1.5</v>
      </c>
      <c r="AW3" s="89" t="n">
        <v>1.5</v>
      </c>
      <c r="AY3" s="90" t="n">
        <v>5</v>
      </c>
      <c r="AZ3" s="91" t="n">
        <v>10</v>
      </c>
      <c r="JV3" s="82" t="n"/>
    </row>
    <row r="4" ht="25" customHeight="1">
      <c r="A4" s="83" t="inlineStr">
        <is>
          <t>Japan</t>
        </is>
      </c>
      <c r="B4" s="88" t="n">
        <v>2.1</v>
      </c>
      <c r="C4" s="88" t="n">
        <v>2.1</v>
      </c>
      <c r="D4" s="88" t="n">
        <v>2.1</v>
      </c>
      <c r="E4" s="88" t="n">
        <v>1.2</v>
      </c>
      <c r="F4" s="88" t="n">
        <v>1.2</v>
      </c>
      <c r="G4" s="88" t="n">
        <v>1.2</v>
      </c>
      <c r="H4" s="88" t="n">
        <v>0.2</v>
      </c>
      <c r="I4" s="88" t="n">
        <v>0.2</v>
      </c>
      <c r="J4" s="88" t="n">
        <v>0.2</v>
      </c>
      <c r="K4" s="88" t="n">
        <v>0.1</v>
      </c>
      <c r="L4" s="88" t="n">
        <v>0.1</v>
      </c>
      <c r="M4" s="88" t="n">
        <v>0.1</v>
      </c>
      <c r="N4" s="88" t="n">
        <v>-0.9</v>
      </c>
      <c r="O4" s="88" t="n">
        <v>-0.9</v>
      </c>
      <c r="P4" s="88" t="n">
        <v>-0.9</v>
      </c>
      <c r="Q4" s="88" t="n">
        <v>-0.9</v>
      </c>
      <c r="R4" s="88" t="n">
        <v>-0.9</v>
      </c>
      <c r="S4" s="88" t="n">
        <v>-0.9</v>
      </c>
      <c r="T4" s="88" t="n">
        <v>1.1</v>
      </c>
      <c r="U4" s="88" t="n">
        <v>1.1</v>
      </c>
      <c r="V4" s="88" t="n">
        <v>1.1</v>
      </c>
      <c r="W4" s="88" t="n">
        <v>0.9</v>
      </c>
      <c r="X4" s="88" t="n">
        <v>0.9</v>
      </c>
      <c r="Y4" s="88" t="n">
        <v>0.9</v>
      </c>
      <c r="Z4" s="88" t="n">
        <v>1.6</v>
      </c>
      <c r="AA4" s="88" t="n">
        <v>1.6</v>
      </c>
      <c r="AB4" s="88" t="n">
        <v>1.6</v>
      </c>
      <c r="AC4" s="88" t="n">
        <v>2.1</v>
      </c>
      <c r="AD4" s="88" t="n">
        <v>2.1</v>
      </c>
      <c r="AE4" s="88" t="n">
        <v>2.1</v>
      </c>
      <c r="AF4" s="88" t="n">
        <v>0.6</v>
      </c>
      <c r="AG4" s="88" t="n">
        <v>0.6</v>
      </c>
      <c r="AH4" s="88" t="n">
        <v>0.6</v>
      </c>
      <c r="AI4" s="88" t="n">
        <v>0.4</v>
      </c>
      <c r="AJ4" s="88" t="n">
        <v>0.4</v>
      </c>
      <c r="AK4" s="88" t="n">
        <v>0.4</v>
      </c>
      <c r="AL4" s="88" t="n">
        <v>0.5</v>
      </c>
      <c r="AM4" s="88" t="n">
        <v>0.5</v>
      </c>
      <c r="AN4" s="88" t="n">
        <v>0.5</v>
      </c>
      <c r="AO4" s="88" t="n">
        <v>0.7</v>
      </c>
      <c r="AP4" s="88" t="n">
        <v>0.7</v>
      </c>
      <c r="AQ4" s="88" t="n">
        <v>0.7</v>
      </c>
      <c r="AR4" s="89" t="n">
        <v>0.9</v>
      </c>
      <c r="AS4" s="89" t="n">
        <v>0.9</v>
      </c>
      <c r="AT4" s="89" t="n">
        <v>0.9</v>
      </c>
      <c r="AU4" s="89" t="n">
        <v>1.1</v>
      </c>
      <c r="AV4" s="89" t="n">
        <v>1.1</v>
      </c>
      <c r="AW4" s="89" t="n">
        <v>1.1</v>
      </c>
      <c r="AY4" s="90" t="n">
        <v>4</v>
      </c>
      <c r="AZ4" s="91" t="n">
        <v>8</v>
      </c>
      <c r="JV4" s="82" t="n"/>
    </row>
    <row r="5" ht="25" customHeight="1">
      <c r="A5" s="83" t="inlineStr">
        <is>
          <t>New Zealand</t>
        </is>
      </c>
      <c r="B5" s="92" t="n">
        <v>3.1</v>
      </c>
      <c r="C5" s="92" t="n">
        <v>3.1</v>
      </c>
      <c r="D5" s="92" t="n">
        <v>3.1</v>
      </c>
      <c r="E5" s="92" t="n">
        <v>3</v>
      </c>
      <c r="F5" s="92" t="n">
        <v>3</v>
      </c>
      <c r="G5" s="92" t="n">
        <v>3</v>
      </c>
      <c r="H5" s="92" t="n">
        <v>1.2</v>
      </c>
      <c r="I5" s="92" t="n">
        <v>1.2</v>
      </c>
      <c r="J5" s="92" t="n">
        <v>1.2</v>
      </c>
      <c r="K5" s="92" t="n">
        <v>1.4</v>
      </c>
      <c r="L5" s="92" t="n">
        <v>1.4</v>
      </c>
      <c r="M5" s="92" t="n">
        <v>1.4</v>
      </c>
      <c r="N5" s="92" t="n">
        <v>1.6</v>
      </c>
      <c r="O5" s="92" t="n">
        <v>1.6</v>
      </c>
      <c r="P5" s="92" t="n">
        <v>1.6</v>
      </c>
      <c r="Q5" s="92" t="n">
        <v>0.1</v>
      </c>
      <c r="R5" s="92" t="n">
        <v>0.1</v>
      </c>
      <c r="S5" s="92" t="n">
        <v>0.1</v>
      </c>
      <c r="T5" s="92" t="n">
        <v>-1.2</v>
      </c>
      <c r="U5" s="92" t="n">
        <v>-1.2</v>
      </c>
      <c r="V5" s="92" t="n">
        <v>-1.2</v>
      </c>
      <c r="W5" s="92" t="n">
        <v>-1.6</v>
      </c>
      <c r="X5" s="92" t="n">
        <v>-1.6</v>
      </c>
      <c r="Y5" s="92" t="n">
        <v>-1.6</v>
      </c>
      <c r="Z5" s="92" t="n">
        <v>-0.7</v>
      </c>
      <c r="AA5" s="92" t="n">
        <v>-0.7</v>
      </c>
      <c r="AB5" s="92" t="n">
        <v>-0.7</v>
      </c>
      <c r="AC5" s="92" t="n">
        <v>-0.9</v>
      </c>
      <c r="AD5" s="92" t="n">
        <v>-0.9</v>
      </c>
      <c r="AE5" s="92" t="n">
        <v>-0.9</v>
      </c>
      <c r="AF5" s="92" t="n">
        <v>1.2</v>
      </c>
      <c r="AG5" s="92" t="n">
        <v>1.2</v>
      </c>
      <c r="AH5" s="92" t="n">
        <v>1.2</v>
      </c>
      <c r="AI5" s="88" t="n">
        <v>1.6</v>
      </c>
      <c r="AJ5" s="88" t="n">
        <v>1.6</v>
      </c>
      <c r="AK5" s="88" t="n">
        <v>1.6</v>
      </c>
      <c r="AL5" s="88" t="n">
        <v>1.7</v>
      </c>
      <c r="AM5" s="88" t="n">
        <v>1.7</v>
      </c>
      <c r="AN5" s="88" t="n">
        <v>1.7</v>
      </c>
      <c r="AO5" s="88" t="n">
        <v>2.6</v>
      </c>
      <c r="AP5" s="88" t="n">
        <v>2.6</v>
      </c>
      <c r="AQ5" s="88" t="n">
        <v>2.6</v>
      </c>
      <c r="AR5" s="89" t="n">
        <v>2</v>
      </c>
      <c r="AS5" s="89" t="n">
        <v>2</v>
      </c>
      <c r="AT5" s="89" t="n">
        <v>2</v>
      </c>
      <c r="AU5" s="89" t="n">
        <v>2.1</v>
      </c>
      <c r="AV5" s="89" t="n">
        <v>2.1</v>
      </c>
      <c r="AW5" s="89" t="n">
        <v>2.1</v>
      </c>
      <c r="AY5" s="90" t="n">
        <v>3</v>
      </c>
      <c r="AZ5" s="91" t="n">
        <v>6</v>
      </c>
      <c r="JV5" s="82" t="n"/>
    </row>
    <row r="6" ht="25" customHeight="1">
      <c r="A6" s="83" t="inlineStr">
        <is>
          <t>Switzerland</t>
        </is>
      </c>
      <c r="B6" s="92" t="n">
        <v>2</v>
      </c>
      <c r="C6" s="92" t="n">
        <v>2</v>
      </c>
      <c r="D6" s="92" t="n">
        <v>2</v>
      </c>
      <c r="E6" s="92" t="n">
        <v>1</v>
      </c>
      <c r="F6" s="92" t="n">
        <v>1</v>
      </c>
      <c r="G6" s="92" t="n">
        <v>1</v>
      </c>
      <c r="H6" s="92" t="n">
        <v>0.8</v>
      </c>
      <c r="I6" s="92" t="n">
        <v>0.8</v>
      </c>
      <c r="J6" s="92" t="n">
        <v>0.8</v>
      </c>
      <c r="K6" s="92" t="n">
        <v>1.1</v>
      </c>
      <c r="L6" s="92" t="n">
        <v>1.1</v>
      </c>
      <c r="M6" s="92" t="n">
        <v>1.1</v>
      </c>
      <c r="N6" s="92" t="n">
        <v>0.1</v>
      </c>
      <c r="O6" s="92" t="n">
        <v>0.1</v>
      </c>
      <c r="P6" s="92" t="n">
        <v>0.1</v>
      </c>
      <c r="Q6" s="92" t="n">
        <v>1.6</v>
      </c>
      <c r="R6" s="92" t="n">
        <v>1.6</v>
      </c>
      <c r="S6" s="92" t="n">
        <v>1.6</v>
      </c>
      <c r="T6" s="92" t="n">
        <v>1.6</v>
      </c>
      <c r="U6" s="92" t="n">
        <v>1.6</v>
      </c>
      <c r="V6" s="92" t="n">
        <v>1.6</v>
      </c>
      <c r="W6" s="92" t="n">
        <v>1.3</v>
      </c>
      <c r="X6" s="92" t="n">
        <v>1.3</v>
      </c>
      <c r="Y6" s="92" t="n">
        <v>1.3</v>
      </c>
      <c r="Z6" s="92" t="n">
        <v>2.6</v>
      </c>
      <c r="AA6" s="92" t="n">
        <v>2.6</v>
      </c>
      <c r="AB6" s="92" t="n">
        <v>2.6</v>
      </c>
      <c r="AC6" s="92" t="n">
        <v>1.4</v>
      </c>
      <c r="AD6" s="92" t="n">
        <v>1.4</v>
      </c>
      <c r="AE6" s="92" t="n">
        <v>1.4</v>
      </c>
      <c r="AF6" s="92" t="n">
        <v>0.7</v>
      </c>
      <c r="AG6" s="92" t="n">
        <v>0.7</v>
      </c>
      <c r="AH6" s="92" t="n">
        <v>0.7</v>
      </c>
      <c r="AI6" s="88" t="n">
        <v>1.1</v>
      </c>
      <c r="AJ6" s="88" t="n">
        <v>1.1</v>
      </c>
      <c r="AK6" s="88" t="n">
        <v>1.1</v>
      </c>
      <c r="AL6" s="88" t="n">
        <v>0.4</v>
      </c>
      <c r="AM6" s="88" t="n">
        <v>0.4</v>
      </c>
      <c r="AN6" s="88" t="n">
        <v>0.4</v>
      </c>
      <c r="AO6" s="88" t="n">
        <v>2.3</v>
      </c>
      <c r="AP6" s="88" t="n">
        <v>2.3</v>
      </c>
      <c r="AQ6" s="88" t="n">
        <v>2.3</v>
      </c>
      <c r="AR6" s="89" t="n">
        <v>1.8</v>
      </c>
      <c r="AS6" s="89" t="n">
        <v>1.8</v>
      </c>
      <c r="AT6" s="89" t="n">
        <v>1.8</v>
      </c>
      <c r="AU6" s="89" t="n">
        <v>1.7</v>
      </c>
      <c r="AV6" s="89" t="n">
        <v>1.7</v>
      </c>
      <c r="AW6" s="89" t="n">
        <v>1.7</v>
      </c>
      <c r="AY6" s="90" t="n">
        <v>2</v>
      </c>
      <c r="AZ6" s="91" t="n">
        <v>4</v>
      </c>
      <c r="JV6" s="82" t="n"/>
    </row>
    <row r="7" ht="25" customHeight="1">
      <c r="A7" s="83" t="inlineStr">
        <is>
          <t>United Kingdom</t>
        </is>
      </c>
      <c r="B7" s="92" t="n">
        <v>1</v>
      </c>
      <c r="C7" s="92" t="n">
        <v>1</v>
      </c>
      <c r="D7" s="92" t="n">
        <v>1</v>
      </c>
      <c r="E7" s="92" t="n">
        <v>0.5</v>
      </c>
      <c r="F7" s="92" t="n">
        <v>0.5</v>
      </c>
      <c r="G7" s="92" t="n">
        <v>0.5</v>
      </c>
      <c r="H7" s="92" t="n">
        <v>0.1</v>
      </c>
      <c r="I7" s="92" t="n">
        <v>0.1</v>
      </c>
      <c r="J7" s="92" t="n">
        <v>0.1</v>
      </c>
      <c r="K7" s="92" t="n">
        <v>-0.5</v>
      </c>
      <c r="L7" s="92" t="n">
        <v>-0.5</v>
      </c>
      <c r="M7" s="92" t="n">
        <v>-0.5</v>
      </c>
      <c r="N7" s="92" t="n">
        <v>0.2</v>
      </c>
      <c r="O7" s="92" t="n">
        <v>0.2</v>
      </c>
      <c r="P7" s="92" t="n">
        <v>0.2</v>
      </c>
      <c r="Q7" s="92" t="n">
        <v>0.8</v>
      </c>
      <c r="R7" s="92" t="n">
        <v>0.8</v>
      </c>
      <c r="S7" s="92" t="n">
        <v>0.8</v>
      </c>
      <c r="T7" s="92" t="n">
        <v>1.2</v>
      </c>
      <c r="U7" s="92" t="n">
        <v>1.2</v>
      </c>
      <c r="V7" s="92" t="n">
        <v>1.2</v>
      </c>
      <c r="W7" s="92" t="n">
        <v>2</v>
      </c>
      <c r="X7" s="92" t="n">
        <v>2</v>
      </c>
      <c r="Y7" s="92" t="n">
        <v>2</v>
      </c>
      <c r="Z7" s="92" t="n">
        <v>1.8</v>
      </c>
      <c r="AA7" s="92" t="n">
        <v>1.8</v>
      </c>
      <c r="AB7" s="92" t="n">
        <v>1.8</v>
      </c>
      <c r="AC7" s="92" t="n">
        <v>1.3</v>
      </c>
      <c r="AD7" s="92" t="n">
        <v>1.3</v>
      </c>
      <c r="AE7" s="92" t="n">
        <v>1.3</v>
      </c>
      <c r="AF7" s="92" t="n">
        <v>1.2</v>
      </c>
      <c r="AG7" s="92" t="n">
        <v>1.2</v>
      </c>
      <c r="AH7" s="92" t="n">
        <v>1.2</v>
      </c>
      <c r="AI7" s="88" t="n">
        <v>0.9</v>
      </c>
      <c r="AJ7" s="88" t="n">
        <v>0.9</v>
      </c>
      <c r="AK7" s="88" t="n">
        <v>0.9</v>
      </c>
      <c r="AL7" s="88" t="n">
        <v>0.9</v>
      </c>
      <c r="AM7" s="88" t="n">
        <v>0.9</v>
      </c>
      <c r="AN7" s="88" t="n">
        <v>0.9</v>
      </c>
      <c r="AO7" s="88" t="n">
        <v>1.2</v>
      </c>
      <c r="AP7" s="88" t="n">
        <v>1.2</v>
      </c>
      <c r="AQ7" s="88" t="n">
        <v>1.2</v>
      </c>
      <c r="AR7" s="89" t="n">
        <v>1.7</v>
      </c>
      <c r="AS7" s="89" t="n">
        <v>1.7</v>
      </c>
      <c r="AT7" s="89" t="n">
        <v>1.7</v>
      </c>
      <c r="AU7" s="89" t="n">
        <v>1.4</v>
      </c>
      <c r="AV7" s="89" t="n">
        <v>1.4</v>
      </c>
      <c r="AW7" s="89" t="n">
        <v>1.4</v>
      </c>
      <c r="AY7" s="90" t="n">
        <v>1</v>
      </c>
      <c r="AZ7" s="91" t="n">
        <v>2</v>
      </c>
      <c r="JV7" s="82" t="n"/>
    </row>
    <row r="8" ht="25" customHeight="1">
      <c r="A8" s="83" t="inlineStr">
        <is>
          <t>United States</t>
        </is>
      </c>
      <c r="B8" s="88" t="n">
        <v>2.3</v>
      </c>
      <c r="C8" s="88" t="n">
        <v>2.3</v>
      </c>
      <c r="D8" s="88" t="n">
        <v>2.3</v>
      </c>
      <c r="E8" s="88" t="n">
        <v>2.8</v>
      </c>
      <c r="F8" s="88" t="n">
        <v>2.8</v>
      </c>
      <c r="G8" s="88" t="n">
        <v>2.8</v>
      </c>
      <c r="H8" s="88" t="n">
        <v>3.2</v>
      </c>
      <c r="I8" s="88" t="n">
        <v>3.2</v>
      </c>
      <c r="J8" s="88" t="n">
        <v>3.2</v>
      </c>
      <c r="K8" s="88" t="n">
        <v>3.4</v>
      </c>
      <c r="L8" s="88" t="n">
        <v>3.4</v>
      </c>
      <c r="M8" s="88" t="n">
        <v>3.4</v>
      </c>
      <c r="N8" s="88" t="n">
        <v>2.9</v>
      </c>
      <c r="O8" s="88" t="n">
        <v>2.9</v>
      </c>
      <c r="P8" s="88" t="n">
        <v>2.9</v>
      </c>
      <c r="Q8" s="88" t="n">
        <v>3.1</v>
      </c>
      <c r="R8" s="88" t="n">
        <v>3.1</v>
      </c>
      <c r="S8" s="88" t="n">
        <v>3.1</v>
      </c>
      <c r="T8" s="88" t="n">
        <v>2.8</v>
      </c>
      <c r="U8" s="88" t="n">
        <v>2.8</v>
      </c>
      <c r="V8" s="88" t="n">
        <v>2.8</v>
      </c>
      <c r="W8" s="88" t="n">
        <v>2.4</v>
      </c>
      <c r="X8" s="88" t="n">
        <v>2.4</v>
      </c>
      <c r="Y8" s="88" t="n">
        <v>2.4</v>
      </c>
      <c r="Z8" s="88" t="n">
        <v>2</v>
      </c>
      <c r="AA8" s="88" t="n">
        <v>2</v>
      </c>
      <c r="AB8" s="88" t="n">
        <v>2</v>
      </c>
      <c r="AC8" s="88" t="n">
        <v>2.1</v>
      </c>
      <c r="AD8" s="88" t="n">
        <v>2.1</v>
      </c>
      <c r="AE8" s="88" t="n">
        <v>2.1</v>
      </c>
      <c r="AF8" s="88" t="n">
        <v>2.3</v>
      </c>
      <c r="AG8" s="88" t="n">
        <v>2.3</v>
      </c>
      <c r="AH8" s="88" t="n">
        <v>2.3</v>
      </c>
      <c r="AI8" s="88" t="n">
        <v>2</v>
      </c>
      <c r="AJ8" s="88" t="n">
        <v>2</v>
      </c>
      <c r="AK8" s="88" t="n">
        <v>2</v>
      </c>
      <c r="AL8" s="88" t="n">
        <v>2.7</v>
      </c>
      <c r="AM8" s="88" t="n">
        <v>2.7</v>
      </c>
      <c r="AN8" s="88" t="n">
        <v>2.7</v>
      </c>
      <c r="AO8" s="88" t="n">
        <v>2.1</v>
      </c>
      <c r="AP8" s="88" t="n">
        <v>2.1</v>
      </c>
      <c r="AQ8" s="88" t="n">
        <v>2.1</v>
      </c>
      <c r="AR8" s="89" t="n">
        <v>1.8</v>
      </c>
      <c r="AS8" s="89" t="n">
        <v>1.8</v>
      </c>
      <c r="AT8" s="89" t="n">
        <v>1.8</v>
      </c>
      <c r="AU8" s="89" t="n">
        <v>1.6</v>
      </c>
      <c r="AV8" s="89" t="n">
        <v>1.6</v>
      </c>
      <c r="AW8" s="89" t="n">
        <v>1.6</v>
      </c>
      <c r="AY8" s="93" t="n">
        <v>0</v>
      </c>
      <c r="AZ8" s="94" t="n">
        <v>0</v>
      </c>
      <c r="JV8" s="82" t="n"/>
    </row>
    <row r="9" ht="30" customHeight="1">
      <c r="A9" s="83" t="inlineStr">
        <is>
          <t>Euro area (19 countries)</t>
        </is>
      </c>
      <c r="B9" s="92" t="n">
        <v>1.2</v>
      </c>
      <c r="C9" s="92" t="n">
        <v>1.2</v>
      </c>
      <c r="D9" s="92" t="n">
        <v>1.2</v>
      </c>
      <c r="E9" s="92" t="n">
        <v>0.5</v>
      </c>
      <c r="F9" s="92" t="n">
        <v>0.5</v>
      </c>
      <c r="G9" s="92" t="n">
        <v>0.5</v>
      </c>
      <c r="H9" s="92" t="n">
        <v>0.1</v>
      </c>
      <c r="I9" s="92" t="n">
        <v>0.1</v>
      </c>
      <c r="J9" s="92" t="n">
        <v>0.1</v>
      </c>
      <c r="K9" s="92" t="n">
        <v>0.2</v>
      </c>
      <c r="L9" s="92" t="n">
        <v>0.2</v>
      </c>
      <c r="M9" s="92" t="n">
        <v>0.2</v>
      </c>
      <c r="N9" s="92" t="n">
        <v>0.8</v>
      </c>
      <c r="O9" s="92" t="n">
        <v>0.8</v>
      </c>
      <c r="P9" s="92" t="n">
        <v>0.8</v>
      </c>
      <c r="Q9" s="92" t="n">
        <v>0.9</v>
      </c>
      <c r="R9" s="92" t="n">
        <v>0.9</v>
      </c>
      <c r="S9" s="92" t="n">
        <v>0.9</v>
      </c>
      <c r="T9" s="92" t="n">
        <v>1.2</v>
      </c>
      <c r="U9" s="92" t="n">
        <v>1.2</v>
      </c>
      <c r="V9" s="92" t="n">
        <v>1.2</v>
      </c>
      <c r="W9" s="92" t="n">
        <v>1.5</v>
      </c>
      <c r="X9" s="92" t="n">
        <v>1.5</v>
      </c>
      <c r="Y9" s="92" t="n">
        <v>1.5</v>
      </c>
      <c r="Z9" s="92" t="n">
        <v>1.6</v>
      </c>
      <c r="AA9" s="92" t="n">
        <v>1.6</v>
      </c>
      <c r="AB9" s="92" t="n">
        <v>1.6</v>
      </c>
      <c r="AC9" s="92" t="n">
        <v>1.4</v>
      </c>
      <c r="AD9" s="92" t="n">
        <v>1.4</v>
      </c>
      <c r="AE9" s="92" t="n">
        <v>1.4</v>
      </c>
      <c r="AF9" s="92" t="n">
        <v>1.2</v>
      </c>
      <c r="AG9" s="92" t="n">
        <v>1.2</v>
      </c>
      <c r="AH9" s="92" t="n">
        <v>1.2</v>
      </c>
      <c r="AI9" s="88" t="n">
        <v>1.1</v>
      </c>
      <c r="AJ9" s="88" t="n">
        <v>1.1</v>
      </c>
      <c r="AK9" s="88" t="n">
        <v>1.1</v>
      </c>
      <c r="AL9" s="88" t="n">
        <v>0.6</v>
      </c>
      <c r="AM9" s="88" t="n">
        <v>0.6</v>
      </c>
      <c r="AN9" s="88" t="n">
        <v>0.6</v>
      </c>
      <c r="AO9" s="88" t="n">
        <v>1.2</v>
      </c>
      <c r="AP9" s="88" t="n">
        <v>1.2</v>
      </c>
      <c r="AQ9" s="88" t="n">
        <v>1.2</v>
      </c>
      <c r="AR9" s="89" t="n">
        <v>1</v>
      </c>
      <c r="AS9" s="89" t="n">
        <v>1</v>
      </c>
      <c r="AT9" s="89" t="n">
        <v>1</v>
      </c>
      <c r="AU9" s="89" t="n">
        <v>0.7</v>
      </c>
      <c r="AV9" s="89" t="n">
        <v>0.7</v>
      </c>
      <c r="AW9" s="89" t="n">
        <v>0.7</v>
      </c>
      <c r="AY9" s="90" t="n">
        <v>-1</v>
      </c>
      <c r="AZ9" s="95" t="n">
        <v>-2</v>
      </c>
      <c r="JV9" s="82" t="n"/>
    </row>
    <row r="10" ht="15" customHeight="1">
      <c r="A10" s="96" t="n"/>
      <c r="B10" s="96" t="n"/>
      <c r="C10" s="96" t="n"/>
      <c r="AY10" s="90" t="n">
        <v>-2</v>
      </c>
      <c r="AZ10" s="95" t="n">
        <v>-4</v>
      </c>
      <c r="JV10" s="82" t="n"/>
    </row>
    <row r="11" ht="16" customHeight="1">
      <c r="A11" s="97" t="inlineStr">
        <is>
          <t>Pair</t>
        </is>
      </c>
      <c r="B11" s="287" t="n">
        <v>44927</v>
      </c>
      <c r="C11" s="287" t="n">
        <v>44958</v>
      </c>
      <c r="D11" s="287" t="n">
        <v>44986</v>
      </c>
      <c r="E11" s="287" t="n">
        <v>45017</v>
      </c>
      <c r="F11" s="287" t="n">
        <v>45047</v>
      </c>
      <c r="G11" s="287" t="n">
        <v>45078</v>
      </c>
      <c r="H11" s="287" t="n">
        <v>45108</v>
      </c>
      <c r="I11" s="287" t="n">
        <v>45139</v>
      </c>
      <c r="J11" s="287" t="n">
        <v>45170</v>
      </c>
      <c r="K11" s="287" t="n">
        <v>45200</v>
      </c>
      <c r="L11" s="287" t="n">
        <v>45231</v>
      </c>
      <c r="M11" s="287" t="n">
        <v>45261</v>
      </c>
      <c r="N11" s="287" t="n">
        <v>45292</v>
      </c>
      <c r="O11" s="287" t="n">
        <v>45323</v>
      </c>
      <c r="P11" s="287" t="n">
        <v>45352</v>
      </c>
      <c r="Q11" s="287" t="n">
        <v>45383</v>
      </c>
      <c r="R11" s="287" t="n">
        <v>45413</v>
      </c>
      <c r="S11" s="287" t="n">
        <v>45444</v>
      </c>
      <c r="T11" s="287" t="n">
        <v>45474</v>
      </c>
      <c r="U11" s="287" t="n">
        <v>45505</v>
      </c>
      <c r="V11" s="287" t="n">
        <v>45536</v>
      </c>
      <c r="W11" s="287" t="n">
        <v>45566</v>
      </c>
      <c r="X11" s="287" t="n">
        <v>45597</v>
      </c>
      <c r="Y11" s="287" t="n">
        <v>45627</v>
      </c>
      <c r="Z11" s="287" t="n">
        <v>45658</v>
      </c>
      <c r="AA11" s="287" t="n">
        <v>45689</v>
      </c>
      <c r="AB11" s="287" t="n">
        <v>45717</v>
      </c>
      <c r="AC11" s="287" t="n">
        <v>45748</v>
      </c>
      <c r="AD11" s="287" t="n">
        <v>45778</v>
      </c>
      <c r="AE11" s="287" t="n">
        <v>45809</v>
      </c>
      <c r="AF11" s="287" t="n">
        <v>45839</v>
      </c>
      <c r="AG11" s="287" t="n">
        <v>45870</v>
      </c>
      <c r="AH11" s="287" t="n">
        <v>45901</v>
      </c>
      <c r="AI11" s="287" t="n">
        <v>45931</v>
      </c>
      <c r="AJ11" s="287" t="n">
        <v>45962</v>
      </c>
      <c r="AK11" s="287" t="n">
        <v>45992</v>
      </c>
      <c r="AL11" s="287" t="n">
        <v>46023</v>
      </c>
      <c r="AM11" s="287" t="n">
        <v>46054</v>
      </c>
      <c r="AN11" s="287" t="n">
        <v>46082</v>
      </c>
      <c r="AO11" s="287" t="n">
        <v>46113</v>
      </c>
      <c r="AP11" s="287" t="n">
        <v>46143</v>
      </c>
      <c r="AQ11" s="287" t="n">
        <v>46174</v>
      </c>
      <c r="AR11" s="287" t="n">
        <v>46204</v>
      </c>
      <c r="AS11" s="287" t="n">
        <v>46235</v>
      </c>
      <c r="AT11" s="287" t="n">
        <v>46266</v>
      </c>
      <c r="AU11" s="287" t="n">
        <v>46296</v>
      </c>
      <c r="AV11" s="287" t="n">
        <v>46327</v>
      </c>
      <c r="AW11" s="287" t="n">
        <v>46357</v>
      </c>
      <c r="AY11" s="90" t="n">
        <v>-3</v>
      </c>
      <c r="AZ11" s="95" t="n">
        <v>-6</v>
      </c>
      <c r="BD11" s="98" t="n"/>
      <c r="BH11" s="98" t="n"/>
      <c r="JV11" s="82" t="n"/>
    </row>
    <row r="12" ht="25" customHeight="1">
      <c r="A12" s="99" t="inlineStr">
        <is>
          <t>USD JPY</t>
        </is>
      </c>
      <c r="B12" s="100">
        <f>B8-B3</f>
        <v/>
      </c>
      <c r="C12" s="100">
        <f>C8-C3</f>
        <v/>
      </c>
      <c r="D12" s="100">
        <f>D8-D3</f>
        <v/>
      </c>
      <c r="E12" s="100">
        <f>E8-E3</f>
        <v/>
      </c>
      <c r="F12" s="100">
        <f>F8-F3</f>
        <v/>
      </c>
      <c r="G12" s="100">
        <f>G8-G3</f>
        <v/>
      </c>
      <c r="H12" s="100">
        <f>H8-H3</f>
        <v/>
      </c>
      <c r="I12" s="100">
        <f>I8-I3</f>
        <v/>
      </c>
      <c r="J12" s="100">
        <f>J8-J3</f>
        <v/>
      </c>
      <c r="K12" s="100">
        <f>K8-K3</f>
        <v/>
      </c>
      <c r="L12" s="100">
        <f>L8-L3</f>
        <v/>
      </c>
      <c r="M12" s="100">
        <f>M8-M3</f>
        <v/>
      </c>
      <c r="N12" s="100">
        <f>N8-N3</f>
        <v/>
      </c>
      <c r="O12" s="100">
        <f>O8-O3</f>
        <v/>
      </c>
      <c r="P12" s="100">
        <f>P8-P3</f>
        <v/>
      </c>
      <c r="Q12" s="100">
        <f>Q8-Q3</f>
        <v/>
      </c>
      <c r="R12" s="100">
        <f>R8-R3</f>
        <v/>
      </c>
      <c r="S12" s="100">
        <f>S8-S3</f>
        <v/>
      </c>
      <c r="T12" s="100">
        <f>T8-T3</f>
        <v/>
      </c>
      <c r="U12" s="100">
        <f>U8-U3</f>
        <v/>
      </c>
      <c r="V12" s="100">
        <f>V8-V3</f>
        <v/>
      </c>
      <c r="W12" s="100">
        <f>W8-W3</f>
        <v/>
      </c>
      <c r="X12" s="100">
        <f>X8-X3</f>
        <v/>
      </c>
      <c r="Y12" s="100">
        <f>Y8-Y3</f>
        <v/>
      </c>
      <c r="Z12" s="100">
        <f>Z8-Z3</f>
        <v/>
      </c>
      <c r="AA12" s="100">
        <f>AA8-AA3</f>
        <v/>
      </c>
      <c r="AB12" s="100">
        <f>AB8-AB3</f>
        <v/>
      </c>
      <c r="AC12" s="100">
        <f>AC8-AC3</f>
        <v/>
      </c>
      <c r="AD12" s="100">
        <f>AD8-AD3</f>
        <v/>
      </c>
      <c r="AE12" s="100">
        <f>AE8-AE3</f>
        <v/>
      </c>
      <c r="AF12" s="100">
        <f>AF8-AF3</f>
        <v/>
      </c>
      <c r="AG12" s="100">
        <f>AG8-AG3</f>
        <v/>
      </c>
      <c r="AH12" s="100">
        <f>AH8-AH3</f>
        <v/>
      </c>
      <c r="AI12" s="100">
        <f>AI8-AI3</f>
        <v/>
      </c>
      <c r="AJ12" s="100">
        <f>AJ8-AJ3</f>
        <v/>
      </c>
      <c r="AK12" s="100">
        <f>AK8-AK3</f>
        <v/>
      </c>
      <c r="AL12" s="100">
        <f>AL8-AL3</f>
        <v/>
      </c>
      <c r="AM12" s="100">
        <f>AM8-AM3</f>
        <v/>
      </c>
      <c r="AN12" s="100">
        <f>AN8-AN3</f>
        <v/>
      </c>
      <c r="AO12" s="100">
        <f>AO8-AO3</f>
        <v/>
      </c>
      <c r="AP12" s="100">
        <f>AP8-AP3</f>
        <v/>
      </c>
      <c r="AQ12" s="100">
        <f>AQ8-AQ3</f>
        <v/>
      </c>
      <c r="AR12" s="100">
        <f>AR8-AR3</f>
        <v/>
      </c>
      <c r="AS12" s="100">
        <f>AS8-AS3</f>
        <v/>
      </c>
      <c r="AT12" s="100">
        <f>AT8-AT3</f>
        <v/>
      </c>
      <c r="AU12" s="100">
        <f>AU8-AU3</f>
        <v/>
      </c>
      <c r="AV12" s="100">
        <f>AV8-AV3</f>
        <v/>
      </c>
      <c r="AW12" s="100">
        <f>AW8-AW3</f>
        <v/>
      </c>
      <c r="AY12" s="90" t="n">
        <v>-4</v>
      </c>
      <c r="AZ12" s="95" t="n">
        <v>-8</v>
      </c>
      <c r="BD12" s="98" t="n"/>
      <c r="BH12" s="98" t="n"/>
      <c r="JV12" s="82" t="n"/>
    </row>
    <row r="13" ht="25" customHeight="1">
      <c r="A13" s="99" t="inlineStr">
        <is>
          <t>USD CHF</t>
        </is>
      </c>
      <c r="B13" s="100">
        <f>B8-B6</f>
        <v/>
      </c>
      <c r="C13" s="100">
        <f>C8-C6</f>
        <v/>
      </c>
      <c r="D13" s="100">
        <f>D8-D6</f>
        <v/>
      </c>
      <c r="E13" s="100">
        <f>E8-E6</f>
        <v/>
      </c>
      <c r="F13" s="100">
        <f>F8-F6</f>
        <v/>
      </c>
      <c r="G13" s="100">
        <f>G8-G6</f>
        <v/>
      </c>
      <c r="H13" s="100">
        <f>H8-H6</f>
        <v/>
      </c>
      <c r="I13" s="100">
        <f>I8-I6</f>
        <v/>
      </c>
      <c r="J13" s="100">
        <f>J8-J6</f>
        <v/>
      </c>
      <c r="K13" s="100">
        <f>K8-K6</f>
        <v/>
      </c>
      <c r="L13" s="100">
        <f>L8-L6</f>
        <v/>
      </c>
      <c r="M13" s="100">
        <f>M8-M6</f>
        <v/>
      </c>
      <c r="N13" s="100">
        <f>N8-N6</f>
        <v/>
      </c>
      <c r="O13" s="100">
        <f>O8-O6</f>
        <v/>
      </c>
      <c r="P13" s="100">
        <f>P8-P6</f>
        <v/>
      </c>
      <c r="Q13" s="100">
        <f>Q8-Q6</f>
        <v/>
      </c>
      <c r="R13" s="100">
        <f>R8-R6</f>
        <v/>
      </c>
      <c r="S13" s="100">
        <f>S8-S6</f>
        <v/>
      </c>
      <c r="T13" s="100">
        <f>T8-T6</f>
        <v/>
      </c>
      <c r="U13" s="100">
        <f>U8-U6</f>
        <v/>
      </c>
      <c r="V13" s="100">
        <f>V8-V6</f>
        <v/>
      </c>
      <c r="W13" s="100">
        <f>W8-W6</f>
        <v/>
      </c>
      <c r="X13" s="100">
        <f>X8-X6</f>
        <v/>
      </c>
      <c r="Y13" s="100">
        <f>Y8-Y6</f>
        <v/>
      </c>
      <c r="Z13" s="100">
        <f>Z8-Z6</f>
        <v/>
      </c>
      <c r="AA13" s="100">
        <f>AA8-AA6</f>
        <v/>
      </c>
      <c r="AB13" s="100">
        <f>AB8-AB6</f>
        <v/>
      </c>
      <c r="AC13" s="100">
        <f>AC8-AC6</f>
        <v/>
      </c>
      <c r="AD13" s="100">
        <f>AD8-AD6</f>
        <v/>
      </c>
      <c r="AE13" s="100">
        <f>AE8-AE6</f>
        <v/>
      </c>
      <c r="AF13" s="100">
        <f>AF8-AF6</f>
        <v/>
      </c>
      <c r="AG13" s="100">
        <f>AG8-AG6</f>
        <v/>
      </c>
      <c r="AH13" s="100">
        <f>AH8-AH6</f>
        <v/>
      </c>
      <c r="AI13" s="100">
        <f>AI8-AI6</f>
        <v/>
      </c>
      <c r="AJ13" s="100">
        <f>AJ8-AJ6</f>
        <v/>
      </c>
      <c r="AK13" s="100">
        <f>AK8-AK6</f>
        <v/>
      </c>
      <c r="AL13" s="100">
        <f>AL8-AL6</f>
        <v/>
      </c>
      <c r="AM13" s="100">
        <f>AM8-AM6</f>
        <v/>
      </c>
      <c r="AN13" s="100">
        <f>AN8-AN6</f>
        <v/>
      </c>
      <c r="AO13" s="100">
        <f>AO8-AO6</f>
        <v/>
      </c>
      <c r="AP13" s="100">
        <f>AP8-AP6</f>
        <v/>
      </c>
      <c r="AQ13" s="100">
        <f>AQ8-AQ6</f>
        <v/>
      </c>
      <c r="AR13" s="100">
        <f>AR8-AR6</f>
        <v/>
      </c>
      <c r="AS13" s="100">
        <f>AS8-AS6</f>
        <v/>
      </c>
      <c r="AT13" s="100">
        <f>AT8-AT6</f>
        <v/>
      </c>
      <c r="AU13" s="100">
        <f>AU8-AU6</f>
        <v/>
      </c>
      <c r="AV13" s="100">
        <f>AV8-AV6</f>
        <v/>
      </c>
      <c r="AW13" s="100">
        <f>AW8-AW6</f>
        <v/>
      </c>
      <c r="AY13" s="90" t="n">
        <v>-5</v>
      </c>
      <c r="AZ13" s="95" t="n">
        <v>-10</v>
      </c>
      <c r="BD13" s="98" t="n"/>
      <c r="BH13" s="98" t="n"/>
      <c r="JV13" s="82" t="n"/>
    </row>
    <row r="14" ht="25" customHeight="1">
      <c r="A14" s="99" t="inlineStr">
        <is>
          <t>USD CAD</t>
        </is>
      </c>
      <c r="B14" s="100">
        <f>B8-B3</f>
        <v/>
      </c>
      <c r="C14" s="100">
        <f>C8-C3</f>
        <v/>
      </c>
      <c r="D14" s="100">
        <f>D8-D3</f>
        <v/>
      </c>
      <c r="E14" s="100">
        <f>E8-E3</f>
        <v/>
      </c>
      <c r="F14" s="100">
        <f>F8-F3</f>
        <v/>
      </c>
      <c r="G14" s="100">
        <f>G8-G3</f>
        <v/>
      </c>
      <c r="H14" s="100">
        <f>H8-H3</f>
        <v/>
      </c>
      <c r="I14" s="100">
        <f>I8-I3</f>
        <v/>
      </c>
      <c r="J14" s="100">
        <f>J8-J3</f>
        <v/>
      </c>
      <c r="K14" s="100">
        <f>K8-K3</f>
        <v/>
      </c>
      <c r="L14" s="100">
        <f>L8-L3</f>
        <v/>
      </c>
      <c r="M14" s="100">
        <f>M8-M3</f>
        <v/>
      </c>
      <c r="N14" s="100">
        <f>N8-N3</f>
        <v/>
      </c>
      <c r="O14" s="100">
        <f>O8-O3</f>
        <v/>
      </c>
      <c r="P14" s="100">
        <f>P8-P3</f>
        <v/>
      </c>
      <c r="Q14" s="100">
        <f>Q8-Q3</f>
        <v/>
      </c>
      <c r="R14" s="100">
        <f>R8-R3</f>
        <v/>
      </c>
      <c r="S14" s="100">
        <f>S8-S3</f>
        <v/>
      </c>
      <c r="T14" s="100">
        <f>T8-T3</f>
        <v/>
      </c>
      <c r="U14" s="100">
        <f>U8-U3</f>
        <v/>
      </c>
      <c r="V14" s="100">
        <f>V8-V3</f>
        <v/>
      </c>
      <c r="W14" s="100">
        <f>W8-W3</f>
        <v/>
      </c>
      <c r="X14" s="100">
        <f>X8-X3</f>
        <v/>
      </c>
      <c r="Y14" s="100">
        <f>Y8-Y3</f>
        <v/>
      </c>
      <c r="Z14" s="100">
        <f>Z8-Z3</f>
        <v/>
      </c>
      <c r="AA14" s="100">
        <f>AA8-AA3</f>
        <v/>
      </c>
      <c r="AB14" s="100">
        <f>AB8-AB3</f>
        <v/>
      </c>
      <c r="AC14" s="100">
        <f>AC8-AC3</f>
        <v/>
      </c>
      <c r="AD14" s="100">
        <f>AD8-AD3</f>
        <v/>
      </c>
      <c r="AE14" s="100">
        <f>AE8-AE3</f>
        <v/>
      </c>
      <c r="AF14" s="100">
        <f>AF8-AF3</f>
        <v/>
      </c>
      <c r="AG14" s="100">
        <f>AG8-AG3</f>
        <v/>
      </c>
      <c r="AH14" s="100">
        <f>AH8-AH3</f>
        <v/>
      </c>
      <c r="AI14" s="100">
        <f>AI8-AI3</f>
        <v/>
      </c>
      <c r="AJ14" s="100">
        <f>AJ8-AJ3</f>
        <v/>
      </c>
      <c r="AK14" s="100">
        <f>AK8-AK3</f>
        <v/>
      </c>
      <c r="AL14" s="100">
        <f>AL8-AL3</f>
        <v/>
      </c>
      <c r="AM14" s="100">
        <f>AM8-AM3</f>
        <v/>
      </c>
      <c r="AN14" s="100">
        <f>AN8-AN3</f>
        <v/>
      </c>
      <c r="AO14" s="100">
        <f>AO8-AO3</f>
        <v/>
      </c>
      <c r="AP14" s="100">
        <f>AP8-AP3</f>
        <v/>
      </c>
      <c r="AQ14" s="100">
        <f>AQ8-AQ3</f>
        <v/>
      </c>
      <c r="AR14" s="100">
        <f>AR8-AR3</f>
        <v/>
      </c>
      <c r="AS14" s="100">
        <f>AS8-AS3</f>
        <v/>
      </c>
      <c r="AT14" s="100">
        <f>AT8-AT3</f>
        <v/>
      </c>
      <c r="AU14" s="100">
        <f>AU8-AU3</f>
        <v/>
      </c>
      <c r="AV14" s="100">
        <f>AV8-AV3</f>
        <v/>
      </c>
      <c r="AW14" s="100">
        <f>AW8-AW3</f>
        <v/>
      </c>
      <c r="BD14" s="98" t="n"/>
      <c r="BH14" s="98" t="n"/>
      <c r="JV14" s="82" t="n"/>
    </row>
    <row r="15" ht="25" customHeight="1">
      <c r="A15" s="101" t="inlineStr">
        <is>
          <t>EUR USD</t>
        </is>
      </c>
      <c r="B15" s="102">
        <f>B9-B8</f>
        <v/>
      </c>
      <c r="C15" s="102">
        <f>C9-C8</f>
        <v/>
      </c>
      <c r="D15" s="102">
        <f>D9-D8</f>
        <v/>
      </c>
      <c r="E15" s="102">
        <f>E9-E8</f>
        <v/>
      </c>
      <c r="F15" s="102">
        <f>F9-F8</f>
        <v/>
      </c>
      <c r="G15" s="102">
        <f>G9-G8</f>
        <v/>
      </c>
      <c r="H15" s="102">
        <f>H9-H8</f>
        <v/>
      </c>
      <c r="I15" s="102">
        <f>I9-I8</f>
        <v/>
      </c>
      <c r="J15" s="102">
        <f>J9-J8</f>
        <v/>
      </c>
      <c r="K15" s="102">
        <f>K9-K8</f>
        <v/>
      </c>
      <c r="L15" s="102">
        <f>L9-L8</f>
        <v/>
      </c>
      <c r="M15" s="102">
        <f>M9-M8</f>
        <v/>
      </c>
      <c r="N15" s="102">
        <f>N9-N8</f>
        <v/>
      </c>
      <c r="O15" s="102">
        <f>O9-O8</f>
        <v/>
      </c>
      <c r="P15" s="102">
        <f>P9-P8</f>
        <v/>
      </c>
      <c r="Q15" s="102">
        <f>Q9-Q8</f>
        <v/>
      </c>
      <c r="R15" s="102">
        <f>R9-R8</f>
        <v/>
      </c>
      <c r="S15" s="102">
        <f>S9-S8</f>
        <v/>
      </c>
      <c r="T15" s="102">
        <f>T9-T8</f>
        <v/>
      </c>
      <c r="U15" s="102">
        <f>U9-U8</f>
        <v/>
      </c>
      <c r="V15" s="102">
        <f>V9-V8</f>
        <v/>
      </c>
      <c r="W15" s="102">
        <f>W9-W8</f>
        <v/>
      </c>
      <c r="X15" s="102">
        <f>X9-X8</f>
        <v/>
      </c>
      <c r="Y15" s="102">
        <f>Y9-Y8</f>
        <v/>
      </c>
      <c r="Z15" s="102">
        <f>Z9-Z8</f>
        <v/>
      </c>
      <c r="AA15" s="102">
        <f>AA9-AA8</f>
        <v/>
      </c>
      <c r="AB15" s="102">
        <f>AB9-AB8</f>
        <v/>
      </c>
      <c r="AC15" s="102">
        <f>AC9-AC8</f>
        <v/>
      </c>
      <c r="AD15" s="102">
        <f>AD9-AD8</f>
        <v/>
      </c>
      <c r="AE15" s="102">
        <f>AE9-AE8</f>
        <v/>
      </c>
      <c r="AF15" s="102">
        <f>AF9-AF8</f>
        <v/>
      </c>
      <c r="AG15" s="102">
        <f>AG9-AG8</f>
        <v/>
      </c>
      <c r="AH15" s="102">
        <f>AH9-AH8</f>
        <v/>
      </c>
      <c r="AI15" s="102">
        <f>AI9-AI8</f>
        <v/>
      </c>
      <c r="AJ15" s="102">
        <f>AJ9-AJ8</f>
        <v/>
      </c>
      <c r="AK15" s="102">
        <f>AK9-AK8</f>
        <v/>
      </c>
      <c r="AL15" s="102">
        <f>AL9-AL8</f>
        <v/>
      </c>
      <c r="AM15" s="102">
        <f>AM9-AM8</f>
        <v/>
      </c>
      <c r="AN15" s="102">
        <f>AN9-AN8</f>
        <v/>
      </c>
      <c r="AO15" s="102">
        <f>AO9-AO8</f>
        <v/>
      </c>
      <c r="AP15" s="102">
        <f>AP9-AP8</f>
        <v/>
      </c>
      <c r="AQ15" s="102">
        <f>AQ9-AQ8</f>
        <v/>
      </c>
      <c r="AR15" s="102">
        <f>AR9-AR8</f>
        <v/>
      </c>
      <c r="AS15" s="102">
        <f>AS9-AS8</f>
        <v/>
      </c>
      <c r="AT15" s="102">
        <f>AT9-AT8</f>
        <v/>
      </c>
      <c r="AU15" s="102">
        <f>AU9-AU8</f>
        <v/>
      </c>
      <c r="AV15" s="102">
        <f>AV9-AV8</f>
        <v/>
      </c>
      <c r="AW15" s="102">
        <f>AW9-AW8</f>
        <v/>
      </c>
      <c r="AY15" s="103" t="n"/>
      <c r="BD15" s="98" t="n"/>
      <c r="BH15" s="98" t="n"/>
    </row>
    <row r="16" ht="25" customHeight="1">
      <c r="A16" s="101" t="inlineStr">
        <is>
          <t>EUR JPY</t>
        </is>
      </c>
      <c r="B16" s="102">
        <f>B9-B4</f>
        <v/>
      </c>
      <c r="C16" s="102">
        <f>C9-C4</f>
        <v/>
      </c>
      <c r="D16" s="102">
        <f>D9-D4</f>
        <v/>
      </c>
      <c r="E16" s="102">
        <f>E9-E4</f>
        <v/>
      </c>
      <c r="F16" s="102">
        <f>F9-F4</f>
        <v/>
      </c>
      <c r="G16" s="102">
        <f>G9-G4</f>
        <v/>
      </c>
      <c r="H16" s="102">
        <f>H9-H4</f>
        <v/>
      </c>
      <c r="I16" s="102">
        <f>I9-I4</f>
        <v/>
      </c>
      <c r="J16" s="102">
        <f>J9-J4</f>
        <v/>
      </c>
      <c r="K16" s="102">
        <f>K9-K4</f>
        <v/>
      </c>
      <c r="L16" s="102">
        <f>L9-L4</f>
        <v/>
      </c>
      <c r="M16" s="102">
        <f>M9-M4</f>
        <v/>
      </c>
      <c r="N16" s="102">
        <f>N9-N4</f>
        <v/>
      </c>
      <c r="O16" s="102">
        <f>O9-O4</f>
        <v/>
      </c>
      <c r="P16" s="102">
        <f>P9-P4</f>
        <v/>
      </c>
      <c r="Q16" s="102">
        <f>Q9-Q4</f>
        <v/>
      </c>
      <c r="R16" s="102">
        <f>R9-R4</f>
        <v/>
      </c>
      <c r="S16" s="102">
        <f>S9-S4</f>
        <v/>
      </c>
      <c r="T16" s="102">
        <f>T9-T4</f>
        <v/>
      </c>
      <c r="U16" s="102">
        <f>U9-U4</f>
        <v/>
      </c>
      <c r="V16" s="102">
        <f>V9-V4</f>
        <v/>
      </c>
      <c r="W16" s="102">
        <f>W9-W4</f>
        <v/>
      </c>
      <c r="X16" s="102">
        <f>X9-X4</f>
        <v/>
      </c>
      <c r="Y16" s="102">
        <f>Y9-Y4</f>
        <v/>
      </c>
      <c r="Z16" s="102">
        <f>Z9-Z4</f>
        <v/>
      </c>
      <c r="AA16" s="102">
        <f>AA9-AA4</f>
        <v/>
      </c>
      <c r="AB16" s="102">
        <f>AB9-AB4</f>
        <v/>
      </c>
      <c r="AC16" s="102">
        <f>AC9-AC4</f>
        <v/>
      </c>
      <c r="AD16" s="102">
        <f>AD9-AD4</f>
        <v/>
      </c>
      <c r="AE16" s="102">
        <f>AE9-AE4</f>
        <v/>
      </c>
      <c r="AF16" s="102">
        <f>AF9-AF4</f>
        <v/>
      </c>
      <c r="AG16" s="102">
        <f>AG9-AG4</f>
        <v/>
      </c>
      <c r="AH16" s="102">
        <f>AH9-AH4</f>
        <v/>
      </c>
      <c r="AI16" s="102">
        <f>AI9-AI4</f>
        <v/>
      </c>
      <c r="AJ16" s="102">
        <f>AJ9-AJ4</f>
        <v/>
      </c>
      <c r="AK16" s="102">
        <f>AK9-AK4</f>
        <v/>
      </c>
      <c r="AL16" s="102">
        <f>AL9-AL4</f>
        <v/>
      </c>
      <c r="AM16" s="102">
        <f>AM9-AM4</f>
        <v/>
      </c>
      <c r="AN16" s="102">
        <f>AN9-AN4</f>
        <v/>
      </c>
      <c r="AO16" s="102">
        <f>AO9-AO4</f>
        <v/>
      </c>
      <c r="AP16" s="102">
        <f>AP9-AP4</f>
        <v/>
      </c>
      <c r="AQ16" s="102">
        <f>AQ9-AQ4</f>
        <v/>
      </c>
      <c r="AR16" s="102">
        <f>AR9-AR4</f>
        <v/>
      </c>
      <c r="AS16" s="102">
        <f>AS9-AS4</f>
        <v/>
      </c>
      <c r="AT16" s="102">
        <f>AT9-AT4</f>
        <v/>
      </c>
      <c r="AU16" s="102">
        <f>AU9-AU4</f>
        <v/>
      </c>
      <c r="AV16" s="102">
        <f>AV9-AV4</f>
        <v/>
      </c>
      <c r="AW16" s="102">
        <f>AW9-AW4</f>
        <v/>
      </c>
      <c r="BD16" s="98" t="n"/>
      <c r="BH16" s="98" t="n"/>
    </row>
    <row r="17" ht="25" customHeight="1">
      <c r="A17" s="101" t="inlineStr">
        <is>
          <t>EUR CHF</t>
        </is>
      </c>
      <c r="B17" s="102">
        <f>B9-B6</f>
        <v/>
      </c>
      <c r="C17" s="102">
        <f>C9-C6</f>
        <v/>
      </c>
      <c r="D17" s="102">
        <f>D9-D6</f>
        <v/>
      </c>
      <c r="E17" s="102">
        <f>E9-E6</f>
        <v/>
      </c>
      <c r="F17" s="102">
        <f>F9-F6</f>
        <v/>
      </c>
      <c r="G17" s="102">
        <f>G9-G6</f>
        <v/>
      </c>
      <c r="H17" s="102">
        <f>H9-H6</f>
        <v/>
      </c>
      <c r="I17" s="102">
        <f>I9-I6</f>
        <v/>
      </c>
      <c r="J17" s="102">
        <f>J9-J6</f>
        <v/>
      </c>
      <c r="K17" s="102">
        <f>K9-K6</f>
        <v/>
      </c>
      <c r="L17" s="102">
        <f>L9-L6</f>
        <v/>
      </c>
      <c r="M17" s="102">
        <f>M9-M6</f>
        <v/>
      </c>
      <c r="N17" s="102">
        <f>N9-N6</f>
        <v/>
      </c>
      <c r="O17" s="102">
        <f>O9-O6</f>
        <v/>
      </c>
      <c r="P17" s="102">
        <f>P9-P6</f>
        <v/>
      </c>
      <c r="Q17" s="102">
        <f>Q9-Q6</f>
        <v/>
      </c>
      <c r="R17" s="102">
        <f>R9-R6</f>
        <v/>
      </c>
      <c r="S17" s="102">
        <f>S9-S6</f>
        <v/>
      </c>
      <c r="T17" s="102">
        <f>T9-T6</f>
        <v/>
      </c>
      <c r="U17" s="102">
        <f>U9-U6</f>
        <v/>
      </c>
      <c r="V17" s="102">
        <f>V9-V6</f>
        <v/>
      </c>
      <c r="W17" s="102">
        <f>W9-W6</f>
        <v/>
      </c>
      <c r="X17" s="102">
        <f>X9-X6</f>
        <v/>
      </c>
      <c r="Y17" s="102">
        <f>Y9-Y6</f>
        <v/>
      </c>
      <c r="Z17" s="102">
        <f>Z9-Z6</f>
        <v/>
      </c>
      <c r="AA17" s="102">
        <f>AA9-AA6</f>
        <v/>
      </c>
      <c r="AB17" s="102">
        <f>AB9-AB6</f>
        <v/>
      </c>
      <c r="AC17" s="102">
        <f>AC9-AC6</f>
        <v/>
      </c>
      <c r="AD17" s="102">
        <f>AD9-AD6</f>
        <v/>
      </c>
      <c r="AE17" s="102">
        <f>AE9-AE6</f>
        <v/>
      </c>
      <c r="AF17" s="102">
        <f>AF9-AF6</f>
        <v/>
      </c>
      <c r="AG17" s="102">
        <f>AG9-AG6</f>
        <v/>
      </c>
      <c r="AH17" s="102">
        <f>AH9-AH6</f>
        <v/>
      </c>
      <c r="AI17" s="102">
        <f>AI9-AI6</f>
        <v/>
      </c>
      <c r="AJ17" s="102">
        <f>AJ9-AJ6</f>
        <v/>
      </c>
      <c r="AK17" s="102">
        <f>AK9-AK6</f>
        <v/>
      </c>
      <c r="AL17" s="102">
        <f>AL9-AL6</f>
        <v/>
      </c>
      <c r="AM17" s="102">
        <f>AM9-AM6</f>
        <v/>
      </c>
      <c r="AN17" s="102">
        <f>AN9-AN6</f>
        <v/>
      </c>
      <c r="AO17" s="102">
        <f>AO9-AO6</f>
        <v/>
      </c>
      <c r="AP17" s="102">
        <f>AP9-AP6</f>
        <v/>
      </c>
      <c r="AQ17" s="102">
        <f>AQ9-AQ6</f>
        <v/>
      </c>
      <c r="AR17" s="102">
        <f>AR9-AR6</f>
        <v/>
      </c>
      <c r="AS17" s="102">
        <f>AS9-AS6</f>
        <v/>
      </c>
      <c r="AT17" s="102">
        <f>AT9-AT6</f>
        <v/>
      </c>
      <c r="AU17" s="102">
        <f>AU9-AU6</f>
        <v/>
      </c>
      <c r="AV17" s="102">
        <f>AV9-AV6</f>
        <v/>
      </c>
      <c r="AW17" s="102">
        <f>AW9-AW6</f>
        <v/>
      </c>
      <c r="BD17" s="98" t="n"/>
      <c r="BH17" s="98" t="n"/>
    </row>
    <row r="18" ht="25" customHeight="1">
      <c r="A18" s="101" t="inlineStr">
        <is>
          <t>EUR GBP</t>
        </is>
      </c>
      <c r="B18" s="102">
        <f>B9-B7</f>
        <v/>
      </c>
      <c r="C18" s="102">
        <f>C9-C7</f>
        <v/>
      </c>
      <c r="D18" s="102">
        <f>D9-D7</f>
        <v/>
      </c>
      <c r="E18" s="102">
        <f>E9-E7</f>
        <v/>
      </c>
      <c r="F18" s="102">
        <f>F9-F7</f>
        <v/>
      </c>
      <c r="G18" s="102">
        <f>G9-G7</f>
        <v/>
      </c>
      <c r="H18" s="102">
        <f>H9-H7</f>
        <v/>
      </c>
      <c r="I18" s="102">
        <f>I9-I7</f>
        <v/>
      </c>
      <c r="J18" s="102">
        <f>J9-J7</f>
        <v/>
      </c>
      <c r="K18" s="102">
        <f>K9-K7</f>
        <v/>
      </c>
      <c r="L18" s="102">
        <f>L9-L7</f>
        <v/>
      </c>
      <c r="M18" s="102">
        <f>M9-M7</f>
        <v/>
      </c>
      <c r="N18" s="102">
        <f>N9-N7</f>
        <v/>
      </c>
      <c r="O18" s="102">
        <f>O9-O7</f>
        <v/>
      </c>
      <c r="P18" s="102">
        <f>P9-P7</f>
        <v/>
      </c>
      <c r="Q18" s="102">
        <f>Q9-Q7</f>
        <v/>
      </c>
      <c r="R18" s="102">
        <f>R9-R7</f>
        <v/>
      </c>
      <c r="S18" s="102">
        <f>S9-S7</f>
        <v/>
      </c>
      <c r="T18" s="102">
        <f>T9-T7</f>
        <v/>
      </c>
      <c r="U18" s="102">
        <f>U9-U7</f>
        <v/>
      </c>
      <c r="V18" s="102">
        <f>V9-V7</f>
        <v/>
      </c>
      <c r="W18" s="102">
        <f>W9-W7</f>
        <v/>
      </c>
      <c r="X18" s="102">
        <f>X9-X7</f>
        <v/>
      </c>
      <c r="Y18" s="102">
        <f>Y9-Y7</f>
        <v/>
      </c>
      <c r="Z18" s="102">
        <f>Z9-Z7</f>
        <v/>
      </c>
      <c r="AA18" s="102">
        <f>AA9-AA7</f>
        <v/>
      </c>
      <c r="AB18" s="102">
        <f>AB9-AB7</f>
        <v/>
      </c>
      <c r="AC18" s="102">
        <f>AC9-AC7</f>
        <v/>
      </c>
      <c r="AD18" s="102">
        <f>AD9-AD7</f>
        <v/>
      </c>
      <c r="AE18" s="102">
        <f>AE9-AE7</f>
        <v/>
      </c>
      <c r="AF18" s="102">
        <f>AF9-AF7</f>
        <v/>
      </c>
      <c r="AG18" s="102">
        <f>AG9-AG7</f>
        <v/>
      </c>
      <c r="AH18" s="102">
        <f>AH9-AH7</f>
        <v/>
      </c>
      <c r="AI18" s="102">
        <f>AI9-AI7</f>
        <v/>
      </c>
      <c r="AJ18" s="102">
        <f>AJ9-AJ7</f>
        <v/>
      </c>
      <c r="AK18" s="102">
        <f>AK9-AK7</f>
        <v/>
      </c>
      <c r="AL18" s="102">
        <f>AL9-AL7</f>
        <v/>
      </c>
      <c r="AM18" s="102">
        <f>AM9-AM7</f>
        <v/>
      </c>
      <c r="AN18" s="102">
        <f>AN9-AN7</f>
        <v/>
      </c>
      <c r="AO18" s="102">
        <f>AO9-AO7</f>
        <v/>
      </c>
      <c r="AP18" s="102">
        <f>AP9-AP7</f>
        <v/>
      </c>
      <c r="AQ18" s="102">
        <f>AQ9-AQ7</f>
        <v/>
      </c>
      <c r="AR18" s="102">
        <f>AR9-AR7</f>
        <v/>
      </c>
      <c r="AS18" s="102">
        <f>AS9-AS7</f>
        <v/>
      </c>
      <c r="AT18" s="102">
        <f>AT9-AT7</f>
        <v/>
      </c>
      <c r="AU18" s="102">
        <f>AU9-AU7</f>
        <v/>
      </c>
      <c r="AV18" s="102">
        <f>AV9-AV7</f>
        <v/>
      </c>
      <c r="AW18" s="102">
        <f>AW9-AW7</f>
        <v/>
      </c>
      <c r="BD18" s="98" t="n"/>
      <c r="BH18" s="98" t="n"/>
    </row>
    <row r="19" ht="25" customHeight="1">
      <c r="A19" s="101" t="inlineStr">
        <is>
          <t>EUR CAD</t>
        </is>
      </c>
      <c r="B19" s="102">
        <f>B9-B3</f>
        <v/>
      </c>
      <c r="C19" s="102">
        <f>C9-C3</f>
        <v/>
      </c>
      <c r="D19" s="102">
        <f>D9-D3</f>
        <v/>
      </c>
      <c r="E19" s="102">
        <f>E9-E3</f>
        <v/>
      </c>
      <c r="F19" s="102">
        <f>F9-F3</f>
        <v/>
      </c>
      <c r="G19" s="102">
        <f>G9-G3</f>
        <v/>
      </c>
      <c r="H19" s="102">
        <f>H9-H3</f>
        <v/>
      </c>
      <c r="I19" s="102">
        <f>I9-I3</f>
        <v/>
      </c>
      <c r="J19" s="102">
        <f>J9-J3</f>
        <v/>
      </c>
      <c r="K19" s="102">
        <f>K9-K3</f>
        <v/>
      </c>
      <c r="L19" s="102">
        <f>L9-L3</f>
        <v/>
      </c>
      <c r="M19" s="102">
        <f>M9-M3</f>
        <v/>
      </c>
      <c r="N19" s="102">
        <f>N9-N3</f>
        <v/>
      </c>
      <c r="O19" s="102">
        <f>O9-O3</f>
        <v/>
      </c>
      <c r="P19" s="102">
        <f>P9-P3</f>
        <v/>
      </c>
      <c r="Q19" s="102">
        <f>Q9-Q3</f>
        <v/>
      </c>
      <c r="R19" s="102">
        <f>R9-R3</f>
        <v/>
      </c>
      <c r="S19" s="102">
        <f>S9-S3</f>
        <v/>
      </c>
      <c r="T19" s="102">
        <f>T9-T3</f>
        <v/>
      </c>
      <c r="U19" s="102">
        <f>U9-U3</f>
        <v/>
      </c>
      <c r="V19" s="102">
        <f>V9-V3</f>
        <v/>
      </c>
      <c r="W19" s="102">
        <f>W9-W3</f>
        <v/>
      </c>
      <c r="X19" s="102">
        <f>X9-X3</f>
        <v/>
      </c>
      <c r="Y19" s="102">
        <f>Y9-Y3</f>
        <v/>
      </c>
      <c r="Z19" s="102">
        <f>Z9-Z3</f>
        <v/>
      </c>
      <c r="AA19" s="102">
        <f>AA9-AA3</f>
        <v/>
      </c>
      <c r="AB19" s="102">
        <f>AB9-AB3</f>
        <v/>
      </c>
      <c r="AC19" s="102">
        <f>AC9-AC3</f>
        <v/>
      </c>
      <c r="AD19" s="102">
        <f>AD9-AD3</f>
        <v/>
      </c>
      <c r="AE19" s="102">
        <f>AE9-AE3</f>
        <v/>
      </c>
      <c r="AF19" s="102">
        <f>AF9-AF3</f>
        <v/>
      </c>
      <c r="AG19" s="102">
        <f>AG9-AG3</f>
        <v/>
      </c>
      <c r="AH19" s="102">
        <f>AH9-AH3</f>
        <v/>
      </c>
      <c r="AI19" s="102">
        <f>AI9-AI3</f>
        <v/>
      </c>
      <c r="AJ19" s="102">
        <f>AJ9-AJ3</f>
        <v/>
      </c>
      <c r="AK19" s="102">
        <f>AK9-AK3</f>
        <v/>
      </c>
      <c r="AL19" s="102">
        <f>AL9-AL3</f>
        <v/>
      </c>
      <c r="AM19" s="102">
        <f>AM9-AM3</f>
        <v/>
      </c>
      <c r="AN19" s="102">
        <f>AN9-AN3</f>
        <v/>
      </c>
      <c r="AO19" s="102">
        <f>AO9-AO3</f>
        <v/>
      </c>
      <c r="AP19" s="102">
        <f>AP9-AP3</f>
        <v/>
      </c>
      <c r="AQ19" s="102">
        <f>AQ9-AQ3</f>
        <v/>
      </c>
      <c r="AR19" s="102">
        <f>AR9-AR3</f>
        <v/>
      </c>
      <c r="AS19" s="102">
        <f>AS9-AS3</f>
        <v/>
      </c>
      <c r="AT19" s="102">
        <f>AT9-AT3</f>
        <v/>
      </c>
      <c r="AU19" s="102">
        <f>AU9-AU3</f>
        <v/>
      </c>
      <c r="AV19" s="102">
        <f>AV9-AV3</f>
        <v/>
      </c>
      <c r="AW19" s="102">
        <f>AW9-AW3</f>
        <v/>
      </c>
      <c r="BD19" s="98" t="n"/>
      <c r="BH19" s="98" t="n"/>
    </row>
    <row r="20" ht="25" customHeight="1">
      <c r="A20" s="101" t="inlineStr">
        <is>
          <t>EUR AUD</t>
        </is>
      </c>
      <c r="B20" s="291">
        <f>B9-B2</f>
        <v/>
      </c>
      <c r="C20" s="291">
        <f>C9-C2</f>
        <v/>
      </c>
      <c r="D20" s="291">
        <f>D9-D2</f>
        <v/>
      </c>
      <c r="E20" s="291">
        <f>E9-E2</f>
        <v/>
      </c>
      <c r="F20" s="291">
        <f>F9-F2</f>
        <v/>
      </c>
      <c r="G20" s="291">
        <f>G9-G2</f>
        <v/>
      </c>
      <c r="H20" s="291">
        <f>H9-H2</f>
        <v/>
      </c>
      <c r="I20" s="291">
        <f>I9-I2</f>
        <v/>
      </c>
      <c r="J20" s="291">
        <f>J9-J2</f>
        <v/>
      </c>
      <c r="K20" s="291">
        <f>K9-K2</f>
        <v/>
      </c>
      <c r="L20" s="291">
        <f>L9-L2</f>
        <v/>
      </c>
      <c r="M20" s="291">
        <f>M9-M2</f>
        <v/>
      </c>
      <c r="N20" s="291">
        <f>N9-N2</f>
        <v/>
      </c>
      <c r="O20" s="291">
        <f>O9-O2</f>
        <v/>
      </c>
      <c r="P20" s="291">
        <f>P9-P2</f>
        <v/>
      </c>
      <c r="Q20" s="291">
        <f>Q9-Q2</f>
        <v/>
      </c>
      <c r="R20" s="291">
        <f>R9-R2</f>
        <v/>
      </c>
      <c r="S20" s="291">
        <f>S9-S2</f>
        <v/>
      </c>
      <c r="T20" s="291">
        <f>T9-T2</f>
        <v/>
      </c>
      <c r="U20" s="291">
        <f>U9-U2</f>
        <v/>
      </c>
      <c r="V20" s="291">
        <f>V9-V2</f>
        <v/>
      </c>
      <c r="W20" s="291">
        <f>W9-W2</f>
        <v/>
      </c>
      <c r="X20" s="291">
        <f>X9-X2</f>
        <v/>
      </c>
      <c r="Y20" s="291">
        <f>Y9-Y2</f>
        <v/>
      </c>
      <c r="Z20" s="291">
        <f>Z9-Z2</f>
        <v/>
      </c>
      <c r="AA20" s="291">
        <f>AA9-AA2</f>
        <v/>
      </c>
      <c r="AB20" s="291">
        <f>AB9-AB2</f>
        <v/>
      </c>
      <c r="AC20" s="291">
        <f>AC9-AC2</f>
        <v/>
      </c>
      <c r="AD20" s="291">
        <f>AD9-AD2</f>
        <v/>
      </c>
      <c r="AE20" s="291">
        <f>AE9-AE2</f>
        <v/>
      </c>
      <c r="AF20" s="291">
        <f>AF9-AF2</f>
        <v/>
      </c>
      <c r="AG20" s="291">
        <f>AG9-AG2</f>
        <v/>
      </c>
      <c r="AH20" s="291">
        <f>AH9-AH2</f>
        <v/>
      </c>
      <c r="AI20" s="291">
        <f>AI9-AI2</f>
        <v/>
      </c>
      <c r="AJ20" s="291">
        <f>AJ9-AJ2</f>
        <v/>
      </c>
      <c r="AK20" s="291">
        <f>AK9-AK2</f>
        <v/>
      </c>
      <c r="AL20" s="291">
        <f>AL9-AL2</f>
        <v/>
      </c>
      <c r="AM20" s="291">
        <f>AM9-AM2</f>
        <v/>
      </c>
      <c r="AN20" s="291">
        <f>AN9-AN2</f>
        <v/>
      </c>
      <c r="AO20" s="291">
        <f>AO9-AO2</f>
        <v/>
      </c>
      <c r="AP20" s="291">
        <f>AP9-AP2</f>
        <v/>
      </c>
      <c r="AQ20" s="291">
        <f>AQ9-AQ2</f>
        <v/>
      </c>
      <c r="AR20" s="291">
        <f>AR9-AR2</f>
        <v/>
      </c>
      <c r="AS20" s="291">
        <f>AS9-AS2</f>
        <v/>
      </c>
      <c r="AT20" s="291">
        <f>AT9-AT2</f>
        <v/>
      </c>
      <c r="AU20" s="291">
        <f>AU9-AU2</f>
        <v/>
      </c>
      <c r="AV20" s="291">
        <f>AV9-AV2</f>
        <v/>
      </c>
      <c r="AW20" s="291">
        <f>AW9-AW2</f>
        <v/>
      </c>
      <c r="BD20" s="98" t="n"/>
      <c r="BH20" s="98" t="n"/>
    </row>
    <row r="21" ht="25" customHeight="1">
      <c r="A21" s="101" t="inlineStr">
        <is>
          <t>EUR NZD</t>
        </is>
      </c>
      <c r="B21" s="102">
        <f>B9-B5</f>
        <v/>
      </c>
      <c r="C21" s="102">
        <f>C9-C5</f>
        <v/>
      </c>
      <c r="D21" s="102">
        <f>D9-D5</f>
        <v/>
      </c>
      <c r="E21" s="102">
        <f>E9-E5</f>
        <v/>
      </c>
      <c r="F21" s="102">
        <f>F9-F5</f>
        <v/>
      </c>
      <c r="G21" s="102">
        <f>G9-G5</f>
        <v/>
      </c>
      <c r="H21" s="102">
        <f>H9-H5</f>
        <v/>
      </c>
      <c r="I21" s="102">
        <f>I9-I5</f>
        <v/>
      </c>
      <c r="J21" s="102">
        <f>J9-J5</f>
        <v/>
      </c>
      <c r="K21" s="102">
        <f>K9-K5</f>
        <v/>
      </c>
      <c r="L21" s="102">
        <f>L9-L5</f>
        <v/>
      </c>
      <c r="M21" s="102">
        <f>M9-M5</f>
        <v/>
      </c>
      <c r="N21" s="102">
        <f>N9-N5</f>
        <v/>
      </c>
      <c r="O21" s="102">
        <f>O9-O5</f>
        <v/>
      </c>
      <c r="P21" s="102">
        <f>P9-P5</f>
        <v/>
      </c>
      <c r="Q21" s="102">
        <f>Q9-Q5</f>
        <v/>
      </c>
      <c r="R21" s="102">
        <f>R9-R5</f>
        <v/>
      </c>
      <c r="S21" s="102">
        <f>S9-S5</f>
        <v/>
      </c>
      <c r="T21" s="102">
        <f>T9-T5</f>
        <v/>
      </c>
      <c r="U21" s="102">
        <f>U9-U5</f>
        <v/>
      </c>
      <c r="V21" s="102">
        <f>V9-V5</f>
        <v/>
      </c>
      <c r="W21" s="102">
        <f>W9-W5</f>
        <v/>
      </c>
      <c r="X21" s="102">
        <f>X9-X5</f>
        <v/>
      </c>
      <c r="Y21" s="102">
        <f>Y9-Y5</f>
        <v/>
      </c>
      <c r="Z21" s="102">
        <f>Z9-Z5</f>
        <v/>
      </c>
      <c r="AA21" s="102">
        <f>AA9-AA5</f>
        <v/>
      </c>
      <c r="AB21" s="102">
        <f>AB9-AB5</f>
        <v/>
      </c>
      <c r="AC21" s="102">
        <f>AC9-AC5</f>
        <v/>
      </c>
      <c r="AD21" s="102">
        <f>AD9-AD5</f>
        <v/>
      </c>
      <c r="AE21" s="102">
        <f>AE9-AE5</f>
        <v/>
      </c>
      <c r="AF21" s="102">
        <f>AF9-AF5</f>
        <v/>
      </c>
      <c r="AG21" s="102">
        <f>AG9-AG5</f>
        <v/>
      </c>
      <c r="AH21" s="102">
        <f>AH9-AH5</f>
        <v/>
      </c>
      <c r="AI21" s="102">
        <f>AI9-AI5</f>
        <v/>
      </c>
      <c r="AJ21" s="102">
        <f>AJ9-AJ5</f>
        <v/>
      </c>
      <c r="AK21" s="102">
        <f>AK9-AK5</f>
        <v/>
      </c>
      <c r="AL21" s="102">
        <f>AL9-AL5</f>
        <v/>
      </c>
      <c r="AM21" s="102">
        <f>AM9-AM5</f>
        <v/>
      </c>
      <c r="AN21" s="102">
        <f>AN9-AN5</f>
        <v/>
      </c>
      <c r="AO21" s="102">
        <f>AO9-AO5</f>
        <v/>
      </c>
      <c r="AP21" s="102">
        <f>AP9-AP5</f>
        <v/>
      </c>
      <c r="AQ21" s="102">
        <f>AQ9-AQ5</f>
        <v/>
      </c>
      <c r="AR21" s="102">
        <f>AR9-AR5</f>
        <v/>
      </c>
      <c r="AS21" s="102">
        <f>AS9-AS5</f>
        <v/>
      </c>
      <c r="AT21" s="102">
        <f>AT9-AT5</f>
        <v/>
      </c>
      <c r="AU21" s="102">
        <f>AU9-AU5</f>
        <v/>
      </c>
      <c r="AV21" s="102">
        <f>AV9-AV5</f>
        <v/>
      </c>
      <c r="AW21" s="102">
        <f>AW9-AW5</f>
        <v/>
      </c>
      <c r="BD21" s="98" t="n"/>
      <c r="BH21" s="98" t="n"/>
    </row>
    <row r="22" ht="25" customHeight="1">
      <c r="A22" s="106" t="inlineStr">
        <is>
          <t>GBP USD</t>
        </is>
      </c>
      <c r="B22" s="107">
        <f>B7-B8</f>
        <v/>
      </c>
      <c r="C22" s="107">
        <f>C7-C8</f>
        <v/>
      </c>
      <c r="D22" s="107">
        <f>D7-D8</f>
        <v/>
      </c>
      <c r="E22" s="107">
        <f>E7-E8</f>
        <v/>
      </c>
      <c r="F22" s="107">
        <f>F7-F8</f>
        <v/>
      </c>
      <c r="G22" s="107">
        <f>G7-G8</f>
        <v/>
      </c>
      <c r="H22" s="107">
        <f>H7-H8</f>
        <v/>
      </c>
      <c r="I22" s="107">
        <f>I7-I8</f>
        <v/>
      </c>
      <c r="J22" s="107">
        <f>J7-J8</f>
        <v/>
      </c>
      <c r="K22" s="107">
        <f>K7-K8</f>
        <v/>
      </c>
      <c r="L22" s="107">
        <f>L7-L8</f>
        <v/>
      </c>
      <c r="M22" s="107">
        <f>M7-M8</f>
        <v/>
      </c>
      <c r="N22" s="107">
        <f>N7-N8</f>
        <v/>
      </c>
      <c r="O22" s="107">
        <f>O7-O8</f>
        <v/>
      </c>
      <c r="P22" s="107">
        <f>P7-P8</f>
        <v/>
      </c>
      <c r="Q22" s="107">
        <f>Q7-Q8</f>
        <v/>
      </c>
      <c r="R22" s="107">
        <f>R7-R8</f>
        <v/>
      </c>
      <c r="S22" s="107">
        <f>S7-S8</f>
        <v/>
      </c>
      <c r="T22" s="107">
        <f>T7-T8</f>
        <v/>
      </c>
      <c r="U22" s="107">
        <f>U7-U8</f>
        <v/>
      </c>
      <c r="V22" s="107">
        <f>V7-V8</f>
        <v/>
      </c>
      <c r="W22" s="107">
        <f>W7-W8</f>
        <v/>
      </c>
      <c r="X22" s="107">
        <f>X7-X8</f>
        <v/>
      </c>
      <c r="Y22" s="107">
        <f>Y7-Y8</f>
        <v/>
      </c>
      <c r="Z22" s="107">
        <f>Z7-Z8</f>
        <v/>
      </c>
      <c r="AA22" s="107">
        <f>AA7-AA8</f>
        <v/>
      </c>
      <c r="AB22" s="107">
        <f>AB7-AB8</f>
        <v/>
      </c>
      <c r="AC22" s="107">
        <f>AC7-AC8</f>
        <v/>
      </c>
      <c r="AD22" s="107">
        <f>AD7-AD8</f>
        <v/>
      </c>
      <c r="AE22" s="107">
        <f>AE7-AE8</f>
        <v/>
      </c>
      <c r="AF22" s="107">
        <f>AF7-AF8</f>
        <v/>
      </c>
      <c r="AG22" s="107">
        <f>AG7-AG8</f>
        <v/>
      </c>
      <c r="AH22" s="107">
        <f>AH7-AH8</f>
        <v/>
      </c>
      <c r="AI22" s="107">
        <f>AI7-AI8</f>
        <v/>
      </c>
      <c r="AJ22" s="107">
        <f>AJ7-AJ8</f>
        <v/>
      </c>
      <c r="AK22" s="107">
        <f>AK7-AK8</f>
        <v/>
      </c>
      <c r="AL22" s="107">
        <f>AL7-AL8</f>
        <v/>
      </c>
      <c r="AM22" s="107">
        <f>AM7-AM8</f>
        <v/>
      </c>
      <c r="AN22" s="107">
        <f>AN7-AN8</f>
        <v/>
      </c>
      <c r="AO22" s="107">
        <f>AO7-AO8</f>
        <v/>
      </c>
      <c r="AP22" s="107">
        <f>AP7-AP8</f>
        <v/>
      </c>
      <c r="AQ22" s="107">
        <f>AQ7-AQ8</f>
        <v/>
      </c>
      <c r="AR22" s="107">
        <f>AR7-AR8</f>
        <v/>
      </c>
      <c r="AS22" s="107">
        <f>AS7-AS8</f>
        <v/>
      </c>
      <c r="AT22" s="107">
        <f>AT7-AT8</f>
        <v/>
      </c>
      <c r="AU22" s="107">
        <f>AU7-AU8</f>
        <v/>
      </c>
      <c r="AV22" s="107">
        <f>AV7-AV8</f>
        <v/>
      </c>
      <c r="AW22" s="107">
        <f>AW7-AW8</f>
        <v/>
      </c>
      <c r="BD22" s="98" t="n"/>
      <c r="BH22" s="98" t="n"/>
    </row>
    <row r="23" ht="25" customHeight="1">
      <c r="A23" s="106" t="inlineStr">
        <is>
          <t>GBP JPY</t>
        </is>
      </c>
      <c r="B23" s="107">
        <f>B7-B4</f>
        <v/>
      </c>
      <c r="C23" s="107">
        <f>C7-C4</f>
        <v/>
      </c>
      <c r="D23" s="107">
        <f>D7-D4</f>
        <v/>
      </c>
      <c r="E23" s="107">
        <f>E7-E4</f>
        <v/>
      </c>
      <c r="F23" s="107">
        <f>F7-F4</f>
        <v/>
      </c>
      <c r="G23" s="107">
        <f>G7-G4</f>
        <v/>
      </c>
      <c r="H23" s="107">
        <f>H7-H4</f>
        <v/>
      </c>
      <c r="I23" s="107">
        <f>I7-I4</f>
        <v/>
      </c>
      <c r="J23" s="107">
        <f>J7-J4</f>
        <v/>
      </c>
      <c r="K23" s="107">
        <f>K7-K4</f>
        <v/>
      </c>
      <c r="L23" s="107">
        <f>L7-L4</f>
        <v/>
      </c>
      <c r="M23" s="107">
        <f>M7-M4</f>
        <v/>
      </c>
      <c r="N23" s="107">
        <f>N7-N4</f>
        <v/>
      </c>
      <c r="O23" s="107">
        <f>O7-O4</f>
        <v/>
      </c>
      <c r="P23" s="107">
        <f>P7-P4</f>
        <v/>
      </c>
      <c r="Q23" s="107">
        <f>Q7-Q4</f>
        <v/>
      </c>
      <c r="R23" s="107">
        <f>R7-R4</f>
        <v/>
      </c>
      <c r="S23" s="107">
        <f>S7-S4</f>
        <v/>
      </c>
      <c r="T23" s="107">
        <f>T7-T4</f>
        <v/>
      </c>
      <c r="U23" s="107">
        <f>U7-U4</f>
        <v/>
      </c>
      <c r="V23" s="107">
        <f>V7-V4</f>
        <v/>
      </c>
      <c r="W23" s="107">
        <f>W7-W4</f>
        <v/>
      </c>
      <c r="X23" s="107">
        <f>X7-X4</f>
        <v/>
      </c>
      <c r="Y23" s="107">
        <f>Y7-Y4</f>
        <v/>
      </c>
      <c r="Z23" s="107">
        <f>Z7-Z4</f>
        <v/>
      </c>
      <c r="AA23" s="107">
        <f>AA7-AA4</f>
        <v/>
      </c>
      <c r="AB23" s="107">
        <f>AB7-AB4</f>
        <v/>
      </c>
      <c r="AC23" s="107">
        <f>AC7-AC4</f>
        <v/>
      </c>
      <c r="AD23" s="107">
        <f>AD7-AD4</f>
        <v/>
      </c>
      <c r="AE23" s="107">
        <f>AE7-AE4</f>
        <v/>
      </c>
      <c r="AF23" s="107">
        <f>AF7-AF4</f>
        <v/>
      </c>
      <c r="AG23" s="107">
        <f>AG7-AG4</f>
        <v/>
      </c>
      <c r="AH23" s="107">
        <f>AH7-AH4</f>
        <v/>
      </c>
      <c r="AI23" s="107">
        <f>AI7-AI4</f>
        <v/>
      </c>
      <c r="AJ23" s="107">
        <f>AJ7-AJ4</f>
        <v/>
      </c>
      <c r="AK23" s="107">
        <f>AK7-AK4</f>
        <v/>
      </c>
      <c r="AL23" s="107">
        <f>AL7-AL4</f>
        <v/>
      </c>
      <c r="AM23" s="107">
        <f>AM7-AM4</f>
        <v/>
      </c>
      <c r="AN23" s="107">
        <f>AN7-AN4</f>
        <v/>
      </c>
      <c r="AO23" s="107">
        <f>AO7-AO4</f>
        <v/>
      </c>
      <c r="AP23" s="107">
        <f>AP7-AP4</f>
        <v/>
      </c>
      <c r="AQ23" s="107">
        <f>AQ7-AQ4</f>
        <v/>
      </c>
      <c r="AR23" s="107">
        <f>AR7-AR4</f>
        <v/>
      </c>
      <c r="AS23" s="107">
        <f>AS7-AS4</f>
        <v/>
      </c>
      <c r="AT23" s="107">
        <f>AT7-AT4</f>
        <v/>
      </c>
      <c r="AU23" s="107">
        <f>AU7-AU4</f>
        <v/>
      </c>
      <c r="AV23" s="107">
        <f>AV7-AV4</f>
        <v/>
      </c>
      <c r="AW23" s="107">
        <f>AW7-AW4</f>
        <v/>
      </c>
      <c r="BD23" s="98" t="n"/>
      <c r="BH23" s="98" t="n"/>
    </row>
    <row r="24" ht="25" customHeight="1">
      <c r="A24" s="106" t="inlineStr">
        <is>
          <t>GBP CHF</t>
        </is>
      </c>
      <c r="B24" s="107">
        <f>B7-B6</f>
        <v/>
      </c>
      <c r="C24" s="107">
        <f>C7-C6</f>
        <v/>
      </c>
      <c r="D24" s="107">
        <f>D7-D6</f>
        <v/>
      </c>
      <c r="E24" s="107">
        <f>E7-E6</f>
        <v/>
      </c>
      <c r="F24" s="107">
        <f>F7-F6</f>
        <v/>
      </c>
      <c r="G24" s="107">
        <f>G7-G6</f>
        <v/>
      </c>
      <c r="H24" s="107">
        <f>H7-H6</f>
        <v/>
      </c>
      <c r="I24" s="107">
        <f>I7-I6</f>
        <v/>
      </c>
      <c r="J24" s="107">
        <f>J7-J6</f>
        <v/>
      </c>
      <c r="K24" s="107">
        <f>K7-K6</f>
        <v/>
      </c>
      <c r="L24" s="107">
        <f>L7-L6</f>
        <v/>
      </c>
      <c r="M24" s="107">
        <f>M7-M6</f>
        <v/>
      </c>
      <c r="N24" s="107">
        <f>N7-N6</f>
        <v/>
      </c>
      <c r="O24" s="107">
        <f>O7-O6</f>
        <v/>
      </c>
      <c r="P24" s="107">
        <f>P7-P6</f>
        <v/>
      </c>
      <c r="Q24" s="107">
        <f>Q7-Q6</f>
        <v/>
      </c>
      <c r="R24" s="107">
        <f>R7-R6</f>
        <v/>
      </c>
      <c r="S24" s="107">
        <f>S7-S6</f>
        <v/>
      </c>
      <c r="T24" s="107">
        <f>T7-T6</f>
        <v/>
      </c>
      <c r="U24" s="107">
        <f>U7-U6</f>
        <v/>
      </c>
      <c r="V24" s="107">
        <f>V7-V6</f>
        <v/>
      </c>
      <c r="W24" s="107">
        <f>W7-W6</f>
        <v/>
      </c>
      <c r="X24" s="107">
        <f>X7-X6</f>
        <v/>
      </c>
      <c r="Y24" s="107">
        <f>Y7-Y6</f>
        <v/>
      </c>
      <c r="Z24" s="107">
        <f>Z7-Z6</f>
        <v/>
      </c>
      <c r="AA24" s="107">
        <f>AA7-AA6</f>
        <v/>
      </c>
      <c r="AB24" s="107">
        <f>AB7-AB6</f>
        <v/>
      </c>
      <c r="AC24" s="107">
        <f>AC7-AC6</f>
        <v/>
      </c>
      <c r="AD24" s="107">
        <f>AD7-AD6</f>
        <v/>
      </c>
      <c r="AE24" s="107">
        <f>AE7-AE6</f>
        <v/>
      </c>
      <c r="AF24" s="107">
        <f>AF7-AF6</f>
        <v/>
      </c>
      <c r="AG24" s="107">
        <f>AG7-AG6</f>
        <v/>
      </c>
      <c r="AH24" s="107">
        <f>AH7-AH6</f>
        <v/>
      </c>
      <c r="AI24" s="107">
        <f>AI7-AI6</f>
        <v/>
      </c>
      <c r="AJ24" s="107">
        <f>AJ7-AJ6</f>
        <v/>
      </c>
      <c r="AK24" s="107">
        <f>AK7-AK6</f>
        <v/>
      </c>
      <c r="AL24" s="107">
        <f>AL7-AL6</f>
        <v/>
      </c>
      <c r="AM24" s="107">
        <f>AM7-AM6</f>
        <v/>
      </c>
      <c r="AN24" s="107">
        <f>AN7-AN6</f>
        <v/>
      </c>
      <c r="AO24" s="107">
        <f>AO7-AO6</f>
        <v/>
      </c>
      <c r="AP24" s="107">
        <f>AP7-AP6</f>
        <v/>
      </c>
      <c r="AQ24" s="107">
        <f>AQ7-AQ6</f>
        <v/>
      </c>
      <c r="AR24" s="107">
        <f>AR7-AR6</f>
        <v/>
      </c>
      <c r="AS24" s="107">
        <f>AS7-AS6</f>
        <v/>
      </c>
      <c r="AT24" s="107">
        <f>AT7-AT6</f>
        <v/>
      </c>
      <c r="AU24" s="107">
        <f>AU7-AU6</f>
        <v/>
      </c>
      <c r="AV24" s="107">
        <f>AV7-AV6</f>
        <v/>
      </c>
      <c r="AW24" s="107">
        <f>AW7-AW6</f>
        <v/>
      </c>
      <c r="BD24" s="98" t="n"/>
      <c r="BH24" s="98" t="n"/>
    </row>
    <row r="25" ht="25" customHeight="1">
      <c r="A25" s="106" t="inlineStr">
        <is>
          <t>GBP CAD</t>
        </is>
      </c>
      <c r="B25" s="107">
        <f>B7-B3</f>
        <v/>
      </c>
      <c r="C25" s="107">
        <f>C7-C3</f>
        <v/>
      </c>
      <c r="D25" s="107">
        <f>D7-D3</f>
        <v/>
      </c>
      <c r="E25" s="107">
        <f>E7-E3</f>
        <v/>
      </c>
      <c r="F25" s="107">
        <f>F7-F3</f>
        <v/>
      </c>
      <c r="G25" s="107">
        <f>G7-G3</f>
        <v/>
      </c>
      <c r="H25" s="107">
        <f>H7-H3</f>
        <v/>
      </c>
      <c r="I25" s="107">
        <f>I7-I3</f>
        <v/>
      </c>
      <c r="J25" s="107">
        <f>J7-J3</f>
        <v/>
      </c>
      <c r="K25" s="107">
        <f>K7-K3</f>
        <v/>
      </c>
      <c r="L25" s="107">
        <f>L7-L3</f>
        <v/>
      </c>
      <c r="M25" s="107">
        <f>M7-M3</f>
        <v/>
      </c>
      <c r="N25" s="107">
        <f>N7-N3</f>
        <v/>
      </c>
      <c r="O25" s="107">
        <f>O7-O3</f>
        <v/>
      </c>
      <c r="P25" s="107">
        <f>P7-P3</f>
        <v/>
      </c>
      <c r="Q25" s="107">
        <f>Q7-Q3</f>
        <v/>
      </c>
      <c r="R25" s="107">
        <f>R7-R3</f>
        <v/>
      </c>
      <c r="S25" s="107">
        <f>S7-S3</f>
        <v/>
      </c>
      <c r="T25" s="107">
        <f>T7-T3</f>
        <v/>
      </c>
      <c r="U25" s="107">
        <f>U7-U3</f>
        <v/>
      </c>
      <c r="V25" s="107">
        <f>V7-V3</f>
        <v/>
      </c>
      <c r="W25" s="107">
        <f>W7-W3</f>
        <v/>
      </c>
      <c r="X25" s="107">
        <f>X7-X3</f>
        <v/>
      </c>
      <c r="Y25" s="107">
        <f>Y7-Y3</f>
        <v/>
      </c>
      <c r="Z25" s="107">
        <f>Z7-Z3</f>
        <v/>
      </c>
      <c r="AA25" s="107">
        <f>AA7-AA3</f>
        <v/>
      </c>
      <c r="AB25" s="107">
        <f>AB7-AB3</f>
        <v/>
      </c>
      <c r="AC25" s="107">
        <f>AC7-AC3</f>
        <v/>
      </c>
      <c r="AD25" s="107">
        <f>AD7-AD3</f>
        <v/>
      </c>
      <c r="AE25" s="107">
        <f>AE7-AE3</f>
        <v/>
      </c>
      <c r="AF25" s="107">
        <f>AF7-AF3</f>
        <v/>
      </c>
      <c r="AG25" s="107">
        <f>AG7-AG3</f>
        <v/>
      </c>
      <c r="AH25" s="107">
        <f>AH7-AH3</f>
        <v/>
      </c>
      <c r="AI25" s="107">
        <f>AI7-AI3</f>
        <v/>
      </c>
      <c r="AJ25" s="107">
        <f>AJ7-AJ3</f>
        <v/>
      </c>
      <c r="AK25" s="107">
        <f>AK7-AK3</f>
        <v/>
      </c>
      <c r="AL25" s="107">
        <f>AL7-AL3</f>
        <v/>
      </c>
      <c r="AM25" s="107">
        <f>AM7-AM3</f>
        <v/>
      </c>
      <c r="AN25" s="107">
        <f>AN7-AN3</f>
        <v/>
      </c>
      <c r="AO25" s="107">
        <f>AO7-AO3</f>
        <v/>
      </c>
      <c r="AP25" s="107">
        <f>AP7-AP3</f>
        <v/>
      </c>
      <c r="AQ25" s="107">
        <f>AQ7-AQ3</f>
        <v/>
      </c>
      <c r="AR25" s="107">
        <f>AR7-AR3</f>
        <v/>
      </c>
      <c r="AS25" s="107">
        <f>AS7-AS3</f>
        <v/>
      </c>
      <c r="AT25" s="107">
        <f>AT7-AT3</f>
        <v/>
      </c>
      <c r="AU25" s="107">
        <f>AU7-AU3</f>
        <v/>
      </c>
      <c r="AV25" s="107">
        <f>AV7-AV3</f>
        <v/>
      </c>
      <c r="AW25" s="107">
        <f>AW7-AW3</f>
        <v/>
      </c>
      <c r="BD25" s="98" t="n"/>
      <c r="BH25" s="98" t="n"/>
    </row>
    <row r="26" ht="25" customHeight="1">
      <c r="A26" s="106" t="inlineStr">
        <is>
          <t>GBP AUD</t>
        </is>
      </c>
      <c r="B26" s="292">
        <f>B7-B2</f>
        <v/>
      </c>
      <c r="C26" s="292">
        <f>C7-C2</f>
        <v/>
      </c>
      <c r="D26" s="292">
        <f>D7-D2</f>
        <v/>
      </c>
      <c r="E26" s="292">
        <f>E7-E2</f>
        <v/>
      </c>
      <c r="F26" s="292">
        <f>F7-F2</f>
        <v/>
      </c>
      <c r="G26" s="292">
        <f>G7-G2</f>
        <v/>
      </c>
      <c r="H26" s="292">
        <f>H7-H2</f>
        <v/>
      </c>
      <c r="I26" s="292">
        <f>I7-I2</f>
        <v/>
      </c>
      <c r="J26" s="292">
        <f>J7-J2</f>
        <v/>
      </c>
      <c r="K26" s="292">
        <f>K7-K2</f>
        <v/>
      </c>
      <c r="L26" s="292">
        <f>L7-L2</f>
        <v/>
      </c>
      <c r="M26" s="292">
        <f>M7-M2</f>
        <v/>
      </c>
      <c r="N26" s="292">
        <f>N7-N2</f>
        <v/>
      </c>
      <c r="O26" s="292">
        <f>O7-O2</f>
        <v/>
      </c>
      <c r="P26" s="292">
        <f>P7-P2</f>
        <v/>
      </c>
      <c r="Q26" s="292">
        <f>Q7-Q2</f>
        <v/>
      </c>
      <c r="R26" s="292">
        <f>R7-R2</f>
        <v/>
      </c>
      <c r="S26" s="292">
        <f>S7-S2</f>
        <v/>
      </c>
      <c r="T26" s="292">
        <f>T7-T2</f>
        <v/>
      </c>
      <c r="U26" s="292">
        <f>U7-U2</f>
        <v/>
      </c>
      <c r="V26" s="292">
        <f>V7-V2</f>
        <v/>
      </c>
      <c r="W26" s="292">
        <f>W7-W2</f>
        <v/>
      </c>
      <c r="X26" s="292">
        <f>X7-X2</f>
        <v/>
      </c>
      <c r="Y26" s="292">
        <f>Y7-Y2</f>
        <v/>
      </c>
      <c r="Z26" s="292">
        <f>Z7-Z2</f>
        <v/>
      </c>
      <c r="AA26" s="292">
        <f>AA7-AA2</f>
        <v/>
      </c>
      <c r="AB26" s="292">
        <f>AB7-AB2</f>
        <v/>
      </c>
      <c r="AC26" s="292">
        <f>AC7-AC2</f>
        <v/>
      </c>
      <c r="AD26" s="292">
        <f>AD7-AD2</f>
        <v/>
      </c>
      <c r="AE26" s="292">
        <f>AE7-AE2</f>
        <v/>
      </c>
      <c r="AF26" s="292">
        <f>AF7-AF2</f>
        <v/>
      </c>
      <c r="AG26" s="292">
        <f>AG7-AG2</f>
        <v/>
      </c>
      <c r="AH26" s="292">
        <f>AH7-AH2</f>
        <v/>
      </c>
      <c r="AI26" s="292">
        <f>AI7-AI2</f>
        <v/>
      </c>
      <c r="AJ26" s="292">
        <f>AJ7-AJ2</f>
        <v/>
      </c>
      <c r="AK26" s="292">
        <f>AK7-AK2</f>
        <v/>
      </c>
      <c r="AL26" s="292">
        <f>AL7-AL2</f>
        <v/>
      </c>
      <c r="AM26" s="292">
        <f>AM7-AM2</f>
        <v/>
      </c>
      <c r="AN26" s="292">
        <f>AN7-AN2</f>
        <v/>
      </c>
      <c r="AO26" s="292">
        <f>AO7-AO2</f>
        <v/>
      </c>
      <c r="AP26" s="292">
        <f>AP7-AP2</f>
        <v/>
      </c>
      <c r="AQ26" s="292">
        <f>AQ7-AQ2</f>
        <v/>
      </c>
      <c r="AR26" s="292">
        <f>AR7-AR2</f>
        <v/>
      </c>
      <c r="AS26" s="292">
        <f>AS7-AS2</f>
        <v/>
      </c>
      <c r="AT26" s="292">
        <f>AT7-AT2</f>
        <v/>
      </c>
      <c r="AU26" s="292">
        <f>AU7-AU2</f>
        <v/>
      </c>
      <c r="AV26" s="292">
        <f>AV7-AV2</f>
        <v/>
      </c>
      <c r="AW26" s="292">
        <f>AW7-AW2</f>
        <v/>
      </c>
      <c r="BD26" s="98" t="n"/>
      <c r="BH26" s="98" t="n"/>
    </row>
    <row r="27" ht="25" customHeight="1">
      <c r="A27" s="106" t="inlineStr">
        <is>
          <t>GBP NZD</t>
        </is>
      </c>
      <c r="B27" s="107">
        <f>B7-B5</f>
        <v/>
      </c>
      <c r="C27" s="107">
        <f>C7-C5</f>
        <v/>
      </c>
      <c r="D27" s="107">
        <f>D7-D5</f>
        <v/>
      </c>
      <c r="E27" s="107">
        <f>E7-E5</f>
        <v/>
      </c>
      <c r="F27" s="107">
        <f>F7-F5</f>
        <v/>
      </c>
      <c r="G27" s="107">
        <f>G7-G5</f>
        <v/>
      </c>
      <c r="H27" s="107">
        <f>H7-H5</f>
        <v/>
      </c>
      <c r="I27" s="107">
        <f>I7-I5</f>
        <v/>
      </c>
      <c r="J27" s="107">
        <f>J7-J5</f>
        <v/>
      </c>
      <c r="K27" s="107">
        <f>K7-K5</f>
        <v/>
      </c>
      <c r="L27" s="107">
        <f>L7-L5</f>
        <v/>
      </c>
      <c r="M27" s="107">
        <f>M7-M5</f>
        <v/>
      </c>
      <c r="N27" s="107">
        <f>N7-N5</f>
        <v/>
      </c>
      <c r="O27" s="107">
        <f>O7-O5</f>
        <v/>
      </c>
      <c r="P27" s="107">
        <f>P7-P5</f>
        <v/>
      </c>
      <c r="Q27" s="107">
        <f>Q7-Q5</f>
        <v/>
      </c>
      <c r="R27" s="107">
        <f>R7-R5</f>
        <v/>
      </c>
      <c r="S27" s="107">
        <f>S7-S5</f>
        <v/>
      </c>
      <c r="T27" s="107">
        <f>T7-T5</f>
        <v/>
      </c>
      <c r="U27" s="107">
        <f>U7-U5</f>
        <v/>
      </c>
      <c r="V27" s="107">
        <f>V7-V5</f>
        <v/>
      </c>
      <c r="W27" s="107">
        <f>W7-W5</f>
        <v/>
      </c>
      <c r="X27" s="107">
        <f>X7-X5</f>
        <v/>
      </c>
      <c r="Y27" s="107">
        <f>Y7-Y5</f>
        <v/>
      </c>
      <c r="Z27" s="107">
        <f>Z7-Z5</f>
        <v/>
      </c>
      <c r="AA27" s="107">
        <f>AA7-AA5</f>
        <v/>
      </c>
      <c r="AB27" s="107">
        <f>AB7-AB5</f>
        <v/>
      </c>
      <c r="AC27" s="107">
        <f>AC7-AC5</f>
        <v/>
      </c>
      <c r="AD27" s="107">
        <f>AD7-AD5</f>
        <v/>
      </c>
      <c r="AE27" s="107">
        <f>AE7-AE5</f>
        <v/>
      </c>
      <c r="AF27" s="107">
        <f>AF7-AF5</f>
        <v/>
      </c>
      <c r="AG27" s="107">
        <f>AG7-AG5</f>
        <v/>
      </c>
      <c r="AH27" s="107">
        <f>AH7-AH5</f>
        <v/>
      </c>
      <c r="AI27" s="107">
        <f>AI7-AI5</f>
        <v/>
      </c>
      <c r="AJ27" s="107">
        <f>AJ7-AJ5</f>
        <v/>
      </c>
      <c r="AK27" s="107">
        <f>AK7-AK5</f>
        <v/>
      </c>
      <c r="AL27" s="107">
        <f>AL7-AL5</f>
        <v/>
      </c>
      <c r="AM27" s="107">
        <f>AM7-AM5</f>
        <v/>
      </c>
      <c r="AN27" s="107">
        <f>AN7-AN5</f>
        <v/>
      </c>
      <c r="AO27" s="107">
        <f>AO7-AO5</f>
        <v/>
      </c>
      <c r="AP27" s="107">
        <f>AP7-AP5</f>
        <v/>
      </c>
      <c r="AQ27" s="107">
        <f>AQ7-AQ5</f>
        <v/>
      </c>
      <c r="AR27" s="107">
        <f>AR7-AR5</f>
        <v/>
      </c>
      <c r="AS27" s="107">
        <f>AS7-AS5</f>
        <v/>
      </c>
      <c r="AT27" s="107">
        <f>AT7-AT5</f>
        <v/>
      </c>
      <c r="AU27" s="107">
        <f>AU7-AU5</f>
        <v/>
      </c>
      <c r="AV27" s="107">
        <f>AV7-AV5</f>
        <v/>
      </c>
      <c r="AW27" s="107">
        <f>AW7-AW5</f>
        <v/>
      </c>
      <c r="BD27" s="98" t="n"/>
      <c r="BH27" s="98" t="n"/>
    </row>
    <row r="28" ht="25" customHeight="1">
      <c r="A28" s="109" t="inlineStr">
        <is>
          <t xml:space="preserve">CHF JPY </t>
        </is>
      </c>
      <c r="B28" s="110">
        <f>B6-B4</f>
        <v/>
      </c>
      <c r="C28" s="110">
        <f>C6-C4</f>
        <v/>
      </c>
      <c r="D28" s="110">
        <f>D6-D4</f>
        <v/>
      </c>
      <c r="E28" s="110">
        <f>E6-E4</f>
        <v/>
      </c>
      <c r="F28" s="110">
        <f>F6-F4</f>
        <v/>
      </c>
      <c r="G28" s="110">
        <f>G6-G4</f>
        <v/>
      </c>
      <c r="H28" s="110">
        <f>H6-H4</f>
        <v/>
      </c>
      <c r="I28" s="110">
        <f>I6-I4</f>
        <v/>
      </c>
      <c r="J28" s="110">
        <f>J6-J4</f>
        <v/>
      </c>
      <c r="K28" s="110">
        <f>K6-K4</f>
        <v/>
      </c>
      <c r="L28" s="110">
        <f>L6-L4</f>
        <v/>
      </c>
      <c r="M28" s="110">
        <f>M6-M4</f>
        <v/>
      </c>
      <c r="N28" s="110">
        <f>N6-N4</f>
        <v/>
      </c>
      <c r="O28" s="110">
        <f>O6-O4</f>
        <v/>
      </c>
      <c r="P28" s="110">
        <f>P6-P4</f>
        <v/>
      </c>
      <c r="Q28" s="110">
        <f>Q6-Q4</f>
        <v/>
      </c>
      <c r="R28" s="110">
        <f>R6-R4</f>
        <v/>
      </c>
      <c r="S28" s="110">
        <f>S6-S4</f>
        <v/>
      </c>
      <c r="T28" s="110">
        <f>T6-T4</f>
        <v/>
      </c>
      <c r="U28" s="110">
        <f>U6-U4</f>
        <v/>
      </c>
      <c r="V28" s="110">
        <f>V6-V4</f>
        <v/>
      </c>
      <c r="W28" s="110">
        <f>W6-W4</f>
        <v/>
      </c>
      <c r="X28" s="110">
        <f>X6-X4</f>
        <v/>
      </c>
      <c r="Y28" s="110">
        <f>Y6-Y4</f>
        <v/>
      </c>
      <c r="Z28" s="110">
        <f>Z6-Z4</f>
        <v/>
      </c>
      <c r="AA28" s="110">
        <f>AA6-AA4</f>
        <v/>
      </c>
      <c r="AB28" s="110">
        <f>AB6-AB4</f>
        <v/>
      </c>
      <c r="AC28" s="110">
        <f>AC6-AC4</f>
        <v/>
      </c>
      <c r="AD28" s="110">
        <f>AD6-AD4</f>
        <v/>
      </c>
      <c r="AE28" s="110">
        <f>AE6-AE4</f>
        <v/>
      </c>
      <c r="AF28" s="110">
        <f>AF6-AF4</f>
        <v/>
      </c>
      <c r="AG28" s="110">
        <f>AG6-AG4</f>
        <v/>
      </c>
      <c r="AH28" s="110">
        <f>AH6-AH4</f>
        <v/>
      </c>
      <c r="AI28" s="110">
        <f>AI6-AI4</f>
        <v/>
      </c>
      <c r="AJ28" s="110">
        <f>AJ6-AJ4</f>
        <v/>
      </c>
      <c r="AK28" s="110">
        <f>AK6-AK4</f>
        <v/>
      </c>
      <c r="AL28" s="110">
        <f>AL6-AL4</f>
        <v/>
      </c>
      <c r="AM28" s="110">
        <f>AM6-AM4</f>
        <v/>
      </c>
      <c r="AN28" s="110">
        <f>AN6-AN4</f>
        <v/>
      </c>
      <c r="AO28" s="110">
        <f>AO6-AO4</f>
        <v/>
      </c>
      <c r="AP28" s="110">
        <f>AP6-AP4</f>
        <v/>
      </c>
      <c r="AQ28" s="110">
        <f>AQ6-AQ4</f>
        <v/>
      </c>
      <c r="AR28" s="110">
        <f>AR6-AR4</f>
        <v/>
      </c>
      <c r="AS28" s="110">
        <f>AS6-AS4</f>
        <v/>
      </c>
      <c r="AT28" s="110">
        <f>AT6-AT4</f>
        <v/>
      </c>
      <c r="AU28" s="110">
        <f>AU6-AU4</f>
        <v/>
      </c>
      <c r="AV28" s="110">
        <f>AV6-AV4</f>
        <v/>
      </c>
      <c r="AW28" s="110">
        <f>AW6-AW4</f>
        <v/>
      </c>
      <c r="BH28" s="98" t="n"/>
    </row>
    <row r="29" ht="25" customHeight="1">
      <c r="A29" s="111" t="inlineStr">
        <is>
          <t>AUD USD</t>
        </is>
      </c>
      <c r="B29" s="293">
        <f>B2-B8</f>
        <v/>
      </c>
      <c r="C29" s="293">
        <f>C2-C8</f>
        <v/>
      </c>
      <c r="D29" s="293">
        <f>D2-D8</f>
        <v/>
      </c>
      <c r="E29" s="293">
        <f>E2-E8</f>
        <v/>
      </c>
      <c r="F29" s="293">
        <f>F2-F8</f>
        <v/>
      </c>
      <c r="G29" s="293">
        <f>G2-G8</f>
        <v/>
      </c>
      <c r="H29" s="293">
        <f>H2-H8</f>
        <v/>
      </c>
      <c r="I29" s="293">
        <f>I2-I8</f>
        <v/>
      </c>
      <c r="J29" s="293">
        <f>J2-J8</f>
        <v/>
      </c>
      <c r="K29" s="293">
        <f>K2-K8</f>
        <v/>
      </c>
      <c r="L29" s="293">
        <f>L2-L8</f>
        <v/>
      </c>
      <c r="M29" s="293">
        <f>M2-M8</f>
        <v/>
      </c>
      <c r="N29" s="293">
        <f>N2-N8</f>
        <v/>
      </c>
      <c r="O29" s="293">
        <f>O2-O8</f>
        <v/>
      </c>
      <c r="P29" s="293">
        <f>P2-P8</f>
        <v/>
      </c>
      <c r="Q29" s="293">
        <f>Q2-Q8</f>
        <v/>
      </c>
      <c r="R29" s="293">
        <f>R2-R8</f>
        <v/>
      </c>
      <c r="S29" s="293">
        <f>S2-S8</f>
        <v/>
      </c>
      <c r="T29" s="293">
        <f>T2-T8</f>
        <v/>
      </c>
      <c r="U29" s="293">
        <f>U2-U8</f>
        <v/>
      </c>
      <c r="V29" s="293">
        <f>V2-V8</f>
        <v/>
      </c>
      <c r="W29" s="293">
        <f>W2-W8</f>
        <v/>
      </c>
      <c r="X29" s="293">
        <f>X2-X8</f>
        <v/>
      </c>
      <c r="Y29" s="293">
        <f>Y2-Y8</f>
        <v/>
      </c>
      <c r="Z29" s="293">
        <f>Z2-Z8</f>
        <v/>
      </c>
      <c r="AA29" s="293">
        <f>AA2-AA8</f>
        <v/>
      </c>
      <c r="AB29" s="293">
        <f>AB2-AB8</f>
        <v/>
      </c>
      <c r="AC29" s="293">
        <f>AC2-AC8</f>
        <v/>
      </c>
      <c r="AD29" s="293">
        <f>AD2-AD8</f>
        <v/>
      </c>
      <c r="AE29" s="293">
        <f>AE2-AE8</f>
        <v/>
      </c>
      <c r="AF29" s="293">
        <f>AF2-AF8</f>
        <v/>
      </c>
      <c r="AG29" s="293">
        <f>AG2-AG8</f>
        <v/>
      </c>
      <c r="AH29" s="293">
        <f>AH2-AH8</f>
        <v/>
      </c>
      <c r="AI29" s="293">
        <f>AI2-AI8</f>
        <v/>
      </c>
      <c r="AJ29" s="293">
        <f>AJ2-AJ8</f>
        <v/>
      </c>
      <c r="AK29" s="293">
        <f>AK2-AK8</f>
        <v/>
      </c>
      <c r="AL29" s="293">
        <f>AL2-AL8</f>
        <v/>
      </c>
      <c r="AM29" s="293">
        <f>AM2-AM8</f>
        <v/>
      </c>
      <c r="AN29" s="293">
        <f>AN2-AN8</f>
        <v/>
      </c>
      <c r="AO29" s="293">
        <f>AO2-AO8</f>
        <v/>
      </c>
      <c r="AP29" s="293">
        <f>AP2-AP8</f>
        <v/>
      </c>
      <c r="AQ29" s="293">
        <f>AQ2-AQ8</f>
        <v/>
      </c>
      <c r="AR29" s="293">
        <f>AR2-AR8</f>
        <v/>
      </c>
      <c r="AS29" s="293">
        <f>AS2-AS8</f>
        <v/>
      </c>
      <c r="AT29" s="293">
        <f>AT2-AT8</f>
        <v/>
      </c>
      <c r="AU29" s="293">
        <f>AU2-AU8</f>
        <v/>
      </c>
      <c r="AV29" s="293">
        <f>AV2-AV8</f>
        <v/>
      </c>
      <c r="AW29" s="293">
        <f>AW2-AW8</f>
        <v/>
      </c>
      <c r="BH29" s="98" t="n"/>
    </row>
    <row r="30" ht="25" customHeight="1">
      <c r="A30" s="111" t="inlineStr">
        <is>
          <t>AUD CHF</t>
        </is>
      </c>
      <c r="B30" s="293">
        <f>B2-B6</f>
        <v/>
      </c>
      <c r="C30" s="293">
        <f>C2-C6</f>
        <v/>
      </c>
      <c r="D30" s="293">
        <f>D2-D6</f>
        <v/>
      </c>
      <c r="E30" s="293">
        <f>E2-E6</f>
        <v/>
      </c>
      <c r="F30" s="293">
        <f>F2-F6</f>
        <v/>
      </c>
      <c r="G30" s="293">
        <f>G2-G6</f>
        <v/>
      </c>
      <c r="H30" s="293">
        <f>H2-H6</f>
        <v/>
      </c>
      <c r="I30" s="293">
        <f>I2-I6</f>
        <v/>
      </c>
      <c r="J30" s="293">
        <f>J2-J6</f>
        <v/>
      </c>
      <c r="K30" s="293">
        <f>K2-K6</f>
        <v/>
      </c>
      <c r="L30" s="293">
        <f>L2-L6</f>
        <v/>
      </c>
      <c r="M30" s="293">
        <f>M2-M6</f>
        <v/>
      </c>
      <c r="N30" s="293">
        <f>N2-N6</f>
        <v/>
      </c>
      <c r="O30" s="293">
        <f>O2-O6</f>
        <v/>
      </c>
      <c r="P30" s="293">
        <f>P2-P6</f>
        <v/>
      </c>
      <c r="Q30" s="293">
        <f>Q2-Q6</f>
        <v/>
      </c>
      <c r="R30" s="293">
        <f>R2-R6</f>
        <v/>
      </c>
      <c r="S30" s="293">
        <f>S2-S6</f>
        <v/>
      </c>
      <c r="T30" s="293">
        <f>T2-T6</f>
        <v/>
      </c>
      <c r="U30" s="293">
        <f>U2-U6</f>
        <v/>
      </c>
      <c r="V30" s="293">
        <f>V2-V6</f>
        <v/>
      </c>
      <c r="W30" s="293">
        <f>W2-W6</f>
        <v/>
      </c>
      <c r="X30" s="293">
        <f>X2-X6</f>
        <v/>
      </c>
      <c r="Y30" s="293">
        <f>Y2-Y6</f>
        <v/>
      </c>
      <c r="Z30" s="293">
        <f>Z2-Z6</f>
        <v/>
      </c>
      <c r="AA30" s="293">
        <f>AA2-AA6</f>
        <v/>
      </c>
      <c r="AB30" s="293">
        <f>AB2-AB6</f>
        <v/>
      </c>
      <c r="AC30" s="293">
        <f>AC2-AC6</f>
        <v/>
      </c>
      <c r="AD30" s="293">
        <f>AD2-AD6</f>
        <v/>
      </c>
      <c r="AE30" s="293">
        <f>AE2-AE6</f>
        <v/>
      </c>
      <c r="AF30" s="293">
        <f>AF2-AF6</f>
        <v/>
      </c>
      <c r="AG30" s="293">
        <f>AG2-AG6</f>
        <v/>
      </c>
      <c r="AH30" s="293">
        <f>AH2-AH6</f>
        <v/>
      </c>
      <c r="AI30" s="293">
        <f>AI2-AI6</f>
        <v/>
      </c>
      <c r="AJ30" s="293">
        <f>AJ2-AJ6</f>
        <v/>
      </c>
      <c r="AK30" s="293">
        <f>AK2-AK6</f>
        <v/>
      </c>
      <c r="AL30" s="293">
        <f>AL2-AL6</f>
        <v/>
      </c>
      <c r="AM30" s="293">
        <f>AM2-AM6</f>
        <v/>
      </c>
      <c r="AN30" s="293">
        <f>AN2-AN6</f>
        <v/>
      </c>
      <c r="AO30" s="293">
        <f>AO2-AO6</f>
        <v/>
      </c>
      <c r="AP30" s="293">
        <f>AP2-AP6</f>
        <v/>
      </c>
      <c r="AQ30" s="293">
        <f>AQ2-AQ6</f>
        <v/>
      </c>
      <c r="AR30" s="293">
        <f>AR2-AR6</f>
        <v/>
      </c>
      <c r="AS30" s="293">
        <f>AS2-AS6</f>
        <v/>
      </c>
      <c r="AT30" s="293">
        <f>AT2-AT6</f>
        <v/>
      </c>
      <c r="AU30" s="293">
        <f>AU2-AU6</f>
        <v/>
      </c>
      <c r="AV30" s="293">
        <f>AV2-AV6</f>
        <v/>
      </c>
      <c r="AW30" s="293">
        <f>AW2-AW6</f>
        <v/>
      </c>
      <c r="BH30" s="98" t="n"/>
    </row>
    <row r="31" ht="25" customHeight="1">
      <c r="A31" s="111" t="inlineStr">
        <is>
          <t>AUD JPY</t>
        </is>
      </c>
      <c r="B31" s="293">
        <f>B2-B4</f>
        <v/>
      </c>
      <c r="C31" s="293">
        <f>C2-C4</f>
        <v/>
      </c>
      <c r="D31" s="293">
        <f>D2-D4</f>
        <v/>
      </c>
      <c r="E31" s="293">
        <f>E2-E4</f>
        <v/>
      </c>
      <c r="F31" s="293">
        <f>F2-F4</f>
        <v/>
      </c>
      <c r="G31" s="293">
        <f>G2-G4</f>
        <v/>
      </c>
      <c r="H31" s="293">
        <f>H2-H4</f>
        <v/>
      </c>
      <c r="I31" s="293">
        <f>I2-I4</f>
        <v/>
      </c>
      <c r="J31" s="293">
        <f>J2-J4</f>
        <v/>
      </c>
      <c r="K31" s="293">
        <f>K2-K4</f>
        <v/>
      </c>
      <c r="L31" s="293">
        <f>L2-L4</f>
        <v/>
      </c>
      <c r="M31" s="293">
        <f>M2-M4</f>
        <v/>
      </c>
      <c r="N31" s="293">
        <f>N2-N4</f>
        <v/>
      </c>
      <c r="O31" s="293">
        <f>O2-O4</f>
        <v/>
      </c>
      <c r="P31" s="293">
        <f>P2-P4</f>
        <v/>
      </c>
      <c r="Q31" s="293">
        <f>Q2-Q4</f>
        <v/>
      </c>
      <c r="R31" s="293">
        <f>R2-R4</f>
        <v/>
      </c>
      <c r="S31" s="293">
        <f>S2-S4</f>
        <v/>
      </c>
      <c r="T31" s="293">
        <f>T2-T4</f>
        <v/>
      </c>
      <c r="U31" s="293">
        <f>U2-U4</f>
        <v/>
      </c>
      <c r="V31" s="293">
        <f>V2-V4</f>
        <v/>
      </c>
      <c r="W31" s="293">
        <f>W2-W4</f>
        <v/>
      </c>
      <c r="X31" s="293">
        <f>X2-X4</f>
        <v/>
      </c>
      <c r="Y31" s="293">
        <f>Y2-Y4</f>
        <v/>
      </c>
      <c r="Z31" s="293">
        <f>Z2-Z4</f>
        <v/>
      </c>
      <c r="AA31" s="293">
        <f>AA2-AA4</f>
        <v/>
      </c>
      <c r="AB31" s="293">
        <f>AB2-AB4</f>
        <v/>
      </c>
      <c r="AC31" s="293">
        <f>AC2-AC4</f>
        <v/>
      </c>
      <c r="AD31" s="293">
        <f>AD2-AD4</f>
        <v/>
      </c>
      <c r="AE31" s="293">
        <f>AE2-AE4</f>
        <v/>
      </c>
      <c r="AF31" s="293">
        <f>AF2-AF4</f>
        <v/>
      </c>
      <c r="AG31" s="293">
        <f>AG2-AG4</f>
        <v/>
      </c>
      <c r="AH31" s="293">
        <f>AH2-AH4</f>
        <v/>
      </c>
      <c r="AI31" s="293">
        <f>AI2-AI4</f>
        <v/>
      </c>
      <c r="AJ31" s="293">
        <f>AJ2-AJ4</f>
        <v/>
      </c>
      <c r="AK31" s="293">
        <f>AK2-AK4</f>
        <v/>
      </c>
      <c r="AL31" s="293">
        <f>AL2-AL4</f>
        <v/>
      </c>
      <c r="AM31" s="293">
        <f>AM2-AM4</f>
        <v/>
      </c>
      <c r="AN31" s="293">
        <f>AN2-AN4</f>
        <v/>
      </c>
      <c r="AO31" s="293">
        <f>AO2-AO4</f>
        <v/>
      </c>
      <c r="AP31" s="293">
        <f>AP2-AP4</f>
        <v/>
      </c>
      <c r="AQ31" s="293">
        <f>AQ2-AQ4</f>
        <v/>
      </c>
      <c r="AR31" s="293">
        <f>AR2-AR4</f>
        <v/>
      </c>
      <c r="AS31" s="293">
        <f>AS2-AS4</f>
        <v/>
      </c>
      <c r="AT31" s="293">
        <f>AT2-AT4</f>
        <v/>
      </c>
      <c r="AU31" s="293">
        <f>AU2-AU4</f>
        <v/>
      </c>
      <c r="AV31" s="293">
        <f>AV2-AV4</f>
        <v/>
      </c>
      <c r="AW31" s="293">
        <f>AW2-AW4</f>
        <v/>
      </c>
      <c r="BH31" s="98" t="n"/>
    </row>
    <row r="32" ht="25" customHeight="1">
      <c r="A32" s="111" t="inlineStr">
        <is>
          <t>AUD NZD</t>
        </is>
      </c>
      <c r="B32" s="293">
        <f>B2-B5</f>
        <v/>
      </c>
      <c r="C32" s="293">
        <f>C2-C5</f>
        <v/>
      </c>
      <c r="D32" s="293">
        <f>D2-D5</f>
        <v/>
      </c>
      <c r="E32" s="293">
        <f>E2-E5</f>
        <v/>
      </c>
      <c r="F32" s="293">
        <f>F2-F5</f>
        <v/>
      </c>
      <c r="G32" s="293">
        <f>G2-G5</f>
        <v/>
      </c>
      <c r="H32" s="293">
        <f>H2-H5</f>
        <v/>
      </c>
      <c r="I32" s="293">
        <f>I2-I5</f>
        <v/>
      </c>
      <c r="J32" s="293">
        <f>J2-J5</f>
        <v/>
      </c>
      <c r="K32" s="293">
        <f>K2-K5</f>
        <v/>
      </c>
      <c r="L32" s="293">
        <f>L2-L5</f>
        <v/>
      </c>
      <c r="M32" s="293">
        <f>M2-M5</f>
        <v/>
      </c>
      <c r="N32" s="293">
        <f>N2-N5</f>
        <v/>
      </c>
      <c r="O32" s="293">
        <f>O2-O5</f>
        <v/>
      </c>
      <c r="P32" s="293">
        <f>P2-P5</f>
        <v/>
      </c>
      <c r="Q32" s="293">
        <f>Q2-Q5</f>
        <v/>
      </c>
      <c r="R32" s="293">
        <f>R2-R5</f>
        <v/>
      </c>
      <c r="S32" s="293">
        <f>S2-S5</f>
        <v/>
      </c>
      <c r="T32" s="293">
        <f>T2-T5</f>
        <v/>
      </c>
      <c r="U32" s="293">
        <f>U2-U5</f>
        <v/>
      </c>
      <c r="V32" s="293">
        <f>V2-V5</f>
        <v/>
      </c>
      <c r="W32" s="293">
        <f>W2-W5</f>
        <v/>
      </c>
      <c r="X32" s="293">
        <f>X2-X5</f>
        <v/>
      </c>
      <c r="Y32" s="293">
        <f>Y2-Y5</f>
        <v/>
      </c>
      <c r="Z32" s="293">
        <f>Z2-Z5</f>
        <v/>
      </c>
      <c r="AA32" s="293">
        <f>AA2-AA5</f>
        <v/>
      </c>
      <c r="AB32" s="293">
        <f>AB2-AB5</f>
        <v/>
      </c>
      <c r="AC32" s="293">
        <f>AC2-AC5</f>
        <v/>
      </c>
      <c r="AD32" s="293">
        <f>AD2-AD5</f>
        <v/>
      </c>
      <c r="AE32" s="293">
        <f>AE2-AE5</f>
        <v/>
      </c>
      <c r="AF32" s="293">
        <f>AF2-AF5</f>
        <v/>
      </c>
      <c r="AG32" s="293">
        <f>AG2-AG5</f>
        <v/>
      </c>
      <c r="AH32" s="293">
        <f>AH2-AH5</f>
        <v/>
      </c>
      <c r="AI32" s="293">
        <f>AI2-AI5</f>
        <v/>
      </c>
      <c r="AJ32" s="293">
        <f>AJ2-AJ5</f>
        <v/>
      </c>
      <c r="AK32" s="293">
        <f>AK2-AK5</f>
        <v/>
      </c>
      <c r="AL32" s="293">
        <f>AL2-AL5</f>
        <v/>
      </c>
      <c r="AM32" s="293">
        <f>AM2-AM5</f>
        <v/>
      </c>
      <c r="AN32" s="293">
        <f>AN2-AN5</f>
        <v/>
      </c>
      <c r="AO32" s="293">
        <f>AO2-AO5</f>
        <v/>
      </c>
      <c r="AP32" s="293">
        <f>AP2-AP5</f>
        <v/>
      </c>
      <c r="AQ32" s="293">
        <f>AQ2-AQ5</f>
        <v/>
      </c>
      <c r="AR32" s="293">
        <f>AR2-AR5</f>
        <v/>
      </c>
      <c r="AS32" s="293">
        <f>AS2-AS5</f>
        <v/>
      </c>
      <c r="AT32" s="293">
        <f>AT2-AT5</f>
        <v/>
      </c>
      <c r="AU32" s="293">
        <f>AU2-AU5</f>
        <v/>
      </c>
      <c r="AV32" s="293">
        <f>AV2-AV5</f>
        <v/>
      </c>
      <c r="AW32" s="293">
        <f>AW2-AW5</f>
        <v/>
      </c>
      <c r="BH32" s="98" t="n"/>
    </row>
    <row r="33" ht="25" customHeight="1">
      <c r="A33" s="111" t="inlineStr">
        <is>
          <t>AUD CAD</t>
        </is>
      </c>
      <c r="B33" s="293">
        <f>B2-B3</f>
        <v/>
      </c>
      <c r="C33" s="293">
        <f>C2-C3</f>
        <v/>
      </c>
      <c r="D33" s="293">
        <f>D2-D3</f>
        <v/>
      </c>
      <c r="E33" s="293">
        <f>E2-E3</f>
        <v/>
      </c>
      <c r="F33" s="293">
        <f>F2-F3</f>
        <v/>
      </c>
      <c r="G33" s="293">
        <f>G2-G3</f>
        <v/>
      </c>
      <c r="H33" s="293">
        <f>H2-H3</f>
        <v/>
      </c>
      <c r="I33" s="293">
        <f>I2-I3</f>
        <v/>
      </c>
      <c r="J33" s="293">
        <f>J2-J3</f>
        <v/>
      </c>
      <c r="K33" s="293">
        <f>K2-K3</f>
        <v/>
      </c>
      <c r="L33" s="293">
        <f>L2-L3</f>
        <v/>
      </c>
      <c r="M33" s="293">
        <f>M2-M3</f>
        <v/>
      </c>
      <c r="N33" s="293">
        <f>N2-N3</f>
        <v/>
      </c>
      <c r="O33" s="293">
        <f>O2-O3</f>
        <v/>
      </c>
      <c r="P33" s="293">
        <f>P2-P3</f>
        <v/>
      </c>
      <c r="Q33" s="293">
        <f>Q2-Q3</f>
        <v/>
      </c>
      <c r="R33" s="293">
        <f>R2-R3</f>
        <v/>
      </c>
      <c r="S33" s="293">
        <f>S2-S3</f>
        <v/>
      </c>
      <c r="T33" s="293">
        <f>T2-T3</f>
        <v/>
      </c>
      <c r="U33" s="293">
        <f>U2-U3</f>
        <v/>
      </c>
      <c r="V33" s="293">
        <f>V2-V3</f>
        <v/>
      </c>
      <c r="W33" s="293">
        <f>W2-W3</f>
        <v/>
      </c>
      <c r="X33" s="293">
        <f>X2-X3</f>
        <v/>
      </c>
      <c r="Y33" s="293">
        <f>Y2-Y3</f>
        <v/>
      </c>
      <c r="Z33" s="293">
        <f>Z2-Z3</f>
        <v/>
      </c>
      <c r="AA33" s="293">
        <f>AA2-AA3</f>
        <v/>
      </c>
      <c r="AB33" s="293">
        <f>AB2-AB3</f>
        <v/>
      </c>
      <c r="AC33" s="293">
        <f>AC2-AC3</f>
        <v/>
      </c>
      <c r="AD33" s="293">
        <f>AD2-AD3</f>
        <v/>
      </c>
      <c r="AE33" s="293">
        <f>AE2-AE3</f>
        <v/>
      </c>
      <c r="AF33" s="293">
        <f>AF2-AF3</f>
        <v/>
      </c>
      <c r="AG33" s="293">
        <f>AG2-AG3</f>
        <v/>
      </c>
      <c r="AH33" s="293">
        <f>AH2-AH3</f>
        <v/>
      </c>
      <c r="AI33" s="293">
        <f>AI2-AI3</f>
        <v/>
      </c>
      <c r="AJ33" s="293">
        <f>AJ2-AJ3</f>
        <v/>
      </c>
      <c r="AK33" s="293">
        <f>AK2-AK3</f>
        <v/>
      </c>
      <c r="AL33" s="293">
        <f>AL2-AL3</f>
        <v/>
      </c>
      <c r="AM33" s="293">
        <f>AM2-AM3</f>
        <v/>
      </c>
      <c r="AN33" s="293">
        <f>AN2-AN3</f>
        <v/>
      </c>
      <c r="AO33" s="293">
        <f>AO2-AO3</f>
        <v/>
      </c>
      <c r="AP33" s="293">
        <f>AP2-AP3</f>
        <v/>
      </c>
      <c r="AQ33" s="293">
        <f>AQ2-AQ3</f>
        <v/>
      </c>
      <c r="AR33" s="293">
        <f>AR2-AR3</f>
        <v/>
      </c>
      <c r="AS33" s="293">
        <f>AS2-AS3</f>
        <v/>
      </c>
      <c r="AT33" s="293">
        <f>AT2-AT3</f>
        <v/>
      </c>
      <c r="AU33" s="293">
        <f>AU2-AU3</f>
        <v/>
      </c>
      <c r="AV33" s="293">
        <f>AV2-AV3</f>
        <v/>
      </c>
      <c r="AW33" s="293">
        <f>AW2-AW3</f>
        <v/>
      </c>
      <c r="BH33" s="98" t="n"/>
    </row>
    <row r="34" ht="25" customHeight="1">
      <c r="A34" s="113" t="inlineStr">
        <is>
          <t>CAD JPY</t>
        </is>
      </c>
      <c r="B34" s="114">
        <f>B3-B4</f>
        <v/>
      </c>
      <c r="C34" s="114">
        <f>C3-C4</f>
        <v/>
      </c>
      <c r="D34" s="114">
        <f>D3-D4</f>
        <v/>
      </c>
      <c r="E34" s="114">
        <f>E3-E4</f>
        <v/>
      </c>
      <c r="F34" s="114">
        <f>F3-F4</f>
        <v/>
      </c>
      <c r="G34" s="114">
        <f>G3-G4</f>
        <v/>
      </c>
      <c r="H34" s="114">
        <f>H3-H4</f>
        <v/>
      </c>
      <c r="I34" s="114">
        <f>I3-I4</f>
        <v/>
      </c>
      <c r="J34" s="114">
        <f>J3-J4</f>
        <v/>
      </c>
      <c r="K34" s="114">
        <f>K3-K4</f>
        <v/>
      </c>
      <c r="L34" s="114">
        <f>L3-L4</f>
        <v/>
      </c>
      <c r="M34" s="114">
        <f>M3-M4</f>
        <v/>
      </c>
      <c r="N34" s="114">
        <f>N3-N4</f>
        <v/>
      </c>
      <c r="O34" s="114">
        <f>O3-O4</f>
        <v/>
      </c>
      <c r="P34" s="114">
        <f>P3-P4</f>
        <v/>
      </c>
      <c r="Q34" s="114">
        <f>Q3-Q4</f>
        <v/>
      </c>
      <c r="R34" s="114">
        <f>R3-R4</f>
        <v/>
      </c>
      <c r="S34" s="114">
        <f>S3-S4</f>
        <v/>
      </c>
      <c r="T34" s="114">
        <f>T3-T4</f>
        <v/>
      </c>
      <c r="U34" s="114">
        <f>U3-U4</f>
        <v/>
      </c>
      <c r="V34" s="114">
        <f>V3-V4</f>
        <v/>
      </c>
      <c r="W34" s="114">
        <f>W3-W4</f>
        <v/>
      </c>
      <c r="X34" s="114">
        <f>X3-X4</f>
        <v/>
      </c>
      <c r="Y34" s="114">
        <f>Y3-Y4</f>
        <v/>
      </c>
      <c r="Z34" s="114">
        <f>Z3-Z4</f>
        <v/>
      </c>
      <c r="AA34" s="114">
        <f>AA3-AA4</f>
        <v/>
      </c>
      <c r="AB34" s="114">
        <f>AB3-AB4</f>
        <v/>
      </c>
      <c r="AC34" s="114">
        <f>AC3-AC4</f>
        <v/>
      </c>
      <c r="AD34" s="114">
        <f>AD3-AD4</f>
        <v/>
      </c>
      <c r="AE34" s="114">
        <f>AE3-AE4</f>
        <v/>
      </c>
      <c r="AF34" s="114">
        <f>AF3-AF4</f>
        <v/>
      </c>
      <c r="AG34" s="114">
        <f>AG3-AG4</f>
        <v/>
      </c>
      <c r="AH34" s="114">
        <f>AH3-AH4</f>
        <v/>
      </c>
      <c r="AI34" s="114">
        <f>AI3-AI4</f>
        <v/>
      </c>
      <c r="AJ34" s="114">
        <f>AJ3-AJ4</f>
        <v/>
      </c>
      <c r="AK34" s="114">
        <f>AK3-AK4</f>
        <v/>
      </c>
      <c r="AL34" s="114">
        <f>AL3-AL4</f>
        <v/>
      </c>
      <c r="AM34" s="114">
        <f>AM3-AM4</f>
        <v/>
      </c>
      <c r="AN34" s="114">
        <f>AN3-AN4</f>
        <v/>
      </c>
      <c r="AO34" s="114">
        <f>AO3-AO4</f>
        <v/>
      </c>
      <c r="AP34" s="114">
        <f>AP3-AP4</f>
        <v/>
      </c>
      <c r="AQ34" s="114">
        <f>AQ3-AQ4</f>
        <v/>
      </c>
      <c r="AR34" s="114">
        <f>AR3-AR4</f>
        <v/>
      </c>
      <c r="AS34" s="114">
        <f>AS3-AS4</f>
        <v/>
      </c>
      <c r="AT34" s="114">
        <f>AT3-AT4</f>
        <v/>
      </c>
      <c r="AU34" s="114">
        <f>AU3-AU4</f>
        <v/>
      </c>
      <c r="AV34" s="114">
        <f>AV3-AV4</f>
        <v/>
      </c>
      <c r="AW34" s="114">
        <f>AW3-AW4</f>
        <v/>
      </c>
      <c r="BH34" s="98" t="n"/>
    </row>
    <row r="35" ht="16" customHeight="1">
      <c r="BH35" s="98" t="n"/>
    </row>
    <row r="36" ht="16" customHeight="1">
      <c r="BH36" s="98" t="n"/>
    </row>
    <row r="37" ht="25" customHeight="1">
      <c r="A37" s="97" t="inlineStr">
        <is>
          <t>Pair</t>
        </is>
      </c>
      <c r="B37" s="287" t="n">
        <v>44927</v>
      </c>
      <c r="C37" s="287" t="n">
        <v>44958</v>
      </c>
      <c r="D37" s="287" t="n">
        <v>44986</v>
      </c>
      <c r="E37" s="287" t="n">
        <v>45017</v>
      </c>
      <c r="F37" s="287" t="n">
        <v>45047</v>
      </c>
      <c r="G37" s="287" t="n">
        <v>45078</v>
      </c>
      <c r="H37" s="287" t="n">
        <v>45108</v>
      </c>
      <c r="I37" s="287" t="n">
        <v>45139</v>
      </c>
      <c r="J37" s="287" t="n">
        <v>45170</v>
      </c>
      <c r="K37" s="287" t="n">
        <v>45200</v>
      </c>
      <c r="L37" s="287" t="n">
        <v>45231</v>
      </c>
      <c r="M37" s="287" t="n">
        <v>45261</v>
      </c>
      <c r="N37" s="287" t="n">
        <v>45292</v>
      </c>
      <c r="O37" s="287" t="n">
        <v>45323</v>
      </c>
      <c r="P37" s="287" t="n">
        <v>45352</v>
      </c>
      <c r="Q37" s="287" t="n">
        <v>45383</v>
      </c>
      <c r="R37" s="287" t="n">
        <v>45413</v>
      </c>
      <c r="S37" s="287" t="n">
        <v>45444</v>
      </c>
      <c r="T37" s="287" t="n">
        <v>45474</v>
      </c>
      <c r="U37" s="287" t="n">
        <v>45505</v>
      </c>
      <c r="V37" s="287" t="n">
        <v>45536</v>
      </c>
      <c r="W37" s="287" t="n">
        <v>45566</v>
      </c>
      <c r="X37" s="287" t="n">
        <v>45597</v>
      </c>
      <c r="Y37" s="287" t="n">
        <v>45627</v>
      </c>
      <c r="Z37" s="287" t="n">
        <v>45658</v>
      </c>
      <c r="AA37" s="287" t="n">
        <v>45689</v>
      </c>
      <c r="AB37" s="287" t="n">
        <v>45717</v>
      </c>
      <c r="AC37" s="287" t="n">
        <v>45748</v>
      </c>
      <c r="AD37" s="287" t="n">
        <v>45778</v>
      </c>
      <c r="AE37" s="287" t="n">
        <v>45809</v>
      </c>
      <c r="AF37" s="287" t="n">
        <v>45839</v>
      </c>
      <c r="AG37" s="287" t="n">
        <v>45870</v>
      </c>
      <c r="AH37" s="287" t="n">
        <v>45901</v>
      </c>
      <c r="AI37" s="287" t="n">
        <v>45931</v>
      </c>
      <c r="AJ37" s="287" t="n">
        <v>45962</v>
      </c>
      <c r="AK37" s="287" t="n">
        <v>45992</v>
      </c>
      <c r="AL37" s="287" t="n">
        <v>46023</v>
      </c>
      <c r="AM37" s="287" t="n">
        <v>46054</v>
      </c>
      <c r="AN37" s="287" t="n">
        <v>46082</v>
      </c>
      <c r="AO37" s="287" t="n">
        <v>46113</v>
      </c>
      <c r="AP37" s="287" t="n">
        <v>46143</v>
      </c>
      <c r="AQ37" s="287" t="n">
        <v>46174</v>
      </c>
      <c r="AR37" s="287" t="n">
        <v>46204</v>
      </c>
      <c r="AS37" s="287" t="n">
        <v>46235</v>
      </c>
      <c r="AT37" s="287" t="n">
        <v>46266</v>
      </c>
      <c r="AU37" s="287" t="n">
        <v>46296</v>
      </c>
      <c r="AV37" s="287" t="n">
        <v>46327</v>
      </c>
      <c r="AW37" s="287" t="n">
        <v>46357</v>
      </c>
      <c r="BH37" s="98" t="n"/>
    </row>
    <row r="38" ht="25" customHeight="1">
      <c r="A38" s="99" t="inlineStr">
        <is>
          <t>USD JPY</t>
        </is>
      </c>
      <c r="B38" s="116">
        <f>VLOOKUP(ROUND(B12, 0), $AY$3:$AZ$13, 2, FALSE)</f>
        <v/>
      </c>
      <c r="C38" s="116">
        <f>VLOOKUP(ROUND(C12, 0), $AY$3:$AZ$13, 2, FALSE)</f>
        <v/>
      </c>
      <c r="D38" s="116">
        <f>VLOOKUP(ROUND(D12, 0), $AY$3:$AZ$13, 2, FALSE)</f>
        <v/>
      </c>
      <c r="E38" s="116">
        <f>VLOOKUP(ROUND(E12, 0), $AY$3:$AZ$13, 2, FALSE)</f>
        <v/>
      </c>
      <c r="F38" s="116">
        <f>VLOOKUP(ROUND(F12, 0), $AY$3:$AZ$13, 2, FALSE)</f>
        <v/>
      </c>
      <c r="G38" s="116">
        <f>VLOOKUP(ROUND(G12, 0), $AY$3:$AZ$13, 2, FALSE)</f>
        <v/>
      </c>
      <c r="H38" s="116">
        <f>VLOOKUP(ROUND(H12, 0), $AY$3:$AZ$13, 2, FALSE)</f>
        <v/>
      </c>
      <c r="I38" s="116">
        <f>VLOOKUP(ROUND(I12, 0), $AY$3:$AZ$13, 2, FALSE)</f>
        <v/>
      </c>
      <c r="J38" s="116">
        <f>VLOOKUP(ROUND(J12, 0), $AY$3:$AZ$13, 2, FALSE)</f>
        <v/>
      </c>
      <c r="K38" s="116">
        <f>VLOOKUP(ROUND(K12, 0), $AY$3:$AZ$13, 2, FALSE)</f>
        <v/>
      </c>
      <c r="L38" s="116">
        <f>VLOOKUP(ROUND(L12, 0), $AY$3:$AZ$13, 2, FALSE)</f>
        <v/>
      </c>
      <c r="M38" s="116">
        <f>VLOOKUP(ROUND(M12, 0), $AY$3:$AZ$13, 2, FALSE)</f>
        <v/>
      </c>
      <c r="N38" s="116">
        <f>VLOOKUP(ROUND(N12, 0), $AY$3:$AZ$13, 2, FALSE)</f>
        <v/>
      </c>
      <c r="O38" s="116">
        <f>VLOOKUP(ROUND(O12, 0), $AY$3:$AZ$13, 2, FALSE)</f>
        <v/>
      </c>
      <c r="P38" s="116">
        <f>VLOOKUP(ROUND(P12, 0), $AY$3:$AZ$13, 2, FALSE)</f>
        <v/>
      </c>
      <c r="Q38" s="116">
        <f>VLOOKUP(ROUND(Q12, 0), $AY$3:$AZ$13, 2, FALSE)</f>
        <v/>
      </c>
      <c r="R38" s="116">
        <f>VLOOKUP(ROUND(R12, 0), $AY$3:$AZ$13, 2, FALSE)</f>
        <v/>
      </c>
      <c r="S38" s="116">
        <f>VLOOKUP(ROUND(S12, 0), $AY$3:$AZ$13, 2, FALSE)</f>
        <v/>
      </c>
      <c r="T38" s="116">
        <f>VLOOKUP(ROUND(T12, 0), $AY$3:$AZ$13, 2, FALSE)</f>
        <v/>
      </c>
      <c r="U38" s="116">
        <f>VLOOKUP(ROUND(U12, 0), $AY$3:$AZ$13, 2, FALSE)</f>
        <v/>
      </c>
      <c r="V38" s="116">
        <f>VLOOKUP(ROUND(V12, 0), $AY$3:$AZ$13, 2, FALSE)</f>
        <v/>
      </c>
      <c r="W38" s="116">
        <f>VLOOKUP(ROUND(W12, 0), $AY$3:$AZ$13, 2, FALSE)</f>
        <v/>
      </c>
      <c r="X38" s="116">
        <f>VLOOKUP(ROUND(X12, 0), $AY$3:$AZ$13, 2, FALSE)</f>
        <v/>
      </c>
      <c r="Y38" s="116">
        <f>VLOOKUP(ROUND(Y12, 0), $AY$3:$AZ$13, 2, FALSE)</f>
        <v/>
      </c>
      <c r="Z38" s="116">
        <f>VLOOKUP(ROUND(Z12, 0), $AY$3:$AZ$13, 2, FALSE)</f>
        <v/>
      </c>
      <c r="AA38" s="116">
        <f>VLOOKUP(ROUND(AA12, 0), $AY$3:$AZ$13, 2, FALSE)</f>
        <v/>
      </c>
      <c r="AB38" s="116">
        <f>VLOOKUP(ROUND(AB12, 0), $AY$3:$AZ$13, 2, FALSE)</f>
        <v/>
      </c>
      <c r="AC38" s="116">
        <f>VLOOKUP(ROUND(AC12, 0), $AY$3:$AZ$13, 2, FALSE)</f>
        <v/>
      </c>
      <c r="AD38" s="116">
        <f>VLOOKUP(ROUND(AD12, 0), $AY$3:$AZ$13, 2, FALSE)</f>
        <v/>
      </c>
      <c r="AE38" s="116">
        <f>VLOOKUP(ROUND(AE12, 0), $AY$3:$AZ$13, 2, FALSE)</f>
        <v/>
      </c>
      <c r="AF38" s="116">
        <f>VLOOKUP(ROUND(AF12, 0), $AY$3:$AZ$13, 2, FALSE)</f>
        <v/>
      </c>
      <c r="AG38" s="116">
        <f>VLOOKUP(ROUND(AG12, 0), $AY$3:$AZ$13, 2, FALSE)</f>
        <v/>
      </c>
      <c r="AH38" s="116">
        <f>VLOOKUP(ROUND(AH12, 0), $AY$3:$AZ$13, 2, FALSE)</f>
        <v/>
      </c>
      <c r="AI38" s="116">
        <f>VLOOKUP(ROUND(AI12, 0), $AY$3:$AZ$13, 2, FALSE)</f>
        <v/>
      </c>
      <c r="AJ38" s="116">
        <f>VLOOKUP(ROUND(AJ12, 0), $AY$3:$AZ$13, 2, FALSE)</f>
        <v/>
      </c>
      <c r="AK38" s="116">
        <f>VLOOKUP(ROUND(AK12, 0), $AY$3:$AZ$13, 2, FALSE)</f>
        <v/>
      </c>
      <c r="AL38" s="116">
        <f>VLOOKUP(ROUND(AL12, 0), $AY$3:$AZ$13, 2, FALSE)</f>
        <v/>
      </c>
      <c r="AM38" s="116">
        <f>VLOOKUP(ROUND(AM12, 0), $AY$3:$AZ$13, 2, FALSE)</f>
        <v/>
      </c>
      <c r="AN38" s="116">
        <f>VLOOKUP(ROUND(AN12, 0), $AY$3:$AZ$13, 2, FALSE)</f>
        <v/>
      </c>
      <c r="AO38" s="116">
        <f>VLOOKUP(ROUND(AO12, 0), $AY$3:$AZ$13, 2, FALSE)</f>
        <v/>
      </c>
      <c r="AP38" s="116">
        <f>VLOOKUP(ROUND(AP12, 0), $AY$3:$AZ$13, 2, FALSE)</f>
        <v/>
      </c>
      <c r="AQ38" s="116">
        <f>VLOOKUP(ROUND(AQ12, 0), $AY$3:$AZ$13, 2, FALSE)</f>
        <v/>
      </c>
      <c r="AR38" s="116">
        <f>VLOOKUP(ROUND(AR12, 0), $AY$3:$AZ$13, 2, FALSE)</f>
        <v/>
      </c>
      <c r="AS38" s="116">
        <f>VLOOKUP(ROUND(AS12, 0), $AY$3:$AZ$13, 2, FALSE)</f>
        <v/>
      </c>
      <c r="AT38" s="116">
        <f>VLOOKUP(ROUND(AT12, 0), $AY$3:$AZ$13, 2, FALSE)</f>
        <v/>
      </c>
      <c r="AU38" s="116">
        <f>VLOOKUP(ROUND(AU12, 0), $AY$3:$AZ$13, 2, FALSE)</f>
        <v/>
      </c>
      <c r="AV38" s="116">
        <f>VLOOKUP(ROUND(AV12, 0), $AY$3:$AZ$13, 2, FALSE)</f>
        <v/>
      </c>
      <c r="AW38" s="116">
        <f>VLOOKUP(ROUND(AW12, 0), $AY$3:$AZ$13, 2, FALSE)</f>
        <v/>
      </c>
      <c r="BH38" s="98" t="n"/>
    </row>
    <row r="39" ht="25" customHeight="1">
      <c r="A39" s="99" t="inlineStr">
        <is>
          <t>USD CHF</t>
        </is>
      </c>
      <c r="B39" s="116">
        <f>VLOOKUP(ROUND(B13, 0), $AY$3:$AZ$13, 2, FALSE)</f>
        <v/>
      </c>
      <c r="C39" s="116">
        <f>VLOOKUP(ROUND(C13, 0), $AY$3:$AZ$13, 2, FALSE)</f>
        <v/>
      </c>
      <c r="D39" s="116">
        <f>VLOOKUP(ROUND(D13, 0), $AY$3:$AZ$13, 2, FALSE)</f>
        <v/>
      </c>
      <c r="E39" s="116">
        <f>VLOOKUP(ROUND(E13, 0), $AY$3:$AZ$13, 2, FALSE)</f>
        <v/>
      </c>
      <c r="F39" s="116">
        <f>VLOOKUP(ROUND(F13, 0), $AY$3:$AZ$13, 2, FALSE)</f>
        <v/>
      </c>
      <c r="G39" s="116">
        <f>VLOOKUP(ROUND(G13, 0), $AY$3:$AZ$13, 2, FALSE)</f>
        <v/>
      </c>
      <c r="H39" s="116">
        <f>VLOOKUP(ROUND(H13, 0), $AY$3:$AZ$13, 2, FALSE)</f>
        <v/>
      </c>
      <c r="I39" s="116">
        <f>VLOOKUP(ROUND(I13, 0), $AY$3:$AZ$13, 2, FALSE)</f>
        <v/>
      </c>
      <c r="J39" s="116">
        <f>VLOOKUP(ROUND(J13, 0), $AY$3:$AZ$13, 2, FALSE)</f>
        <v/>
      </c>
      <c r="K39" s="116">
        <f>VLOOKUP(ROUND(K13, 0), $AY$3:$AZ$13, 2, FALSE)</f>
        <v/>
      </c>
      <c r="L39" s="116">
        <f>VLOOKUP(ROUND(L13, 0), $AY$3:$AZ$13, 2, FALSE)</f>
        <v/>
      </c>
      <c r="M39" s="116">
        <f>VLOOKUP(ROUND(M13, 0), $AY$3:$AZ$13, 2, FALSE)</f>
        <v/>
      </c>
      <c r="N39" s="116">
        <f>VLOOKUP(ROUND(N13, 0), $AY$3:$AZ$13, 2, FALSE)</f>
        <v/>
      </c>
      <c r="O39" s="116">
        <f>VLOOKUP(ROUND(O13, 0), $AY$3:$AZ$13, 2, FALSE)</f>
        <v/>
      </c>
      <c r="P39" s="116">
        <f>VLOOKUP(ROUND(P13, 0), $AY$3:$AZ$13, 2, FALSE)</f>
        <v/>
      </c>
      <c r="Q39" s="116">
        <f>VLOOKUP(ROUND(Q13, 0), $AY$3:$AZ$13, 2, FALSE)</f>
        <v/>
      </c>
      <c r="R39" s="116">
        <f>VLOOKUP(ROUND(R13, 0), $AY$3:$AZ$13, 2, FALSE)</f>
        <v/>
      </c>
      <c r="S39" s="116">
        <f>VLOOKUP(ROUND(S13, 0), $AY$3:$AZ$13, 2, FALSE)</f>
        <v/>
      </c>
      <c r="T39" s="116">
        <f>VLOOKUP(ROUND(T13, 0), $AY$3:$AZ$13, 2, FALSE)</f>
        <v/>
      </c>
      <c r="U39" s="116">
        <f>VLOOKUP(ROUND(U13, 0), $AY$3:$AZ$13, 2, FALSE)</f>
        <v/>
      </c>
      <c r="V39" s="116">
        <f>VLOOKUP(ROUND(V13, 0), $AY$3:$AZ$13, 2, FALSE)</f>
        <v/>
      </c>
      <c r="W39" s="116">
        <f>VLOOKUP(ROUND(W13, 0), $AY$3:$AZ$13, 2, FALSE)</f>
        <v/>
      </c>
      <c r="X39" s="116">
        <f>VLOOKUP(ROUND(X13, 0), $AY$3:$AZ$13, 2, FALSE)</f>
        <v/>
      </c>
      <c r="Y39" s="116">
        <f>VLOOKUP(ROUND(Y13, 0), $AY$3:$AZ$13, 2, FALSE)</f>
        <v/>
      </c>
      <c r="Z39" s="116">
        <f>VLOOKUP(ROUND(Z13, 0), $AY$3:$AZ$13, 2, FALSE)</f>
        <v/>
      </c>
      <c r="AA39" s="116">
        <f>VLOOKUP(ROUND(AA13, 0), $AY$3:$AZ$13, 2, FALSE)</f>
        <v/>
      </c>
      <c r="AB39" s="116">
        <f>VLOOKUP(ROUND(AB13, 0), $AY$3:$AZ$13, 2, FALSE)</f>
        <v/>
      </c>
      <c r="AC39" s="116">
        <f>VLOOKUP(ROUND(AC13, 0), $AY$3:$AZ$13, 2, FALSE)</f>
        <v/>
      </c>
      <c r="AD39" s="116">
        <f>VLOOKUP(ROUND(AD13, 0), $AY$3:$AZ$13, 2, FALSE)</f>
        <v/>
      </c>
      <c r="AE39" s="116">
        <f>VLOOKUP(ROUND(AE13, 0), $AY$3:$AZ$13, 2, FALSE)</f>
        <v/>
      </c>
      <c r="AF39" s="116">
        <f>VLOOKUP(ROUND(AF13, 0), $AY$3:$AZ$13, 2, FALSE)</f>
        <v/>
      </c>
      <c r="AG39" s="116">
        <f>VLOOKUP(ROUND(AG13, 0), $AY$3:$AZ$13, 2, FALSE)</f>
        <v/>
      </c>
      <c r="AH39" s="116">
        <f>VLOOKUP(ROUND(AH13, 0), $AY$3:$AZ$13, 2, FALSE)</f>
        <v/>
      </c>
      <c r="AI39" s="116">
        <f>VLOOKUP(ROUND(AI13, 0), $AY$3:$AZ$13, 2, FALSE)</f>
        <v/>
      </c>
      <c r="AJ39" s="116">
        <f>VLOOKUP(ROUND(AJ13, 0), $AY$3:$AZ$13, 2, FALSE)</f>
        <v/>
      </c>
      <c r="AK39" s="116">
        <f>VLOOKUP(ROUND(AK13, 0), $AY$3:$AZ$13, 2, FALSE)</f>
        <v/>
      </c>
      <c r="AL39" s="116">
        <f>VLOOKUP(ROUND(AL13, 0), $AY$3:$AZ$13, 2, FALSE)</f>
        <v/>
      </c>
      <c r="AM39" s="116">
        <f>VLOOKUP(ROUND(AM13, 0), $AY$3:$AZ$13, 2, FALSE)</f>
        <v/>
      </c>
      <c r="AN39" s="116">
        <f>VLOOKUP(ROUND(AN13, 0), $AY$3:$AZ$13, 2, FALSE)</f>
        <v/>
      </c>
      <c r="AO39" s="116">
        <f>VLOOKUP(ROUND(AO13, 0), $AY$3:$AZ$13, 2, FALSE)</f>
        <v/>
      </c>
      <c r="AP39" s="116">
        <f>VLOOKUP(ROUND(AP13, 0), $AY$3:$AZ$13, 2, FALSE)</f>
        <v/>
      </c>
      <c r="AQ39" s="116">
        <f>VLOOKUP(ROUND(AQ13, 0), $AY$3:$AZ$13, 2, FALSE)</f>
        <v/>
      </c>
      <c r="AR39" s="116">
        <f>VLOOKUP(ROUND(AR13, 0), $AY$3:$AZ$13, 2, FALSE)</f>
        <v/>
      </c>
      <c r="AS39" s="116">
        <f>VLOOKUP(ROUND(AS13, 0), $AY$3:$AZ$13, 2, FALSE)</f>
        <v/>
      </c>
      <c r="AT39" s="116">
        <f>VLOOKUP(ROUND(AT13, 0), $AY$3:$AZ$13, 2, FALSE)</f>
        <v/>
      </c>
      <c r="AU39" s="116">
        <f>VLOOKUP(ROUND(AU13, 0), $AY$3:$AZ$13, 2, FALSE)</f>
        <v/>
      </c>
      <c r="AV39" s="116">
        <f>VLOOKUP(ROUND(AV13, 0), $AY$3:$AZ$13, 2, FALSE)</f>
        <v/>
      </c>
      <c r="AW39" s="116">
        <f>VLOOKUP(ROUND(AW13, 0), $AY$3:$AZ$13, 2, FALSE)</f>
        <v/>
      </c>
    </row>
    <row r="40" ht="25" customHeight="1">
      <c r="A40" s="99" t="inlineStr">
        <is>
          <t>USD CAD</t>
        </is>
      </c>
      <c r="B40" s="116">
        <f>VLOOKUP(ROUND(B14, 0), $AY$3:$AZ$13, 2, FALSE)</f>
        <v/>
      </c>
      <c r="C40" s="116">
        <f>VLOOKUP(ROUND(C14, 0), $AY$3:$AZ$13, 2, FALSE)</f>
        <v/>
      </c>
      <c r="D40" s="116">
        <f>VLOOKUP(ROUND(D14, 0), $AY$3:$AZ$13, 2, FALSE)</f>
        <v/>
      </c>
      <c r="E40" s="116">
        <f>VLOOKUP(ROUND(E14, 0), $AY$3:$AZ$13, 2, FALSE)</f>
        <v/>
      </c>
      <c r="F40" s="116">
        <f>VLOOKUP(ROUND(F14, 0), $AY$3:$AZ$13, 2, FALSE)</f>
        <v/>
      </c>
      <c r="G40" s="116">
        <f>VLOOKUP(ROUND(G14, 0), $AY$3:$AZ$13, 2, FALSE)</f>
        <v/>
      </c>
      <c r="H40" s="116">
        <f>VLOOKUP(ROUND(H14, 0), $AY$3:$AZ$13, 2, FALSE)</f>
        <v/>
      </c>
      <c r="I40" s="116">
        <f>VLOOKUP(ROUND(I14, 0), $AY$3:$AZ$13, 2, FALSE)</f>
        <v/>
      </c>
      <c r="J40" s="116">
        <f>VLOOKUP(ROUND(J14, 0), $AY$3:$AZ$13, 2, FALSE)</f>
        <v/>
      </c>
      <c r="K40" s="116">
        <f>VLOOKUP(ROUND(K14, 0), $AY$3:$AZ$13, 2, FALSE)</f>
        <v/>
      </c>
      <c r="L40" s="116">
        <f>VLOOKUP(ROUND(L14, 0), $AY$3:$AZ$13, 2, FALSE)</f>
        <v/>
      </c>
      <c r="M40" s="116">
        <f>VLOOKUP(ROUND(M14, 0), $AY$3:$AZ$13, 2, FALSE)</f>
        <v/>
      </c>
      <c r="N40" s="116">
        <f>VLOOKUP(ROUND(N14, 0), $AY$3:$AZ$13, 2, FALSE)</f>
        <v/>
      </c>
      <c r="O40" s="116">
        <f>VLOOKUP(ROUND(O14, 0), $AY$3:$AZ$13, 2, FALSE)</f>
        <v/>
      </c>
      <c r="P40" s="116">
        <f>VLOOKUP(ROUND(P14, 0), $AY$3:$AZ$13, 2, FALSE)</f>
        <v/>
      </c>
      <c r="Q40" s="116">
        <f>VLOOKUP(ROUND(Q14, 0), $AY$3:$AZ$13, 2, FALSE)</f>
        <v/>
      </c>
      <c r="R40" s="116">
        <f>VLOOKUP(ROUND(R14, 0), $AY$3:$AZ$13, 2, FALSE)</f>
        <v/>
      </c>
      <c r="S40" s="116">
        <f>VLOOKUP(ROUND(S14, 0), $AY$3:$AZ$13, 2, FALSE)</f>
        <v/>
      </c>
      <c r="T40" s="116">
        <f>VLOOKUP(ROUND(T14, 0), $AY$3:$AZ$13, 2, FALSE)</f>
        <v/>
      </c>
      <c r="U40" s="116">
        <f>VLOOKUP(ROUND(U14, 0), $AY$3:$AZ$13, 2, FALSE)</f>
        <v/>
      </c>
      <c r="V40" s="116">
        <f>VLOOKUP(ROUND(V14, 0), $AY$3:$AZ$13, 2, FALSE)</f>
        <v/>
      </c>
      <c r="W40" s="116">
        <f>VLOOKUP(ROUND(W14, 0), $AY$3:$AZ$13, 2, FALSE)</f>
        <v/>
      </c>
      <c r="X40" s="116">
        <f>VLOOKUP(ROUND(X14, 0), $AY$3:$AZ$13, 2, FALSE)</f>
        <v/>
      </c>
      <c r="Y40" s="116">
        <f>VLOOKUP(ROUND(Y14, 0), $AY$3:$AZ$13, 2, FALSE)</f>
        <v/>
      </c>
      <c r="Z40" s="116">
        <f>VLOOKUP(ROUND(Z14, 0), $AY$3:$AZ$13, 2, FALSE)</f>
        <v/>
      </c>
      <c r="AA40" s="116">
        <f>VLOOKUP(ROUND(AA14, 0), $AY$3:$AZ$13, 2, FALSE)</f>
        <v/>
      </c>
      <c r="AB40" s="116">
        <f>VLOOKUP(ROUND(AB14, 0), $AY$3:$AZ$13, 2, FALSE)</f>
        <v/>
      </c>
      <c r="AC40" s="116">
        <f>VLOOKUP(ROUND(AC14, 0), $AY$3:$AZ$13, 2, FALSE)</f>
        <v/>
      </c>
      <c r="AD40" s="116">
        <f>VLOOKUP(ROUND(AD14, 0), $AY$3:$AZ$13, 2, FALSE)</f>
        <v/>
      </c>
      <c r="AE40" s="116">
        <f>VLOOKUP(ROUND(AE14, 0), $AY$3:$AZ$13, 2, FALSE)</f>
        <v/>
      </c>
      <c r="AF40" s="116">
        <f>VLOOKUP(ROUND(AF14, 0), $AY$3:$AZ$13, 2, FALSE)</f>
        <v/>
      </c>
      <c r="AG40" s="116">
        <f>VLOOKUP(ROUND(AG14, 0), $AY$3:$AZ$13, 2, FALSE)</f>
        <v/>
      </c>
      <c r="AH40" s="116">
        <f>VLOOKUP(ROUND(AH14, 0), $AY$3:$AZ$13, 2, FALSE)</f>
        <v/>
      </c>
      <c r="AI40" s="116">
        <f>VLOOKUP(ROUND(AI14, 0), $AY$3:$AZ$13, 2, FALSE)</f>
        <v/>
      </c>
      <c r="AJ40" s="116">
        <f>VLOOKUP(ROUND(AJ14, 0), $AY$3:$AZ$13, 2, FALSE)</f>
        <v/>
      </c>
      <c r="AK40" s="116">
        <f>VLOOKUP(ROUND(AK14, 0), $AY$3:$AZ$13, 2, FALSE)</f>
        <v/>
      </c>
      <c r="AL40" s="116">
        <f>VLOOKUP(ROUND(AL14, 0), $AY$3:$AZ$13, 2, FALSE)</f>
        <v/>
      </c>
      <c r="AM40" s="116">
        <f>VLOOKUP(ROUND(AM14, 0), $AY$3:$AZ$13, 2, FALSE)</f>
        <v/>
      </c>
      <c r="AN40" s="116">
        <f>VLOOKUP(ROUND(AN14, 0), $AY$3:$AZ$13, 2, FALSE)</f>
        <v/>
      </c>
      <c r="AO40" s="116">
        <f>VLOOKUP(ROUND(AO14, 0), $AY$3:$AZ$13, 2, FALSE)</f>
        <v/>
      </c>
      <c r="AP40" s="116">
        <f>VLOOKUP(ROUND(AP14, 0), $AY$3:$AZ$13, 2, FALSE)</f>
        <v/>
      </c>
      <c r="AQ40" s="116">
        <f>VLOOKUP(ROUND(AQ14, 0), $AY$3:$AZ$13, 2, FALSE)</f>
        <v/>
      </c>
      <c r="AR40" s="116">
        <f>VLOOKUP(ROUND(AR14, 0), $AY$3:$AZ$13, 2, FALSE)</f>
        <v/>
      </c>
      <c r="AS40" s="116">
        <f>VLOOKUP(ROUND(AS14, 0), $AY$3:$AZ$13, 2, FALSE)</f>
        <v/>
      </c>
      <c r="AT40" s="116">
        <f>VLOOKUP(ROUND(AT14, 0), $AY$3:$AZ$13, 2, FALSE)</f>
        <v/>
      </c>
      <c r="AU40" s="116">
        <f>VLOOKUP(ROUND(AU14, 0), $AY$3:$AZ$13, 2, FALSE)</f>
        <v/>
      </c>
      <c r="AV40" s="116">
        <f>VLOOKUP(ROUND(AV14, 0), $AY$3:$AZ$13, 2, FALSE)</f>
        <v/>
      </c>
      <c r="AW40" s="116">
        <f>VLOOKUP(ROUND(AW14, 0), $AY$3:$AZ$13, 2, FALSE)</f>
        <v/>
      </c>
    </row>
    <row r="41" ht="25" customHeight="1">
      <c r="A41" s="101" t="inlineStr">
        <is>
          <t>EUR USD</t>
        </is>
      </c>
      <c r="B41" s="116">
        <f>VLOOKUP(ROUND(B15, 0), $AY$3:$AZ$13, 2, FALSE)</f>
        <v/>
      </c>
      <c r="C41" s="116">
        <f>VLOOKUP(ROUND(C15, 0), $AY$3:$AZ$13, 2, FALSE)</f>
        <v/>
      </c>
      <c r="D41" s="116">
        <f>VLOOKUP(ROUND(D15, 0), $AY$3:$AZ$13, 2, FALSE)</f>
        <v/>
      </c>
      <c r="E41" s="116">
        <f>VLOOKUP(ROUND(E15, 0), $AY$3:$AZ$13, 2, FALSE)</f>
        <v/>
      </c>
      <c r="F41" s="116">
        <f>VLOOKUP(ROUND(F15, 0), $AY$3:$AZ$13, 2, FALSE)</f>
        <v/>
      </c>
      <c r="G41" s="116">
        <f>VLOOKUP(ROUND(G15, 0), $AY$3:$AZ$13, 2, FALSE)</f>
        <v/>
      </c>
      <c r="H41" s="116">
        <f>VLOOKUP(ROUND(H15, 0), $AY$3:$AZ$13, 2, FALSE)</f>
        <v/>
      </c>
      <c r="I41" s="116">
        <f>VLOOKUP(ROUND(I15, 0), $AY$3:$AZ$13, 2, FALSE)</f>
        <v/>
      </c>
      <c r="J41" s="116">
        <f>VLOOKUP(ROUND(J15, 0), $AY$3:$AZ$13, 2, FALSE)</f>
        <v/>
      </c>
      <c r="K41" s="116">
        <f>VLOOKUP(ROUND(K15, 0), $AY$3:$AZ$13, 2, FALSE)</f>
        <v/>
      </c>
      <c r="L41" s="116">
        <f>VLOOKUP(ROUND(L15, 0), $AY$3:$AZ$13, 2, FALSE)</f>
        <v/>
      </c>
      <c r="M41" s="116">
        <f>VLOOKUP(ROUND(M15, 0), $AY$3:$AZ$13, 2, FALSE)</f>
        <v/>
      </c>
      <c r="N41" s="116">
        <f>VLOOKUP(ROUND(N15, 0), $AY$3:$AZ$13, 2, FALSE)</f>
        <v/>
      </c>
      <c r="O41" s="116">
        <f>VLOOKUP(ROUND(O15, 0), $AY$3:$AZ$13, 2, FALSE)</f>
        <v/>
      </c>
      <c r="P41" s="116">
        <f>VLOOKUP(ROUND(P15, 0), $AY$3:$AZ$13, 2, FALSE)</f>
        <v/>
      </c>
      <c r="Q41" s="116">
        <f>VLOOKUP(ROUND(Q15, 0), $AY$3:$AZ$13, 2, FALSE)</f>
        <v/>
      </c>
      <c r="R41" s="116">
        <f>VLOOKUP(ROUND(R15, 0), $AY$3:$AZ$13, 2, FALSE)</f>
        <v/>
      </c>
      <c r="S41" s="116">
        <f>VLOOKUP(ROUND(S15, 0), $AY$3:$AZ$13, 2, FALSE)</f>
        <v/>
      </c>
      <c r="T41" s="116">
        <f>VLOOKUP(ROUND(T15, 0), $AY$3:$AZ$13, 2, FALSE)</f>
        <v/>
      </c>
      <c r="U41" s="116">
        <f>VLOOKUP(ROUND(U15, 0), $AY$3:$AZ$13, 2, FALSE)</f>
        <v/>
      </c>
      <c r="V41" s="116">
        <f>VLOOKUP(ROUND(V15, 0), $AY$3:$AZ$13, 2, FALSE)</f>
        <v/>
      </c>
      <c r="W41" s="116">
        <f>VLOOKUP(ROUND(W15, 0), $AY$3:$AZ$13, 2, FALSE)</f>
        <v/>
      </c>
      <c r="X41" s="116">
        <f>VLOOKUP(ROUND(X15, 0), $AY$3:$AZ$13, 2, FALSE)</f>
        <v/>
      </c>
      <c r="Y41" s="116">
        <f>VLOOKUP(ROUND(Y15, 0), $AY$3:$AZ$13, 2, FALSE)</f>
        <v/>
      </c>
      <c r="Z41" s="116">
        <f>VLOOKUP(ROUND(Z15, 0), $AY$3:$AZ$13, 2, FALSE)</f>
        <v/>
      </c>
      <c r="AA41" s="116">
        <f>VLOOKUP(ROUND(AA15, 0), $AY$3:$AZ$13, 2, FALSE)</f>
        <v/>
      </c>
      <c r="AB41" s="116">
        <f>VLOOKUP(ROUND(AB15, 0), $AY$3:$AZ$13, 2, FALSE)</f>
        <v/>
      </c>
      <c r="AC41" s="116">
        <f>VLOOKUP(ROUND(AC15, 0), $AY$3:$AZ$13, 2, FALSE)</f>
        <v/>
      </c>
      <c r="AD41" s="116">
        <f>VLOOKUP(ROUND(AD15, 0), $AY$3:$AZ$13, 2, FALSE)</f>
        <v/>
      </c>
      <c r="AE41" s="116">
        <f>VLOOKUP(ROUND(AE15, 0), $AY$3:$AZ$13, 2, FALSE)</f>
        <v/>
      </c>
      <c r="AF41" s="116">
        <f>VLOOKUP(ROUND(AF15, 0), $AY$3:$AZ$13, 2, FALSE)</f>
        <v/>
      </c>
      <c r="AG41" s="116">
        <f>VLOOKUP(ROUND(AG15, 0), $AY$3:$AZ$13, 2, FALSE)</f>
        <v/>
      </c>
      <c r="AH41" s="116">
        <f>VLOOKUP(ROUND(AH15, 0), $AY$3:$AZ$13, 2, FALSE)</f>
        <v/>
      </c>
      <c r="AI41" s="116">
        <f>VLOOKUP(ROUND(AI15, 0), $AY$3:$AZ$13, 2, FALSE)</f>
        <v/>
      </c>
      <c r="AJ41" s="116">
        <f>VLOOKUP(ROUND(AJ15, 0), $AY$3:$AZ$13, 2, FALSE)</f>
        <v/>
      </c>
      <c r="AK41" s="116">
        <f>VLOOKUP(ROUND(AK15, 0), $AY$3:$AZ$13, 2, FALSE)</f>
        <v/>
      </c>
      <c r="AL41" s="116">
        <f>VLOOKUP(ROUND(AL15, 0), $AY$3:$AZ$13, 2, FALSE)</f>
        <v/>
      </c>
      <c r="AM41" s="116">
        <f>VLOOKUP(ROUND(AM15, 0), $AY$3:$AZ$13, 2, FALSE)</f>
        <v/>
      </c>
      <c r="AN41" s="116">
        <f>VLOOKUP(ROUND(AN15, 0), $AY$3:$AZ$13, 2, FALSE)</f>
        <v/>
      </c>
      <c r="AO41" s="116">
        <f>VLOOKUP(ROUND(AO15, 0), $AY$3:$AZ$13, 2, FALSE)</f>
        <v/>
      </c>
      <c r="AP41" s="116">
        <f>VLOOKUP(ROUND(AP15, 0), $AY$3:$AZ$13, 2, FALSE)</f>
        <v/>
      </c>
      <c r="AQ41" s="116">
        <f>VLOOKUP(ROUND(AQ15, 0), $AY$3:$AZ$13, 2, FALSE)</f>
        <v/>
      </c>
      <c r="AR41" s="116">
        <f>VLOOKUP(ROUND(AR15, 0), $AY$3:$AZ$13, 2, FALSE)</f>
        <v/>
      </c>
      <c r="AS41" s="116">
        <f>VLOOKUP(ROUND(AS15, 0), $AY$3:$AZ$13, 2, FALSE)</f>
        <v/>
      </c>
      <c r="AT41" s="116">
        <f>VLOOKUP(ROUND(AT15, 0), $AY$3:$AZ$13, 2, FALSE)</f>
        <v/>
      </c>
      <c r="AU41" s="116">
        <f>VLOOKUP(ROUND(AU15, 0), $AY$3:$AZ$13, 2, FALSE)</f>
        <v/>
      </c>
      <c r="AV41" s="116">
        <f>VLOOKUP(ROUND(AV15, 0), $AY$3:$AZ$13, 2, FALSE)</f>
        <v/>
      </c>
      <c r="AW41" s="116">
        <f>VLOOKUP(ROUND(AW15, 0), $AY$3:$AZ$13, 2, FALSE)</f>
        <v/>
      </c>
    </row>
    <row r="42" ht="25" customHeight="1">
      <c r="A42" s="101" t="inlineStr">
        <is>
          <t>EUR JPY</t>
        </is>
      </c>
      <c r="B42" s="116">
        <f>VLOOKUP(ROUND(B16, 0), $AY$3:$AZ$13, 2, FALSE)</f>
        <v/>
      </c>
      <c r="C42" s="116">
        <f>VLOOKUP(ROUND(C16, 0), $AY$3:$AZ$13, 2, FALSE)</f>
        <v/>
      </c>
      <c r="D42" s="116">
        <f>VLOOKUP(ROUND(D16, 0), $AY$3:$AZ$13, 2, FALSE)</f>
        <v/>
      </c>
      <c r="E42" s="116">
        <f>VLOOKUP(ROUND(E16, 0), $AY$3:$AZ$13, 2, FALSE)</f>
        <v/>
      </c>
      <c r="F42" s="116">
        <f>VLOOKUP(ROUND(F16, 0), $AY$3:$AZ$13, 2, FALSE)</f>
        <v/>
      </c>
      <c r="G42" s="116">
        <f>VLOOKUP(ROUND(G16, 0), $AY$3:$AZ$13, 2, FALSE)</f>
        <v/>
      </c>
      <c r="H42" s="116">
        <f>VLOOKUP(ROUND(H16, 0), $AY$3:$AZ$13, 2, FALSE)</f>
        <v/>
      </c>
      <c r="I42" s="116">
        <f>VLOOKUP(ROUND(I16, 0), $AY$3:$AZ$13, 2, FALSE)</f>
        <v/>
      </c>
      <c r="J42" s="116">
        <f>VLOOKUP(ROUND(J16, 0), $AY$3:$AZ$13, 2, FALSE)</f>
        <v/>
      </c>
      <c r="K42" s="116">
        <f>VLOOKUP(ROUND(K16, 0), $AY$3:$AZ$13, 2, FALSE)</f>
        <v/>
      </c>
      <c r="L42" s="116">
        <f>VLOOKUP(ROUND(L16, 0), $AY$3:$AZ$13, 2, FALSE)</f>
        <v/>
      </c>
      <c r="M42" s="116">
        <f>VLOOKUP(ROUND(M16, 0), $AY$3:$AZ$13, 2, FALSE)</f>
        <v/>
      </c>
      <c r="N42" s="116">
        <f>VLOOKUP(ROUND(N16, 0), $AY$3:$AZ$13, 2, FALSE)</f>
        <v/>
      </c>
      <c r="O42" s="116">
        <f>VLOOKUP(ROUND(O16, 0), $AY$3:$AZ$13, 2, FALSE)</f>
        <v/>
      </c>
      <c r="P42" s="116">
        <f>VLOOKUP(ROUND(P16, 0), $AY$3:$AZ$13, 2, FALSE)</f>
        <v/>
      </c>
      <c r="Q42" s="116">
        <f>VLOOKUP(ROUND(Q16, 0), $AY$3:$AZ$13, 2, FALSE)</f>
        <v/>
      </c>
      <c r="R42" s="116">
        <f>VLOOKUP(ROUND(R16, 0), $AY$3:$AZ$13, 2, FALSE)</f>
        <v/>
      </c>
      <c r="S42" s="116">
        <f>VLOOKUP(ROUND(S16, 0), $AY$3:$AZ$13, 2, FALSE)</f>
        <v/>
      </c>
      <c r="T42" s="116">
        <f>VLOOKUP(ROUND(T16, 0), $AY$3:$AZ$13, 2, FALSE)</f>
        <v/>
      </c>
      <c r="U42" s="116">
        <f>VLOOKUP(ROUND(U16, 0), $AY$3:$AZ$13, 2, FALSE)</f>
        <v/>
      </c>
      <c r="V42" s="116">
        <f>VLOOKUP(ROUND(V16, 0), $AY$3:$AZ$13, 2, FALSE)</f>
        <v/>
      </c>
      <c r="W42" s="116">
        <f>VLOOKUP(ROUND(W16, 0), $AY$3:$AZ$13, 2, FALSE)</f>
        <v/>
      </c>
      <c r="X42" s="116">
        <f>VLOOKUP(ROUND(X16, 0), $AY$3:$AZ$13, 2, FALSE)</f>
        <v/>
      </c>
      <c r="Y42" s="116">
        <f>VLOOKUP(ROUND(Y16, 0), $AY$3:$AZ$13, 2, FALSE)</f>
        <v/>
      </c>
      <c r="Z42" s="116">
        <f>VLOOKUP(ROUND(Z16, 0), $AY$3:$AZ$13, 2, FALSE)</f>
        <v/>
      </c>
      <c r="AA42" s="116">
        <f>VLOOKUP(ROUND(AA16, 0), $AY$3:$AZ$13, 2, FALSE)</f>
        <v/>
      </c>
      <c r="AB42" s="116">
        <f>VLOOKUP(ROUND(AB16, 0), $AY$3:$AZ$13, 2, FALSE)</f>
        <v/>
      </c>
      <c r="AC42" s="116">
        <f>VLOOKUP(ROUND(AC16, 0), $AY$3:$AZ$13, 2, FALSE)</f>
        <v/>
      </c>
      <c r="AD42" s="116">
        <f>VLOOKUP(ROUND(AD16, 0), $AY$3:$AZ$13, 2, FALSE)</f>
        <v/>
      </c>
      <c r="AE42" s="116">
        <f>VLOOKUP(ROUND(AE16, 0), $AY$3:$AZ$13, 2, FALSE)</f>
        <v/>
      </c>
      <c r="AF42" s="116">
        <f>VLOOKUP(ROUND(AF16, 0), $AY$3:$AZ$13, 2, FALSE)</f>
        <v/>
      </c>
      <c r="AG42" s="116">
        <f>VLOOKUP(ROUND(AG16, 0), $AY$3:$AZ$13, 2, FALSE)</f>
        <v/>
      </c>
      <c r="AH42" s="116">
        <f>VLOOKUP(ROUND(AH16, 0), $AY$3:$AZ$13, 2, FALSE)</f>
        <v/>
      </c>
      <c r="AI42" s="116">
        <f>VLOOKUP(ROUND(AI16, 0), $AY$3:$AZ$13, 2, FALSE)</f>
        <v/>
      </c>
      <c r="AJ42" s="116">
        <f>VLOOKUP(ROUND(AJ16, 0), $AY$3:$AZ$13, 2, FALSE)</f>
        <v/>
      </c>
      <c r="AK42" s="116">
        <f>VLOOKUP(ROUND(AK16, 0), $AY$3:$AZ$13, 2, FALSE)</f>
        <v/>
      </c>
      <c r="AL42" s="116">
        <f>VLOOKUP(ROUND(AL16, 0), $AY$3:$AZ$13, 2, FALSE)</f>
        <v/>
      </c>
      <c r="AM42" s="116">
        <f>VLOOKUP(ROUND(AM16, 0), $AY$3:$AZ$13, 2, FALSE)</f>
        <v/>
      </c>
      <c r="AN42" s="116">
        <f>VLOOKUP(ROUND(AN16, 0), $AY$3:$AZ$13, 2, FALSE)</f>
        <v/>
      </c>
      <c r="AO42" s="116">
        <f>VLOOKUP(ROUND(AO16, 0), $AY$3:$AZ$13, 2, FALSE)</f>
        <v/>
      </c>
      <c r="AP42" s="116">
        <f>VLOOKUP(ROUND(AP16, 0), $AY$3:$AZ$13, 2, FALSE)</f>
        <v/>
      </c>
      <c r="AQ42" s="116">
        <f>VLOOKUP(ROUND(AQ16, 0), $AY$3:$AZ$13, 2, FALSE)</f>
        <v/>
      </c>
      <c r="AR42" s="116">
        <f>VLOOKUP(ROUND(AR16, 0), $AY$3:$AZ$13, 2, FALSE)</f>
        <v/>
      </c>
      <c r="AS42" s="116">
        <f>VLOOKUP(ROUND(AS16, 0), $AY$3:$AZ$13, 2, FALSE)</f>
        <v/>
      </c>
      <c r="AT42" s="116">
        <f>VLOOKUP(ROUND(AT16, 0), $AY$3:$AZ$13, 2, FALSE)</f>
        <v/>
      </c>
      <c r="AU42" s="116">
        <f>VLOOKUP(ROUND(AU16, 0), $AY$3:$AZ$13, 2, FALSE)</f>
        <v/>
      </c>
      <c r="AV42" s="116">
        <f>VLOOKUP(ROUND(AV16, 0), $AY$3:$AZ$13, 2, FALSE)</f>
        <v/>
      </c>
      <c r="AW42" s="116">
        <f>VLOOKUP(ROUND(AW16, 0), $AY$3:$AZ$13, 2, FALSE)</f>
        <v/>
      </c>
    </row>
    <row r="43" ht="25" customHeight="1">
      <c r="A43" s="101" t="inlineStr">
        <is>
          <t>EUR CHF</t>
        </is>
      </c>
      <c r="B43" s="116">
        <f>VLOOKUP(ROUND(B17, 0), $AY$3:$AZ$13, 2, FALSE)</f>
        <v/>
      </c>
      <c r="C43" s="116">
        <f>VLOOKUP(ROUND(C17, 0), $AY$3:$AZ$13, 2, FALSE)</f>
        <v/>
      </c>
      <c r="D43" s="116">
        <f>VLOOKUP(ROUND(D17, 0), $AY$3:$AZ$13, 2, FALSE)</f>
        <v/>
      </c>
      <c r="E43" s="116">
        <f>VLOOKUP(ROUND(E17, 0), $AY$3:$AZ$13, 2, FALSE)</f>
        <v/>
      </c>
      <c r="F43" s="116">
        <f>VLOOKUP(ROUND(F17, 0), $AY$3:$AZ$13, 2, FALSE)</f>
        <v/>
      </c>
      <c r="G43" s="116">
        <f>VLOOKUP(ROUND(G17, 0), $AY$3:$AZ$13, 2, FALSE)</f>
        <v/>
      </c>
      <c r="H43" s="116">
        <f>VLOOKUP(ROUND(H17, 0), $AY$3:$AZ$13, 2, FALSE)</f>
        <v/>
      </c>
      <c r="I43" s="116">
        <f>VLOOKUP(ROUND(I17, 0), $AY$3:$AZ$13, 2, FALSE)</f>
        <v/>
      </c>
      <c r="J43" s="116">
        <f>VLOOKUP(ROUND(J17, 0), $AY$3:$AZ$13, 2, FALSE)</f>
        <v/>
      </c>
      <c r="K43" s="116">
        <f>VLOOKUP(ROUND(K17, 0), $AY$3:$AZ$13, 2, FALSE)</f>
        <v/>
      </c>
      <c r="L43" s="116">
        <f>VLOOKUP(ROUND(L17, 0), $AY$3:$AZ$13, 2, FALSE)</f>
        <v/>
      </c>
      <c r="M43" s="116">
        <f>VLOOKUP(ROUND(M17, 0), $AY$3:$AZ$13, 2, FALSE)</f>
        <v/>
      </c>
      <c r="N43" s="116">
        <f>VLOOKUP(ROUND(N17, 0), $AY$3:$AZ$13, 2, FALSE)</f>
        <v/>
      </c>
      <c r="O43" s="116">
        <f>VLOOKUP(ROUND(O17, 0), $AY$3:$AZ$13, 2, FALSE)</f>
        <v/>
      </c>
      <c r="P43" s="116">
        <f>VLOOKUP(ROUND(P17, 0), $AY$3:$AZ$13, 2, FALSE)</f>
        <v/>
      </c>
      <c r="Q43" s="116">
        <f>VLOOKUP(ROUND(Q17, 0), $AY$3:$AZ$13, 2, FALSE)</f>
        <v/>
      </c>
      <c r="R43" s="116">
        <f>VLOOKUP(ROUND(R17, 0), $AY$3:$AZ$13, 2, FALSE)</f>
        <v/>
      </c>
      <c r="S43" s="116">
        <f>VLOOKUP(ROUND(S17, 0), $AY$3:$AZ$13, 2, FALSE)</f>
        <v/>
      </c>
      <c r="T43" s="116">
        <f>VLOOKUP(ROUND(T17, 0), $AY$3:$AZ$13, 2, FALSE)</f>
        <v/>
      </c>
      <c r="U43" s="116">
        <f>VLOOKUP(ROUND(U17, 0), $AY$3:$AZ$13, 2, FALSE)</f>
        <v/>
      </c>
      <c r="V43" s="116">
        <f>VLOOKUP(ROUND(V17, 0), $AY$3:$AZ$13, 2, FALSE)</f>
        <v/>
      </c>
      <c r="W43" s="116">
        <f>VLOOKUP(ROUND(W17, 0), $AY$3:$AZ$13, 2, FALSE)</f>
        <v/>
      </c>
      <c r="X43" s="116">
        <f>VLOOKUP(ROUND(X17, 0), $AY$3:$AZ$13, 2, FALSE)</f>
        <v/>
      </c>
      <c r="Y43" s="116">
        <f>VLOOKUP(ROUND(Y17, 0), $AY$3:$AZ$13, 2, FALSE)</f>
        <v/>
      </c>
      <c r="Z43" s="116">
        <f>VLOOKUP(ROUND(Z17, 0), $AY$3:$AZ$13, 2, FALSE)</f>
        <v/>
      </c>
      <c r="AA43" s="116">
        <f>VLOOKUP(ROUND(AA17, 0), $AY$3:$AZ$13, 2, FALSE)</f>
        <v/>
      </c>
      <c r="AB43" s="116">
        <f>VLOOKUP(ROUND(AB17, 0), $AY$3:$AZ$13, 2, FALSE)</f>
        <v/>
      </c>
      <c r="AC43" s="116">
        <f>VLOOKUP(ROUND(AC17, 0), $AY$3:$AZ$13, 2, FALSE)</f>
        <v/>
      </c>
      <c r="AD43" s="116">
        <f>VLOOKUP(ROUND(AD17, 0), $AY$3:$AZ$13, 2, FALSE)</f>
        <v/>
      </c>
      <c r="AE43" s="116">
        <f>VLOOKUP(ROUND(AE17, 0), $AY$3:$AZ$13, 2, FALSE)</f>
        <v/>
      </c>
      <c r="AF43" s="116">
        <f>VLOOKUP(ROUND(AF17, 0), $AY$3:$AZ$13, 2, FALSE)</f>
        <v/>
      </c>
      <c r="AG43" s="116">
        <f>VLOOKUP(ROUND(AG17, 0), $AY$3:$AZ$13, 2, FALSE)</f>
        <v/>
      </c>
      <c r="AH43" s="116">
        <f>VLOOKUP(ROUND(AH17, 0), $AY$3:$AZ$13, 2, FALSE)</f>
        <v/>
      </c>
      <c r="AI43" s="116">
        <f>VLOOKUP(ROUND(AI17, 0), $AY$3:$AZ$13, 2, FALSE)</f>
        <v/>
      </c>
      <c r="AJ43" s="116">
        <f>VLOOKUP(ROUND(AJ17, 0), $AY$3:$AZ$13, 2, FALSE)</f>
        <v/>
      </c>
      <c r="AK43" s="116">
        <f>VLOOKUP(ROUND(AK17, 0), $AY$3:$AZ$13, 2, FALSE)</f>
        <v/>
      </c>
      <c r="AL43" s="116">
        <f>VLOOKUP(ROUND(AL17, 0), $AY$3:$AZ$13, 2, FALSE)</f>
        <v/>
      </c>
      <c r="AM43" s="116">
        <f>VLOOKUP(ROUND(AM17, 0), $AY$3:$AZ$13, 2, FALSE)</f>
        <v/>
      </c>
      <c r="AN43" s="116">
        <f>VLOOKUP(ROUND(AN17, 0), $AY$3:$AZ$13, 2, FALSE)</f>
        <v/>
      </c>
      <c r="AO43" s="116">
        <f>VLOOKUP(ROUND(AO17, 0), $AY$3:$AZ$13, 2, FALSE)</f>
        <v/>
      </c>
      <c r="AP43" s="116">
        <f>VLOOKUP(ROUND(AP17, 0), $AY$3:$AZ$13, 2, FALSE)</f>
        <v/>
      </c>
      <c r="AQ43" s="116">
        <f>VLOOKUP(ROUND(AQ17, 0), $AY$3:$AZ$13, 2, FALSE)</f>
        <v/>
      </c>
      <c r="AR43" s="116">
        <f>VLOOKUP(ROUND(AR17, 0), $AY$3:$AZ$13, 2, FALSE)</f>
        <v/>
      </c>
      <c r="AS43" s="116">
        <f>VLOOKUP(ROUND(AS17, 0), $AY$3:$AZ$13, 2, FALSE)</f>
        <v/>
      </c>
      <c r="AT43" s="116">
        <f>VLOOKUP(ROUND(AT17, 0), $AY$3:$AZ$13, 2, FALSE)</f>
        <v/>
      </c>
      <c r="AU43" s="116">
        <f>VLOOKUP(ROUND(AU17, 0), $AY$3:$AZ$13, 2, FALSE)</f>
        <v/>
      </c>
      <c r="AV43" s="116">
        <f>VLOOKUP(ROUND(AV17, 0), $AY$3:$AZ$13, 2, FALSE)</f>
        <v/>
      </c>
      <c r="AW43" s="116">
        <f>VLOOKUP(ROUND(AW17, 0), $AY$3:$AZ$13, 2, FALSE)</f>
        <v/>
      </c>
    </row>
    <row r="44" ht="25" customHeight="1">
      <c r="A44" s="101" t="inlineStr">
        <is>
          <t>EUR GBP</t>
        </is>
      </c>
      <c r="B44" s="116">
        <f>VLOOKUP(ROUND(B18, 0), $AY$3:$AZ$13, 2, FALSE)</f>
        <v/>
      </c>
      <c r="C44" s="116">
        <f>VLOOKUP(ROUND(C18, 0), $AY$3:$AZ$13, 2, FALSE)</f>
        <v/>
      </c>
      <c r="D44" s="116">
        <f>VLOOKUP(ROUND(D18, 0), $AY$3:$AZ$13, 2, FALSE)</f>
        <v/>
      </c>
      <c r="E44" s="116">
        <f>VLOOKUP(ROUND(E18, 0), $AY$3:$AZ$13, 2, FALSE)</f>
        <v/>
      </c>
      <c r="F44" s="116">
        <f>VLOOKUP(ROUND(F18, 0), $AY$3:$AZ$13, 2, FALSE)</f>
        <v/>
      </c>
      <c r="G44" s="116">
        <f>VLOOKUP(ROUND(G18, 0), $AY$3:$AZ$13, 2, FALSE)</f>
        <v/>
      </c>
      <c r="H44" s="116">
        <f>VLOOKUP(ROUND(H18, 0), $AY$3:$AZ$13, 2, FALSE)</f>
        <v/>
      </c>
      <c r="I44" s="116">
        <f>VLOOKUP(ROUND(I18, 0), $AY$3:$AZ$13, 2, FALSE)</f>
        <v/>
      </c>
      <c r="J44" s="116">
        <f>VLOOKUP(ROUND(J18, 0), $AY$3:$AZ$13, 2, FALSE)</f>
        <v/>
      </c>
      <c r="K44" s="116">
        <f>VLOOKUP(ROUND(K18, 0), $AY$3:$AZ$13, 2, FALSE)</f>
        <v/>
      </c>
      <c r="L44" s="116">
        <f>VLOOKUP(ROUND(L18, 0), $AY$3:$AZ$13, 2, FALSE)</f>
        <v/>
      </c>
      <c r="M44" s="116">
        <f>VLOOKUP(ROUND(M18, 0), $AY$3:$AZ$13, 2, FALSE)</f>
        <v/>
      </c>
      <c r="N44" s="116">
        <f>VLOOKUP(ROUND(N18, 0), $AY$3:$AZ$13, 2, FALSE)</f>
        <v/>
      </c>
      <c r="O44" s="116">
        <f>VLOOKUP(ROUND(O18, 0), $AY$3:$AZ$13, 2, FALSE)</f>
        <v/>
      </c>
      <c r="P44" s="116">
        <f>VLOOKUP(ROUND(P18, 0), $AY$3:$AZ$13, 2, FALSE)</f>
        <v/>
      </c>
      <c r="Q44" s="116">
        <f>VLOOKUP(ROUND(Q18, 0), $AY$3:$AZ$13, 2, FALSE)</f>
        <v/>
      </c>
      <c r="R44" s="116">
        <f>VLOOKUP(ROUND(R18, 0), $AY$3:$AZ$13, 2, FALSE)</f>
        <v/>
      </c>
      <c r="S44" s="116">
        <f>VLOOKUP(ROUND(S18, 0), $AY$3:$AZ$13, 2, FALSE)</f>
        <v/>
      </c>
      <c r="T44" s="116">
        <f>VLOOKUP(ROUND(T18, 0), $AY$3:$AZ$13, 2, FALSE)</f>
        <v/>
      </c>
      <c r="U44" s="116">
        <f>VLOOKUP(ROUND(U18, 0), $AY$3:$AZ$13, 2, FALSE)</f>
        <v/>
      </c>
      <c r="V44" s="116">
        <f>VLOOKUP(ROUND(V18, 0), $AY$3:$AZ$13, 2, FALSE)</f>
        <v/>
      </c>
      <c r="W44" s="116">
        <f>VLOOKUP(ROUND(W18, 0), $AY$3:$AZ$13, 2, FALSE)</f>
        <v/>
      </c>
      <c r="X44" s="116">
        <f>VLOOKUP(ROUND(X18, 0), $AY$3:$AZ$13, 2, FALSE)</f>
        <v/>
      </c>
      <c r="Y44" s="116">
        <f>VLOOKUP(ROUND(Y18, 0), $AY$3:$AZ$13, 2, FALSE)</f>
        <v/>
      </c>
      <c r="Z44" s="116">
        <f>VLOOKUP(ROUND(Z18, 0), $AY$3:$AZ$13, 2, FALSE)</f>
        <v/>
      </c>
      <c r="AA44" s="116">
        <f>VLOOKUP(ROUND(AA18, 0), $AY$3:$AZ$13, 2, FALSE)</f>
        <v/>
      </c>
      <c r="AB44" s="116">
        <f>VLOOKUP(ROUND(AB18, 0), $AY$3:$AZ$13, 2, FALSE)</f>
        <v/>
      </c>
      <c r="AC44" s="116">
        <f>VLOOKUP(ROUND(AC18, 0), $AY$3:$AZ$13, 2, FALSE)</f>
        <v/>
      </c>
      <c r="AD44" s="116">
        <f>VLOOKUP(ROUND(AD18, 0), $AY$3:$AZ$13, 2, FALSE)</f>
        <v/>
      </c>
      <c r="AE44" s="116">
        <f>VLOOKUP(ROUND(AE18, 0), $AY$3:$AZ$13, 2, FALSE)</f>
        <v/>
      </c>
      <c r="AF44" s="116">
        <f>VLOOKUP(ROUND(AF18, 0), $AY$3:$AZ$13, 2, FALSE)</f>
        <v/>
      </c>
      <c r="AG44" s="116">
        <f>VLOOKUP(ROUND(AG18, 0), $AY$3:$AZ$13, 2, FALSE)</f>
        <v/>
      </c>
      <c r="AH44" s="116">
        <f>VLOOKUP(ROUND(AH18, 0), $AY$3:$AZ$13, 2, FALSE)</f>
        <v/>
      </c>
      <c r="AI44" s="116">
        <f>VLOOKUP(ROUND(AI18, 0), $AY$3:$AZ$13, 2, FALSE)</f>
        <v/>
      </c>
      <c r="AJ44" s="116">
        <f>VLOOKUP(ROUND(AJ18, 0), $AY$3:$AZ$13, 2, FALSE)</f>
        <v/>
      </c>
      <c r="AK44" s="116">
        <f>VLOOKUP(ROUND(AK18, 0), $AY$3:$AZ$13, 2, FALSE)</f>
        <v/>
      </c>
      <c r="AL44" s="116">
        <f>VLOOKUP(ROUND(AL18, 0), $AY$3:$AZ$13, 2, FALSE)</f>
        <v/>
      </c>
      <c r="AM44" s="116">
        <f>VLOOKUP(ROUND(AM18, 0), $AY$3:$AZ$13, 2, FALSE)</f>
        <v/>
      </c>
      <c r="AN44" s="116">
        <f>VLOOKUP(ROUND(AN18, 0), $AY$3:$AZ$13, 2, FALSE)</f>
        <v/>
      </c>
      <c r="AO44" s="116">
        <f>VLOOKUP(ROUND(AO18, 0), $AY$3:$AZ$13, 2, FALSE)</f>
        <v/>
      </c>
      <c r="AP44" s="116">
        <f>VLOOKUP(ROUND(AP18, 0), $AY$3:$AZ$13, 2, FALSE)</f>
        <v/>
      </c>
      <c r="AQ44" s="116">
        <f>VLOOKUP(ROUND(AQ18, 0), $AY$3:$AZ$13, 2, FALSE)</f>
        <v/>
      </c>
      <c r="AR44" s="116">
        <f>VLOOKUP(ROUND(AR18, 0), $AY$3:$AZ$13, 2, FALSE)</f>
        <v/>
      </c>
      <c r="AS44" s="116">
        <f>VLOOKUP(ROUND(AS18, 0), $AY$3:$AZ$13, 2, FALSE)</f>
        <v/>
      </c>
      <c r="AT44" s="116">
        <f>VLOOKUP(ROUND(AT18, 0), $AY$3:$AZ$13, 2, FALSE)</f>
        <v/>
      </c>
      <c r="AU44" s="116">
        <f>VLOOKUP(ROUND(AU18, 0), $AY$3:$AZ$13, 2, FALSE)</f>
        <v/>
      </c>
      <c r="AV44" s="116">
        <f>VLOOKUP(ROUND(AV18, 0), $AY$3:$AZ$13, 2, FALSE)</f>
        <v/>
      </c>
      <c r="AW44" s="116">
        <f>VLOOKUP(ROUND(AW18, 0), $AY$3:$AZ$13, 2, FALSE)</f>
        <v/>
      </c>
    </row>
    <row r="45" ht="25" customHeight="1">
      <c r="A45" s="101" t="inlineStr">
        <is>
          <t>EUR CAD</t>
        </is>
      </c>
      <c r="B45" s="116">
        <f>VLOOKUP(ROUND(B19, 0), $AY$3:$AZ$13, 2, FALSE)</f>
        <v/>
      </c>
      <c r="C45" s="116">
        <f>VLOOKUP(ROUND(C19, 0), $AY$3:$AZ$13, 2, FALSE)</f>
        <v/>
      </c>
      <c r="D45" s="116">
        <f>VLOOKUP(ROUND(D19, 0), $AY$3:$AZ$13, 2, FALSE)</f>
        <v/>
      </c>
      <c r="E45" s="116">
        <f>VLOOKUP(ROUND(E19, 0), $AY$3:$AZ$13, 2, FALSE)</f>
        <v/>
      </c>
      <c r="F45" s="116">
        <f>VLOOKUP(ROUND(F19, 0), $AY$3:$AZ$13, 2, FALSE)</f>
        <v/>
      </c>
      <c r="G45" s="116">
        <f>VLOOKUP(ROUND(G19, 0), $AY$3:$AZ$13, 2, FALSE)</f>
        <v/>
      </c>
      <c r="H45" s="116">
        <f>VLOOKUP(ROUND(H19, 0), $AY$3:$AZ$13, 2, FALSE)</f>
        <v/>
      </c>
      <c r="I45" s="116">
        <f>VLOOKUP(ROUND(I19, 0), $AY$3:$AZ$13, 2, FALSE)</f>
        <v/>
      </c>
      <c r="J45" s="116">
        <f>VLOOKUP(ROUND(J19, 0), $AY$3:$AZ$13, 2, FALSE)</f>
        <v/>
      </c>
      <c r="K45" s="116">
        <f>VLOOKUP(ROUND(K19, 0), $AY$3:$AZ$13, 2, FALSE)</f>
        <v/>
      </c>
      <c r="L45" s="116">
        <f>VLOOKUP(ROUND(L19, 0), $AY$3:$AZ$13, 2, FALSE)</f>
        <v/>
      </c>
      <c r="M45" s="116">
        <f>VLOOKUP(ROUND(M19, 0), $AY$3:$AZ$13, 2, FALSE)</f>
        <v/>
      </c>
      <c r="N45" s="116">
        <f>VLOOKUP(ROUND(N19, 0), $AY$3:$AZ$13, 2, FALSE)</f>
        <v/>
      </c>
      <c r="O45" s="116">
        <f>VLOOKUP(ROUND(O19, 0), $AY$3:$AZ$13, 2, FALSE)</f>
        <v/>
      </c>
      <c r="P45" s="116">
        <f>VLOOKUP(ROUND(P19, 0), $AY$3:$AZ$13, 2, FALSE)</f>
        <v/>
      </c>
      <c r="Q45" s="116">
        <f>VLOOKUP(ROUND(Q19, 0), $AY$3:$AZ$13, 2, FALSE)</f>
        <v/>
      </c>
      <c r="R45" s="116">
        <f>VLOOKUP(ROUND(R19, 0), $AY$3:$AZ$13, 2, FALSE)</f>
        <v/>
      </c>
      <c r="S45" s="116">
        <f>VLOOKUP(ROUND(S19, 0), $AY$3:$AZ$13, 2, FALSE)</f>
        <v/>
      </c>
      <c r="T45" s="116">
        <f>VLOOKUP(ROUND(T19, 0), $AY$3:$AZ$13, 2, FALSE)</f>
        <v/>
      </c>
      <c r="U45" s="116">
        <f>VLOOKUP(ROUND(U19, 0), $AY$3:$AZ$13, 2, FALSE)</f>
        <v/>
      </c>
      <c r="V45" s="116">
        <f>VLOOKUP(ROUND(V19, 0), $AY$3:$AZ$13, 2, FALSE)</f>
        <v/>
      </c>
      <c r="W45" s="116">
        <f>VLOOKUP(ROUND(W19, 0), $AY$3:$AZ$13, 2, FALSE)</f>
        <v/>
      </c>
      <c r="X45" s="116">
        <f>VLOOKUP(ROUND(X19, 0), $AY$3:$AZ$13, 2, FALSE)</f>
        <v/>
      </c>
      <c r="Y45" s="116">
        <f>VLOOKUP(ROUND(Y19, 0), $AY$3:$AZ$13, 2, FALSE)</f>
        <v/>
      </c>
      <c r="Z45" s="116">
        <f>VLOOKUP(ROUND(Z19, 0), $AY$3:$AZ$13, 2, FALSE)</f>
        <v/>
      </c>
      <c r="AA45" s="116">
        <f>VLOOKUP(ROUND(AA19, 0), $AY$3:$AZ$13, 2, FALSE)</f>
        <v/>
      </c>
      <c r="AB45" s="116">
        <f>VLOOKUP(ROUND(AB19, 0), $AY$3:$AZ$13, 2, FALSE)</f>
        <v/>
      </c>
      <c r="AC45" s="116">
        <f>VLOOKUP(ROUND(AC19, 0), $AY$3:$AZ$13, 2, FALSE)</f>
        <v/>
      </c>
      <c r="AD45" s="116">
        <f>VLOOKUP(ROUND(AD19, 0), $AY$3:$AZ$13, 2, FALSE)</f>
        <v/>
      </c>
      <c r="AE45" s="116">
        <f>VLOOKUP(ROUND(AE19, 0), $AY$3:$AZ$13, 2, FALSE)</f>
        <v/>
      </c>
      <c r="AF45" s="116">
        <f>VLOOKUP(ROUND(AF19, 0), $AY$3:$AZ$13, 2, FALSE)</f>
        <v/>
      </c>
      <c r="AG45" s="116">
        <f>VLOOKUP(ROUND(AG19, 0), $AY$3:$AZ$13, 2, FALSE)</f>
        <v/>
      </c>
      <c r="AH45" s="116">
        <f>VLOOKUP(ROUND(AH19, 0), $AY$3:$AZ$13, 2, FALSE)</f>
        <v/>
      </c>
      <c r="AI45" s="116">
        <f>VLOOKUP(ROUND(AI19, 0), $AY$3:$AZ$13, 2, FALSE)</f>
        <v/>
      </c>
      <c r="AJ45" s="116">
        <f>VLOOKUP(ROUND(AJ19, 0), $AY$3:$AZ$13, 2, FALSE)</f>
        <v/>
      </c>
      <c r="AK45" s="116">
        <f>VLOOKUP(ROUND(AK19, 0), $AY$3:$AZ$13, 2, FALSE)</f>
        <v/>
      </c>
      <c r="AL45" s="116">
        <f>VLOOKUP(ROUND(AL19, 0), $AY$3:$AZ$13, 2, FALSE)</f>
        <v/>
      </c>
      <c r="AM45" s="116">
        <f>VLOOKUP(ROUND(AM19, 0), $AY$3:$AZ$13, 2, FALSE)</f>
        <v/>
      </c>
      <c r="AN45" s="116">
        <f>VLOOKUP(ROUND(AN19, 0), $AY$3:$AZ$13, 2, FALSE)</f>
        <v/>
      </c>
      <c r="AO45" s="116">
        <f>VLOOKUP(ROUND(AO19, 0), $AY$3:$AZ$13, 2, FALSE)</f>
        <v/>
      </c>
      <c r="AP45" s="116">
        <f>VLOOKUP(ROUND(AP19, 0), $AY$3:$AZ$13, 2, FALSE)</f>
        <v/>
      </c>
      <c r="AQ45" s="116">
        <f>VLOOKUP(ROUND(AQ19, 0), $AY$3:$AZ$13, 2, FALSE)</f>
        <v/>
      </c>
      <c r="AR45" s="116">
        <f>VLOOKUP(ROUND(AR19, 0), $AY$3:$AZ$13, 2, FALSE)</f>
        <v/>
      </c>
      <c r="AS45" s="116">
        <f>VLOOKUP(ROUND(AS19, 0), $AY$3:$AZ$13, 2, FALSE)</f>
        <v/>
      </c>
      <c r="AT45" s="116">
        <f>VLOOKUP(ROUND(AT19, 0), $AY$3:$AZ$13, 2, FALSE)</f>
        <v/>
      </c>
      <c r="AU45" s="116">
        <f>VLOOKUP(ROUND(AU19, 0), $AY$3:$AZ$13, 2, FALSE)</f>
        <v/>
      </c>
      <c r="AV45" s="116">
        <f>VLOOKUP(ROUND(AV19, 0), $AY$3:$AZ$13, 2, FALSE)</f>
        <v/>
      </c>
      <c r="AW45" s="116">
        <f>VLOOKUP(ROUND(AW19, 0), $AY$3:$AZ$13, 2, FALSE)</f>
        <v/>
      </c>
    </row>
    <row r="46" ht="25" customHeight="1">
      <c r="A46" s="101" t="inlineStr">
        <is>
          <t>EUR AUD</t>
        </is>
      </c>
      <c r="B46" s="116">
        <f>VLOOKUP(ROUND(B20, 0), $AY$3:$AZ$13, 2, FALSE)</f>
        <v/>
      </c>
      <c r="C46" s="116">
        <f>VLOOKUP(ROUND(C20, 0), $AY$3:$AZ$13, 2, FALSE)</f>
        <v/>
      </c>
      <c r="D46" s="116">
        <f>VLOOKUP(ROUND(D20, 0), $AY$3:$AZ$13, 2, FALSE)</f>
        <v/>
      </c>
      <c r="E46" s="116">
        <f>VLOOKUP(ROUND(E20, 0), $AY$3:$AZ$13, 2, FALSE)</f>
        <v/>
      </c>
      <c r="F46" s="116">
        <f>VLOOKUP(ROUND(F20, 0), $AY$3:$AZ$13, 2, FALSE)</f>
        <v/>
      </c>
      <c r="G46" s="116">
        <f>VLOOKUP(ROUND(G20, 0), $AY$3:$AZ$13, 2, FALSE)</f>
        <v/>
      </c>
      <c r="H46" s="116">
        <f>VLOOKUP(ROUND(H20, 0), $AY$3:$AZ$13, 2, FALSE)</f>
        <v/>
      </c>
      <c r="I46" s="116">
        <f>VLOOKUP(ROUND(I20, 0), $AY$3:$AZ$13, 2, FALSE)</f>
        <v/>
      </c>
      <c r="J46" s="116">
        <f>VLOOKUP(ROUND(J20, 0), $AY$3:$AZ$13, 2, FALSE)</f>
        <v/>
      </c>
      <c r="K46" s="116">
        <f>VLOOKUP(ROUND(K20, 0), $AY$3:$AZ$13, 2, FALSE)</f>
        <v/>
      </c>
      <c r="L46" s="116">
        <f>VLOOKUP(ROUND(L20, 0), $AY$3:$AZ$13, 2, FALSE)</f>
        <v/>
      </c>
      <c r="M46" s="116">
        <f>VLOOKUP(ROUND(M20, 0), $AY$3:$AZ$13, 2, FALSE)</f>
        <v/>
      </c>
      <c r="N46" s="116">
        <f>VLOOKUP(ROUND(N20, 0), $AY$3:$AZ$13, 2, FALSE)</f>
        <v/>
      </c>
      <c r="O46" s="116">
        <f>VLOOKUP(ROUND(O20, 0), $AY$3:$AZ$13, 2, FALSE)</f>
        <v/>
      </c>
      <c r="P46" s="116">
        <f>VLOOKUP(ROUND(P20, 0), $AY$3:$AZ$13, 2, FALSE)</f>
        <v/>
      </c>
      <c r="Q46" s="116">
        <f>VLOOKUP(ROUND(Q20, 0), $AY$3:$AZ$13, 2, FALSE)</f>
        <v/>
      </c>
      <c r="R46" s="116">
        <f>VLOOKUP(ROUND(R20, 0), $AY$3:$AZ$13, 2, FALSE)</f>
        <v/>
      </c>
      <c r="S46" s="116">
        <f>VLOOKUP(ROUND(S20, 0), $AY$3:$AZ$13, 2, FALSE)</f>
        <v/>
      </c>
      <c r="T46" s="116">
        <f>VLOOKUP(ROUND(T20, 0), $AY$3:$AZ$13, 2, FALSE)</f>
        <v/>
      </c>
      <c r="U46" s="116">
        <f>VLOOKUP(ROUND(U20, 0), $AY$3:$AZ$13, 2, FALSE)</f>
        <v/>
      </c>
      <c r="V46" s="116">
        <f>VLOOKUP(ROUND(V20, 0), $AY$3:$AZ$13, 2, FALSE)</f>
        <v/>
      </c>
      <c r="W46" s="116">
        <f>VLOOKUP(ROUND(W20, 0), $AY$3:$AZ$13, 2, FALSE)</f>
        <v/>
      </c>
      <c r="X46" s="116">
        <f>VLOOKUP(ROUND(X20, 0), $AY$3:$AZ$13, 2, FALSE)</f>
        <v/>
      </c>
      <c r="Y46" s="116">
        <f>VLOOKUP(ROUND(Y20, 0), $AY$3:$AZ$13, 2, FALSE)</f>
        <v/>
      </c>
      <c r="Z46" s="116">
        <f>VLOOKUP(ROUND(Z20, 0), $AY$3:$AZ$13, 2, FALSE)</f>
        <v/>
      </c>
      <c r="AA46" s="116">
        <f>VLOOKUP(ROUND(AA20, 0), $AY$3:$AZ$13, 2, FALSE)</f>
        <v/>
      </c>
      <c r="AB46" s="116">
        <f>VLOOKUP(ROUND(AB20, 0), $AY$3:$AZ$13, 2, FALSE)</f>
        <v/>
      </c>
      <c r="AC46" s="116">
        <f>VLOOKUP(ROUND(AC20, 0), $AY$3:$AZ$13, 2, FALSE)</f>
        <v/>
      </c>
      <c r="AD46" s="116">
        <f>VLOOKUP(ROUND(AD20, 0), $AY$3:$AZ$13, 2, FALSE)</f>
        <v/>
      </c>
      <c r="AE46" s="116">
        <f>VLOOKUP(ROUND(AE20, 0), $AY$3:$AZ$13, 2, FALSE)</f>
        <v/>
      </c>
      <c r="AF46" s="116">
        <f>VLOOKUP(ROUND(AF20, 0), $AY$3:$AZ$13, 2, FALSE)</f>
        <v/>
      </c>
      <c r="AG46" s="116">
        <f>VLOOKUP(ROUND(AG20, 0), $AY$3:$AZ$13, 2, FALSE)</f>
        <v/>
      </c>
      <c r="AH46" s="116">
        <f>VLOOKUP(ROUND(AH20, 0), $AY$3:$AZ$13, 2, FALSE)</f>
        <v/>
      </c>
      <c r="AI46" s="116">
        <f>VLOOKUP(ROUND(AI20, 0), $AY$3:$AZ$13, 2, FALSE)</f>
        <v/>
      </c>
      <c r="AJ46" s="116">
        <f>VLOOKUP(ROUND(AJ20, 0), $AY$3:$AZ$13, 2, FALSE)</f>
        <v/>
      </c>
      <c r="AK46" s="116">
        <f>VLOOKUP(ROUND(AK20, 0), $AY$3:$AZ$13, 2, FALSE)</f>
        <v/>
      </c>
      <c r="AL46" s="116">
        <f>VLOOKUP(ROUND(AL20, 0), $AY$3:$AZ$13, 2, FALSE)</f>
        <v/>
      </c>
      <c r="AM46" s="116">
        <f>VLOOKUP(ROUND(AM20, 0), $AY$3:$AZ$13, 2, FALSE)</f>
        <v/>
      </c>
      <c r="AN46" s="116">
        <f>VLOOKUP(ROUND(AN20, 0), $AY$3:$AZ$13, 2, FALSE)</f>
        <v/>
      </c>
      <c r="AO46" s="116">
        <f>VLOOKUP(ROUND(AO20, 0), $AY$3:$AZ$13, 2, FALSE)</f>
        <v/>
      </c>
      <c r="AP46" s="116">
        <f>VLOOKUP(ROUND(AP20, 0), $AY$3:$AZ$13, 2, FALSE)</f>
        <v/>
      </c>
      <c r="AQ46" s="116">
        <f>VLOOKUP(ROUND(AQ20, 0), $AY$3:$AZ$13, 2, FALSE)</f>
        <v/>
      </c>
      <c r="AR46" s="116">
        <f>VLOOKUP(ROUND(AR20, 0), $AY$3:$AZ$13, 2, FALSE)</f>
        <v/>
      </c>
      <c r="AS46" s="116">
        <f>VLOOKUP(ROUND(AS20, 0), $AY$3:$AZ$13, 2, FALSE)</f>
        <v/>
      </c>
      <c r="AT46" s="116">
        <f>VLOOKUP(ROUND(AT20, 0), $AY$3:$AZ$13, 2, FALSE)</f>
        <v/>
      </c>
      <c r="AU46" s="116">
        <f>VLOOKUP(ROUND(AU20, 0), $AY$3:$AZ$13, 2, FALSE)</f>
        <v/>
      </c>
      <c r="AV46" s="116">
        <f>VLOOKUP(ROUND(AV20, 0), $AY$3:$AZ$13, 2, FALSE)</f>
        <v/>
      </c>
      <c r="AW46" s="116">
        <f>VLOOKUP(ROUND(AW20, 0), $AY$3:$AZ$13, 2, FALSE)</f>
        <v/>
      </c>
    </row>
    <row r="47" ht="25" customHeight="1">
      <c r="A47" s="101" t="inlineStr">
        <is>
          <t>EUR NZD</t>
        </is>
      </c>
      <c r="B47" s="116">
        <f>VLOOKUP(ROUND(B21, 0), $AY$3:$AZ$13, 2, FALSE)</f>
        <v/>
      </c>
      <c r="C47" s="116">
        <f>VLOOKUP(ROUND(C21, 0), $AY$3:$AZ$13, 2, FALSE)</f>
        <v/>
      </c>
      <c r="D47" s="116">
        <f>VLOOKUP(ROUND(D21, 0), $AY$3:$AZ$13, 2, FALSE)</f>
        <v/>
      </c>
      <c r="E47" s="116">
        <f>VLOOKUP(ROUND(E21, 0), $AY$3:$AZ$13, 2, FALSE)</f>
        <v/>
      </c>
      <c r="F47" s="116">
        <f>VLOOKUP(ROUND(F21, 0), $AY$3:$AZ$13, 2, FALSE)</f>
        <v/>
      </c>
      <c r="G47" s="116">
        <f>VLOOKUP(ROUND(G21, 0), $AY$3:$AZ$13, 2, FALSE)</f>
        <v/>
      </c>
      <c r="H47" s="116">
        <f>VLOOKUP(ROUND(H21, 0), $AY$3:$AZ$13, 2, FALSE)</f>
        <v/>
      </c>
      <c r="I47" s="116">
        <f>VLOOKUP(ROUND(I21, 0), $AY$3:$AZ$13, 2, FALSE)</f>
        <v/>
      </c>
      <c r="J47" s="116">
        <f>VLOOKUP(ROUND(J21, 0), $AY$3:$AZ$13, 2, FALSE)</f>
        <v/>
      </c>
      <c r="K47" s="116">
        <f>VLOOKUP(ROUND(K21, 0), $AY$3:$AZ$13, 2, FALSE)</f>
        <v/>
      </c>
      <c r="L47" s="116">
        <f>VLOOKUP(ROUND(L21, 0), $AY$3:$AZ$13, 2, FALSE)</f>
        <v/>
      </c>
      <c r="M47" s="116">
        <f>VLOOKUP(ROUND(M21, 0), $AY$3:$AZ$13, 2, FALSE)</f>
        <v/>
      </c>
      <c r="N47" s="116">
        <f>VLOOKUP(ROUND(N21, 0), $AY$3:$AZ$13, 2, FALSE)</f>
        <v/>
      </c>
      <c r="O47" s="116">
        <f>VLOOKUP(ROUND(O21, 0), $AY$3:$AZ$13, 2, FALSE)</f>
        <v/>
      </c>
      <c r="P47" s="116">
        <f>VLOOKUP(ROUND(P21, 0), $AY$3:$AZ$13, 2, FALSE)</f>
        <v/>
      </c>
      <c r="Q47" s="116">
        <f>VLOOKUP(ROUND(Q21, 0), $AY$3:$AZ$13, 2, FALSE)</f>
        <v/>
      </c>
      <c r="R47" s="116">
        <f>VLOOKUP(ROUND(R21, 0), $AY$3:$AZ$13, 2, FALSE)</f>
        <v/>
      </c>
      <c r="S47" s="116">
        <f>VLOOKUP(ROUND(S21, 0), $AY$3:$AZ$13, 2, FALSE)</f>
        <v/>
      </c>
      <c r="T47" s="116">
        <f>VLOOKUP(ROUND(T21, 0), $AY$3:$AZ$13, 2, FALSE)</f>
        <v/>
      </c>
      <c r="U47" s="116">
        <f>VLOOKUP(ROUND(U21, 0), $AY$3:$AZ$13, 2, FALSE)</f>
        <v/>
      </c>
      <c r="V47" s="116">
        <f>VLOOKUP(ROUND(V21, 0), $AY$3:$AZ$13, 2, FALSE)</f>
        <v/>
      </c>
      <c r="W47" s="116">
        <f>VLOOKUP(ROUND(W21, 0), $AY$3:$AZ$13, 2, FALSE)</f>
        <v/>
      </c>
      <c r="X47" s="116">
        <f>VLOOKUP(ROUND(X21, 0), $AY$3:$AZ$13, 2, FALSE)</f>
        <v/>
      </c>
      <c r="Y47" s="116">
        <f>VLOOKUP(ROUND(Y21, 0), $AY$3:$AZ$13, 2, FALSE)</f>
        <v/>
      </c>
      <c r="Z47" s="116">
        <f>VLOOKUP(ROUND(Z21, 0), $AY$3:$AZ$13, 2, FALSE)</f>
        <v/>
      </c>
      <c r="AA47" s="116">
        <f>VLOOKUP(ROUND(AA21, 0), $AY$3:$AZ$13, 2, FALSE)</f>
        <v/>
      </c>
      <c r="AB47" s="116">
        <f>VLOOKUP(ROUND(AB21, 0), $AY$3:$AZ$13, 2, FALSE)</f>
        <v/>
      </c>
      <c r="AC47" s="116">
        <f>VLOOKUP(ROUND(AC21, 0), $AY$3:$AZ$13, 2, FALSE)</f>
        <v/>
      </c>
      <c r="AD47" s="116">
        <f>VLOOKUP(ROUND(AD21, 0), $AY$3:$AZ$13, 2, FALSE)</f>
        <v/>
      </c>
      <c r="AE47" s="116">
        <f>VLOOKUP(ROUND(AE21, 0), $AY$3:$AZ$13, 2, FALSE)</f>
        <v/>
      </c>
      <c r="AF47" s="116">
        <f>VLOOKUP(ROUND(AF21, 0), $AY$3:$AZ$13, 2, FALSE)</f>
        <v/>
      </c>
      <c r="AG47" s="116">
        <f>VLOOKUP(ROUND(AG21, 0), $AY$3:$AZ$13, 2, FALSE)</f>
        <v/>
      </c>
      <c r="AH47" s="116">
        <f>VLOOKUP(ROUND(AH21, 0), $AY$3:$AZ$13, 2, FALSE)</f>
        <v/>
      </c>
      <c r="AI47" s="116">
        <f>VLOOKUP(ROUND(AI21, 0), $AY$3:$AZ$13, 2, FALSE)</f>
        <v/>
      </c>
      <c r="AJ47" s="116">
        <f>VLOOKUP(ROUND(AJ21, 0), $AY$3:$AZ$13, 2, FALSE)</f>
        <v/>
      </c>
      <c r="AK47" s="116">
        <f>VLOOKUP(ROUND(AK21, 0), $AY$3:$AZ$13, 2, FALSE)</f>
        <v/>
      </c>
      <c r="AL47" s="116">
        <f>VLOOKUP(ROUND(AL21, 0), $AY$3:$AZ$13, 2, FALSE)</f>
        <v/>
      </c>
      <c r="AM47" s="116">
        <f>VLOOKUP(ROUND(AM21, 0), $AY$3:$AZ$13, 2, FALSE)</f>
        <v/>
      </c>
      <c r="AN47" s="116">
        <f>VLOOKUP(ROUND(AN21, 0), $AY$3:$AZ$13, 2, FALSE)</f>
        <v/>
      </c>
      <c r="AO47" s="116">
        <f>VLOOKUP(ROUND(AO21, 0), $AY$3:$AZ$13, 2, FALSE)</f>
        <v/>
      </c>
      <c r="AP47" s="116">
        <f>VLOOKUP(ROUND(AP21, 0), $AY$3:$AZ$13, 2, FALSE)</f>
        <v/>
      </c>
      <c r="AQ47" s="116">
        <f>VLOOKUP(ROUND(AQ21, 0), $AY$3:$AZ$13, 2, FALSE)</f>
        <v/>
      </c>
      <c r="AR47" s="116">
        <f>VLOOKUP(ROUND(AR21, 0), $AY$3:$AZ$13, 2, FALSE)</f>
        <v/>
      </c>
      <c r="AS47" s="116">
        <f>VLOOKUP(ROUND(AS21, 0), $AY$3:$AZ$13, 2, FALSE)</f>
        <v/>
      </c>
      <c r="AT47" s="116">
        <f>VLOOKUP(ROUND(AT21, 0), $AY$3:$AZ$13, 2, FALSE)</f>
        <v/>
      </c>
      <c r="AU47" s="116">
        <f>VLOOKUP(ROUND(AU21, 0), $AY$3:$AZ$13, 2, FALSE)</f>
        <v/>
      </c>
      <c r="AV47" s="116">
        <f>VLOOKUP(ROUND(AV21, 0), $AY$3:$AZ$13, 2, FALSE)</f>
        <v/>
      </c>
      <c r="AW47" s="116">
        <f>VLOOKUP(ROUND(AW21, 0), $AY$3:$AZ$13, 2, FALSE)</f>
        <v/>
      </c>
    </row>
    <row r="48" ht="25" customHeight="1">
      <c r="A48" s="106" t="inlineStr">
        <is>
          <t>GBP USD</t>
        </is>
      </c>
      <c r="B48" s="116">
        <f>VLOOKUP(ROUND(B22, 0), $AY$3:$AZ$13, 2, FALSE)</f>
        <v/>
      </c>
      <c r="C48" s="116">
        <f>VLOOKUP(ROUND(C22, 0), $AY$3:$AZ$13, 2, FALSE)</f>
        <v/>
      </c>
      <c r="D48" s="116">
        <f>VLOOKUP(ROUND(D22, 0), $AY$3:$AZ$13, 2, FALSE)</f>
        <v/>
      </c>
      <c r="E48" s="116">
        <f>VLOOKUP(ROUND(E22, 0), $AY$3:$AZ$13, 2, FALSE)</f>
        <v/>
      </c>
      <c r="F48" s="116">
        <f>VLOOKUP(ROUND(F22, 0), $AY$3:$AZ$13, 2, FALSE)</f>
        <v/>
      </c>
      <c r="G48" s="116">
        <f>VLOOKUP(ROUND(G22, 0), $AY$3:$AZ$13, 2, FALSE)</f>
        <v/>
      </c>
      <c r="H48" s="116">
        <f>VLOOKUP(ROUND(H22, 0), $AY$3:$AZ$13, 2, FALSE)</f>
        <v/>
      </c>
      <c r="I48" s="116">
        <f>VLOOKUP(ROUND(I22, 0), $AY$3:$AZ$13, 2, FALSE)</f>
        <v/>
      </c>
      <c r="J48" s="116">
        <f>VLOOKUP(ROUND(J22, 0), $AY$3:$AZ$13, 2, FALSE)</f>
        <v/>
      </c>
      <c r="K48" s="116">
        <f>VLOOKUP(ROUND(K22, 0), $AY$3:$AZ$13, 2, FALSE)</f>
        <v/>
      </c>
      <c r="L48" s="116">
        <f>VLOOKUP(ROUND(L22, 0), $AY$3:$AZ$13, 2, FALSE)</f>
        <v/>
      </c>
      <c r="M48" s="116">
        <f>VLOOKUP(ROUND(M22, 0), $AY$3:$AZ$13, 2, FALSE)</f>
        <v/>
      </c>
      <c r="N48" s="116">
        <f>VLOOKUP(ROUND(N22, 0), $AY$3:$AZ$13, 2, FALSE)</f>
        <v/>
      </c>
      <c r="O48" s="116">
        <f>VLOOKUP(ROUND(O22, 0), $AY$3:$AZ$13, 2, FALSE)</f>
        <v/>
      </c>
      <c r="P48" s="116">
        <f>VLOOKUP(ROUND(P22, 0), $AY$3:$AZ$13, 2, FALSE)</f>
        <v/>
      </c>
      <c r="Q48" s="116">
        <f>VLOOKUP(ROUND(Q22, 0), $AY$3:$AZ$13, 2, FALSE)</f>
        <v/>
      </c>
      <c r="R48" s="116">
        <f>VLOOKUP(ROUND(R22, 0), $AY$3:$AZ$13, 2, FALSE)</f>
        <v/>
      </c>
      <c r="S48" s="116">
        <f>VLOOKUP(ROUND(S22, 0), $AY$3:$AZ$13, 2, FALSE)</f>
        <v/>
      </c>
      <c r="T48" s="116">
        <f>VLOOKUP(ROUND(T22, 0), $AY$3:$AZ$13, 2, FALSE)</f>
        <v/>
      </c>
      <c r="U48" s="116">
        <f>VLOOKUP(ROUND(U22, 0), $AY$3:$AZ$13, 2, FALSE)</f>
        <v/>
      </c>
      <c r="V48" s="116">
        <f>VLOOKUP(ROUND(V22, 0), $AY$3:$AZ$13, 2, FALSE)</f>
        <v/>
      </c>
      <c r="W48" s="116">
        <f>VLOOKUP(ROUND(W22, 0), $AY$3:$AZ$13, 2, FALSE)</f>
        <v/>
      </c>
      <c r="X48" s="116">
        <f>VLOOKUP(ROUND(X22, 0), $AY$3:$AZ$13, 2, FALSE)</f>
        <v/>
      </c>
      <c r="Y48" s="116">
        <f>VLOOKUP(ROUND(Y22, 0), $AY$3:$AZ$13, 2, FALSE)</f>
        <v/>
      </c>
      <c r="Z48" s="116">
        <f>VLOOKUP(ROUND(Z22, 0), $AY$3:$AZ$13, 2, FALSE)</f>
        <v/>
      </c>
      <c r="AA48" s="116">
        <f>VLOOKUP(ROUND(AA22, 0), $AY$3:$AZ$13, 2, FALSE)</f>
        <v/>
      </c>
      <c r="AB48" s="116">
        <f>VLOOKUP(ROUND(AB22, 0), $AY$3:$AZ$13, 2, FALSE)</f>
        <v/>
      </c>
      <c r="AC48" s="116">
        <f>VLOOKUP(ROUND(AC22, 0), $AY$3:$AZ$13, 2, FALSE)</f>
        <v/>
      </c>
      <c r="AD48" s="116">
        <f>VLOOKUP(ROUND(AD22, 0), $AY$3:$AZ$13, 2, FALSE)</f>
        <v/>
      </c>
      <c r="AE48" s="116">
        <f>VLOOKUP(ROUND(AE22, 0), $AY$3:$AZ$13, 2, FALSE)</f>
        <v/>
      </c>
      <c r="AF48" s="116">
        <f>VLOOKUP(ROUND(AF22, 0), $AY$3:$AZ$13, 2, FALSE)</f>
        <v/>
      </c>
      <c r="AG48" s="116">
        <f>VLOOKUP(ROUND(AG22, 0), $AY$3:$AZ$13, 2, FALSE)</f>
        <v/>
      </c>
      <c r="AH48" s="116">
        <f>VLOOKUP(ROUND(AH22, 0), $AY$3:$AZ$13, 2, FALSE)</f>
        <v/>
      </c>
      <c r="AI48" s="116">
        <f>VLOOKUP(ROUND(AI22, 0), $AY$3:$AZ$13, 2, FALSE)</f>
        <v/>
      </c>
      <c r="AJ48" s="116">
        <f>VLOOKUP(ROUND(AJ22, 0), $AY$3:$AZ$13, 2, FALSE)</f>
        <v/>
      </c>
      <c r="AK48" s="116">
        <f>VLOOKUP(ROUND(AK22, 0), $AY$3:$AZ$13, 2, FALSE)</f>
        <v/>
      </c>
      <c r="AL48" s="116">
        <f>VLOOKUP(ROUND(AL22, 0), $AY$3:$AZ$13, 2, FALSE)</f>
        <v/>
      </c>
      <c r="AM48" s="116">
        <f>VLOOKUP(ROUND(AM22, 0), $AY$3:$AZ$13, 2, FALSE)</f>
        <v/>
      </c>
      <c r="AN48" s="116">
        <f>VLOOKUP(ROUND(AN22, 0), $AY$3:$AZ$13, 2, FALSE)</f>
        <v/>
      </c>
      <c r="AO48" s="116">
        <f>VLOOKUP(ROUND(AO22, 0), $AY$3:$AZ$13, 2, FALSE)</f>
        <v/>
      </c>
      <c r="AP48" s="116">
        <f>VLOOKUP(ROUND(AP22, 0), $AY$3:$AZ$13, 2, FALSE)</f>
        <v/>
      </c>
      <c r="AQ48" s="116">
        <f>VLOOKUP(ROUND(AQ22, 0), $AY$3:$AZ$13, 2, FALSE)</f>
        <v/>
      </c>
      <c r="AR48" s="116">
        <f>VLOOKUP(ROUND(AR22, 0), $AY$3:$AZ$13, 2, FALSE)</f>
        <v/>
      </c>
      <c r="AS48" s="116">
        <f>VLOOKUP(ROUND(AS22, 0), $AY$3:$AZ$13, 2, FALSE)</f>
        <v/>
      </c>
      <c r="AT48" s="116">
        <f>VLOOKUP(ROUND(AT22, 0), $AY$3:$AZ$13, 2, FALSE)</f>
        <v/>
      </c>
      <c r="AU48" s="116">
        <f>VLOOKUP(ROUND(AU22, 0), $AY$3:$AZ$13, 2, FALSE)</f>
        <v/>
      </c>
      <c r="AV48" s="116">
        <f>VLOOKUP(ROUND(AV22, 0), $AY$3:$AZ$13, 2, FALSE)</f>
        <v/>
      </c>
      <c r="AW48" s="116">
        <f>VLOOKUP(ROUND(AW22, 0), $AY$3:$AZ$13, 2, FALSE)</f>
        <v/>
      </c>
    </row>
    <row r="49" ht="25" customHeight="1">
      <c r="A49" s="106" t="inlineStr">
        <is>
          <t>GBP JPY</t>
        </is>
      </c>
      <c r="B49" s="116">
        <f>VLOOKUP(ROUND(B23, 0), $AY$3:$AZ$13, 2, FALSE)</f>
        <v/>
      </c>
      <c r="C49" s="116">
        <f>VLOOKUP(ROUND(C23, 0), $AY$3:$AZ$13, 2, FALSE)</f>
        <v/>
      </c>
      <c r="D49" s="116">
        <f>VLOOKUP(ROUND(D23, 0), $AY$3:$AZ$13, 2, FALSE)</f>
        <v/>
      </c>
      <c r="E49" s="116">
        <f>VLOOKUP(ROUND(E23, 0), $AY$3:$AZ$13, 2, FALSE)</f>
        <v/>
      </c>
      <c r="F49" s="116">
        <f>VLOOKUP(ROUND(F23, 0), $AY$3:$AZ$13, 2, FALSE)</f>
        <v/>
      </c>
      <c r="G49" s="116">
        <f>VLOOKUP(ROUND(G23, 0), $AY$3:$AZ$13, 2, FALSE)</f>
        <v/>
      </c>
      <c r="H49" s="116">
        <f>VLOOKUP(ROUND(H23, 0), $AY$3:$AZ$13, 2, FALSE)</f>
        <v/>
      </c>
      <c r="I49" s="116">
        <f>VLOOKUP(ROUND(I23, 0), $AY$3:$AZ$13, 2, FALSE)</f>
        <v/>
      </c>
      <c r="J49" s="116">
        <f>VLOOKUP(ROUND(J23, 0), $AY$3:$AZ$13, 2, FALSE)</f>
        <v/>
      </c>
      <c r="K49" s="116">
        <f>VLOOKUP(ROUND(K23, 0), $AY$3:$AZ$13, 2, FALSE)</f>
        <v/>
      </c>
      <c r="L49" s="116">
        <f>VLOOKUP(ROUND(L23, 0), $AY$3:$AZ$13, 2, FALSE)</f>
        <v/>
      </c>
      <c r="M49" s="116">
        <f>VLOOKUP(ROUND(M23, 0), $AY$3:$AZ$13, 2, FALSE)</f>
        <v/>
      </c>
      <c r="N49" s="116">
        <f>VLOOKUP(ROUND(N23, 0), $AY$3:$AZ$13, 2, FALSE)</f>
        <v/>
      </c>
      <c r="O49" s="116">
        <f>VLOOKUP(ROUND(O23, 0), $AY$3:$AZ$13, 2, FALSE)</f>
        <v/>
      </c>
      <c r="P49" s="116">
        <f>VLOOKUP(ROUND(P23, 0), $AY$3:$AZ$13, 2, FALSE)</f>
        <v/>
      </c>
      <c r="Q49" s="116">
        <f>VLOOKUP(ROUND(Q23, 0), $AY$3:$AZ$13, 2, FALSE)</f>
        <v/>
      </c>
      <c r="R49" s="116">
        <f>VLOOKUP(ROUND(R23, 0), $AY$3:$AZ$13, 2, FALSE)</f>
        <v/>
      </c>
      <c r="S49" s="116">
        <f>VLOOKUP(ROUND(S23, 0), $AY$3:$AZ$13, 2, FALSE)</f>
        <v/>
      </c>
      <c r="T49" s="116">
        <f>VLOOKUP(ROUND(T23, 0), $AY$3:$AZ$13, 2, FALSE)</f>
        <v/>
      </c>
      <c r="U49" s="116">
        <f>VLOOKUP(ROUND(U23, 0), $AY$3:$AZ$13, 2, FALSE)</f>
        <v/>
      </c>
      <c r="V49" s="116">
        <f>VLOOKUP(ROUND(V23, 0), $AY$3:$AZ$13, 2, FALSE)</f>
        <v/>
      </c>
      <c r="W49" s="116">
        <f>VLOOKUP(ROUND(W23, 0), $AY$3:$AZ$13, 2, FALSE)</f>
        <v/>
      </c>
      <c r="X49" s="116">
        <f>VLOOKUP(ROUND(X23, 0), $AY$3:$AZ$13, 2, FALSE)</f>
        <v/>
      </c>
      <c r="Y49" s="116">
        <f>VLOOKUP(ROUND(Y23, 0), $AY$3:$AZ$13, 2, FALSE)</f>
        <v/>
      </c>
      <c r="Z49" s="116">
        <f>VLOOKUP(ROUND(Z23, 0), $AY$3:$AZ$13, 2, FALSE)</f>
        <v/>
      </c>
      <c r="AA49" s="116">
        <f>VLOOKUP(ROUND(AA23, 0), $AY$3:$AZ$13, 2, FALSE)</f>
        <v/>
      </c>
      <c r="AB49" s="116">
        <f>VLOOKUP(ROUND(AB23, 0), $AY$3:$AZ$13, 2, FALSE)</f>
        <v/>
      </c>
      <c r="AC49" s="116">
        <f>VLOOKUP(ROUND(AC23, 0), $AY$3:$AZ$13, 2, FALSE)</f>
        <v/>
      </c>
      <c r="AD49" s="116">
        <f>VLOOKUP(ROUND(AD23, 0), $AY$3:$AZ$13, 2, FALSE)</f>
        <v/>
      </c>
      <c r="AE49" s="116">
        <f>VLOOKUP(ROUND(AE23, 0), $AY$3:$AZ$13, 2, FALSE)</f>
        <v/>
      </c>
      <c r="AF49" s="116">
        <f>VLOOKUP(ROUND(AF23, 0), $AY$3:$AZ$13, 2, FALSE)</f>
        <v/>
      </c>
      <c r="AG49" s="116">
        <f>VLOOKUP(ROUND(AG23, 0), $AY$3:$AZ$13, 2, FALSE)</f>
        <v/>
      </c>
      <c r="AH49" s="116">
        <f>VLOOKUP(ROUND(AH23, 0), $AY$3:$AZ$13, 2, FALSE)</f>
        <v/>
      </c>
      <c r="AI49" s="116">
        <f>VLOOKUP(ROUND(AI23, 0), $AY$3:$AZ$13, 2, FALSE)</f>
        <v/>
      </c>
      <c r="AJ49" s="116">
        <f>VLOOKUP(ROUND(AJ23, 0), $AY$3:$AZ$13, 2, FALSE)</f>
        <v/>
      </c>
      <c r="AK49" s="116">
        <f>VLOOKUP(ROUND(AK23, 0), $AY$3:$AZ$13, 2, FALSE)</f>
        <v/>
      </c>
      <c r="AL49" s="116">
        <f>VLOOKUP(ROUND(AL23, 0), $AY$3:$AZ$13, 2, FALSE)</f>
        <v/>
      </c>
      <c r="AM49" s="116">
        <f>VLOOKUP(ROUND(AM23, 0), $AY$3:$AZ$13, 2, FALSE)</f>
        <v/>
      </c>
      <c r="AN49" s="116">
        <f>VLOOKUP(ROUND(AN23, 0), $AY$3:$AZ$13, 2, FALSE)</f>
        <v/>
      </c>
      <c r="AO49" s="116">
        <f>VLOOKUP(ROUND(AO23, 0), $AY$3:$AZ$13, 2, FALSE)</f>
        <v/>
      </c>
      <c r="AP49" s="116">
        <f>VLOOKUP(ROUND(AP23, 0), $AY$3:$AZ$13, 2, FALSE)</f>
        <v/>
      </c>
      <c r="AQ49" s="116">
        <f>VLOOKUP(ROUND(AQ23, 0), $AY$3:$AZ$13, 2, FALSE)</f>
        <v/>
      </c>
      <c r="AR49" s="116">
        <f>VLOOKUP(ROUND(AR23, 0), $AY$3:$AZ$13, 2, FALSE)</f>
        <v/>
      </c>
      <c r="AS49" s="116">
        <f>VLOOKUP(ROUND(AS23, 0), $AY$3:$AZ$13, 2, FALSE)</f>
        <v/>
      </c>
      <c r="AT49" s="116">
        <f>VLOOKUP(ROUND(AT23, 0), $AY$3:$AZ$13, 2, FALSE)</f>
        <v/>
      </c>
      <c r="AU49" s="116">
        <f>VLOOKUP(ROUND(AU23, 0), $AY$3:$AZ$13, 2, FALSE)</f>
        <v/>
      </c>
      <c r="AV49" s="116">
        <f>VLOOKUP(ROUND(AV23, 0), $AY$3:$AZ$13, 2, FALSE)</f>
        <v/>
      </c>
      <c r="AW49" s="116">
        <f>VLOOKUP(ROUND(AW23, 0), $AY$3:$AZ$13, 2, FALSE)</f>
        <v/>
      </c>
    </row>
    <row r="50" ht="25" customHeight="1">
      <c r="A50" s="106" t="inlineStr">
        <is>
          <t>GBP CHF</t>
        </is>
      </c>
      <c r="B50" s="116">
        <f>VLOOKUP(ROUND(B24, 0), $AY$3:$AZ$13, 2, FALSE)</f>
        <v/>
      </c>
      <c r="C50" s="116">
        <f>VLOOKUP(ROUND(C24, 0), $AY$3:$AZ$13, 2, FALSE)</f>
        <v/>
      </c>
      <c r="D50" s="116">
        <f>VLOOKUP(ROUND(D24, 0), $AY$3:$AZ$13, 2, FALSE)</f>
        <v/>
      </c>
      <c r="E50" s="116">
        <f>VLOOKUP(ROUND(E24, 0), $AY$3:$AZ$13, 2, FALSE)</f>
        <v/>
      </c>
      <c r="F50" s="116">
        <f>VLOOKUP(ROUND(F24, 0), $AY$3:$AZ$13, 2, FALSE)</f>
        <v/>
      </c>
      <c r="G50" s="116">
        <f>VLOOKUP(ROUND(G24, 0), $AY$3:$AZ$13, 2, FALSE)</f>
        <v/>
      </c>
      <c r="H50" s="116">
        <f>VLOOKUP(ROUND(H24, 0), $AY$3:$AZ$13, 2, FALSE)</f>
        <v/>
      </c>
      <c r="I50" s="116">
        <f>VLOOKUP(ROUND(I24, 0), $AY$3:$AZ$13, 2, FALSE)</f>
        <v/>
      </c>
      <c r="J50" s="116">
        <f>VLOOKUP(ROUND(J24, 0), $AY$3:$AZ$13, 2, FALSE)</f>
        <v/>
      </c>
      <c r="K50" s="116">
        <f>VLOOKUP(ROUND(K24, 0), $AY$3:$AZ$13, 2, FALSE)</f>
        <v/>
      </c>
      <c r="L50" s="116">
        <f>VLOOKUP(ROUND(L24, 0), $AY$3:$AZ$13, 2, FALSE)</f>
        <v/>
      </c>
      <c r="M50" s="116">
        <f>VLOOKUP(ROUND(M24, 0), $AY$3:$AZ$13, 2, FALSE)</f>
        <v/>
      </c>
      <c r="N50" s="116">
        <f>VLOOKUP(ROUND(N24, 0), $AY$3:$AZ$13, 2, FALSE)</f>
        <v/>
      </c>
      <c r="O50" s="116">
        <f>VLOOKUP(ROUND(O24, 0), $AY$3:$AZ$13, 2, FALSE)</f>
        <v/>
      </c>
      <c r="P50" s="116">
        <f>VLOOKUP(ROUND(P24, 0), $AY$3:$AZ$13, 2, FALSE)</f>
        <v/>
      </c>
      <c r="Q50" s="116">
        <f>VLOOKUP(ROUND(Q24, 0), $AY$3:$AZ$13, 2, FALSE)</f>
        <v/>
      </c>
      <c r="R50" s="116">
        <f>VLOOKUP(ROUND(R24, 0), $AY$3:$AZ$13, 2, FALSE)</f>
        <v/>
      </c>
      <c r="S50" s="116">
        <f>VLOOKUP(ROUND(S24, 0), $AY$3:$AZ$13, 2, FALSE)</f>
        <v/>
      </c>
      <c r="T50" s="116">
        <f>VLOOKUP(ROUND(T24, 0), $AY$3:$AZ$13, 2, FALSE)</f>
        <v/>
      </c>
      <c r="U50" s="116">
        <f>VLOOKUP(ROUND(U24, 0), $AY$3:$AZ$13, 2, FALSE)</f>
        <v/>
      </c>
      <c r="V50" s="116">
        <f>VLOOKUP(ROUND(V24, 0), $AY$3:$AZ$13, 2, FALSE)</f>
        <v/>
      </c>
      <c r="W50" s="116">
        <f>VLOOKUP(ROUND(W24, 0), $AY$3:$AZ$13, 2, FALSE)</f>
        <v/>
      </c>
      <c r="X50" s="116">
        <f>VLOOKUP(ROUND(X24, 0), $AY$3:$AZ$13, 2, FALSE)</f>
        <v/>
      </c>
      <c r="Y50" s="116">
        <f>VLOOKUP(ROUND(Y24, 0), $AY$3:$AZ$13, 2, FALSE)</f>
        <v/>
      </c>
      <c r="Z50" s="116">
        <f>VLOOKUP(ROUND(Z24, 0), $AY$3:$AZ$13, 2, FALSE)</f>
        <v/>
      </c>
      <c r="AA50" s="116">
        <f>VLOOKUP(ROUND(AA24, 0), $AY$3:$AZ$13, 2, FALSE)</f>
        <v/>
      </c>
      <c r="AB50" s="116">
        <f>VLOOKUP(ROUND(AB24, 0), $AY$3:$AZ$13, 2, FALSE)</f>
        <v/>
      </c>
      <c r="AC50" s="116">
        <f>VLOOKUP(ROUND(AC24, 0), $AY$3:$AZ$13, 2, FALSE)</f>
        <v/>
      </c>
      <c r="AD50" s="116">
        <f>VLOOKUP(ROUND(AD24, 0), $AY$3:$AZ$13, 2, FALSE)</f>
        <v/>
      </c>
      <c r="AE50" s="116">
        <f>VLOOKUP(ROUND(AE24, 0), $AY$3:$AZ$13, 2, FALSE)</f>
        <v/>
      </c>
      <c r="AF50" s="116">
        <f>VLOOKUP(ROUND(AF24, 0), $AY$3:$AZ$13, 2, FALSE)</f>
        <v/>
      </c>
      <c r="AG50" s="116">
        <f>VLOOKUP(ROUND(AG24, 0), $AY$3:$AZ$13, 2, FALSE)</f>
        <v/>
      </c>
      <c r="AH50" s="116">
        <f>VLOOKUP(ROUND(AH24, 0), $AY$3:$AZ$13, 2, FALSE)</f>
        <v/>
      </c>
      <c r="AI50" s="116">
        <f>VLOOKUP(ROUND(AI24, 0), $AY$3:$AZ$13, 2, FALSE)</f>
        <v/>
      </c>
      <c r="AJ50" s="116">
        <f>VLOOKUP(ROUND(AJ24, 0), $AY$3:$AZ$13, 2, FALSE)</f>
        <v/>
      </c>
      <c r="AK50" s="116">
        <f>VLOOKUP(ROUND(AK24, 0), $AY$3:$AZ$13, 2, FALSE)</f>
        <v/>
      </c>
      <c r="AL50" s="116">
        <f>VLOOKUP(ROUND(AL24, 0), $AY$3:$AZ$13, 2, FALSE)</f>
        <v/>
      </c>
      <c r="AM50" s="116">
        <f>VLOOKUP(ROUND(AM24, 0), $AY$3:$AZ$13, 2, FALSE)</f>
        <v/>
      </c>
      <c r="AN50" s="116">
        <f>VLOOKUP(ROUND(AN24, 0), $AY$3:$AZ$13, 2, FALSE)</f>
        <v/>
      </c>
      <c r="AO50" s="116">
        <f>VLOOKUP(ROUND(AO24, 0), $AY$3:$AZ$13, 2, FALSE)</f>
        <v/>
      </c>
      <c r="AP50" s="116">
        <f>VLOOKUP(ROUND(AP24, 0), $AY$3:$AZ$13, 2, FALSE)</f>
        <v/>
      </c>
      <c r="AQ50" s="116">
        <f>VLOOKUP(ROUND(AQ24, 0), $AY$3:$AZ$13, 2, FALSE)</f>
        <v/>
      </c>
      <c r="AR50" s="116">
        <f>VLOOKUP(ROUND(AR24, 0), $AY$3:$AZ$13, 2, FALSE)</f>
        <v/>
      </c>
      <c r="AS50" s="116">
        <f>VLOOKUP(ROUND(AS24, 0), $AY$3:$AZ$13, 2, FALSE)</f>
        <v/>
      </c>
      <c r="AT50" s="116">
        <f>VLOOKUP(ROUND(AT24, 0), $AY$3:$AZ$13, 2, FALSE)</f>
        <v/>
      </c>
      <c r="AU50" s="116">
        <f>VLOOKUP(ROUND(AU24, 0), $AY$3:$AZ$13, 2, FALSE)</f>
        <v/>
      </c>
      <c r="AV50" s="116">
        <f>VLOOKUP(ROUND(AV24, 0), $AY$3:$AZ$13, 2, FALSE)</f>
        <v/>
      </c>
      <c r="AW50" s="116">
        <f>VLOOKUP(ROUND(AW24, 0), $AY$3:$AZ$13, 2, FALSE)</f>
        <v/>
      </c>
    </row>
    <row r="51" ht="25" customHeight="1">
      <c r="A51" s="106" t="inlineStr">
        <is>
          <t>GBP CAD</t>
        </is>
      </c>
      <c r="B51" s="116">
        <f>VLOOKUP(ROUND(B25, 0), $AY$3:$AZ$13, 2, FALSE)</f>
        <v/>
      </c>
      <c r="C51" s="116">
        <f>VLOOKUP(ROUND(C25, 0), $AY$3:$AZ$13, 2, FALSE)</f>
        <v/>
      </c>
      <c r="D51" s="116">
        <f>VLOOKUP(ROUND(D25, 0), $AY$3:$AZ$13, 2, FALSE)</f>
        <v/>
      </c>
      <c r="E51" s="116">
        <f>VLOOKUP(ROUND(E25, 0), $AY$3:$AZ$13, 2, FALSE)</f>
        <v/>
      </c>
      <c r="F51" s="116">
        <f>VLOOKUP(ROUND(F25, 0), $AY$3:$AZ$13, 2, FALSE)</f>
        <v/>
      </c>
      <c r="G51" s="116">
        <f>VLOOKUP(ROUND(G25, 0), $AY$3:$AZ$13, 2, FALSE)</f>
        <v/>
      </c>
      <c r="H51" s="116">
        <f>VLOOKUP(ROUND(H25, 0), $AY$3:$AZ$13, 2, FALSE)</f>
        <v/>
      </c>
      <c r="I51" s="116">
        <f>VLOOKUP(ROUND(I25, 0), $AY$3:$AZ$13, 2, FALSE)</f>
        <v/>
      </c>
      <c r="J51" s="116">
        <f>VLOOKUP(ROUND(J25, 0), $AY$3:$AZ$13, 2, FALSE)</f>
        <v/>
      </c>
      <c r="K51" s="116">
        <f>VLOOKUP(ROUND(K25, 0), $AY$3:$AZ$13, 2, FALSE)</f>
        <v/>
      </c>
      <c r="L51" s="116">
        <f>VLOOKUP(ROUND(L25, 0), $AY$3:$AZ$13, 2, FALSE)</f>
        <v/>
      </c>
      <c r="M51" s="116">
        <f>VLOOKUP(ROUND(M25, 0), $AY$3:$AZ$13, 2, FALSE)</f>
        <v/>
      </c>
      <c r="N51" s="116">
        <f>VLOOKUP(ROUND(N25, 0), $AY$3:$AZ$13, 2, FALSE)</f>
        <v/>
      </c>
      <c r="O51" s="116">
        <f>VLOOKUP(ROUND(O25, 0), $AY$3:$AZ$13, 2, FALSE)</f>
        <v/>
      </c>
      <c r="P51" s="116">
        <f>VLOOKUP(ROUND(P25, 0), $AY$3:$AZ$13, 2, FALSE)</f>
        <v/>
      </c>
      <c r="Q51" s="116">
        <f>VLOOKUP(ROUND(Q25, 0), $AY$3:$AZ$13, 2, FALSE)</f>
        <v/>
      </c>
      <c r="R51" s="116">
        <f>VLOOKUP(ROUND(R25, 0), $AY$3:$AZ$13, 2, FALSE)</f>
        <v/>
      </c>
      <c r="S51" s="116">
        <f>VLOOKUP(ROUND(S25, 0), $AY$3:$AZ$13, 2, FALSE)</f>
        <v/>
      </c>
      <c r="T51" s="116">
        <f>VLOOKUP(ROUND(T25, 0), $AY$3:$AZ$13, 2, FALSE)</f>
        <v/>
      </c>
      <c r="U51" s="116">
        <f>VLOOKUP(ROUND(U25, 0), $AY$3:$AZ$13, 2, FALSE)</f>
        <v/>
      </c>
      <c r="V51" s="116">
        <f>VLOOKUP(ROUND(V25, 0), $AY$3:$AZ$13, 2, FALSE)</f>
        <v/>
      </c>
      <c r="W51" s="116">
        <f>VLOOKUP(ROUND(W25, 0), $AY$3:$AZ$13, 2, FALSE)</f>
        <v/>
      </c>
      <c r="X51" s="116">
        <f>VLOOKUP(ROUND(X25, 0), $AY$3:$AZ$13, 2, FALSE)</f>
        <v/>
      </c>
      <c r="Y51" s="116">
        <f>VLOOKUP(ROUND(Y25, 0), $AY$3:$AZ$13, 2, FALSE)</f>
        <v/>
      </c>
      <c r="Z51" s="116">
        <f>VLOOKUP(ROUND(Z25, 0), $AY$3:$AZ$13, 2, FALSE)</f>
        <v/>
      </c>
      <c r="AA51" s="116">
        <f>VLOOKUP(ROUND(AA25, 0), $AY$3:$AZ$13, 2, FALSE)</f>
        <v/>
      </c>
      <c r="AB51" s="116">
        <f>VLOOKUP(ROUND(AB25, 0), $AY$3:$AZ$13, 2, FALSE)</f>
        <v/>
      </c>
      <c r="AC51" s="116">
        <f>VLOOKUP(ROUND(AC25, 0), $AY$3:$AZ$13, 2, FALSE)</f>
        <v/>
      </c>
      <c r="AD51" s="116">
        <f>VLOOKUP(ROUND(AD25, 0), $AY$3:$AZ$13, 2, FALSE)</f>
        <v/>
      </c>
      <c r="AE51" s="116">
        <f>VLOOKUP(ROUND(AE25, 0), $AY$3:$AZ$13, 2, FALSE)</f>
        <v/>
      </c>
      <c r="AF51" s="116">
        <f>VLOOKUP(ROUND(AF25, 0), $AY$3:$AZ$13, 2, FALSE)</f>
        <v/>
      </c>
      <c r="AG51" s="116">
        <f>VLOOKUP(ROUND(AG25, 0), $AY$3:$AZ$13, 2, FALSE)</f>
        <v/>
      </c>
      <c r="AH51" s="116">
        <f>VLOOKUP(ROUND(AH25, 0), $AY$3:$AZ$13, 2, FALSE)</f>
        <v/>
      </c>
      <c r="AI51" s="116">
        <f>VLOOKUP(ROUND(AI25, 0), $AY$3:$AZ$13, 2, FALSE)</f>
        <v/>
      </c>
      <c r="AJ51" s="116">
        <f>VLOOKUP(ROUND(AJ25, 0), $AY$3:$AZ$13, 2, FALSE)</f>
        <v/>
      </c>
      <c r="AK51" s="116">
        <f>VLOOKUP(ROUND(AK25, 0), $AY$3:$AZ$13, 2, FALSE)</f>
        <v/>
      </c>
      <c r="AL51" s="116">
        <f>VLOOKUP(ROUND(AL25, 0), $AY$3:$AZ$13, 2, FALSE)</f>
        <v/>
      </c>
      <c r="AM51" s="116">
        <f>VLOOKUP(ROUND(AM25, 0), $AY$3:$AZ$13, 2, FALSE)</f>
        <v/>
      </c>
      <c r="AN51" s="116">
        <f>VLOOKUP(ROUND(AN25, 0), $AY$3:$AZ$13, 2, FALSE)</f>
        <v/>
      </c>
      <c r="AO51" s="116">
        <f>VLOOKUP(ROUND(AO25, 0), $AY$3:$AZ$13, 2, FALSE)</f>
        <v/>
      </c>
      <c r="AP51" s="116">
        <f>VLOOKUP(ROUND(AP25, 0), $AY$3:$AZ$13, 2, FALSE)</f>
        <v/>
      </c>
      <c r="AQ51" s="116">
        <f>VLOOKUP(ROUND(AQ25, 0), $AY$3:$AZ$13, 2, FALSE)</f>
        <v/>
      </c>
      <c r="AR51" s="116">
        <f>VLOOKUP(ROUND(AR25, 0), $AY$3:$AZ$13, 2, FALSE)</f>
        <v/>
      </c>
      <c r="AS51" s="116">
        <f>VLOOKUP(ROUND(AS25, 0), $AY$3:$AZ$13, 2, FALSE)</f>
        <v/>
      </c>
      <c r="AT51" s="116">
        <f>VLOOKUP(ROUND(AT25, 0), $AY$3:$AZ$13, 2, FALSE)</f>
        <v/>
      </c>
      <c r="AU51" s="116">
        <f>VLOOKUP(ROUND(AU25, 0), $AY$3:$AZ$13, 2, FALSE)</f>
        <v/>
      </c>
      <c r="AV51" s="116">
        <f>VLOOKUP(ROUND(AV25, 0), $AY$3:$AZ$13, 2, FALSE)</f>
        <v/>
      </c>
      <c r="AW51" s="116">
        <f>VLOOKUP(ROUND(AW25, 0), $AY$3:$AZ$13, 2, FALSE)</f>
        <v/>
      </c>
    </row>
    <row r="52" ht="25" customHeight="1">
      <c r="A52" s="106" t="inlineStr">
        <is>
          <t>GBP AUD</t>
        </is>
      </c>
      <c r="B52" s="116">
        <f>VLOOKUP(ROUND(B26, 0), $AY$3:$AZ$13, 2, FALSE)</f>
        <v/>
      </c>
      <c r="C52" s="116">
        <f>VLOOKUP(ROUND(C26, 0), $AY$3:$AZ$13, 2, FALSE)</f>
        <v/>
      </c>
      <c r="D52" s="116">
        <f>VLOOKUP(ROUND(D26, 0), $AY$3:$AZ$13, 2, FALSE)</f>
        <v/>
      </c>
      <c r="E52" s="116">
        <f>VLOOKUP(ROUND(E26, 0), $AY$3:$AZ$13, 2, FALSE)</f>
        <v/>
      </c>
      <c r="F52" s="116">
        <f>VLOOKUP(ROUND(F26, 0), $AY$3:$AZ$13, 2, FALSE)</f>
        <v/>
      </c>
      <c r="G52" s="116">
        <f>VLOOKUP(ROUND(G26, 0), $AY$3:$AZ$13, 2, FALSE)</f>
        <v/>
      </c>
      <c r="H52" s="116">
        <f>VLOOKUP(ROUND(H26, 0), $AY$3:$AZ$13, 2, FALSE)</f>
        <v/>
      </c>
      <c r="I52" s="116">
        <f>VLOOKUP(ROUND(I26, 0), $AY$3:$AZ$13, 2, FALSE)</f>
        <v/>
      </c>
      <c r="J52" s="116">
        <f>VLOOKUP(ROUND(J26, 0), $AY$3:$AZ$13, 2, FALSE)</f>
        <v/>
      </c>
      <c r="K52" s="116">
        <f>VLOOKUP(ROUND(K26, 0), $AY$3:$AZ$13, 2, FALSE)</f>
        <v/>
      </c>
      <c r="L52" s="116">
        <f>VLOOKUP(ROUND(L26, 0), $AY$3:$AZ$13, 2, FALSE)</f>
        <v/>
      </c>
      <c r="M52" s="116">
        <f>VLOOKUP(ROUND(M26, 0), $AY$3:$AZ$13, 2, FALSE)</f>
        <v/>
      </c>
      <c r="N52" s="116">
        <f>VLOOKUP(ROUND(N26, 0), $AY$3:$AZ$13, 2, FALSE)</f>
        <v/>
      </c>
      <c r="O52" s="116">
        <f>VLOOKUP(ROUND(O26, 0), $AY$3:$AZ$13, 2, FALSE)</f>
        <v/>
      </c>
      <c r="P52" s="116">
        <f>VLOOKUP(ROUND(P26, 0), $AY$3:$AZ$13, 2, FALSE)</f>
        <v/>
      </c>
      <c r="Q52" s="116">
        <f>VLOOKUP(ROUND(Q26, 0), $AY$3:$AZ$13, 2, FALSE)</f>
        <v/>
      </c>
      <c r="R52" s="116">
        <f>VLOOKUP(ROUND(R26, 0), $AY$3:$AZ$13, 2, FALSE)</f>
        <v/>
      </c>
      <c r="S52" s="116">
        <f>VLOOKUP(ROUND(S26, 0), $AY$3:$AZ$13, 2, FALSE)</f>
        <v/>
      </c>
      <c r="T52" s="116">
        <f>VLOOKUP(ROUND(T26, 0), $AY$3:$AZ$13, 2, FALSE)</f>
        <v/>
      </c>
      <c r="U52" s="116">
        <f>VLOOKUP(ROUND(U26, 0), $AY$3:$AZ$13, 2, FALSE)</f>
        <v/>
      </c>
      <c r="V52" s="116">
        <f>VLOOKUP(ROUND(V26, 0), $AY$3:$AZ$13, 2, FALSE)</f>
        <v/>
      </c>
      <c r="W52" s="116">
        <f>VLOOKUP(ROUND(W26, 0), $AY$3:$AZ$13, 2, FALSE)</f>
        <v/>
      </c>
      <c r="X52" s="116">
        <f>VLOOKUP(ROUND(X26, 0), $AY$3:$AZ$13, 2, FALSE)</f>
        <v/>
      </c>
      <c r="Y52" s="116">
        <f>VLOOKUP(ROUND(Y26, 0), $AY$3:$AZ$13, 2, FALSE)</f>
        <v/>
      </c>
      <c r="Z52" s="116">
        <f>VLOOKUP(ROUND(Z26, 0), $AY$3:$AZ$13, 2, FALSE)</f>
        <v/>
      </c>
      <c r="AA52" s="116">
        <f>VLOOKUP(ROUND(AA26, 0), $AY$3:$AZ$13, 2, FALSE)</f>
        <v/>
      </c>
      <c r="AB52" s="116">
        <f>VLOOKUP(ROUND(AB26, 0), $AY$3:$AZ$13, 2, FALSE)</f>
        <v/>
      </c>
      <c r="AC52" s="116">
        <f>VLOOKUP(ROUND(AC26, 0), $AY$3:$AZ$13, 2, FALSE)</f>
        <v/>
      </c>
      <c r="AD52" s="116">
        <f>VLOOKUP(ROUND(AD26, 0), $AY$3:$AZ$13, 2, FALSE)</f>
        <v/>
      </c>
      <c r="AE52" s="116">
        <f>VLOOKUP(ROUND(AE26, 0), $AY$3:$AZ$13, 2, FALSE)</f>
        <v/>
      </c>
      <c r="AF52" s="116">
        <f>VLOOKUP(ROUND(AF26, 0), $AY$3:$AZ$13, 2, FALSE)</f>
        <v/>
      </c>
      <c r="AG52" s="116">
        <f>VLOOKUP(ROUND(AG26, 0), $AY$3:$AZ$13, 2, FALSE)</f>
        <v/>
      </c>
      <c r="AH52" s="116">
        <f>VLOOKUP(ROUND(AH26, 0), $AY$3:$AZ$13, 2, FALSE)</f>
        <v/>
      </c>
      <c r="AI52" s="116">
        <f>VLOOKUP(ROUND(AI26, 0), $AY$3:$AZ$13, 2, FALSE)</f>
        <v/>
      </c>
      <c r="AJ52" s="116">
        <f>VLOOKUP(ROUND(AJ26, 0), $AY$3:$AZ$13, 2, FALSE)</f>
        <v/>
      </c>
      <c r="AK52" s="116">
        <f>VLOOKUP(ROUND(AK26, 0), $AY$3:$AZ$13, 2, FALSE)</f>
        <v/>
      </c>
      <c r="AL52" s="116">
        <f>VLOOKUP(ROUND(AL26, 0), $AY$3:$AZ$13, 2, FALSE)</f>
        <v/>
      </c>
      <c r="AM52" s="116">
        <f>VLOOKUP(ROUND(AM26, 0), $AY$3:$AZ$13, 2, FALSE)</f>
        <v/>
      </c>
      <c r="AN52" s="116">
        <f>VLOOKUP(ROUND(AN26, 0), $AY$3:$AZ$13, 2, FALSE)</f>
        <v/>
      </c>
      <c r="AO52" s="116">
        <f>VLOOKUP(ROUND(AO26, 0), $AY$3:$AZ$13, 2, FALSE)</f>
        <v/>
      </c>
      <c r="AP52" s="116">
        <f>VLOOKUP(ROUND(AP26, 0), $AY$3:$AZ$13, 2, FALSE)</f>
        <v/>
      </c>
      <c r="AQ52" s="116">
        <f>VLOOKUP(ROUND(AQ26, 0), $AY$3:$AZ$13, 2, FALSE)</f>
        <v/>
      </c>
      <c r="AR52" s="116">
        <f>VLOOKUP(ROUND(AR26, 0), $AY$3:$AZ$13, 2, FALSE)</f>
        <v/>
      </c>
      <c r="AS52" s="116">
        <f>VLOOKUP(ROUND(AS26, 0), $AY$3:$AZ$13, 2, FALSE)</f>
        <v/>
      </c>
      <c r="AT52" s="116">
        <f>VLOOKUP(ROUND(AT26, 0), $AY$3:$AZ$13, 2, FALSE)</f>
        <v/>
      </c>
      <c r="AU52" s="116">
        <f>VLOOKUP(ROUND(AU26, 0), $AY$3:$AZ$13, 2, FALSE)</f>
        <v/>
      </c>
      <c r="AV52" s="116">
        <f>VLOOKUP(ROUND(AV26, 0), $AY$3:$AZ$13, 2, FALSE)</f>
        <v/>
      </c>
      <c r="AW52" s="116">
        <f>VLOOKUP(ROUND(AW26, 0), $AY$3:$AZ$13, 2, FALSE)</f>
        <v/>
      </c>
    </row>
    <row r="53" ht="25" customHeight="1">
      <c r="A53" s="106" t="inlineStr">
        <is>
          <t>GBP NZD</t>
        </is>
      </c>
      <c r="B53" s="116">
        <f>VLOOKUP(ROUND(B27, 0), $AY$3:$AZ$13, 2, FALSE)</f>
        <v/>
      </c>
      <c r="C53" s="116">
        <f>VLOOKUP(ROUND(C27, 0), $AY$3:$AZ$13, 2, FALSE)</f>
        <v/>
      </c>
      <c r="D53" s="116">
        <f>VLOOKUP(ROUND(D27, 0), $AY$3:$AZ$13, 2, FALSE)</f>
        <v/>
      </c>
      <c r="E53" s="116">
        <f>VLOOKUP(ROUND(E27, 0), $AY$3:$AZ$13, 2, FALSE)</f>
        <v/>
      </c>
      <c r="F53" s="116">
        <f>VLOOKUP(ROUND(F27, 0), $AY$3:$AZ$13, 2, FALSE)</f>
        <v/>
      </c>
      <c r="G53" s="116">
        <f>VLOOKUP(ROUND(G27, 0), $AY$3:$AZ$13, 2, FALSE)</f>
        <v/>
      </c>
      <c r="H53" s="116">
        <f>VLOOKUP(ROUND(H27, 0), $AY$3:$AZ$13, 2, FALSE)</f>
        <v/>
      </c>
      <c r="I53" s="116">
        <f>VLOOKUP(ROUND(I27, 0), $AY$3:$AZ$13, 2, FALSE)</f>
        <v/>
      </c>
      <c r="J53" s="116">
        <f>VLOOKUP(ROUND(J27, 0), $AY$3:$AZ$13, 2, FALSE)</f>
        <v/>
      </c>
      <c r="K53" s="116">
        <f>VLOOKUP(ROUND(K27, 0), $AY$3:$AZ$13, 2, FALSE)</f>
        <v/>
      </c>
      <c r="L53" s="116">
        <f>VLOOKUP(ROUND(L27, 0), $AY$3:$AZ$13, 2, FALSE)</f>
        <v/>
      </c>
      <c r="M53" s="116">
        <f>VLOOKUP(ROUND(M27, 0), $AY$3:$AZ$13, 2, FALSE)</f>
        <v/>
      </c>
      <c r="N53" s="116">
        <f>VLOOKUP(ROUND(N27, 0), $AY$3:$AZ$13, 2, FALSE)</f>
        <v/>
      </c>
      <c r="O53" s="116">
        <f>VLOOKUP(ROUND(O27, 0), $AY$3:$AZ$13, 2, FALSE)</f>
        <v/>
      </c>
      <c r="P53" s="116">
        <f>VLOOKUP(ROUND(P27, 0), $AY$3:$AZ$13, 2, FALSE)</f>
        <v/>
      </c>
      <c r="Q53" s="116">
        <f>VLOOKUP(ROUND(Q27, 0), $AY$3:$AZ$13, 2, FALSE)</f>
        <v/>
      </c>
      <c r="R53" s="116">
        <f>VLOOKUP(ROUND(R27, 0), $AY$3:$AZ$13, 2, FALSE)</f>
        <v/>
      </c>
      <c r="S53" s="116">
        <f>VLOOKUP(ROUND(S27, 0), $AY$3:$AZ$13, 2, FALSE)</f>
        <v/>
      </c>
      <c r="T53" s="116">
        <f>VLOOKUP(ROUND(T27, 0), $AY$3:$AZ$13, 2, FALSE)</f>
        <v/>
      </c>
      <c r="U53" s="116">
        <f>VLOOKUP(ROUND(U27, 0), $AY$3:$AZ$13, 2, FALSE)</f>
        <v/>
      </c>
      <c r="V53" s="116">
        <f>VLOOKUP(ROUND(V27, 0), $AY$3:$AZ$13, 2, FALSE)</f>
        <v/>
      </c>
      <c r="W53" s="116">
        <f>VLOOKUP(ROUND(W27, 0), $AY$3:$AZ$13, 2, FALSE)</f>
        <v/>
      </c>
      <c r="X53" s="116">
        <f>VLOOKUP(ROUND(X27, 0), $AY$3:$AZ$13, 2, FALSE)</f>
        <v/>
      </c>
      <c r="Y53" s="116">
        <f>VLOOKUP(ROUND(Y27, 0), $AY$3:$AZ$13, 2, FALSE)</f>
        <v/>
      </c>
      <c r="Z53" s="116">
        <f>VLOOKUP(ROUND(Z27, 0), $AY$3:$AZ$13, 2, FALSE)</f>
        <v/>
      </c>
      <c r="AA53" s="116">
        <f>VLOOKUP(ROUND(AA27, 0), $AY$3:$AZ$13, 2, FALSE)</f>
        <v/>
      </c>
      <c r="AB53" s="116">
        <f>VLOOKUP(ROUND(AB27, 0), $AY$3:$AZ$13, 2, FALSE)</f>
        <v/>
      </c>
      <c r="AC53" s="116">
        <f>VLOOKUP(ROUND(AC27, 0), $AY$3:$AZ$13, 2, FALSE)</f>
        <v/>
      </c>
      <c r="AD53" s="116">
        <f>VLOOKUP(ROUND(AD27, 0), $AY$3:$AZ$13, 2, FALSE)</f>
        <v/>
      </c>
      <c r="AE53" s="116">
        <f>VLOOKUP(ROUND(AE27, 0), $AY$3:$AZ$13, 2, FALSE)</f>
        <v/>
      </c>
      <c r="AF53" s="116">
        <f>VLOOKUP(ROUND(AF27, 0), $AY$3:$AZ$13, 2, FALSE)</f>
        <v/>
      </c>
      <c r="AG53" s="116">
        <f>VLOOKUP(ROUND(AG27, 0), $AY$3:$AZ$13, 2, FALSE)</f>
        <v/>
      </c>
      <c r="AH53" s="116">
        <f>VLOOKUP(ROUND(AH27, 0), $AY$3:$AZ$13, 2, FALSE)</f>
        <v/>
      </c>
      <c r="AI53" s="116">
        <f>VLOOKUP(ROUND(AI27, 0), $AY$3:$AZ$13, 2, FALSE)</f>
        <v/>
      </c>
      <c r="AJ53" s="116">
        <f>VLOOKUP(ROUND(AJ27, 0), $AY$3:$AZ$13, 2, FALSE)</f>
        <v/>
      </c>
      <c r="AK53" s="116">
        <f>VLOOKUP(ROUND(AK27, 0), $AY$3:$AZ$13, 2, FALSE)</f>
        <v/>
      </c>
      <c r="AL53" s="116">
        <f>VLOOKUP(ROUND(AL27, 0), $AY$3:$AZ$13, 2, FALSE)</f>
        <v/>
      </c>
      <c r="AM53" s="116">
        <f>VLOOKUP(ROUND(AM27, 0), $AY$3:$AZ$13, 2, FALSE)</f>
        <v/>
      </c>
      <c r="AN53" s="116">
        <f>VLOOKUP(ROUND(AN27, 0), $AY$3:$AZ$13, 2, FALSE)</f>
        <v/>
      </c>
      <c r="AO53" s="116">
        <f>VLOOKUP(ROUND(AO27, 0), $AY$3:$AZ$13, 2, FALSE)</f>
        <v/>
      </c>
      <c r="AP53" s="116">
        <f>VLOOKUP(ROUND(AP27, 0), $AY$3:$AZ$13, 2, FALSE)</f>
        <v/>
      </c>
      <c r="AQ53" s="116">
        <f>VLOOKUP(ROUND(AQ27, 0), $AY$3:$AZ$13, 2, FALSE)</f>
        <v/>
      </c>
      <c r="AR53" s="116">
        <f>VLOOKUP(ROUND(AR27, 0), $AY$3:$AZ$13, 2, FALSE)</f>
        <v/>
      </c>
      <c r="AS53" s="116">
        <f>VLOOKUP(ROUND(AS27, 0), $AY$3:$AZ$13, 2, FALSE)</f>
        <v/>
      </c>
      <c r="AT53" s="116">
        <f>VLOOKUP(ROUND(AT27, 0), $AY$3:$AZ$13, 2, FALSE)</f>
        <v/>
      </c>
      <c r="AU53" s="116">
        <f>VLOOKUP(ROUND(AU27, 0), $AY$3:$AZ$13, 2, FALSE)</f>
        <v/>
      </c>
      <c r="AV53" s="116">
        <f>VLOOKUP(ROUND(AV27, 0), $AY$3:$AZ$13, 2, FALSE)</f>
        <v/>
      </c>
      <c r="AW53" s="116">
        <f>VLOOKUP(ROUND(AW27, 0), $AY$3:$AZ$13, 2, FALSE)</f>
        <v/>
      </c>
    </row>
    <row r="54" ht="25" customHeight="1">
      <c r="A54" s="109" t="inlineStr">
        <is>
          <t xml:space="preserve">CHF JPY </t>
        </is>
      </c>
      <c r="B54" s="116">
        <f>VLOOKUP(ROUND(B28, 0), $AY$3:$AZ$13, 2, FALSE)</f>
        <v/>
      </c>
      <c r="C54" s="116">
        <f>VLOOKUP(ROUND(C28, 0), $AY$3:$AZ$13, 2, FALSE)</f>
        <v/>
      </c>
      <c r="D54" s="116">
        <f>VLOOKUP(ROUND(D28, 0), $AY$3:$AZ$13, 2, FALSE)</f>
        <v/>
      </c>
      <c r="E54" s="116">
        <f>VLOOKUP(ROUND(E28, 0), $AY$3:$AZ$13, 2, FALSE)</f>
        <v/>
      </c>
      <c r="F54" s="116">
        <f>VLOOKUP(ROUND(F28, 0), $AY$3:$AZ$13, 2, FALSE)</f>
        <v/>
      </c>
      <c r="G54" s="116">
        <f>VLOOKUP(ROUND(G28, 0), $AY$3:$AZ$13, 2, FALSE)</f>
        <v/>
      </c>
      <c r="H54" s="116">
        <f>VLOOKUP(ROUND(H28, 0), $AY$3:$AZ$13, 2, FALSE)</f>
        <v/>
      </c>
      <c r="I54" s="116">
        <f>VLOOKUP(ROUND(I28, 0), $AY$3:$AZ$13, 2, FALSE)</f>
        <v/>
      </c>
      <c r="J54" s="116">
        <f>VLOOKUP(ROUND(J28, 0), $AY$3:$AZ$13, 2, FALSE)</f>
        <v/>
      </c>
      <c r="K54" s="116">
        <f>VLOOKUP(ROUND(K28, 0), $AY$3:$AZ$13, 2, FALSE)</f>
        <v/>
      </c>
      <c r="L54" s="116">
        <f>VLOOKUP(ROUND(L28, 0), $AY$3:$AZ$13, 2, FALSE)</f>
        <v/>
      </c>
      <c r="M54" s="116">
        <f>VLOOKUP(ROUND(M28, 0), $AY$3:$AZ$13, 2, FALSE)</f>
        <v/>
      </c>
      <c r="N54" s="116">
        <f>VLOOKUP(ROUND(N28, 0), $AY$3:$AZ$13, 2, FALSE)</f>
        <v/>
      </c>
      <c r="O54" s="116">
        <f>VLOOKUP(ROUND(O28, 0), $AY$3:$AZ$13, 2, FALSE)</f>
        <v/>
      </c>
      <c r="P54" s="116">
        <f>VLOOKUP(ROUND(P28, 0), $AY$3:$AZ$13, 2, FALSE)</f>
        <v/>
      </c>
      <c r="Q54" s="116">
        <f>VLOOKUP(ROUND(Q28, 0), $AY$3:$AZ$13, 2, FALSE)</f>
        <v/>
      </c>
      <c r="R54" s="116">
        <f>VLOOKUP(ROUND(R28, 0), $AY$3:$AZ$13, 2, FALSE)</f>
        <v/>
      </c>
      <c r="S54" s="116">
        <f>VLOOKUP(ROUND(S28, 0), $AY$3:$AZ$13, 2, FALSE)</f>
        <v/>
      </c>
      <c r="T54" s="116">
        <f>VLOOKUP(ROUND(T28, 0), $AY$3:$AZ$13, 2, FALSE)</f>
        <v/>
      </c>
      <c r="U54" s="116">
        <f>VLOOKUP(ROUND(U28, 0), $AY$3:$AZ$13, 2, FALSE)</f>
        <v/>
      </c>
      <c r="V54" s="116">
        <f>VLOOKUP(ROUND(V28, 0), $AY$3:$AZ$13, 2, FALSE)</f>
        <v/>
      </c>
      <c r="W54" s="116">
        <f>VLOOKUP(ROUND(W28, 0), $AY$3:$AZ$13, 2, FALSE)</f>
        <v/>
      </c>
      <c r="X54" s="116">
        <f>VLOOKUP(ROUND(X28, 0), $AY$3:$AZ$13, 2, FALSE)</f>
        <v/>
      </c>
      <c r="Y54" s="116">
        <f>VLOOKUP(ROUND(Y28, 0), $AY$3:$AZ$13, 2, FALSE)</f>
        <v/>
      </c>
      <c r="Z54" s="116">
        <f>VLOOKUP(ROUND(Z28, 0), $AY$3:$AZ$13, 2, FALSE)</f>
        <v/>
      </c>
      <c r="AA54" s="116">
        <f>VLOOKUP(ROUND(AA28, 0), $AY$3:$AZ$13, 2, FALSE)</f>
        <v/>
      </c>
      <c r="AB54" s="116">
        <f>VLOOKUP(ROUND(AB28, 0), $AY$3:$AZ$13, 2, FALSE)</f>
        <v/>
      </c>
      <c r="AC54" s="116">
        <f>VLOOKUP(ROUND(AC28, 0), $AY$3:$AZ$13, 2, FALSE)</f>
        <v/>
      </c>
      <c r="AD54" s="116">
        <f>VLOOKUP(ROUND(AD28, 0), $AY$3:$AZ$13, 2, FALSE)</f>
        <v/>
      </c>
      <c r="AE54" s="116">
        <f>VLOOKUP(ROUND(AE28, 0), $AY$3:$AZ$13, 2, FALSE)</f>
        <v/>
      </c>
      <c r="AF54" s="116">
        <f>VLOOKUP(ROUND(AF28, 0), $AY$3:$AZ$13, 2, FALSE)</f>
        <v/>
      </c>
      <c r="AG54" s="116">
        <f>VLOOKUP(ROUND(AG28, 0), $AY$3:$AZ$13, 2, FALSE)</f>
        <v/>
      </c>
      <c r="AH54" s="116">
        <f>VLOOKUP(ROUND(AH28, 0), $AY$3:$AZ$13, 2, FALSE)</f>
        <v/>
      </c>
      <c r="AI54" s="116">
        <f>VLOOKUP(ROUND(AI28, 0), $AY$3:$AZ$13, 2, FALSE)</f>
        <v/>
      </c>
      <c r="AJ54" s="116">
        <f>VLOOKUP(ROUND(AJ28, 0), $AY$3:$AZ$13, 2, FALSE)</f>
        <v/>
      </c>
      <c r="AK54" s="116">
        <f>VLOOKUP(ROUND(AK28, 0), $AY$3:$AZ$13, 2, FALSE)</f>
        <v/>
      </c>
      <c r="AL54" s="116">
        <f>VLOOKUP(ROUND(AL28, 0), $AY$3:$AZ$13, 2, FALSE)</f>
        <v/>
      </c>
      <c r="AM54" s="116">
        <f>VLOOKUP(ROUND(AM28, 0), $AY$3:$AZ$13, 2, FALSE)</f>
        <v/>
      </c>
      <c r="AN54" s="116">
        <f>VLOOKUP(ROUND(AN28, 0), $AY$3:$AZ$13, 2, FALSE)</f>
        <v/>
      </c>
      <c r="AO54" s="116">
        <f>VLOOKUP(ROUND(AO28, 0), $AY$3:$AZ$13, 2, FALSE)</f>
        <v/>
      </c>
      <c r="AP54" s="116">
        <f>VLOOKUP(ROUND(AP28, 0), $AY$3:$AZ$13, 2, FALSE)</f>
        <v/>
      </c>
      <c r="AQ54" s="116">
        <f>VLOOKUP(ROUND(AQ28, 0), $AY$3:$AZ$13, 2, FALSE)</f>
        <v/>
      </c>
      <c r="AR54" s="116">
        <f>VLOOKUP(ROUND(AR28, 0), $AY$3:$AZ$13, 2, FALSE)</f>
        <v/>
      </c>
      <c r="AS54" s="116">
        <f>VLOOKUP(ROUND(AS28, 0), $AY$3:$AZ$13, 2, FALSE)</f>
        <v/>
      </c>
      <c r="AT54" s="116">
        <f>VLOOKUP(ROUND(AT28, 0), $AY$3:$AZ$13, 2, FALSE)</f>
        <v/>
      </c>
      <c r="AU54" s="116">
        <f>VLOOKUP(ROUND(AU28, 0), $AY$3:$AZ$13, 2, FALSE)</f>
        <v/>
      </c>
      <c r="AV54" s="116">
        <f>VLOOKUP(ROUND(AV28, 0), $AY$3:$AZ$13, 2, FALSE)</f>
        <v/>
      </c>
      <c r="AW54" s="116">
        <f>VLOOKUP(ROUND(AW28, 0), $AY$3:$AZ$13, 2, FALSE)</f>
        <v/>
      </c>
    </row>
    <row r="55" ht="25" customHeight="1">
      <c r="A55" s="111" t="inlineStr">
        <is>
          <t>AUD USD</t>
        </is>
      </c>
      <c r="B55" s="116">
        <f>VLOOKUP(ROUND(B29, 0), $AY$3:$AZ$13, 2, FALSE)</f>
        <v/>
      </c>
      <c r="C55" s="116">
        <f>VLOOKUP(ROUND(C29, 0), $AY$3:$AZ$13, 2, FALSE)</f>
        <v/>
      </c>
      <c r="D55" s="116">
        <f>VLOOKUP(ROUND(D29, 0), $AY$3:$AZ$13, 2, FALSE)</f>
        <v/>
      </c>
      <c r="E55" s="116">
        <f>VLOOKUP(ROUND(E29, 0), $AY$3:$AZ$13, 2, FALSE)</f>
        <v/>
      </c>
      <c r="F55" s="116">
        <f>VLOOKUP(ROUND(F29, 0), $AY$3:$AZ$13, 2, FALSE)</f>
        <v/>
      </c>
      <c r="G55" s="116">
        <f>VLOOKUP(ROUND(G29, 0), $AY$3:$AZ$13, 2, FALSE)</f>
        <v/>
      </c>
      <c r="H55" s="116">
        <f>VLOOKUP(ROUND(H29, 0), $AY$3:$AZ$13, 2, FALSE)</f>
        <v/>
      </c>
      <c r="I55" s="116">
        <f>VLOOKUP(ROUND(I29, 0), $AY$3:$AZ$13, 2, FALSE)</f>
        <v/>
      </c>
      <c r="J55" s="116">
        <f>VLOOKUP(ROUND(J29, 0), $AY$3:$AZ$13, 2, FALSE)</f>
        <v/>
      </c>
      <c r="K55" s="116">
        <f>VLOOKUP(ROUND(K29, 0), $AY$3:$AZ$13, 2, FALSE)</f>
        <v/>
      </c>
      <c r="L55" s="116">
        <f>VLOOKUP(ROUND(L29, 0), $AY$3:$AZ$13, 2, FALSE)</f>
        <v/>
      </c>
      <c r="M55" s="116">
        <f>VLOOKUP(ROUND(M29, 0), $AY$3:$AZ$13, 2, FALSE)</f>
        <v/>
      </c>
      <c r="N55" s="116">
        <f>VLOOKUP(ROUND(N29, 0), $AY$3:$AZ$13, 2, FALSE)</f>
        <v/>
      </c>
      <c r="O55" s="116">
        <f>VLOOKUP(ROUND(O29, 0), $AY$3:$AZ$13, 2, FALSE)</f>
        <v/>
      </c>
      <c r="P55" s="116">
        <f>VLOOKUP(ROUND(P29, 0), $AY$3:$AZ$13, 2, FALSE)</f>
        <v/>
      </c>
      <c r="Q55" s="116">
        <f>VLOOKUP(ROUND(Q29, 0), $AY$3:$AZ$13, 2, FALSE)</f>
        <v/>
      </c>
      <c r="R55" s="116">
        <f>VLOOKUP(ROUND(R29, 0), $AY$3:$AZ$13, 2, FALSE)</f>
        <v/>
      </c>
      <c r="S55" s="116">
        <f>VLOOKUP(ROUND(S29, 0), $AY$3:$AZ$13, 2, FALSE)</f>
        <v/>
      </c>
      <c r="T55" s="116">
        <f>VLOOKUP(ROUND(T29, 0), $AY$3:$AZ$13, 2, FALSE)</f>
        <v/>
      </c>
      <c r="U55" s="116">
        <f>VLOOKUP(ROUND(U29, 0), $AY$3:$AZ$13, 2, FALSE)</f>
        <v/>
      </c>
      <c r="V55" s="116">
        <f>VLOOKUP(ROUND(V29, 0), $AY$3:$AZ$13, 2, FALSE)</f>
        <v/>
      </c>
      <c r="W55" s="116">
        <f>VLOOKUP(ROUND(W29, 0), $AY$3:$AZ$13, 2, FALSE)</f>
        <v/>
      </c>
      <c r="X55" s="116">
        <f>VLOOKUP(ROUND(X29, 0), $AY$3:$AZ$13, 2, FALSE)</f>
        <v/>
      </c>
      <c r="Y55" s="116">
        <f>VLOOKUP(ROUND(Y29, 0), $AY$3:$AZ$13, 2, FALSE)</f>
        <v/>
      </c>
      <c r="Z55" s="116">
        <f>VLOOKUP(ROUND(Z29, 0), $AY$3:$AZ$13, 2, FALSE)</f>
        <v/>
      </c>
      <c r="AA55" s="116">
        <f>VLOOKUP(ROUND(AA29, 0), $AY$3:$AZ$13, 2, FALSE)</f>
        <v/>
      </c>
      <c r="AB55" s="116">
        <f>VLOOKUP(ROUND(AB29, 0), $AY$3:$AZ$13, 2, FALSE)</f>
        <v/>
      </c>
      <c r="AC55" s="116">
        <f>VLOOKUP(ROUND(AC29, 0), $AY$3:$AZ$13, 2, FALSE)</f>
        <v/>
      </c>
      <c r="AD55" s="116">
        <f>VLOOKUP(ROUND(AD29, 0), $AY$3:$AZ$13, 2, FALSE)</f>
        <v/>
      </c>
      <c r="AE55" s="116">
        <f>VLOOKUP(ROUND(AE29, 0), $AY$3:$AZ$13, 2, FALSE)</f>
        <v/>
      </c>
      <c r="AF55" s="116">
        <f>VLOOKUP(ROUND(AF29, 0), $AY$3:$AZ$13, 2, FALSE)</f>
        <v/>
      </c>
      <c r="AG55" s="116">
        <f>VLOOKUP(ROUND(AG29, 0), $AY$3:$AZ$13, 2, FALSE)</f>
        <v/>
      </c>
      <c r="AH55" s="116">
        <f>VLOOKUP(ROUND(AH29, 0), $AY$3:$AZ$13, 2, FALSE)</f>
        <v/>
      </c>
      <c r="AI55" s="116">
        <f>VLOOKUP(ROUND(AI29, 0), $AY$3:$AZ$13, 2, FALSE)</f>
        <v/>
      </c>
      <c r="AJ55" s="116">
        <f>VLOOKUP(ROUND(AJ29, 0), $AY$3:$AZ$13, 2, FALSE)</f>
        <v/>
      </c>
      <c r="AK55" s="116">
        <f>VLOOKUP(ROUND(AK29, 0), $AY$3:$AZ$13, 2, FALSE)</f>
        <v/>
      </c>
      <c r="AL55" s="116">
        <f>VLOOKUP(ROUND(AL29, 0), $AY$3:$AZ$13, 2, FALSE)</f>
        <v/>
      </c>
      <c r="AM55" s="116">
        <f>VLOOKUP(ROUND(AM29, 0), $AY$3:$AZ$13, 2, FALSE)</f>
        <v/>
      </c>
      <c r="AN55" s="116">
        <f>VLOOKUP(ROUND(AN29, 0), $AY$3:$AZ$13, 2, FALSE)</f>
        <v/>
      </c>
      <c r="AO55" s="116">
        <f>VLOOKUP(ROUND(AO29, 0), $AY$3:$AZ$13, 2, FALSE)</f>
        <v/>
      </c>
      <c r="AP55" s="116">
        <f>VLOOKUP(ROUND(AP29, 0), $AY$3:$AZ$13, 2, FALSE)</f>
        <v/>
      </c>
      <c r="AQ55" s="116">
        <f>VLOOKUP(ROUND(AQ29, 0), $AY$3:$AZ$13, 2, FALSE)</f>
        <v/>
      </c>
      <c r="AR55" s="116">
        <f>VLOOKUP(ROUND(AR29, 0), $AY$3:$AZ$13, 2, FALSE)</f>
        <v/>
      </c>
      <c r="AS55" s="116">
        <f>VLOOKUP(ROUND(AS29, 0), $AY$3:$AZ$13, 2, FALSE)</f>
        <v/>
      </c>
      <c r="AT55" s="116">
        <f>VLOOKUP(ROUND(AT29, 0), $AY$3:$AZ$13, 2, FALSE)</f>
        <v/>
      </c>
      <c r="AU55" s="116">
        <f>VLOOKUP(ROUND(AU29, 0), $AY$3:$AZ$13, 2, FALSE)</f>
        <v/>
      </c>
      <c r="AV55" s="116">
        <f>VLOOKUP(ROUND(AV29, 0), $AY$3:$AZ$13, 2, FALSE)</f>
        <v/>
      </c>
      <c r="AW55" s="116">
        <f>VLOOKUP(ROUND(AW29, 0), $AY$3:$AZ$13, 2, FALSE)</f>
        <v/>
      </c>
    </row>
    <row r="56" ht="25" customHeight="1">
      <c r="A56" s="111" t="inlineStr">
        <is>
          <t>AUD CHF</t>
        </is>
      </c>
      <c r="B56" s="116">
        <f>VLOOKUP(ROUND(B30, 0), $AY$3:$AZ$13, 2, FALSE)</f>
        <v/>
      </c>
      <c r="C56" s="116">
        <f>VLOOKUP(ROUND(C30, 0), $AY$3:$AZ$13, 2, FALSE)</f>
        <v/>
      </c>
      <c r="D56" s="116">
        <f>VLOOKUP(ROUND(D30, 0), $AY$3:$AZ$13, 2, FALSE)</f>
        <v/>
      </c>
      <c r="E56" s="116">
        <f>VLOOKUP(ROUND(E30, 0), $AY$3:$AZ$13, 2, FALSE)</f>
        <v/>
      </c>
      <c r="F56" s="116">
        <f>VLOOKUP(ROUND(F30, 0), $AY$3:$AZ$13, 2, FALSE)</f>
        <v/>
      </c>
      <c r="G56" s="116">
        <f>VLOOKUP(ROUND(G30, 0), $AY$3:$AZ$13, 2, FALSE)</f>
        <v/>
      </c>
      <c r="H56" s="116">
        <f>VLOOKUP(ROUND(H30, 0), $AY$3:$AZ$13, 2, FALSE)</f>
        <v/>
      </c>
      <c r="I56" s="116">
        <f>VLOOKUP(ROUND(I30, 0), $AY$3:$AZ$13, 2, FALSE)</f>
        <v/>
      </c>
      <c r="J56" s="116">
        <f>VLOOKUP(ROUND(J30, 0), $AY$3:$AZ$13, 2, FALSE)</f>
        <v/>
      </c>
      <c r="K56" s="116">
        <f>VLOOKUP(ROUND(K30, 0), $AY$3:$AZ$13, 2, FALSE)</f>
        <v/>
      </c>
      <c r="L56" s="116">
        <f>VLOOKUP(ROUND(L30, 0), $AY$3:$AZ$13, 2, FALSE)</f>
        <v/>
      </c>
      <c r="M56" s="116">
        <f>VLOOKUP(ROUND(M30, 0), $AY$3:$AZ$13, 2, FALSE)</f>
        <v/>
      </c>
      <c r="N56" s="116">
        <f>VLOOKUP(ROUND(N30, 0), $AY$3:$AZ$13, 2, FALSE)</f>
        <v/>
      </c>
      <c r="O56" s="116">
        <f>VLOOKUP(ROUND(O30, 0), $AY$3:$AZ$13, 2, FALSE)</f>
        <v/>
      </c>
      <c r="P56" s="116">
        <f>VLOOKUP(ROUND(P30, 0), $AY$3:$AZ$13, 2, FALSE)</f>
        <v/>
      </c>
      <c r="Q56" s="116">
        <f>VLOOKUP(ROUND(Q30, 0), $AY$3:$AZ$13, 2, FALSE)</f>
        <v/>
      </c>
      <c r="R56" s="116">
        <f>VLOOKUP(ROUND(R30, 0), $AY$3:$AZ$13, 2, FALSE)</f>
        <v/>
      </c>
      <c r="S56" s="116">
        <f>VLOOKUP(ROUND(S30, 0), $AY$3:$AZ$13, 2, FALSE)</f>
        <v/>
      </c>
      <c r="T56" s="116">
        <f>VLOOKUP(ROUND(T30, 0), $AY$3:$AZ$13, 2, FALSE)</f>
        <v/>
      </c>
      <c r="U56" s="116">
        <f>VLOOKUP(ROUND(U30, 0), $AY$3:$AZ$13, 2, FALSE)</f>
        <v/>
      </c>
      <c r="V56" s="116">
        <f>VLOOKUP(ROUND(V30, 0), $AY$3:$AZ$13, 2, FALSE)</f>
        <v/>
      </c>
      <c r="W56" s="116">
        <f>VLOOKUP(ROUND(W30, 0), $AY$3:$AZ$13, 2, FALSE)</f>
        <v/>
      </c>
      <c r="X56" s="116">
        <f>VLOOKUP(ROUND(X30, 0), $AY$3:$AZ$13, 2, FALSE)</f>
        <v/>
      </c>
      <c r="Y56" s="116">
        <f>VLOOKUP(ROUND(Y30, 0), $AY$3:$AZ$13, 2, FALSE)</f>
        <v/>
      </c>
      <c r="Z56" s="116">
        <f>VLOOKUP(ROUND(Z30, 0), $AY$3:$AZ$13, 2, FALSE)</f>
        <v/>
      </c>
      <c r="AA56" s="116">
        <f>VLOOKUP(ROUND(AA30, 0), $AY$3:$AZ$13, 2, FALSE)</f>
        <v/>
      </c>
      <c r="AB56" s="116">
        <f>VLOOKUP(ROUND(AB30, 0), $AY$3:$AZ$13, 2, FALSE)</f>
        <v/>
      </c>
      <c r="AC56" s="116">
        <f>VLOOKUP(ROUND(AC30, 0), $AY$3:$AZ$13, 2, FALSE)</f>
        <v/>
      </c>
      <c r="AD56" s="116">
        <f>VLOOKUP(ROUND(AD30, 0), $AY$3:$AZ$13, 2, FALSE)</f>
        <v/>
      </c>
      <c r="AE56" s="116">
        <f>VLOOKUP(ROUND(AE30, 0), $AY$3:$AZ$13, 2, FALSE)</f>
        <v/>
      </c>
      <c r="AF56" s="116">
        <f>VLOOKUP(ROUND(AF30, 0), $AY$3:$AZ$13, 2, FALSE)</f>
        <v/>
      </c>
      <c r="AG56" s="116">
        <f>VLOOKUP(ROUND(AG30, 0), $AY$3:$AZ$13, 2, FALSE)</f>
        <v/>
      </c>
      <c r="AH56" s="116">
        <f>VLOOKUP(ROUND(AH30, 0), $AY$3:$AZ$13, 2, FALSE)</f>
        <v/>
      </c>
      <c r="AI56" s="116">
        <f>VLOOKUP(ROUND(AI30, 0), $AY$3:$AZ$13, 2, FALSE)</f>
        <v/>
      </c>
      <c r="AJ56" s="116">
        <f>VLOOKUP(ROUND(AJ30, 0), $AY$3:$AZ$13, 2, FALSE)</f>
        <v/>
      </c>
      <c r="AK56" s="116">
        <f>VLOOKUP(ROUND(AK30, 0), $AY$3:$AZ$13, 2, FALSE)</f>
        <v/>
      </c>
      <c r="AL56" s="116">
        <f>VLOOKUP(ROUND(AL30, 0), $AY$3:$AZ$13, 2, FALSE)</f>
        <v/>
      </c>
      <c r="AM56" s="116">
        <f>VLOOKUP(ROUND(AM30, 0), $AY$3:$AZ$13, 2, FALSE)</f>
        <v/>
      </c>
      <c r="AN56" s="116">
        <f>VLOOKUP(ROUND(AN30, 0), $AY$3:$AZ$13, 2, FALSE)</f>
        <v/>
      </c>
      <c r="AO56" s="116">
        <f>VLOOKUP(ROUND(AO30, 0), $AY$3:$AZ$13, 2, FALSE)</f>
        <v/>
      </c>
      <c r="AP56" s="116">
        <f>VLOOKUP(ROUND(AP30, 0), $AY$3:$AZ$13, 2, FALSE)</f>
        <v/>
      </c>
      <c r="AQ56" s="116">
        <f>VLOOKUP(ROUND(AQ30, 0), $AY$3:$AZ$13, 2, FALSE)</f>
        <v/>
      </c>
      <c r="AR56" s="116">
        <f>VLOOKUP(ROUND(AR30, 0), $AY$3:$AZ$13, 2, FALSE)</f>
        <v/>
      </c>
      <c r="AS56" s="116">
        <f>VLOOKUP(ROUND(AS30, 0), $AY$3:$AZ$13, 2, FALSE)</f>
        <v/>
      </c>
      <c r="AT56" s="116">
        <f>VLOOKUP(ROUND(AT30, 0), $AY$3:$AZ$13, 2, FALSE)</f>
        <v/>
      </c>
      <c r="AU56" s="116">
        <f>VLOOKUP(ROUND(AU30, 0), $AY$3:$AZ$13, 2, FALSE)</f>
        <v/>
      </c>
      <c r="AV56" s="116">
        <f>VLOOKUP(ROUND(AV30, 0), $AY$3:$AZ$13, 2, FALSE)</f>
        <v/>
      </c>
      <c r="AW56" s="116">
        <f>VLOOKUP(ROUND(AW30, 0), $AY$3:$AZ$13, 2, FALSE)</f>
        <v/>
      </c>
    </row>
    <row r="57" ht="25" customHeight="1">
      <c r="A57" s="111" t="inlineStr">
        <is>
          <t>AUD JPY</t>
        </is>
      </c>
      <c r="B57" s="116">
        <f>VLOOKUP(ROUND(B31, 0), $AY$3:$AZ$13, 2, FALSE)</f>
        <v/>
      </c>
      <c r="C57" s="116">
        <f>VLOOKUP(ROUND(C31, 0), $AY$3:$AZ$13, 2, FALSE)</f>
        <v/>
      </c>
      <c r="D57" s="116">
        <f>VLOOKUP(ROUND(D31, 0), $AY$3:$AZ$13, 2, FALSE)</f>
        <v/>
      </c>
      <c r="E57" s="116">
        <f>VLOOKUP(ROUND(E31, 0), $AY$3:$AZ$13, 2, FALSE)</f>
        <v/>
      </c>
      <c r="F57" s="116">
        <f>VLOOKUP(ROUND(F31, 0), $AY$3:$AZ$13, 2, FALSE)</f>
        <v/>
      </c>
      <c r="G57" s="116">
        <f>VLOOKUP(ROUND(G31, 0), $AY$3:$AZ$13, 2, FALSE)</f>
        <v/>
      </c>
      <c r="H57" s="116">
        <f>VLOOKUP(ROUND(H31, 0), $AY$3:$AZ$13, 2, FALSE)</f>
        <v/>
      </c>
      <c r="I57" s="116">
        <f>VLOOKUP(ROUND(I31, 0), $AY$3:$AZ$13, 2, FALSE)</f>
        <v/>
      </c>
      <c r="J57" s="116">
        <f>VLOOKUP(ROUND(J31, 0), $AY$3:$AZ$13, 2, FALSE)</f>
        <v/>
      </c>
      <c r="K57" s="116">
        <f>VLOOKUP(ROUND(K31, 0), $AY$3:$AZ$13, 2, FALSE)</f>
        <v/>
      </c>
      <c r="L57" s="116">
        <f>VLOOKUP(ROUND(L31, 0), $AY$3:$AZ$13, 2, FALSE)</f>
        <v/>
      </c>
      <c r="M57" s="116">
        <f>VLOOKUP(ROUND(M31, 0), $AY$3:$AZ$13, 2, FALSE)</f>
        <v/>
      </c>
      <c r="N57" s="116">
        <f>VLOOKUP(ROUND(N31, 0), $AY$3:$AZ$13, 2, FALSE)</f>
        <v/>
      </c>
      <c r="O57" s="116">
        <f>VLOOKUP(ROUND(O31, 0), $AY$3:$AZ$13, 2, FALSE)</f>
        <v/>
      </c>
      <c r="P57" s="116">
        <f>VLOOKUP(ROUND(P31, 0), $AY$3:$AZ$13, 2, FALSE)</f>
        <v/>
      </c>
      <c r="Q57" s="116">
        <f>VLOOKUP(ROUND(Q31, 0), $AY$3:$AZ$13, 2, FALSE)</f>
        <v/>
      </c>
      <c r="R57" s="116">
        <f>VLOOKUP(ROUND(R31, 0), $AY$3:$AZ$13, 2, FALSE)</f>
        <v/>
      </c>
      <c r="S57" s="116">
        <f>VLOOKUP(ROUND(S31, 0), $AY$3:$AZ$13, 2, FALSE)</f>
        <v/>
      </c>
      <c r="T57" s="116">
        <f>VLOOKUP(ROUND(T31, 0), $AY$3:$AZ$13, 2, FALSE)</f>
        <v/>
      </c>
      <c r="U57" s="116">
        <f>VLOOKUP(ROUND(U31, 0), $AY$3:$AZ$13, 2, FALSE)</f>
        <v/>
      </c>
      <c r="V57" s="116">
        <f>VLOOKUP(ROUND(V31, 0), $AY$3:$AZ$13, 2, FALSE)</f>
        <v/>
      </c>
      <c r="W57" s="116">
        <f>VLOOKUP(ROUND(W31, 0), $AY$3:$AZ$13, 2, FALSE)</f>
        <v/>
      </c>
      <c r="X57" s="116">
        <f>VLOOKUP(ROUND(X31, 0), $AY$3:$AZ$13, 2, FALSE)</f>
        <v/>
      </c>
      <c r="Y57" s="116">
        <f>VLOOKUP(ROUND(Y31, 0), $AY$3:$AZ$13, 2, FALSE)</f>
        <v/>
      </c>
      <c r="Z57" s="116">
        <f>VLOOKUP(ROUND(Z31, 0), $AY$3:$AZ$13, 2, FALSE)</f>
        <v/>
      </c>
      <c r="AA57" s="116">
        <f>VLOOKUP(ROUND(AA31, 0), $AY$3:$AZ$13, 2, FALSE)</f>
        <v/>
      </c>
      <c r="AB57" s="116">
        <f>VLOOKUP(ROUND(AB31, 0), $AY$3:$AZ$13, 2, FALSE)</f>
        <v/>
      </c>
      <c r="AC57" s="116">
        <f>VLOOKUP(ROUND(AC31, 0), $AY$3:$AZ$13, 2, FALSE)</f>
        <v/>
      </c>
      <c r="AD57" s="116">
        <f>VLOOKUP(ROUND(AD31, 0), $AY$3:$AZ$13, 2, FALSE)</f>
        <v/>
      </c>
      <c r="AE57" s="116">
        <f>VLOOKUP(ROUND(AE31, 0), $AY$3:$AZ$13, 2, FALSE)</f>
        <v/>
      </c>
      <c r="AF57" s="116">
        <f>VLOOKUP(ROUND(AF31, 0), $AY$3:$AZ$13, 2, FALSE)</f>
        <v/>
      </c>
      <c r="AG57" s="116">
        <f>VLOOKUP(ROUND(AG31, 0), $AY$3:$AZ$13, 2, FALSE)</f>
        <v/>
      </c>
      <c r="AH57" s="116">
        <f>VLOOKUP(ROUND(AH31, 0), $AY$3:$AZ$13, 2, FALSE)</f>
        <v/>
      </c>
      <c r="AI57" s="116">
        <f>VLOOKUP(ROUND(AI31, 0), $AY$3:$AZ$13, 2, FALSE)</f>
        <v/>
      </c>
      <c r="AJ57" s="116">
        <f>VLOOKUP(ROUND(AJ31, 0), $AY$3:$AZ$13, 2, FALSE)</f>
        <v/>
      </c>
      <c r="AK57" s="116">
        <f>VLOOKUP(ROUND(AK31, 0), $AY$3:$AZ$13, 2, FALSE)</f>
        <v/>
      </c>
      <c r="AL57" s="116">
        <f>VLOOKUP(ROUND(AL31, 0), $AY$3:$AZ$13, 2, FALSE)</f>
        <v/>
      </c>
      <c r="AM57" s="116">
        <f>VLOOKUP(ROUND(AM31, 0), $AY$3:$AZ$13, 2, FALSE)</f>
        <v/>
      </c>
      <c r="AN57" s="116">
        <f>VLOOKUP(ROUND(AN31, 0), $AY$3:$AZ$13, 2, FALSE)</f>
        <v/>
      </c>
      <c r="AO57" s="116">
        <f>VLOOKUP(ROUND(AO31, 0), $AY$3:$AZ$13, 2, FALSE)</f>
        <v/>
      </c>
      <c r="AP57" s="116">
        <f>VLOOKUP(ROUND(AP31, 0), $AY$3:$AZ$13, 2, FALSE)</f>
        <v/>
      </c>
      <c r="AQ57" s="116">
        <f>VLOOKUP(ROUND(AQ31, 0), $AY$3:$AZ$13, 2, FALSE)</f>
        <v/>
      </c>
      <c r="AR57" s="116">
        <f>VLOOKUP(ROUND(AR31, 0), $AY$3:$AZ$13, 2, FALSE)</f>
        <v/>
      </c>
      <c r="AS57" s="116">
        <f>VLOOKUP(ROUND(AS31, 0), $AY$3:$AZ$13, 2, FALSE)</f>
        <v/>
      </c>
      <c r="AT57" s="116">
        <f>VLOOKUP(ROUND(AT31, 0), $AY$3:$AZ$13, 2, FALSE)</f>
        <v/>
      </c>
      <c r="AU57" s="116">
        <f>VLOOKUP(ROUND(AU31, 0), $AY$3:$AZ$13, 2, FALSE)</f>
        <v/>
      </c>
      <c r="AV57" s="116">
        <f>VLOOKUP(ROUND(AV31, 0), $AY$3:$AZ$13, 2, FALSE)</f>
        <v/>
      </c>
      <c r="AW57" s="116">
        <f>VLOOKUP(ROUND(AW31, 0), $AY$3:$AZ$13, 2, FALSE)</f>
        <v/>
      </c>
    </row>
    <row r="58" ht="25" customHeight="1">
      <c r="A58" s="111" t="inlineStr">
        <is>
          <t>AUD NZD</t>
        </is>
      </c>
      <c r="B58" s="116">
        <f>VLOOKUP(ROUND(B32, 0), $AY$3:$AZ$13, 2, FALSE)</f>
        <v/>
      </c>
      <c r="C58" s="116">
        <f>VLOOKUP(ROUND(C32, 0), $AY$3:$AZ$13, 2, FALSE)</f>
        <v/>
      </c>
      <c r="D58" s="116">
        <f>VLOOKUP(ROUND(D32, 0), $AY$3:$AZ$13, 2, FALSE)</f>
        <v/>
      </c>
      <c r="E58" s="116">
        <f>VLOOKUP(ROUND(E32, 0), $AY$3:$AZ$13, 2, FALSE)</f>
        <v/>
      </c>
      <c r="F58" s="116">
        <f>VLOOKUP(ROUND(F32, 0), $AY$3:$AZ$13, 2, FALSE)</f>
        <v/>
      </c>
      <c r="G58" s="116">
        <f>VLOOKUP(ROUND(G32, 0), $AY$3:$AZ$13, 2, FALSE)</f>
        <v/>
      </c>
      <c r="H58" s="116">
        <f>VLOOKUP(ROUND(H32, 0), $AY$3:$AZ$13, 2, FALSE)</f>
        <v/>
      </c>
      <c r="I58" s="116">
        <f>VLOOKUP(ROUND(I32, 0), $AY$3:$AZ$13, 2, FALSE)</f>
        <v/>
      </c>
      <c r="J58" s="116">
        <f>VLOOKUP(ROUND(J32, 0), $AY$3:$AZ$13, 2, FALSE)</f>
        <v/>
      </c>
      <c r="K58" s="116">
        <f>VLOOKUP(ROUND(K32, 0), $AY$3:$AZ$13, 2, FALSE)</f>
        <v/>
      </c>
      <c r="L58" s="116">
        <f>VLOOKUP(ROUND(L32, 0), $AY$3:$AZ$13, 2, FALSE)</f>
        <v/>
      </c>
      <c r="M58" s="116">
        <f>VLOOKUP(ROUND(M32, 0), $AY$3:$AZ$13, 2, FALSE)</f>
        <v/>
      </c>
      <c r="N58" s="116">
        <f>VLOOKUP(ROUND(N32, 0), $AY$3:$AZ$13, 2, FALSE)</f>
        <v/>
      </c>
      <c r="O58" s="116">
        <f>VLOOKUP(ROUND(O32, 0), $AY$3:$AZ$13, 2, FALSE)</f>
        <v/>
      </c>
      <c r="P58" s="116">
        <f>VLOOKUP(ROUND(P32, 0), $AY$3:$AZ$13, 2, FALSE)</f>
        <v/>
      </c>
      <c r="Q58" s="116">
        <f>VLOOKUP(ROUND(Q32, 0), $AY$3:$AZ$13, 2, FALSE)</f>
        <v/>
      </c>
      <c r="R58" s="116">
        <f>VLOOKUP(ROUND(R32, 0), $AY$3:$AZ$13, 2, FALSE)</f>
        <v/>
      </c>
      <c r="S58" s="116">
        <f>VLOOKUP(ROUND(S32, 0), $AY$3:$AZ$13, 2, FALSE)</f>
        <v/>
      </c>
      <c r="T58" s="116">
        <f>VLOOKUP(ROUND(T32, 0), $AY$3:$AZ$13, 2, FALSE)</f>
        <v/>
      </c>
      <c r="U58" s="116">
        <f>VLOOKUP(ROUND(U32, 0), $AY$3:$AZ$13, 2, FALSE)</f>
        <v/>
      </c>
      <c r="V58" s="116">
        <f>VLOOKUP(ROUND(V32, 0), $AY$3:$AZ$13, 2, FALSE)</f>
        <v/>
      </c>
      <c r="W58" s="116">
        <f>VLOOKUP(ROUND(W32, 0), $AY$3:$AZ$13, 2, FALSE)</f>
        <v/>
      </c>
      <c r="X58" s="116">
        <f>VLOOKUP(ROUND(X32, 0), $AY$3:$AZ$13, 2, FALSE)</f>
        <v/>
      </c>
      <c r="Y58" s="116">
        <f>VLOOKUP(ROUND(Y32, 0), $AY$3:$AZ$13, 2, FALSE)</f>
        <v/>
      </c>
      <c r="Z58" s="116">
        <f>VLOOKUP(ROUND(Z32, 0), $AY$3:$AZ$13, 2, FALSE)</f>
        <v/>
      </c>
      <c r="AA58" s="116">
        <f>VLOOKUP(ROUND(AA32, 0), $AY$3:$AZ$13, 2, FALSE)</f>
        <v/>
      </c>
      <c r="AB58" s="116">
        <f>VLOOKUP(ROUND(AB32, 0), $AY$3:$AZ$13, 2, FALSE)</f>
        <v/>
      </c>
      <c r="AC58" s="116">
        <f>VLOOKUP(ROUND(AC32, 0), $AY$3:$AZ$13, 2, FALSE)</f>
        <v/>
      </c>
      <c r="AD58" s="116">
        <f>VLOOKUP(ROUND(AD32, 0), $AY$3:$AZ$13, 2, FALSE)</f>
        <v/>
      </c>
      <c r="AE58" s="116">
        <f>VLOOKUP(ROUND(AE32, 0), $AY$3:$AZ$13, 2, FALSE)</f>
        <v/>
      </c>
      <c r="AF58" s="116">
        <f>VLOOKUP(ROUND(AF32, 0), $AY$3:$AZ$13, 2, FALSE)</f>
        <v/>
      </c>
      <c r="AG58" s="116">
        <f>VLOOKUP(ROUND(AG32, 0), $AY$3:$AZ$13, 2, FALSE)</f>
        <v/>
      </c>
      <c r="AH58" s="116">
        <f>VLOOKUP(ROUND(AH32, 0), $AY$3:$AZ$13, 2, FALSE)</f>
        <v/>
      </c>
      <c r="AI58" s="116">
        <f>VLOOKUP(ROUND(AI32, 0), $AY$3:$AZ$13, 2, FALSE)</f>
        <v/>
      </c>
      <c r="AJ58" s="116">
        <f>VLOOKUP(ROUND(AJ32, 0), $AY$3:$AZ$13, 2, FALSE)</f>
        <v/>
      </c>
      <c r="AK58" s="116">
        <f>VLOOKUP(ROUND(AK32, 0), $AY$3:$AZ$13, 2, FALSE)</f>
        <v/>
      </c>
      <c r="AL58" s="116">
        <f>VLOOKUP(ROUND(AL32, 0), $AY$3:$AZ$13, 2, FALSE)</f>
        <v/>
      </c>
      <c r="AM58" s="116">
        <f>VLOOKUP(ROUND(AM32, 0), $AY$3:$AZ$13, 2, FALSE)</f>
        <v/>
      </c>
      <c r="AN58" s="116">
        <f>VLOOKUP(ROUND(AN32, 0), $AY$3:$AZ$13, 2, FALSE)</f>
        <v/>
      </c>
      <c r="AO58" s="116">
        <f>VLOOKUP(ROUND(AO32, 0), $AY$3:$AZ$13, 2, FALSE)</f>
        <v/>
      </c>
      <c r="AP58" s="116">
        <f>VLOOKUP(ROUND(AP32, 0), $AY$3:$AZ$13, 2, FALSE)</f>
        <v/>
      </c>
      <c r="AQ58" s="116">
        <f>VLOOKUP(ROUND(AQ32, 0), $AY$3:$AZ$13, 2, FALSE)</f>
        <v/>
      </c>
      <c r="AR58" s="116">
        <f>VLOOKUP(ROUND(AR32, 0), $AY$3:$AZ$13, 2, FALSE)</f>
        <v/>
      </c>
      <c r="AS58" s="116">
        <f>VLOOKUP(ROUND(AS32, 0), $AY$3:$AZ$13, 2, FALSE)</f>
        <v/>
      </c>
      <c r="AT58" s="116">
        <f>VLOOKUP(ROUND(AT32, 0), $AY$3:$AZ$13, 2, FALSE)</f>
        <v/>
      </c>
      <c r="AU58" s="116">
        <f>VLOOKUP(ROUND(AU32, 0), $AY$3:$AZ$13, 2, FALSE)</f>
        <v/>
      </c>
      <c r="AV58" s="116">
        <f>VLOOKUP(ROUND(AV32, 0), $AY$3:$AZ$13, 2, FALSE)</f>
        <v/>
      </c>
      <c r="AW58" s="116">
        <f>VLOOKUP(ROUND(AW32, 0), $AY$3:$AZ$13, 2, FALSE)</f>
        <v/>
      </c>
    </row>
    <row r="59" ht="25" customHeight="1">
      <c r="A59" s="111" t="inlineStr">
        <is>
          <t>AUD CAD</t>
        </is>
      </c>
      <c r="B59" s="116">
        <f>VLOOKUP(ROUND(B33, 0), $AY$3:$AZ$13, 2, FALSE)</f>
        <v/>
      </c>
      <c r="C59" s="116">
        <f>VLOOKUP(ROUND(C33, 0), $AY$3:$AZ$13, 2, FALSE)</f>
        <v/>
      </c>
      <c r="D59" s="116">
        <f>VLOOKUP(ROUND(D33, 0), $AY$3:$AZ$13, 2, FALSE)</f>
        <v/>
      </c>
      <c r="E59" s="116">
        <f>VLOOKUP(ROUND(E33, 0), $AY$3:$AZ$13, 2, FALSE)</f>
        <v/>
      </c>
      <c r="F59" s="116">
        <f>VLOOKUP(ROUND(F33, 0), $AY$3:$AZ$13, 2, FALSE)</f>
        <v/>
      </c>
      <c r="G59" s="116">
        <f>VLOOKUP(ROUND(G33, 0), $AY$3:$AZ$13, 2, FALSE)</f>
        <v/>
      </c>
      <c r="H59" s="116">
        <f>VLOOKUP(ROUND(H33, 0), $AY$3:$AZ$13, 2, FALSE)</f>
        <v/>
      </c>
      <c r="I59" s="116">
        <f>VLOOKUP(ROUND(I33, 0), $AY$3:$AZ$13, 2, FALSE)</f>
        <v/>
      </c>
      <c r="J59" s="116">
        <f>VLOOKUP(ROUND(J33, 0), $AY$3:$AZ$13, 2, FALSE)</f>
        <v/>
      </c>
      <c r="K59" s="116">
        <f>VLOOKUP(ROUND(K33, 0), $AY$3:$AZ$13, 2, FALSE)</f>
        <v/>
      </c>
      <c r="L59" s="116">
        <f>VLOOKUP(ROUND(L33, 0), $AY$3:$AZ$13, 2, FALSE)</f>
        <v/>
      </c>
      <c r="M59" s="116">
        <f>VLOOKUP(ROUND(M33, 0), $AY$3:$AZ$13, 2, FALSE)</f>
        <v/>
      </c>
      <c r="N59" s="116">
        <f>VLOOKUP(ROUND(N33, 0), $AY$3:$AZ$13, 2, FALSE)</f>
        <v/>
      </c>
      <c r="O59" s="116">
        <f>VLOOKUP(ROUND(O33, 0), $AY$3:$AZ$13, 2, FALSE)</f>
        <v/>
      </c>
      <c r="P59" s="116">
        <f>VLOOKUP(ROUND(P33, 0), $AY$3:$AZ$13, 2, FALSE)</f>
        <v/>
      </c>
      <c r="Q59" s="116">
        <f>VLOOKUP(ROUND(Q33, 0), $AY$3:$AZ$13, 2, FALSE)</f>
        <v/>
      </c>
      <c r="R59" s="116">
        <f>VLOOKUP(ROUND(R33, 0), $AY$3:$AZ$13, 2, FALSE)</f>
        <v/>
      </c>
      <c r="S59" s="116">
        <f>VLOOKUP(ROUND(S33, 0), $AY$3:$AZ$13, 2, FALSE)</f>
        <v/>
      </c>
      <c r="T59" s="116">
        <f>VLOOKUP(ROUND(T33, 0), $AY$3:$AZ$13, 2, FALSE)</f>
        <v/>
      </c>
      <c r="U59" s="116">
        <f>VLOOKUP(ROUND(U33, 0), $AY$3:$AZ$13, 2, FALSE)</f>
        <v/>
      </c>
      <c r="V59" s="116">
        <f>VLOOKUP(ROUND(V33, 0), $AY$3:$AZ$13, 2, FALSE)</f>
        <v/>
      </c>
      <c r="W59" s="116">
        <f>VLOOKUP(ROUND(W33, 0), $AY$3:$AZ$13, 2, FALSE)</f>
        <v/>
      </c>
      <c r="X59" s="116">
        <f>VLOOKUP(ROUND(X33, 0), $AY$3:$AZ$13, 2, FALSE)</f>
        <v/>
      </c>
      <c r="Y59" s="116">
        <f>VLOOKUP(ROUND(Y33, 0), $AY$3:$AZ$13, 2, FALSE)</f>
        <v/>
      </c>
      <c r="Z59" s="116">
        <f>VLOOKUP(ROUND(Z33, 0), $AY$3:$AZ$13, 2, FALSE)</f>
        <v/>
      </c>
      <c r="AA59" s="116">
        <f>VLOOKUP(ROUND(AA33, 0), $AY$3:$AZ$13, 2, FALSE)</f>
        <v/>
      </c>
      <c r="AB59" s="116">
        <f>VLOOKUP(ROUND(AB33, 0), $AY$3:$AZ$13, 2, FALSE)</f>
        <v/>
      </c>
      <c r="AC59" s="116">
        <f>VLOOKUP(ROUND(AC33, 0), $AY$3:$AZ$13, 2, FALSE)</f>
        <v/>
      </c>
      <c r="AD59" s="116">
        <f>VLOOKUP(ROUND(AD33, 0), $AY$3:$AZ$13, 2, FALSE)</f>
        <v/>
      </c>
      <c r="AE59" s="116">
        <f>VLOOKUP(ROUND(AE33, 0), $AY$3:$AZ$13, 2, FALSE)</f>
        <v/>
      </c>
      <c r="AF59" s="116">
        <f>VLOOKUP(ROUND(AF33, 0), $AY$3:$AZ$13, 2, FALSE)</f>
        <v/>
      </c>
      <c r="AG59" s="116">
        <f>VLOOKUP(ROUND(AG33, 0), $AY$3:$AZ$13, 2, FALSE)</f>
        <v/>
      </c>
      <c r="AH59" s="116">
        <f>VLOOKUP(ROUND(AH33, 0), $AY$3:$AZ$13, 2, FALSE)</f>
        <v/>
      </c>
      <c r="AI59" s="116">
        <f>VLOOKUP(ROUND(AI33, 0), $AY$3:$AZ$13, 2, FALSE)</f>
        <v/>
      </c>
      <c r="AJ59" s="116">
        <f>VLOOKUP(ROUND(AJ33, 0), $AY$3:$AZ$13, 2, FALSE)</f>
        <v/>
      </c>
      <c r="AK59" s="116">
        <f>VLOOKUP(ROUND(AK33, 0), $AY$3:$AZ$13, 2, FALSE)</f>
        <v/>
      </c>
      <c r="AL59" s="116">
        <f>VLOOKUP(ROUND(AL33, 0), $AY$3:$AZ$13, 2, FALSE)</f>
        <v/>
      </c>
      <c r="AM59" s="116">
        <f>VLOOKUP(ROUND(AM33, 0), $AY$3:$AZ$13, 2, FALSE)</f>
        <v/>
      </c>
      <c r="AN59" s="116">
        <f>VLOOKUP(ROUND(AN33, 0), $AY$3:$AZ$13, 2, FALSE)</f>
        <v/>
      </c>
      <c r="AO59" s="116">
        <f>VLOOKUP(ROUND(AO33, 0), $AY$3:$AZ$13, 2, FALSE)</f>
        <v/>
      </c>
      <c r="AP59" s="116">
        <f>VLOOKUP(ROUND(AP33, 0), $AY$3:$AZ$13, 2, FALSE)</f>
        <v/>
      </c>
      <c r="AQ59" s="116">
        <f>VLOOKUP(ROUND(AQ33, 0), $AY$3:$AZ$13, 2, FALSE)</f>
        <v/>
      </c>
      <c r="AR59" s="116">
        <f>VLOOKUP(ROUND(AR33, 0), $AY$3:$AZ$13, 2, FALSE)</f>
        <v/>
      </c>
      <c r="AS59" s="116">
        <f>VLOOKUP(ROUND(AS33, 0), $AY$3:$AZ$13, 2, FALSE)</f>
        <v/>
      </c>
      <c r="AT59" s="116">
        <f>VLOOKUP(ROUND(AT33, 0), $AY$3:$AZ$13, 2, FALSE)</f>
        <v/>
      </c>
      <c r="AU59" s="116">
        <f>VLOOKUP(ROUND(AU33, 0), $AY$3:$AZ$13, 2, FALSE)</f>
        <v/>
      </c>
      <c r="AV59" s="116">
        <f>VLOOKUP(ROUND(AV33, 0), $AY$3:$AZ$13, 2, FALSE)</f>
        <v/>
      </c>
      <c r="AW59" s="116">
        <f>VLOOKUP(ROUND(AW33, 0), $AY$3:$AZ$13, 2, FALSE)</f>
        <v/>
      </c>
    </row>
    <row r="60" ht="25" customHeight="1">
      <c r="A60" s="113" t="inlineStr">
        <is>
          <t>CAD JPY</t>
        </is>
      </c>
      <c r="B60" s="116">
        <f>VLOOKUP(ROUND(B34, 0), $AY$3:$AZ$13, 2, FALSE)</f>
        <v/>
      </c>
      <c r="C60" s="116">
        <f>VLOOKUP(ROUND(C34, 0), $AY$3:$AZ$13, 2, FALSE)</f>
        <v/>
      </c>
      <c r="D60" s="116">
        <f>VLOOKUP(ROUND(D34, 0), $AY$3:$AZ$13, 2, FALSE)</f>
        <v/>
      </c>
      <c r="E60" s="116">
        <f>VLOOKUP(ROUND(E34, 0), $AY$3:$AZ$13, 2, FALSE)</f>
        <v/>
      </c>
      <c r="F60" s="116">
        <f>VLOOKUP(ROUND(F34, 0), $AY$3:$AZ$13, 2, FALSE)</f>
        <v/>
      </c>
      <c r="G60" s="116">
        <f>VLOOKUP(ROUND(G34, 0), $AY$3:$AZ$13, 2, FALSE)</f>
        <v/>
      </c>
      <c r="H60" s="116">
        <f>VLOOKUP(ROUND(H34, 0), $AY$3:$AZ$13, 2, FALSE)</f>
        <v/>
      </c>
      <c r="I60" s="116">
        <f>VLOOKUP(ROUND(I34, 0), $AY$3:$AZ$13, 2, FALSE)</f>
        <v/>
      </c>
      <c r="J60" s="116">
        <f>VLOOKUP(ROUND(J34, 0), $AY$3:$AZ$13, 2, FALSE)</f>
        <v/>
      </c>
      <c r="K60" s="116">
        <f>VLOOKUP(ROUND(K34, 0), $AY$3:$AZ$13, 2, FALSE)</f>
        <v/>
      </c>
      <c r="L60" s="116">
        <f>VLOOKUP(ROUND(L34, 0), $AY$3:$AZ$13, 2, FALSE)</f>
        <v/>
      </c>
      <c r="M60" s="116">
        <f>VLOOKUP(ROUND(M34, 0), $AY$3:$AZ$13, 2, FALSE)</f>
        <v/>
      </c>
      <c r="N60" s="116">
        <f>VLOOKUP(ROUND(N34, 0), $AY$3:$AZ$13, 2, FALSE)</f>
        <v/>
      </c>
      <c r="O60" s="116">
        <f>VLOOKUP(ROUND(O34, 0), $AY$3:$AZ$13, 2, FALSE)</f>
        <v/>
      </c>
      <c r="P60" s="116">
        <f>VLOOKUP(ROUND(P34, 0), $AY$3:$AZ$13, 2, FALSE)</f>
        <v/>
      </c>
      <c r="Q60" s="116">
        <f>VLOOKUP(ROUND(Q34, 0), $AY$3:$AZ$13, 2, FALSE)</f>
        <v/>
      </c>
      <c r="R60" s="116">
        <f>VLOOKUP(ROUND(R34, 0), $AY$3:$AZ$13, 2, FALSE)</f>
        <v/>
      </c>
      <c r="S60" s="116">
        <f>VLOOKUP(ROUND(S34, 0), $AY$3:$AZ$13, 2, FALSE)</f>
        <v/>
      </c>
      <c r="T60" s="116">
        <f>VLOOKUP(ROUND(T34, 0), $AY$3:$AZ$13, 2, FALSE)</f>
        <v/>
      </c>
      <c r="U60" s="116">
        <f>VLOOKUP(ROUND(U34, 0), $AY$3:$AZ$13, 2, FALSE)</f>
        <v/>
      </c>
      <c r="V60" s="116">
        <f>VLOOKUP(ROUND(V34, 0), $AY$3:$AZ$13, 2, FALSE)</f>
        <v/>
      </c>
      <c r="W60" s="116">
        <f>VLOOKUP(ROUND(W34, 0), $AY$3:$AZ$13, 2, FALSE)</f>
        <v/>
      </c>
      <c r="X60" s="116">
        <f>VLOOKUP(ROUND(X34, 0), $AY$3:$AZ$13, 2, FALSE)</f>
        <v/>
      </c>
      <c r="Y60" s="116">
        <f>VLOOKUP(ROUND(Y34, 0), $AY$3:$AZ$13, 2, FALSE)</f>
        <v/>
      </c>
      <c r="Z60" s="116">
        <f>VLOOKUP(ROUND(Z34, 0), $AY$3:$AZ$13, 2, FALSE)</f>
        <v/>
      </c>
      <c r="AA60" s="116">
        <f>VLOOKUP(ROUND(AA34, 0), $AY$3:$AZ$13, 2, FALSE)</f>
        <v/>
      </c>
      <c r="AB60" s="116">
        <f>VLOOKUP(ROUND(AB34, 0), $AY$3:$AZ$13, 2, FALSE)</f>
        <v/>
      </c>
      <c r="AC60" s="116">
        <f>VLOOKUP(ROUND(AC34, 0), $AY$3:$AZ$13, 2, FALSE)</f>
        <v/>
      </c>
      <c r="AD60" s="116">
        <f>VLOOKUP(ROUND(AD34, 0), $AY$3:$AZ$13, 2, FALSE)</f>
        <v/>
      </c>
      <c r="AE60" s="116">
        <f>VLOOKUP(ROUND(AE34, 0), $AY$3:$AZ$13, 2, FALSE)</f>
        <v/>
      </c>
      <c r="AF60" s="116">
        <f>VLOOKUP(ROUND(AF34, 0), $AY$3:$AZ$13, 2, FALSE)</f>
        <v/>
      </c>
      <c r="AG60" s="116">
        <f>VLOOKUP(ROUND(AG34, 0), $AY$3:$AZ$13, 2, FALSE)</f>
        <v/>
      </c>
      <c r="AH60" s="116">
        <f>VLOOKUP(ROUND(AH34, 0), $AY$3:$AZ$13, 2, FALSE)</f>
        <v/>
      </c>
      <c r="AI60" s="116">
        <f>VLOOKUP(ROUND(AI34, 0), $AY$3:$AZ$13, 2, FALSE)</f>
        <v/>
      </c>
      <c r="AJ60" s="116">
        <f>VLOOKUP(ROUND(AJ34, 0), $AY$3:$AZ$13, 2, FALSE)</f>
        <v/>
      </c>
      <c r="AK60" s="116">
        <f>VLOOKUP(ROUND(AK34, 0), $AY$3:$AZ$13, 2, FALSE)</f>
        <v/>
      </c>
      <c r="AL60" s="116">
        <f>VLOOKUP(ROUND(AL34, 0), $AY$3:$AZ$13, 2, FALSE)</f>
        <v/>
      </c>
      <c r="AM60" s="116">
        <f>VLOOKUP(ROUND(AM34, 0), $AY$3:$AZ$13, 2, FALSE)</f>
        <v/>
      </c>
      <c r="AN60" s="116">
        <f>VLOOKUP(ROUND(AN34, 0), $AY$3:$AZ$13, 2, FALSE)</f>
        <v/>
      </c>
      <c r="AO60" s="116">
        <f>VLOOKUP(ROUND(AO34, 0), $AY$3:$AZ$13, 2, FALSE)</f>
        <v/>
      </c>
      <c r="AP60" s="116">
        <f>VLOOKUP(ROUND(AP34, 0), $AY$3:$AZ$13, 2, FALSE)</f>
        <v/>
      </c>
      <c r="AQ60" s="116">
        <f>VLOOKUP(ROUND(AQ34, 0), $AY$3:$AZ$13, 2, FALSE)</f>
        <v/>
      </c>
      <c r="AR60" s="116">
        <f>VLOOKUP(ROUND(AR34, 0), $AY$3:$AZ$13, 2, FALSE)</f>
        <v/>
      </c>
      <c r="AS60" s="116">
        <f>VLOOKUP(ROUND(AS34, 0), $AY$3:$AZ$13, 2, FALSE)</f>
        <v/>
      </c>
      <c r="AT60" s="116">
        <f>VLOOKUP(ROUND(AT34, 0), $AY$3:$AZ$13, 2, FALSE)</f>
        <v/>
      </c>
      <c r="AU60" s="116">
        <f>VLOOKUP(ROUND(AU34, 0), $AY$3:$AZ$13, 2, FALSE)</f>
        <v/>
      </c>
      <c r="AV60" s="116">
        <f>VLOOKUP(ROUND(AV34, 0), $AY$3:$AZ$13, 2, FALSE)</f>
        <v/>
      </c>
      <c r="AW60" s="116">
        <f>VLOOKUP(ROUND(AW34, 0), $AY$3:$AZ$13, 2, FALSE)</f>
        <v/>
      </c>
    </row>
    <row r="61" ht="25" customHeight="1"/>
  </sheetData>
  <autoFilter ref="A1:A60"/>
  <hyperlinks>
    <hyperlink xmlns:r="http://schemas.openxmlformats.org/officeDocument/2006/relationships" ref="A1" r:id="rId1"/>
    <hyperlink xmlns:r="http://schemas.openxmlformats.org/officeDocument/2006/relationships" ref="A2" display="http://stats.oecd.org/OECDStat_Metadata/ShowMetadata.ashx?Dataset=QNA&amp;Coords=[LOCATION].[AUS]&amp;ShowOnWeb=true&amp;Lang=en" r:id="rId2"/>
    <hyperlink xmlns:r="http://schemas.openxmlformats.org/officeDocument/2006/relationships" ref="A3" display="http://stats.oecd.org/OECDStat_Metadata/ShowMetadata.ashx?Dataset=QNA&amp;Coords=[LOCATION].[CAN]&amp;ShowOnWeb=true&amp;Lang=en" r:id="rId3"/>
    <hyperlink xmlns:r="http://schemas.openxmlformats.org/officeDocument/2006/relationships" ref="A4" display="http://stats.oecd.org/OECDStat_Metadata/ShowMetadata.ashx?Dataset=QNA&amp;Coords=[LOCATION].[JPN]&amp;ShowOnWeb=true&amp;Lang=en" r:id="rId4"/>
    <hyperlink xmlns:r="http://schemas.openxmlformats.org/officeDocument/2006/relationships" ref="A5" display="http://stats.oecd.org/OECDStat_Metadata/ShowMetadata.ashx?Dataset=QNA&amp;Coords=[LOCATION].[NZL]&amp;ShowOnWeb=true&amp;Lang=en" r:id="rId5"/>
    <hyperlink xmlns:r="http://schemas.openxmlformats.org/officeDocument/2006/relationships" ref="A6" display="http://stats.oecd.org/OECDStat_Metadata/ShowMetadata.ashx?Dataset=QNA&amp;Coords=[LOCATION].[CHE]&amp;ShowOnWeb=true&amp;Lang=en" r:id="rId6"/>
    <hyperlink xmlns:r="http://schemas.openxmlformats.org/officeDocument/2006/relationships" ref="A7" display="http://stats.oecd.org/OECDStat_Metadata/ShowMetadata.ashx?Dataset=QNA&amp;Coords=[LOCATION].[GBR]&amp;ShowOnWeb=true&amp;Lang=en" r:id="rId7"/>
    <hyperlink xmlns:r="http://schemas.openxmlformats.org/officeDocument/2006/relationships" ref="A8" display="http://stats.oecd.org/OECDStat_Metadata/ShowMetadata.ashx?Dataset=QNA&amp;Coords=[LOCATION].[USA]&amp;ShowOnWeb=true&amp;Lang=en" r:id="rId8"/>
    <hyperlink xmlns:r="http://schemas.openxmlformats.org/officeDocument/2006/relationships" ref="A9" display="http://stats.oecd.org/OECDStat_Metadata/ShowMetadata.ashx?Dataset=QNA&amp;Coords=[LOCATION].[EA19]&amp;ShowOnWeb=true&amp;Lang=en" r:id="rId9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6"/>
  <sheetViews>
    <sheetView zoomScale="112" zoomScaleNormal="40" workbookViewId="0">
      <pane xSplit="1" ySplit="2" topLeftCell="AK3" activePane="bottomRight" state="frozen"/>
      <selection pane="topRight" activeCell="B1" sqref="B1"/>
      <selection pane="bottomLeft" activeCell="A3" sqref="A3"/>
      <selection pane="bottomRight" activeCell="AT12" sqref="AT12"/>
    </sheetView>
  </sheetViews>
  <sheetFormatPr baseColWidth="10" defaultColWidth="12" defaultRowHeight="15" customHeight="1"/>
  <cols>
    <col width="22" customWidth="1" style="12" min="1" max="1"/>
    <col width="12" customWidth="1" style="12" min="2" max="56"/>
    <col width="16.83203125" customWidth="1" style="12" min="57" max="57"/>
    <col width="12" customWidth="1" style="12" min="58" max="16384"/>
  </cols>
  <sheetData>
    <row r="1" ht="15" customFormat="1" customHeight="1" s="13">
      <c r="A1" s="12" t="n"/>
    </row>
    <row r="2" ht="19.5" customFormat="1" customHeight="1" s="13">
      <c r="A2" s="14" t="inlineStr">
        <is>
          <t>BOP</t>
        </is>
      </c>
      <c r="B2" s="294" t="n">
        <v>44927</v>
      </c>
      <c r="C2" s="294" t="n">
        <v>44958</v>
      </c>
      <c r="D2" s="294" t="n">
        <v>44986</v>
      </c>
      <c r="E2" s="294" t="n">
        <v>45017</v>
      </c>
      <c r="F2" s="294" t="n">
        <v>45047</v>
      </c>
      <c r="G2" s="294" t="n">
        <v>45078</v>
      </c>
      <c r="H2" s="294" t="n">
        <v>45108</v>
      </c>
      <c r="I2" s="294" t="n">
        <v>45139</v>
      </c>
      <c r="J2" s="294" t="n">
        <v>45170</v>
      </c>
      <c r="K2" s="294" t="n">
        <v>45200</v>
      </c>
      <c r="L2" s="294" t="n">
        <v>45231</v>
      </c>
      <c r="M2" s="294" t="n">
        <v>45261</v>
      </c>
      <c r="N2" s="294" t="n">
        <v>45292</v>
      </c>
      <c r="O2" s="294" t="n">
        <v>45323</v>
      </c>
      <c r="P2" s="294" t="n">
        <v>45352</v>
      </c>
      <c r="Q2" s="294" t="n">
        <v>45383</v>
      </c>
      <c r="R2" s="294" t="n">
        <v>45413</v>
      </c>
      <c r="S2" s="294" t="n">
        <v>45444</v>
      </c>
      <c r="T2" s="294" t="n">
        <v>45474</v>
      </c>
      <c r="U2" s="294" t="n">
        <v>45505</v>
      </c>
      <c r="V2" s="294" t="n">
        <v>45536</v>
      </c>
      <c r="W2" s="294" t="n">
        <v>45566</v>
      </c>
      <c r="X2" s="294" t="n">
        <v>45597</v>
      </c>
      <c r="Y2" s="294" t="n">
        <v>45627</v>
      </c>
      <c r="Z2" s="294" t="n">
        <v>45658</v>
      </c>
      <c r="AA2" s="294" t="n">
        <v>45689</v>
      </c>
      <c r="AB2" s="294" t="n">
        <v>45717</v>
      </c>
      <c r="AC2" s="294" t="n">
        <v>45748</v>
      </c>
      <c r="AD2" s="294" t="n">
        <v>45778</v>
      </c>
      <c r="AE2" s="294" t="n">
        <v>45809</v>
      </c>
      <c r="AF2" s="294" t="n">
        <v>45839</v>
      </c>
      <c r="AG2" s="294" t="n">
        <v>45870</v>
      </c>
      <c r="AH2" s="294" t="n">
        <v>45901</v>
      </c>
      <c r="AI2" s="294" t="n">
        <v>45931</v>
      </c>
      <c r="AJ2" s="294" t="n">
        <v>45962</v>
      </c>
      <c r="AK2" s="294" t="n">
        <v>45992</v>
      </c>
      <c r="AL2" s="294" t="n">
        <v>46023</v>
      </c>
      <c r="AM2" s="294" t="n">
        <v>46054</v>
      </c>
      <c r="AN2" s="294" t="n">
        <v>46082</v>
      </c>
      <c r="AO2" s="294" t="n">
        <v>46113</v>
      </c>
      <c r="AP2" s="294" t="n">
        <v>46143</v>
      </c>
      <c r="AQ2" s="294" t="n">
        <v>46174</v>
      </c>
      <c r="AR2" s="294" t="n">
        <v>46204</v>
      </c>
      <c r="AS2" s="294" t="n">
        <v>46235</v>
      </c>
      <c r="AT2" s="294" t="n">
        <v>46266</v>
      </c>
      <c r="AU2" s="294" t="n">
        <v>46296</v>
      </c>
      <c r="AV2" s="294" t="n">
        <v>46327</v>
      </c>
      <c r="AW2" s="294" t="n">
        <v>46357</v>
      </c>
    </row>
    <row r="3" ht="30" customFormat="1" customHeight="1" s="18">
      <c r="A3" s="16" t="inlineStr">
        <is>
          <t>Australia</t>
        </is>
      </c>
      <c r="B3" s="210" t="n">
        <v>0.5178161</v>
      </c>
      <c r="C3" s="210" t="n">
        <v>0.5178161</v>
      </c>
      <c r="D3" s="210" t="n">
        <v>0.5178161</v>
      </c>
      <c r="E3" s="210" t="n">
        <v>-0.2283273</v>
      </c>
      <c r="F3" s="210" t="n">
        <v>-0.2283273</v>
      </c>
      <c r="G3" s="210" t="n">
        <v>-0.2283273</v>
      </c>
      <c r="H3" s="210" t="n">
        <v>-1.40563</v>
      </c>
      <c r="I3" s="210" t="n">
        <v>-1.40563</v>
      </c>
      <c r="J3" s="210" t="n">
        <v>-1.40563</v>
      </c>
      <c r="K3" s="210" t="n">
        <v>-0.2746948</v>
      </c>
      <c r="L3" s="210" t="n">
        <v>-0.2746948</v>
      </c>
      <c r="M3" s="210" t="n">
        <v>-0.2746948</v>
      </c>
      <c r="N3" s="210" t="n">
        <v>-1.318746</v>
      </c>
      <c r="O3" s="210" t="n">
        <v>-1.318746</v>
      </c>
      <c r="P3" s="210" t="n">
        <v>-1.318746</v>
      </c>
      <c r="Q3" s="210" t="n">
        <v>-2.394648</v>
      </c>
      <c r="R3" s="210" t="n">
        <v>-2.394648</v>
      </c>
      <c r="S3" s="210" t="n">
        <v>-2.394648</v>
      </c>
      <c r="T3" s="210" t="n">
        <v>-2.472772</v>
      </c>
      <c r="U3" s="210" t="n">
        <v>-2.472772</v>
      </c>
      <c r="V3" s="210" t="n">
        <v>-2.472772</v>
      </c>
      <c r="W3" s="210" t="n">
        <v>-2.611136</v>
      </c>
      <c r="X3" s="210" t="n">
        <v>-2.611136</v>
      </c>
      <c r="Y3" s="210" t="n">
        <v>-2.611136</v>
      </c>
      <c r="Z3" s="210" t="n">
        <v>-2.264893</v>
      </c>
      <c r="AA3" s="210" t="n">
        <v>-2.264893</v>
      </c>
      <c r="AB3" s="210" t="n">
        <v>-2.264893</v>
      </c>
      <c r="AC3" s="210" t="n">
        <v>-2.380304</v>
      </c>
      <c r="AD3" s="210" t="n">
        <v>-2.380304</v>
      </c>
      <c r="AE3" s="210" t="n">
        <v>-2.380304</v>
      </c>
      <c r="AF3" s="210" t="n">
        <v>-2.648238</v>
      </c>
      <c r="AG3" s="210" t="n">
        <v>-2.648238</v>
      </c>
      <c r="AH3" s="210" t="n">
        <v>-2.648238</v>
      </c>
      <c r="AI3" s="211" t="n">
        <v>-3.106944</v>
      </c>
      <c r="AJ3" s="211" t="n">
        <v>-3.106944</v>
      </c>
      <c r="AK3" s="211" t="n">
        <v>-3.106944</v>
      </c>
      <c r="AL3" s="211" t="n">
        <v>-3.453962</v>
      </c>
      <c r="AM3" s="211" t="n">
        <v>-3.453962</v>
      </c>
      <c r="AN3" s="211" t="n">
        <v>-3.453962</v>
      </c>
      <c r="AO3" s="267" t="n">
        <v>-3.665983</v>
      </c>
      <c r="AP3" s="267" t="n">
        <v>-3.665983</v>
      </c>
      <c r="AQ3" s="267" t="n">
        <v>-3.665983</v>
      </c>
      <c r="AR3" s="267" t="n">
        <v>-3.665983</v>
      </c>
      <c r="AS3" s="267" t="n">
        <v>-3.665983</v>
      </c>
      <c r="AT3" s="267" t="n">
        <v>-3.665983</v>
      </c>
      <c r="AU3" s="212" t="n"/>
      <c r="AV3" s="212" t="n"/>
      <c r="AW3" s="212" t="n"/>
    </row>
    <row r="4" ht="30" customFormat="1" customHeight="1" s="20">
      <c r="A4" s="19" t="inlineStr">
        <is>
          <t>Canada</t>
        </is>
      </c>
      <c r="B4" s="210" t="n">
        <v>-0.9103057</v>
      </c>
      <c r="C4" s="210" t="n">
        <v>-0.9103057</v>
      </c>
      <c r="D4" s="210" t="n">
        <v>-0.9103057</v>
      </c>
      <c r="E4" s="210" t="n">
        <v>-0.7758245</v>
      </c>
      <c r="F4" s="210" t="n">
        <v>-0.7758245</v>
      </c>
      <c r="G4" s="210" t="n">
        <v>-0.7758245</v>
      </c>
      <c r="H4" s="210" t="n">
        <v>-0.7987552999999999</v>
      </c>
      <c r="I4" s="210" t="n">
        <v>-0.7987552999999999</v>
      </c>
      <c r="J4" s="210" t="n">
        <v>-0.7987552999999999</v>
      </c>
      <c r="K4" s="210" t="n">
        <v>-0.2814779</v>
      </c>
      <c r="L4" s="210" t="n">
        <v>-0.2814779</v>
      </c>
      <c r="M4" s="210" t="n">
        <v>-0.2814779</v>
      </c>
      <c r="N4" s="210" t="n">
        <v>-0.7692237</v>
      </c>
      <c r="O4" s="210" t="n">
        <v>-0.7692237</v>
      </c>
      <c r="P4" s="210" t="n">
        <v>-0.7692237</v>
      </c>
      <c r="Q4" s="210" t="n">
        <v>-0.4802992</v>
      </c>
      <c r="R4" s="210" t="n">
        <v>-0.4802992</v>
      </c>
      <c r="S4" s="210" t="n">
        <v>-0.4802992</v>
      </c>
      <c r="T4" s="210" t="n">
        <v>-0.5910502</v>
      </c>
      <c r="U4" s="210" t="n">
        <v>-0.5910502</v>
      </c>
      <c r="V4" s="210" t="n">
        <v>-0.5910502</v>
      </c>
      <c r="W4" s="210" t="n">
        <v>-0.1004742</v>
      </c>
      <c r="X4" s="210" t="n">
        <v>-0.1004742</v>
      </c>
      <c r="Y4" s="210" t="n">
        <v>-0.1004742</v>
      </c>
      <c r="Z4" s="210" t="n">
        <v>-0.3616118</v>
      </c>
      <c r="AA4" s="210" t="n">
        <v>-0.3616118</v>
      </c>
      <c r="AB4" s="210" t="n">
        <v>-0.3616118</v>
      </c>
      <c r="AC4" s="210" t="n">
        <v>-2.715445</v>
      </c>
      <c r="AD4" s="210" t="n">
        <v>-2.715445</v>
      </c>
      <c r="AE4" s="210" t="n">
        <v>-2.715445</v>
      </c>
      <c r="AF4" s="210" t="n">
        <v>-0.6209641</v>
      </c>
      <c r="AG4" s="210" t="n">
        <v>-0.6209641</v>
      </c>
      <c r="AH4" s="210" t="n">
        <v>-0.6209641</v>
      </c>
      <c r="AI4" s="211" t="n">
        <v>-0.1228772</v>
      </c>
      <c r="AJ4" s="211" t="n">
        <v>-0.1228772</v>
      </c>
      <c r="AK4" s="211" t="n">
        <v>-0.1228772</v>
      </c>
      <c r="AL4" s="211" t="n">
        <v>-0.9986504</v>
      </c>
      <c r="AM4" s="211" t="n">
        <v>-0.9986504</v>
      </c>
      <c r="AN4" s="211" t="n">
        <v>-0.9986504</v>
      </c>
      <c r="AO4" s="267" t="n">
        <v>1.028123</v>
      </c>
      <c r="AP4" s="267" t="n">
        <v>1.028123</v>
      </c>
      <c r="AQ4" s="267" t="n">
        <v>1.028123</v>
      </c>
      <c r="AR4" s="267" t="n">
        <v>1.028123</v>
      </c>
      <c r="AS4" s="267" t="n">
        <v>1.028123</v>
      </c>
      <c r="AT4" s="267" t="n">
        <v>1.028123</v>
      </c>
      <c r="AU4" s="213" t="n"/>
      <c r="AV4" s="213" t="n"/>
      <c r="AW4" s="213" t="n"/>
    </row>
    <row r="5" ht="30" customFormat="1" customHeight="1" s="21">
      <c r="A5" s="19" t="inlineStr">
        <is>
          <t>Japan</t>
        </is>
      </c>
      <c r="B5" s="210" t="n">
        <v>2.198734</v>
      </c>
      <c r="C5" s="210" t="n">
        <v>2.198734</v>
      </c>
      <c r="D5" s="210" t="n">
        <v>2.198734</v>
      </c>
      <c r="E5" s="210" t="n">
        <v>3.925856</v>
      </c>
      <c r="F5" s="210" t="n">
        <v>3.925856</v>
      </c>
      <c r="G5" s="210" t="n">
        <v>3.925856</v>
      </c>
      <c r="H5" s="210" t="n">
        <v>4.356519</v>
      </c>
      <c r="I5" s="210" t="n">
        <v>4.356519</v>
      </c>
      <c r="J5" s="210" t="n">
        <v>4.356519</v>
      </c>
      <c r="K5" s="210" t="n">
        <v>4.297242</v>
      </c>
      <c r="L5" s="210" t="n">
        <v>4.297242</v>
      </c>
      <c r="M5" s="210" t="n">
        <v>4.297242</v>
      </c>
      <c r="N5" s="210" t="n">
        <v>4.324823</v>
      </c>
      <c r="O5" s="210" t="n">
        <v>4.324823</v>
      </c>
      <c r="P5" s="210" t="n">
        <v>4.324823</v>
      </c>
      <c r="Q5" s="210" t="n">
        <v>4.471209</v>
      </c>
      <c r="R5" s="210" t="n">
        <v>4.471209</v>
      </c>
      <c r="S5" s="210" t="n">
        <v>4.471209</v>
      </c>
      <c r="T5" s="210" t="n">
        <v>4.842206</v>
      </c>
      <c r="U5" s="210" t="n">
        <v>4.842206</v>
      </c>
      <c r="V5" s="210" t="n">
        <v>4.842206</v>
      </c>
      <c r="W5" s="210" t="n">
        <v>4.697466</v>
      </c>
      <c r="X5" s="210" t="n">
        <v>4.697466</v>
      </c>
      <c r="Y5" s="210" t="n">
        <v>4.697466</v>
      </c>
      <c r="Z5" s="210" t="n">
        <v>4.628131</v>
      </c>
      <c r="AA5" s="210" t="n">
        <v>4.628131</v>
      </c>
      <c r="AB5" s="210" t="n">
        <v>4.628131</v>
      </c>
      <c r="AC5" s="210" t="n">
        <v>4.412066</v>
      </c>
      <c r="AD5" s="210" t="n">
        <v>4.412066</v>
      </c>
      <c r="AE5" s="210" t="n">
        <v>4.412066</v>
      </c>
      <c r="AF5" s="210" t="n">
        <v>5.328309</v>
      </c>
      <c r="AG5" s="210" t="n">
        <v>5.328309</v>
      </c>
      <c r="AH5" s="210" t="n">
        <v>5.328309</v>
      </c>
      <c r="AI5" s="210" t="n">
        <v>4.902074</v>
      </c>
      <c r="AJ5" s="210" t="n">
        <v>4.902074</v>
      </c>
      <c r="AK5" s="210" t="n">
        <v>4.902074</v>
      </c>
      <c r="AL5" s="256" t="n">
        <v>5.809678</v>
      </c>
      <c r="AM5" s="256" t="n">
        <v>5.809678</v>
      </c>
      <c r="AN5" s="256" t="n">
        <v>5.809678</v>
      </c>
      <c r="AO5" s="268" t="n">
        <v>5.033247</v>
      </c>
      <c r="AP5" s="268" t="n">
        <v>5.033247</v>
      </c>
      <c r="AQ5" s="268" t="n">
        <v>5.033247</v>
      </c>
      <c r="AR5" s="269" t="n">
        <v>5.033247</v>
      </c>
      <c r="AS5" s="269" t="n">
        <v>5.033247</v>
      </c>
      <c r="AT5" s="269" t="n">
        <v>5.033247</v>
      </c>
      <c r="AU5" s="188" t="n"/>
      <c r="AV5" s="188" t="n"/>
      <c r="AW5" s="188" t="n"/>
    </row>
    <row r="6" ht="30" customHeight="1" thickBot="1">
      <c r="A6" s="19" t="inlineStr">
        <is>
          <t>Switzerland</t>
        </is>
      </c>
      <c r="B6" s="210" t="n">
        <v>5.051963</v>
      </c>
      <c r="C6" s="210" t="n">
        <v>5.051963</v>
      </c>
      <c r="D6" s="210" t="n">
        <v>5.051963</v>
      </c>
      <c r="E6" s="210" t="n">
        <v>6.851121</v>
      </c>
      <c r="F6" s="210" t="n">
        <v>6.851121</v>
      </c>
      <c r="G6" s="210" t="n">
        <v>6.851121</v>
      </c>
      <c r="H6" s="210" t="n">
        <v>7.81084</v>
      </c>
      <c r="I6" s="210" t="n">
        <v>7.81084</v>
      </c>
      <c r="J6" s="210" t="n">
        <v>7.81084</v>
      </c>
      <c r="K6" s="210" t="n">
        <v>3.0269</v>
      </c>
      <c r="L6" s="210" t="n">
        <v>3.0269</v>
      </c>
      <c r="M6" s="210" t="n">
        <v>3.0269</v>
      </c>
      <c r="N6" s="210" t="n">
        <v>11.87226</v>
      </c>
      <c r="O6" s="210" t="n">
        <v>11.87226</v>
      </c>
      <c r="P6" s="210" t="n">
        <v>11.87226</v>
      </c>
      <c r="Q6" s="210" t="n">
        <v>11.46023</v>
      </c>
      <c r="R6" s="210" t="n">
        <v>11.46023</v>
      </c>
      <c r="S6" s="210" t="n">
        <v>11.46023</v>
      </c>
      <c r="T6" s="210" t="n">
        <v>3.415149</v>
      </c>
      <c r="U6" s="210" t="n">
        <v>3.415149</v>
      </c>
      <c r="V6" s="210" t="n">
        <v>3.415149</v>
      </c>
      <c r="W6" s="210" t="n">
        <v>9.550939</v>
      </c>
      <c r="X6" s="210" t="n">
        <v>9.550939</v>
      </c>
      <c r="Y6" s="210" t="n">
        <v>9.550939</v>
      </c>
      <c r="Z6" s="210" t="n">
        <v>15.59482</v>
      </c>
      <c r="AA6" s="210" t="n">
        <v>15.59482</v>
      </c>
      <c r="AB6" s="210" t="n">
        <v>15.59482</v>
      </c>
      <c r="AC6" s="210" t="n">
        <v>3.399356</v>
      </c>
      <c r="AD6" s="210" t="n">
        <v>3.399356</v>
      </c>
      <c r="AE6" s="210" t="n">
        <v>3.399356</v>
      </c>
      <c r="AF6" s="210" t="n">
        <v>4.245384</v>
      </c>
      <c r="AG6" s="210" t="n">
        <v>4.245384</v>
      </c>
      <c r="AH6" s="210" t="n">
        <v>4.245384</v>
      </c>
      <c r="AI6" s="214" t="n">
        <v>0.1449953</v>
      </c>
      <c r="AJ6" s="214" t="n">
        <v>0.1449953</v>
      </c>
      <c r="AK6" s="214" t="n">
        <v>0.1449953</v>
      </c>
      <c r="AL6" s="214" t="n">
        <v>10.02279</v>
      </c>
      <c r="AM6" s="214" t="n">
        <v>10.02279</v>
      </c>
      <c r="AN6" s="214" t="n">
        <v>10.02279</v>
      </c>
      <c r="AO6" s="270" t="n">
        <v>9.198192000000001</v>
      </c>
      <c r="AP6" s="270" t="n">
        <v>9.198192000000001</v>
      </c>
      <c r="AQ6" s="270" t="n">
        <v>9.198192000000001</v>
      </c>
      <c r="AR6" s="270" t="n">
        <v>9.198192000000001</v>
      </c>
      <c r="AS6" s="270" t="n">
        <v>9.198192000000001</v>
      </c>
      <c r="AT6" s="270" t="n">
        <v>9.198192000000001</v>
      </c>
      <c r="AU6" s="213" t="n"/>
      <c r="AV6" s="213" t="n"/>
      <c r="AW6" s="213" t="n"/>
    </row>
    <row r="7" ht="30" customHeight="1">
      <c r="A7" s="19" t="inlineStr">
        <is>
          <t>New Zealand</t>
        </is>
      </c>
      <c r="B7" s="210" t="n">
        <v>-7.207618</v>
      </c>
      <c r="C7" s="210" t="n">
        <v>-7.207618</v>
      </c>
      <c r="D7" s="210" t="n">
        <v>-7.207618</v>
      </c>
      <c r="E7" s="210" t="n">
        <v>-5.753605</v>
      </c>
      <c r="F7" s="210" t="n">
        <v>-5.753605</v>
      </c>
      <c r="G7" s="210" t="n">
        <v>-5.753605</v>
      </c>
      <c r="H7" s="210" t="n">
        <v>-5.886574</v>
      </c>
      <c r="I7" s="210" t="n">
        <v>-5.886574</v>
      </c>
      <c r="J7" s="210" t="n">
        <v>-5.886574</v>
      </c>
      <c r="K7" s="210" t="n">
        <v>-5.338708</v>
      </c>
      <c r="L7" s="210" t="n">
        <v>-5.338708</v>
      </c>
      <c r="M7" s="210" t="n">
        <v>-5.338708</v>
      </c>
      <c r="N7" s="210" t="n">
        <v>-5.368975</v>
      </c>
      <c r="O7" s="210" t="n">
        <v>-5.368975</v>
      </c>
      <c r="P7" s="210" t="n">
        <v>-5.368975</v>
      </c>
      <c r="Q7" s="210" t="n">
        <v>-5.430479</v>
      </c>
      <c r="R7" s="210" t="n">
        <v>-5.430479</v>
      </c>
      <c r="S7" s="210" t="n">
        <v>-5.430479</v>
      </c>
      <c r="T7" s="210" t="n">
        <v>-4.83238</v>
      </c>
      <c r="U7" s="210" t="n">
        <v>-4.83238</v>
      </c>
      <c r="V7" s="210" t="n">
        <v>-4.83238</v>
      </c>
      <c r="W7" s="210" t="n">
        <v>-4.003401</v>
      </c>
      <c r="X7" s="210" t="n">
        <v>-4.003401</v>
      </c>
      <c r="Y7" s="210" t="n">
        <v>-4.003401</v>
      </c>
      <c r="Z7" s="210" t="n">
        <v>-3.545576</v>
      </c>
      <c r="AA7" s="210" t="n">
        <v>-3.545576</v>
      </c>
      <c r="AB7" s="210" t="n">
        <v>-3.545576</v>
      </c>
      <c r="AC7" s="210" t="n">
        <v>-2.391005</v>
      </c>
      <c r="AD7" s="210" t="n">
        <v>-2.391005</v>
      </c>
      <c r="AE7" s="210" t="n">
        <v>-2.391005</v>
      </c>
      <c r="AF7" s="210" t="n">
        <v>-2.354201</v>
      </c>
      <c r="AG7" s="210" t="n">
        <v>-2.354201</v>
      </c>
      <c r="AH7" s="210" t="n">
        <v>-2.354201</v>
      </c>
      <c r="AI7" s="214" t="n">
        <v>-3.647876</v>
      </c>
      <c r="AJ7" s="214" t="n">
        <v>-3.647876</v>
      </c>
      <c r="AK7" s="214" t="n">
        <v>-3.647876</v>
      </c>
      <c r="AL7" s="214" t="n">
        <v>-3.849324</v>
      </c>
      <c r="AM7" s="214" t="n">
        <v>-3.849324</v>
      </c>
      <c r="AN7" s="214" t="n">
        <v>-3.849324</v>
      </c>
      <c r="AO7" s="270" t="n">
        <v>-3.255669</v>
      </c>
      <c r="AP7" s="270" t="n">
        <v>-3.255669</v>
      </c>
      <c r="AQ7" s="270" t="n">
        <v>-3.255669</v>
      </c>
      <c r="AR7" s="270" t="n">
        <v>-3.255669</v>
      </c>
      <c r="AS7" s="270" t="n">
        <v>-3.255669</v>
      </c>
      <c r="AT7" s="270" t="n">
        <v>-3.255669</v>
      </c>
      <c r="AU7" s="215" t="n"/>
      <c r="AV7" s="215" t="n"/>
      <c r="AW7" s="215" t="n"/>
      <c r="AY7" s="22" t="n">
        <v>14</v>
      </c>
      <c r="AZ7" s="23" t="n">
        <v>10</v>
      </c>
    </row>
    <row r="8" ht="30" customHeight="1">
      <c r="A8" s="19" t="inlineStr">
        <is>
          <t>United Kingdom</t>
        </is>
      </c>
      <c r="B8" s="210" t="n">
        <v>-2.913895</v>
      </c>
      <c r="C8" s="210" t="n">
        <v>-2.913895</v>
      </c>
      <c r="D8" s="210" t="n">
        <v>-2.913895</v>
      </c>
      <c r="E8" s="210" t="n">
        <v>-5.029161</v>
      </c>
      <c r="F8" s="210" t="n">
        <v>-5.029161</v>
      </c>
      <c r="G8" s="210" t="n">
        <v>-5.029161</v>
      </c>
      <c r="H8" s="210" t="n">
        <v>-2.271199</v>
      </c>
      <c r="I8" s="210" t="n">
        <v>-2.271199</v>
      </c>
      <c r="J8" s="210" t="n">
        <v>-2.271199</v>
      </c>
      <c r="K8" s="210" t="n">
        <v>-4.062315</v>
      </c>
      <c r="L8" s="210" t="n">
        <v>-4.062315</v>
      </c>
      <c r="M8" s="210" t="n">
        <v>-4.062315</v>
      </c>
      <c r="N8" s="210" t="n">
        <v>-2.972881</v>
      </c>
      <c r="O8" s="210" t="n">
        <v>-2.972881</v>
      </c>
      <c r="P8" s="210" t="n">
        <v>-2.972881</v>
      </c>
      <c r="Q8" s="210" t="n">
        <v>-3.261572</v>
      </c>
      <c r="R8" s="210" t="n">
        <v>-3.261572</v>
      </c>
      <c r="S8" s="210" t="n">
        <v>-3.261572</v>
      </c>
      <c r="T8" s="210" t="n">
        <v>-1.932302</v>
      </c>
      <c r="U8" s="210" t="n">
        <v>-1.932302</v>
      </c>
      <c r="V8" s="210" t="n">
        <v>-1.932302</v>
      </c>
      <c r="W8" s="210" t="n">
        <v>-3.654375</v>
      </c>
      <c r="X8" s="210" t="n">
        <v>-3.654375</v>
      </c>
      <c r="Y8" s="210" t="n">
        <v>-3.654375</v>
      </c>
      <c r="Z8" s="210" t="n">
        <v>-3.101889</v>
      </c>
      <c r="AA8" s="210" t="n">
        <v>-3.101889</v>
      </c>
      <c r="AB8" s="210" t="n">
        <v>-3.101889</v>
      </c>
      <c r="AC8" s="210" t="n">
        <v>-3.238587</v>
      </c>
      <c r="AD8" s="210" t="n">
        <v>-3.238587</v>
      </c>
      <c r="AE8" s="210" t="n">
        <v>-3.238587</v>
      </c>
      <c r="AF8" s="210" t="n">
        <v>-2.634263</v>
      </c>
      <c r="AG8" s="210" t="n">
        <v>-2.634263</v>
      </c>
      <c r="AH8" s="210" t="n">
        <v>-2.634263</v>
      </c>
      <c r="AI8" s="211" t="n">
        <v>-3.541209</v>
      </c>
      <c r="AJ8" s="211" t="n">
        <v>-3.541209</v>
      </c>
      <c r="AK8" s="211" t="n">
        <v>-3.541209</v>
      </c>
      <c r="AL8" s="211" t="n">
        <v>-2.835533</v>
      </c>
      <c r="AM8" s="211" t="n">
        <v>-2.835533</v>
      </c>
      <c r="AN8" s="211" t="n">
        <v>-2.835533</v>
      </c>
      <c r="AO8" s="267" t="n">
        <v>-2.835533</v>
      </c>
      <c r="AP8" s="267" t="n">
        <v>-2.835533</v>
      </c>
      <c r="AQ8" s="267" t="n">
        <v>-2.835533</v>
      </c>
      <c r="AR8" s="267" t="n">
        <v>-2.835533</v>
      </c>
      <c r="AS8" s="267" t="n">
        <v>-2.835533</v>
      </c>
      <c r="AT8" s="267" t="n">
        <v>-2.835533</v>
      </c>
      <c r="AU8" s="212" t="n"/>
      <c r="AV8" s="212" t="n"/>
      <c r="AW8" s="212" t="n"/>
      <c r="AY8" s="24" t="n">
        <v>12</v>
      </c>
      <c r="AZ8" s="25" t="n">
        <v>9</v>
      </c>
    </row>
    <row r="9" ht="30" customHeight="1">
      <c r="A9" s="26" t="inlineStr">
        <is>
          <t>United States</t>
        </is>
      </c>
      <c r="B9" s="210" t="n">
        <v>-3.276534</v>
      </c>
      <c r="C9" s="210" t="n">
        <v>-3.276534</v>
      </c>
      <c r="D9" s="210" t="n">
        <v>-3.276534</v>
      </c>
      <c r="E9" s="210" t="n">
        <v>-3.371748</v>
      </c>
      <c r="F9" s="210" t="n">
        <v>-3.371748</v>
      </c>
      <c r="G9" s="210" t="n">
        <v>-3.371748</v>
      </c>
      <c r="H9" s="210" t="n">
        <v>-3.181111</v>
      </c>
      <c r="I9" s="210" t="n">
        <v>-3.181111</v>
      </c>
      <c r="J9" s="210" t="n">
        <v>-3.181111</v>
      </c>
      <c r="K9" s="210" t="n">
        <v>-3.561928</v>
      </c>
      <c r="L9" s="210" t="n">
        <v>-3.561928</v>
      </c>
      <c r="M9" s="210" t="n">
        <v>-3.561928</v>
      </c>
      <c r="N9" s="210" t="n">
        <v>-3.606222</v>
      </c>
      <c r="O9" s="210" t="n">
        <v>-3.606222</v>
      </c>
      <c r="P9" s="210" t="n">
        <v>-3.606222</v>
      </c>
      <c r="Q9" s="210" t="n">
        <v>-3.882617</v>
      </c>
      <c r="R9" s="210" t="n">
        <v>-3.882617</v>
      </c>
      <c r="S9" s="210" t="n">
        <v>-3.882617</v>
      </c>
      <c r="T9" s="210" t="n">
        <v>-4.48155</v>
      </c>
      <c r="U9" s="210" t="n">
        <v>-4.48155</v>
      </c>
      <c r="V9" s="210" t="n">
        <v>-4.48155</v>
      </c>
      <c r="W9" s="210" t="n">
        <v>-4.375336</v>
      </c>
      <c r="X9" s="210" t="n">
        <v>-4.375336</v>
      </c>
      <c r="Y9" s="210" t="n">
        <v>-4.375336</v>
      </c>
      <c r="Z9" s="210" t="n">
        <v>-5.834996</v>
      </c>
      <c r="AA9" s="210" t="n">
        <v>-5.834996</v>
      </c>
      <c r="AB9" s="210" t="n">
        <v>-5.834996</v>
      </c>
      <c r="AC9" s="210" t="n">
        <v>-3.344384</v>
      </c>
      <c r="AD9" s="210" t="n">
        <v>-3.344384</v>
      </c>
      <c r="AE9" s="210" t="n">
        <v>-3.344384</v>
      </c>
      <c r="AF9" s="210" t="n">
        <v>-3.381205</v>
      </c>
      <c r="AG9" s="210" t="n">
        <v>-3.381205</v>
      </c>
      <c r="AH9" s="210" t="n">
        <v>-3.381205</v>
      </c>
      <c r="AI9" s="211" t="n">
        <v>-2.814096</v>
      </c>
      <c r="AJ9" s="211" t="n">
        <v>-2.814096</v>
      </c>
      <c r="AK9" s="211" t="n">
        <v>-2.814096</v>
      </c>
      <c r="AL9" s="211" t="n">
        <v>-2.668661</v>
      </c>
      <c r="AM9" s="211" t="n">
        <v>-2.668661</v>
      </c>
      <c r="AN9" s="211" t="n">
        <v>-2.668661</v>
      </c>
      <c r="AO9" s="271" t="n">
        <v>-3.029274</v>
      </c>
      <c r="AP9" s="271" t="n">
        <v>-3.029274</v>
      </c>
      <c r="AQ9" s="271" t="n">
        <v>-3.029274</v>
      </c>
      <c r="AR9" s="271" t="n">
        <v>-3.029274</v>
      </c>
      <c r="AS9" s="271" t="n">
        <v>-3.029274</v>
      </c>
      <c r="AT9" s="271" t="n">
        <v>-3.029274</v>
      </c>
      <c r="AU9" s="216" t="n"/>
      <c r="AV9" s="216" t="n"/>
      <c r="AW9" s="216" t="n"/>
      <c r="AY9" s="24" t="n">
        <v>11</v>
      </c>
      <c r="AZ9" s="25" t="n">
        <v>8</v>
      </c>
    </row>
    <row r="10" ht="30" customHeight="1">
      <c r="A10" s="27" t="inlineStr">
        <is>
          <t>EURO AREA</t>
        </is>
      </c>
      <c r="B10" s="210" t="n">
        <v>0.9049218999999999</v>
      </c>
      <c r="C10" s="210" t="n">
        <v>0.9049218999999999</v>
      </c>
      <c r="D10" s="210" t="n">
        <v>0.9049218999999999</v>
      </c>
      <c r="E10" s="210" t="n">
        <v>1.469623</v>
      </c>
      <c r="F10" s="210" t="n">
        <v>1.469623</v>
      </c>
      <c r="G10" s="210" t="n">
        <v>1.469623</v>
      </c>
      <c r="H10" s="210" t="n">
        <v>1.854201</v>
      </c>
      <c r="I10" s="210" t="n">
        <v>1.854201</v>
      </c>
      <c r="J10" s="210" t="n">
        <v>1.854201</v>
      </c>
      <c r="K10" s="210" t="n">
        <v>2.415108</v>
      </c>
      <c r="L10" s="210" t="n">
        <v>2.415108</v>
      </c>
      <c r="M10" s="210" t="n">
        <v>2.415108</v>
      </c>
      <c r="N10" s="210" t="n">
        <v>2.868217</v>
      </c>
      <c r="O10" s="210" t="n">
        <v>2.868217</v>
      </c>
      <c r="P10" s="210" t="n">
        <v>2.868217</v>
      </c>
      <c r="Q10" s="210" t="n">
        <v>3.068143</v>
      </c>
      <c r="R10" s="210" t="n">
        <v>3.068143</v>
      </c>
      <c r="S10" s="210" t="n">
        <v>3.068143</v>
      </c>
      <c r="T10" s="210" t="n">
        <v>2.158417</v>
      </c>
      <c r="U10" s="210" t="n">
        <v>2.158417</v>
      </c>
      <c r="V10" s="210" t="n">
        <v>2.158417</v>
      </c>
      <c r="W10" s="210" t="n">
        <v>2.027561</v>
      </c>
      <c r="X10" s="210" t="n">
        <v>2.027561</v>
      </c>
      <c r="Y10" s="210" t="n">
        <v>2.027561</v>
      </c>
      <c r="Z10" s="210" t="n">
        <v>1.647232</v>
      </c>
      <c r="AA10" s="210" t="n">
        <v>1.647232</v>
      </c>
      <c r="AB10" s="210" t="n">
        <v>1.647232</v>
      </c>
      <c r="AC10" s="210" t="n">
        <v>1.952547</v>
      </c>
      <c r="AD10" s="210" t="n">
        <v>1.952547</v>
      </c>
      <c r="AE10" s="210" t="n">
        <v>1.952547</v>
      </c>
      <c r="AF10" s="210" t="n">
        <v>1.41954</v>
      </c>
      <c r="AG10" s="210" t="n">
        <v>1.41954</v>
      </c>
      <c r="AH10" s="210" t="n">
        <v>1.41954</v>
      </c>
      <c r="AI10" s="210" t="n">
        <v>1.554832</v>
      </c>
      <c r="AJ10" s="210" t="n">
        <v>1.554832</v>
      </c>
      <c r="AK10" s="210" t="n">
        <v>1.554832</v>
      </c>
      <c r="AL10" s="210" t="n">
        <v>1.917209</v>
      </c>
      <c r="AM10" s="210" t="n">
        <v>1.917209</v>
      </c>
      <c r="AN10" s="210" t="n">
        <v>1.917209</v>
      </c>
      <c r="AO10" s="266" t="n">
        <v>1.917209</v>
      </c>
      <c r="AP10" s="266" t="n">
        <v>1.917209</v>
      </c>
      <c r="AQ10" s="266" t="n">
        <v>1.917209</v>
      </c>
      <c r="AR10" s="266" t="n">
        <v>1.917209</v>
      </c>
      <c r="AS10" s="266" t="n">
        <v>1.917209</v>
      </c>
      <c r="AT10" s="266" t="n">
        <v>1.917209</v>
      </c>
      <c r="AU10" s="212" t="n"/>
      <c r="AV10" s="212" t="n"/>
      <c r="AW10" s="212" t="n"/>
      <c r="AY10" s="24" t="n">
        <v>10</v>
      </c>
      <c r="AZ10" s="25" t="n">
        <v>7</v>
      </c>
    </row>
    <row r="11" ht="15" customHeight="1">
      <c r="Z11" s="127" t="n"/>
      <c r="AV11" s="53" t="n"/>
      <c r="AW11" s="53" t="n"/>
      <c r="AY11" s="24" t="n">
        <v>9</v>
      </c>
      <c r="AZ11" s="25" t="n">
        <v>6</v>
      </c>
    </row>
    <row r="12" ht="15" customHeight="1">
      <c r="AX12" s="12" t="n">
        <v>8</v>
      </c>
      <c r="AY12" s="24" t="n">
        <v>8</v>
      </c>
      <c r="AZ12" s="25" t="n">
        <v>5</v>
      </c>
    </row>
    <row r="13" ht="15" customHeight="1">
      <c r="AY13" s="24" t="n">
        <v>7</v>
      </c>
      <c r="AZ13" s="25" t="n">
        <v>4</v>
      </c>
    </row>
    <row r="14" ht="25" customHeight="1">
      <c r="A14" s="28" t="inlineStr">
        <is>
          <t>Paire</t>
        </is>
      </c>
      <c r="B14" s="294" t="n">
        <v>44927</v>
      </c>
      <c r="C14" s="294" t="n">
        <v>44958</v>
      </c>
      <c r="D14" s="294" t="n">
        <v>44986</v>
      </c>
      <c r="E14" s="294" t="n">
        <v>45017</v>
      </c>
      <c r="F14" s="294" t="n">
        <v>45047</v>
      </c>
      <c r="G14" s="294" t="n">
        <v>45078</v>
      </c>
      <c r="H14" s="294" t="n">
        <v>45108</v>
      </c>
      <c r="I14" s="294" t="n">
        <v>45139</v>
      </c>
      <c r="J14" s="294" t="n">
        <v>45170</v>
      </c>
      <c r="K14" s="294" t="n">
        <v>45200</v>
      </c>
      <c r="L14" s="294" t="n">
        <v>45231</v>
      </c>
      <c r="M14" s="294" t="n">
        <v>45261</v>
      </c>
      <c r="N14" s="294" t="n">
        <v>45292</v>
      </c>
      <c r="O14" s="294" t="n">
        <v>45323</v>
      </c>
      <c r="P14" s="294" t="n">
        <v>45352</v>
      </c>
      <c r="Q14" s="294" t="n">
        <v>45383</v>
      </c>
      <c r="R14" s="294" t="n">
        <v>45413</v>
      </c>
      <c r="S14" s="294" t="n">
        <v>45444</v>
      </c>
      <c r="T14" s="294" t="n">
        <v>45474</v>
      </c>
      <c r="U14" s="294" t="n">
        <v>45505</v>
      </c>
      <c r="V14" s="294" t="n">
        <v>45536</v>
      </c>
      <c r="W14" s="294" t="n">
        <v>45566</v>
      </c>
      <c r="X14" s="294" t="n">
        <v>45597</v>
      </c>
      <c r="Y14" s="294" t="n">
        <v>45627</v>
      </c>
      <c r="Z14" s="294" t="n">
        <v>45658</v>
      </c>
      <c r="AA14" s="294" t="n">
        <v>45689</v>
      </c>
      <c r="AB14" s="294" t="n">
        <v>45717</v>
      </c>
      <c r="AC14" s="294" t="n">
        <v>45748</v>
      </c>
      <c r="AD14" s="294" t="n">
        <v>45778</v>
      </c>
      <c r="AE14" s="294" t="n">
        <v>45809</v>
      </c>
      <c r="AF14" s="294" t="n">
        <v>45839</v>
      </c>
      <c r="AG14" s="294" t="n">
        <v>45870</v>
      </c>
      <c r="AH14" s="294" t="n">
        <v>45901</v>
      </c>
      <c r="AI14" s="294" t="n">
        <v>45931</v>
      </c>
      <c r="AJ14" s="294" t="n">
        <v>45962</v>
      </c>
      <c r="AK14" s="294" t="n">
        <v>45992</v>
      </c>
      <c r="AL14" s="294" t="n">
        <v>46023</v>
      </c>
      <c r="AM14" s="294" t="n">
        <v>46054</v>
      </c>
      <c r="AN14" s="294" t="n">
        <v>46082</v>
      </c>
      <c r="AO14" s="294" t="n">
        <v>46113</v>
      </c>
      <c r="AP14" s="294" t="n">
        <v>46143</v>
      </c>
      <c r="AQ14" s="294" t="n">
        <v>46174</v>
      </c>
      <c r="AR14" s="294" t="n">
        <v>46204</v>
      </c>
      <c r="AS14" s="294" t="n">
        <v>46235</v>
      </c>
      <c r="AT14" s="294" t="n">
        <v>46266</v>
      </c>
      <c r="AU14" s="294" t="n">
        <v>46296</v>
      </c>
      <c r="AV14" s="294" t="n">
        <v>46327</v>
      </c>
      <c r="AW14" s="294" t="n">
        <v>46357</v>
      </c>
      <c r="AY14" s="24" t="n">
        <v>6</v>
      </c>
      <c r="AZ14" s="25" t="n">
        <v>3</v>
      </c>
    </row>
    <row r="15" ht="25" customHeight="1">
      <c r="A15" s="29" t="inlineStr">
        <is>
          <t>USD JPY</t>
        </is>
      </c>
      <c r="B15" s="30">
        <f>B9-B5</f>
        <v/>
      </c>
      <c r="C15" s="30">
        <f>C9-C5</f>
        <v/>
      </c>
      <c r="D15" s="30">
        <f>D9-D5</f>
        <v/>
      </c>
      <c r="E15" s="30">
        <f>E9-E5</f>
        <v/>
      </c>
      <c r="F15" s="30">
        <f>F9-F5</f>
        <v/>
      </c>
      <c r="G15" s="30">
        <f>G9-G5</f>
        <v/>
      </c>
      <c r="H15" s="30">
        <f>H9-H5</f>
        <v/>
      </c>
      <c r="I15" s="30">
        <f>I9-I5</f>
        <v/>
      </c>
      <c r="J15" s="30">
        <f>J9-J5</f>
        <v/>
      </c>
      <c r="K15" s="30">
        <f>K9-K5</f>
        <v/>
      </c>
      <c r="L15" s="30">
        <f>L9-L5</f>
        <v/>
      </c>
      <c r="M15" s="30">
        <f>M9-M5</f>
        <v/>
      </c>
      <c r="N15" s="30">
        <f>N9-N5</f>
        <v/>
      </c>
      <c r="O15" s="30">
        <f>O9-O5</f>
        <v/>
      </c>
      <c r="P15" s="30">
        <f>P9-P5</f>
        <v/>
      </c>
      <c r="Q15" s="30">
        <f>Q9-Q5</f>
        <v/>
      </c>
      <c r="R15" s="30">
        <f>R9-R5</f>
        <v/>
      </c>
      <c r="S15" s="30">
        <f>S9-S5</f>
        <v/>
      </c>
      <c r="T15" s="30">
        <f>T9-T5</f>
        <v/>
      </c>
      <c r="U15" s="30">
        <f>U9-U5</f>
        <v/>
      </c>
      <c r="V15" s="30">
        <f>V9-V5</f>
        <v/>
      </c>
      <c r="W15" s="30">
        <f>W9-W5</f>
        <v/>
      </c>
      <c r="X15" s="30">
        <f>X9-X5</f>
        <v/>
      </c>
      <c r="Y15" s="30">
        <f>Y9-Y5</f>
        <v/>
      </c>
      <c r="Z15" s="30">
        <f>Z9-Z5</f>
        <v/>
      </c>
      <c r="AA15" s="30">
        <f>AA9-AA5</f>
        <v/>
      </c>
      <c r="AB15" s="30">
        <f>AB9-AB5</f>
        <v/>
      </c>
      <c r="AC15" s="30">
        <f>AC9-AC5</f>
        <v/>
      </c>
      <c r="AD15" s="30">
        <f>AD9-AD5</f>
        <v/>
      </c>
      <c r="AE15" s="30">
        <f>AE9-AE5</f>
        <v/>
      </c>
      <c r="AF15" s="30">
        <f>AF9-AF5</f>
        <v/>
      </c>
      <c r="AG15" s="30">
        <f>AG9-AG5</f>
        <v/>
      </c>
      <c r="AH15" s="30">
        <f>AH9-AH5</f>
        <v/>
      </c>
      <c r="AI15" s="30">
        <f>AI9-AI5</f>
        <v/>
      </c>
      <c r="AJ15" s="30">
        <f>AJ9-AJ5</f>
        <v/>
      </c>
      <c r="AK15" s="30">
        <f>AK9-AK5</f>
        <v/>
      </c>
      <c r="AL15" s="30">
        <f>AL9-AL5</f>
        <v/>
      </c>
      <c r="AM15" s="30">
        <f>AM9-AM5</f>
        <v/>
      </c>
      <c r="AN15" s="30">
        <f>AN9-AN5</f>
        <v/>
      </c>
      <c r="AO15" s="30">
        <f>AO9-AO5</f>
        <v/>
      </c>
      <c r="AP15" s="30">
        <f>AP9-AP5</f>
        <v/>
      </c>
      <c r="AQ15" s="30">
        <f>AQ9-AQ5</f>
        <v/>
      </c>
      <c r="AR15" s="30">
        <f>AR9-AR5</f>
        <v/>
      </c>
      <c r="AS15" s="30">
        <f>AS9-AS5</f>
        <v/>
      </c>
      <c r="AT15" s="30">
        <f>AT9-AT5</f>
        <v/>
      </c>
      <c r="AU15" s="30">
        <f>AU9-AU5</f>
        <v/>
      </c>
      <c r="AV15" s="30">
        <f>AV9-AV5</f>
        <v/>
      </c>
      <c r="AW15" s="30">
        <f>AW9-AW5</f>
        <v/>
      </c>
      <c r="AY15" s="24" t="n">
        <v>4</v>
      </c>
      <c r="AZ15" s="25" t="n">
        <v>2</v>
      </c>
    </row>
    <row r="16" ht="25" customHeight="1">
      <c r="A16" s="31" t="inlineStr">
        <is>
          <t>USD CHF</t>
        </is>
      </c>
      <c r="B16" s="30">
        <f>B9-B6</f>
        <v/>
      </c>
      <c r="C16" s="30">
        <f>C9-C6</f>
        <v/>
      </c>
      <c r="D16" s="30">
        <f>D9-D6</f>
        <v/>
      </c>
      <c r="E16" s="30">
        <f>E9-E6</f>
        <v/>
      </c>
      <c r="F16" s="30">
        <f>F9-F6</f>
        <v/>
      </c>
      <c r="G16" s="30">
        <f>G9-G6</f>
        <v/>
      </c>
      <c r="H16" s="30">
        <f>H9-H6</f>
        <v/>
      </c>
      <c r="I16" s="30">
        <f>I9-I6</f>
        <v/>
      </c>
      <c r="J16" s="30">
        <f>J9-J6</f>
        <v/>
      </c>
      <c r="K16" s="30">
        <f>K9-K6</f>
        <v/>
      </c>
      <c r="L16" s="30">
        <f>L9-L6</f>
        <v/>
      </c>
      <c r="M16" s="30">
        <f>M9-M6</f>
        <v/>
      </c>
      <c r="N16" s="30">
        <f>N9-N6</f>
        <v/>
      </c>
      <c r="O16" s="30">
        <f>O9-O6</f>
        <v/>
      </c>
      <c r="P16" s="30">
        <f>P9-P6</f>
        <v/>
      </c>
      <c r="Q16" s="30">
        <f>Q9-Q6</f>
        <v/>
      </c>
      <c r="R16" s="30">
        <f>R9-R6</f>
        <v/>
      </c>
      <c r="S16" s="30">
        <f>S9-S6</f>
        <v/>
      </c>
      <c r="T16" s="30">
        <f>T9-T6</f>
        <v/>
      </c>
      <c r="U16" s="30">
        <f>U9-U6</f>
        <v/>
      </c>
      <c r="V16" s="30">
        <f>V9-V6</f>
        <v/>
      </c>
      <c r="W16" s="30">
        <f>W9-W6</f>
        <v/>
      </c>
      <c r="X16" s="30">
        <f>X9-X6</f>
        <v/>
      </c>
      <c r="Y16" s="30">
        <f>Y9-Y6</f>
        <v/>
      </c>
      <c r="Z16" s="30">
        <f>Z9-Z6</f>
        <v/>
      </c>
      <c r="AA16" s="30">
        <f>AA9-AA6</f>
        <v/>
      </c>
      <c r="AB16" s="30">
        <f>AB9-AB6</f>
        <v/>
      </c>
      <c r="AC16" s="30">
        <f>AC9-AC6</f>
        <v/>
      </c>
      <c r="AD16" s="30">
        <f>AD9-AD6</f>
        <v/>
      </c>
      <c r="AE16" s="30">
        <f>AE9-AE6</f>
        <v/>
      </c>
      <c r="AF16" s="30">
        <f>AF9-AF6</f>
        <v/>
      </c>
      <c r="AG16" s="30">
        <f>AG9-AG6</f>
        <v/>
      </c>
      <c r="AH16" s="30">
        <f>AH9-AH6</f>
        <v/>
      </c>
      <c r="AI16" s="30">
        <f>AI9-AI6</f>
        <v/>
      </c>
      <c r="AJ16" s="30">
        <f>AJ9-AJ6</f>
        <v/>
      </c>
      <c r="AK16" s="30">
        <f>AK10-AK6</f>
        <v/>
      </c>
      <c r="AL16" s="30">
        <f>AL10-AL6</f>
        <v/>
      </c>
      <c r="AM16" s="30">
        <f>AM10-AM6</f>
        <v/>
      </c>
      <c r="AN16" s="30">
        <f>AN10-AN6</f>
        <v/>
      </c>
      <c r="AO16" s="30">
        <f>AO10-AO6</f>
        <v/>
      </c>
      <c r="AP16" s="30">
        <f>AP10-AP6</f>
        <v/>
      </c>
      <c r="AQ16" s="30">
        <f>AQ10-AQ6</f>
        <v/>
      </c>
      <c r="AR16" s="30">
        <f>AR10-AR6</f>
        <v/>
      </c>
      <c r="AS16" s="30">
        <f>AS10-AS6</f>
        <v/>
      </c>
      <c r="AT16" s="30">
        <f>AT10-AT6</f>
        <v/>
      </c>
      <c r="AU16" s="30">
        <f>AU10-AU6</f>
        <v/>
      </c>
      <c r="AV16" s="30">
        <f>AV10-AV6</f>
        <v/>
      </c>
      <c r="AW16" s="30">
        <f>AW10-AW6</f>
        <v/>
      </c>
      <c r="AY16" s="24" t="n">
        <v>2</v>
      </c>
      <c r="AZ16" s="25" t="n">
        <v>1</v>
      </c>
    </row>
    <row r="17" ht="25" customHeight="1">
      <c r="A17" s="31" t="inlineStr">
        <is>
          <t>USD CAD</t>
        </is>
      </c>
      <c r="B17" s="30">
        <f>B9-B4</f>
        <v/>
      </c>
      <c r="C17" s="30">
        <f>C9-C4</f>
        <v/>
      </c>
      <c r="D17" s="30">
        <f>D9-D4</f>
        <v/>
      </c>
      <c r="E17" s="30">
        <f>E9-E4</f>
        <v/>
      </c>
      <c r="F17" s="30">
        <f>F9-F4</f>
        <v/>
      </c>
      <c r="G17" s="30">
        <f>G9-G4</f>
        <v/>
      </c>
      <c r="H17" s="30">
        <f>H9-H4</f>
        <v/>
      </c>
      <c r="I17" s="30">
        <f>I9-I4</f>
        <v/>
      </c>
      <c r="J17" s="30">
        <f>J9-J4</f>
        <v/>
      </c>
      <c r="K17" s="30">
        <f>K9-K4</f>
        <v/>
      </c>
      <c r="L17" s="30">
        <f>L9-L4</f>
        <v/>
      </c>
      <c r="M17" s="30">
        <f>M9-M4</f>
        <v/>
      </c>
      <c r="N17" s="30">
        <f>N9-N4</f>
        <v/>
      </c>
      <c r="O17" s="30">
        <f>O9-O4</f>
        <v/>
      </c>
      <c r="P17" s="30">
        <f>P9-P4</f>
        <v/>
      </c>
      <c r="Q17" s="30">
        <f>Q9-Q4</f>
        <v/>
      </c>
      <c r="R17" s="30">
        <f>R9-R4</f>
        <v/>
      </c>
      <c r="S17" s="30">
        <f>S9-S4</f>
        <v/>
      </c>
      <c r="T17" s="30">
        <f>T9-T4</f>
        <v/>
      </c>
      <c r="U17" s="30">
        <f>U9-U4</f>
        <v/>
      </c>
      <c r="V17" s="30">
        <f>V9-V4</f>
        <v/>
      </c>
      <c r="W17" s="30">
        <f>W9-W4</f>
        <v/>
      </c>
      <c r="X17" s="30">
        <f>X9-X4</f>
        <v/>
      </c>
      <c r="Y17" s="30">
        <f>Y9-Y4</f>
        <v/>
      </c>
      <c r="Z17" s="30">
        <f>Z9-Z4</f>
        <v/>
      </c>
      <c r="AA17" s="30">
        <f>AA9-AA4</f>
        <v/>
      </c>
      <c r="AB17" s="30">
        <f>AB9-AB4</f>
        <v/>
      </c>
      <c r="AC17" s="30">
        <f>AC9-AC4</f>
        <v/>
      </c>
      <c r="AD17" s="30">
        <f>AD9-AD4</f>
        <v/>
      </c>
      <c r="AE17" s="30">
        <f>AE9-AE4</f>
        <v/>
      </c>
      <c r="AF17" s="30">
        <f>AF9-AF4</f>
        <v/>
      </c>
      <c r="AG17" s="30">
        <f>AG9-AG4</f>
        <v/>
      </c>
      <c r="AH17" s="30">
        <f>AH9-AH4</f>
        <v/>
      </c>
      <c r="AI17" s="30">
        <f>AI9-AI4</f>
        <v/>
      </c>
      <c r="AJ17" s="30">
        <f>AJ9-AJ4</f>
        <v/>
      </c>
      <c r="AK17" s="30">
        <f>AK9-AK4</f>
        <v/>
      </c>
      <c r="AL17" s="30">
        <f>AL9-AL4</f>
        <v/>
      </c>
      <c r="AM17" s="30">
        <f>AM9-AM4</f>
        <v/>
      </c>
      <c r="AN17" s="30">
        <f>AN9-AN4</f>
        <v/>
      </c>
      <c r="AO17" s="30">
        <f>AO9-AO4</f>
        <v/>
      </c>
      <c r="AP17" s="30">
        <f>AP9-AP4</f>
        <v/>
      </c>
      <c r="AQ17" s="30">
        <f>AQ9-AQ4</f>
        <v/>
      </c>
      <c r="AR17" s="30">
        <f>AR9-AR4</f>
        <v/>
      </c>
      <c r="AS17" s="30">
        <f>AS9-AS4</f>
        <v/>
      </c>
      <c r="AT17" s="30">
        <f>AT9-AT4</f>
        <v/>
      </c>
      <c r="AU17" s="30">
        <f>AU9-AU4</f>
        <v/>
      </c>
      <c r="AV17" s="30">
        <f>AV9-AV4</f>
        <v/>
      </c>
      <c r="AW17" s="30">
        <f>AW9-AW4</f>
        <v/>
      </c>
      <c r="AY17" s="32" t="n">
        <v>0</v>
      </c>
      <c r="AZ17" s="33" t="n">
        <v>0</v>
      </c>
    </row>
    <row r="18" ht="25" customHeight="1">
      <c r="A18" s="34" t="inlineStr">
        <is>
          <t>EUR USD</t>
        </is>
      </c>
      <c r="B18" s="30">
        <f>B10-B9</f>
        <v/>
      </c>
      <c r="C18" s="30">
        <f>C10-C9</f>
        <v/>
      </c>
      <c r="D18" s="30">
        <f>D10-D9</f>
        <v/>
      </c>
      <c r="E18" s="30">
        <f>E10-E9</f>
        <v/>
      </c>
      <c r="F18" s="30">
        <f>F10-F9</f>
        <v/>
      </c>
      <c r="G18" s="30">
        <f>G10-G9</f>
        <v/>
      </c>
      <c r="H18" s="30">
        <f>H10-H9</f>
        <v/>
      </c>
      <c r="I18" s="30">
        <f>I10-I9</f>
        <v/>
      </c>
      <c r="J18" s="30">
        <f>J10-J9</f>
        <v/>
      </c>
      <c r="K18" s="30">
        <f>K10-K9</f>
        <v/>
      </c>
      <c r="L18" s="30">
        <f>L10-L9</f>
        <v/>
      </c>
      <c r="M18" s="30">
        <f>M10-M9</f>
        <v/>
      </c>
      <c r="N18" s="30">
        <f>N10-N9</f>
        <v/>
      </c>
      <c r="O18" s="30">
        <f>O10-O9</f>
        <v/>
      </c>
      <c r="P18" s="30">
        <f>P10-P9</f>
        <v/>
      </c>
      <c r="Q18" s="30">
        <f>Q10-Q9</f>
        <v/>
      </c>
      <c r="R18" s="30">
        <f>R10-R9</f>
        <v/>
      </c>
      <c r="S18" s="30">
        <f>S10-S9</f>
        <v/>
      </c>
      <c r="T18" s="30">
        <f>T10-T9</f>
        <v/>
      </c>
      <c r="U18" s="30">
        <f>U10-U9</f>
        <v/>
      </c>
      <c r="V18" s="30">
        <f>V10-V9</f>
        <v/>
      </c>
      <c r="W18" s="30">
        <f>W10-W9</f>
        <v/>
      </c>
      <c r="X18" s="30">
        <f>X10-X9</f>
        <v/>
      </c>
      <c r="Y18" s="30">
        <f>Y10-Y9</f>
        <v/>
      </c>
      <c r="Z18" s="30">
        <f>Z10-Z9</f>
        <v/>
      </c>
      <c r="AA18" s="30">
        <f>AA10-AA9</f>
        <v/>
      </c>
      <c r="AB18" s="30">
        <f>AB10-AB9</f>
        <v/>
      </c>
      <c r="AC18" s="30">
        <f>AC10-AC9</f>
        <v/>
      </c>
      <c r="AD18" s="30">
        <f>AD10-AD9</f>
        <v/>
      </c>
      <c r="AE18" s="30">
        <f>AE10-AE9</f>
        <v/>
      </c>
      <c r="AF18" s="30">
        <f>AF10-AF9</f>
        <v/>
      </c>
      <c r="AG18" s="30">
        <f>AG10-AG9</f>
        <v/>
      </c>
      <c r="AH18" s="30">
        <f>AH10-AH9</f>
        <v/>
      </c>
      <c r="AI18" s="30">
        <f>AI10-AI9</f>
        <v/>
      </c>
      <c r="AJ18" s="30">
        <f>AJ10-AJ9</f>
        <v/>
      </c>
      <c r="AK18" s="30">
        <f>AK10-AK9</f>
        <v/>
      </c>
      <c r="AL18" s="30">
        <f>AL10-AL9</f>
        <v/>
      </c>
      <c r="AM18" s="30">
        <f>AM10-AM9</f>
        <v/>
      </c>
      <c r="AN18" s="30">
        <f>AN10-AN9</f>
        <v/>
      </c>
      <c r="AO18" s="30">
        <f>AO10-AO9</f>
        <v/>
      </c>
      <c r="AP18" s="30">
        <f>AP10-AP9</f>
        <v/>
      </c>
      <c r="AQ18" s="30">
        <f>AQ10-AQ9</f>
        <v/>
      </c>
      <c r="AR18" s="30">
        <f>AR10-AR9</f>
        <v/>
      </c>
      <c r="AS18" s="30">
        <f>AS10-AS9</f>
        <v/>
      </c>
      <c r="AT18" s="30">
        <f>AT10-AT9</f>
        <v/>
      </c>
      <c r="AU18" s="30">
        <f>AU10-AU9</f>
        <v/>
      </c>
      <c r="AV18" s="30">
        <f>AV10-AV9</f>
        <v/>
      </c>
      <c r="AW18" s="30">
        <f>AW10-AW9</f>
        <v/>
      </c>
      <c r="AY18" s="24" t="n">
        <v>-2</v>
      </c>
      <c r="AZ18" s="35" t="n">
        <v>-1</v>
      </c>
    </row>
    <row r="19" ht="25" customHeight="1">
      <c r="A19" s="34" t="inlineStr">
        <is>
          <t>EUR JPY</t>
        </is>
      </c>
      <c r="B19" s="30">
        <f>B10-B5</f>
        <v/>
      </c>
      <c r="C19" s="30">
        <f>C10-C5</f>
        <v/>
      </c>
      <c r="D19" s="30">
        <f>D10-D5</f>
        <v/>
      </c>
      <c r="E19" s="30">
        <f>E10-E5</f>
        <v/>
      </c>
      <c r="F19" s="30">
        <f>F10-F5</f>
        <v/>
      </c>
      <c r="G19" s="30">
        <f>G10-G5</f>
        <v/>
      </c>
      <c r="H19" s="30">
        <f>H10-H5</f>
        <v/>
      </c>
      <c r="I19" s="30">
        <f>I10-I5</f>
        <v/>
      </c>
      <c r="J19" s="30">
        <f>J10-J5</f>
        <v/>
      </c>
      <c r="K19" s="30">
        <f>K10-K5</f>
        <v/>
      </c>
      <c r="L19" s="30">
        <f>L10-L5</f>
        <v/>
      </c>
      <c r="M19" s="30">
        <f>M10-M5</f>
        <v/>
      </c>
      <c r="N19" s="30">
        <f>N10-N5</f>
        <v/>
      </c>
      <c r="O19" s="30">
        <f>O10-O5</f>
        <v/>
      </c>
      <c r="P19" s="30">
        <f>P10-P5</f>
        <v/>
      </c>
      <c r="Q19" s="30">
        <f>Q10-Q5</f>
        <v/>
      </c>
      <c r="R19" s="30">
        <f>R10-R5</f>
        <v/>
      </c>
      <c r="S19" s="30">
        <f>S10-S5</f>
        <v/>
      </c>
      <c r="T19" s="30">
        <f>T10-T5</f>
        <v/>
      </c>
      <c r="U19" s="30">
        <f>U10-U5</f>
        <v/>
      </c>
      <c r="V19" s="30">
        <f>V10-V5</f>
        <v/>
      </c>
      <c r="W19" s="30">
        <f>W10-W5</f>
        <v/>
      </c>
      <c r="X19" s="30">
        <f>X10-X5</f>
        <v/>
      </c>
      <c r="Y19" s="30">
        <f>Y10-Y5</f>
        <v/>
      </c>
      <c r="Z19" s="30">
        <f>Z10-Z5</f>
        <v/>
      </c>
      <c r="AA19" s="30">
        <f>AA10-AA5</f>
        <v/>
      </c>
      <c r="AB19" s="30">
        <f>AB10-AB5</f>
        <v/>
      </c>
      <c r="AC19" s="30">
        <f>AC10-AC5</f>
        <v/>
      </c>
      <c r="AD19" s="30">
        <f>AD10-AD5</f>
        <v/>
      </c>
      <c r="AE19" s="30">
        <f>AE10-AE5</f>
        <v/>
      </c>
      <c r="AF19" s="30">
        <f>AF10-AF5</f>
        <v/>
      </c>
      <c r="AG19" s="30">
        <f>AG10-AG5</f>
        <v/>
      </c>
      <c r="AH19" s="30">
        <f>AH10-AH5</f>
        <v/>
      </c>
      <c r="AI19" s="30">
        <f>AI10-AI5</f>
        <v/>
      </c>
      <c r="AJ19" s="30">
        <f>AJ10-AJ5</f>
        <v/>
      </c>
      <c r="AK19" s="30">
        <f>AK10-AK5</f>
        <v/>
      </c>
      <c r="AL19" s="30">
        <f>AL10-AL5</f>
        <v/>
      </c>
      <c r="AM19" s="30">
        <f>AM10-AM5</f>
        <v/>
      </c>
      <c r="AN19" s="30">
        <f>AN10-AN5</f>
        <v/>
      </c>
      <c r="AO19" s="30">
        <f>AO10-AO5</f>
        <v/>
      </c>
      <c r="AP19" s="30">
        <f>AP10-AP5</f>
        <v/>
      </c>
      <c r="AQ19" s="30">
        <f>AQ10-AQ5</f>
        <v/>
      </c>
      <c r="AR19" s="30">
        <f>AR10-AR5</f>
        <v/>
      </c>
      <c r="AS19" s="30">
        <f>AS10-AS5</f>
        <v/>
      </c>
      <c r="AT19" s="30">
        <f>AT10-AT5</f>
        <v/>
      </c>
      <c r="AU19" s="30">
        <f>AU10-AU5</f>
        <v/>
      </c>
      <c r="AV19" s="30">
        <f>AV10-AV5</f>
        <v/>
      </c>
      <c r="AW19" s="30">
        <f>AW10-AW5</f>
        <v/>
      </c>
      <c r="AY19" s="24" t="n">
        <v>-4</v>
      </c>
      <c r="AZ19" s="35" t="n">
        <v>-2</v>
      </c>
    </row>
    <row r="20" ht="25" customHeight="1">
      <c r="A20" s="34" t="inlineStr">
        <is>
          <t>EUR CHF</t>
        </is>
      </c>
      <c r="B20" s="30">
        <f>B10-B6</f>
        <v/>
      </c>
      <c r="C20" s="30">
        <f>C10-C6</f>
        <v/>
      </c>
      <c r="D20" s="30">
        <f>D10-D6</f>
        <v/>
      </c>
      <c r="E20" s="30">
        <f>E10-E6</f>
        <v/>
      </c>
      <c r="F20" s="30">
        <f>F10-F6</f>
        <v/>
      </c>
      <c r="G20" s="30">
        <f>G10-G6</f>
        <v/>
      </c>
      <c r="H20" s="30">
        <f>H10-H6</f>
        <v/>
      </c>
      <c r="I20" s="30">
        <f>I10-I6</f>
        <v/>
      </c>
      <c r="J20" s="30">
        <f>J10-J6</f>
        <v/>
      </c>
      <c r="K20" s="30">
        <f>K10-K6</f>
        <v/>
      </c>
      <c r="L20" s="30">
        <f>L10-L6</f>
        <v/>
      </c>
      <c r="M20" s="30">
        <f>M10-M6</f>
        <v/>
      </c>
      <c r="N20" s="30">
        <f>N10-N6</f>
        <v/>
      </c>
      <c r="O20" s="30">
        <f>O10-O6</f>
        <v/>
      </c>
      <c r="P20" s="30">
        <f>P10-P6</f>
        <v/>
      </c>
      <c r="Q20" s="30">
        <f>Q10-Q6</f>
        <v/>
      </c>
      <c r="R20" s="30">
        <f>R10-R6</f>
        <v/>
      </c>
      <c r="S20" s="30">
        <f>S10-S6</f>
        <v/>
      </c>
      <c r="T20" s="30">
        <f>T10-T6</f>
        <v/>
      </c>
      <c r="U20" s="30">
        <f>U10-U6</f>
        <v/>
      </c>
      <c r="V20" s="30">
        <f>V10-V6</f>
        <v/>
      </c>
      <c r="W20" s="30">
        <f>W10-W6</f>
        <v/>
      </c>
      <c r="X20" s="30">
        <f>X10-X6</f>
        <v/>
      </c>
      <c r="Y20" s="30">
        <f>Y10-Y6</f>
        <v/>
      </c>
      <c r="Z20" s="30">
        <f>Z10-Z6</f>
        <v/>
      </c>
      <c r="AA20" s="30">
        <f>AA10-AA6</f>
        <v/>
      </c>
      <c r="AB20" s="30">
        <f>AB10-AB6</f>
        <v/>
      </c>
      <c r="AC20" s="30">
        <f>AC10-AC6</f>
        <v/>
      </c>
      <c r="AD20" s="30">
        <f>AD10-AD6</f>
        <v/>
      </c>
      <c r="AE20" s="30">
        <f>AE10-AE6</f>
        <v/>
      </c>
      <c r="AF20" s="30">
        <f>AF10-AF6</f>
        <v/>
      </c>
      <c r="AG20" s="30">
        <f>AG10-AG6</f>
        <v/>
      </c>
      <c r="AH20" s="30">
        <f>AH10-AH6</f>
        <v/>
      </c>
      <c r="AI20" s="30">
        <f>AI10-AI6</f>
        <v/>
      </c>
      <c r="AJ20" s="30">
        <f>AJ10-AJ6</f>
        <v/>
      </c>
      <c r="AK20" s="30">
        <f>AK10-AK6</f>
        <v/>
      </c>
      <c r="AL20" s="30">
        <f>AL10-AL6</f>
        <v/>
      </c>
      <c r="AM20" s="30">
        <f>AM10-AM6</f>
        <v/>
      </c>
      <c r="AN20" s="30">
        <f>AN10-AN6</f>
        <v/>
      </c>
      <c r="AO20" s="30">
        <f>AO10-AO6</f>
        <v/>
      </c>
      <c r="AP20" s="30">
        <f>AP10-AP6</f>
        <v/>
      </c>
      <c r="AQ20" s="30">
        <f>AQ10-AQ6</f>
        <v/>
      </c>
      <c r="AR20" s="30">
        <f>AR10-AR6</f>
        <v/>
      </c>
      <c r="AS20" s="30">
        <f>AS10-AS6</f>
        <v/>
      </c>
      <c r="AT20" s="30">
        <f>AT10-AT6</f>
        <v/>
      </c>
      <c r="AU20" s="30">
        <f>AU10-AU6</f>
        <v/>
      </c>
      <c r="AV20" s="30">
        <f>AV10-AV6</f>
        <v/>
      </c>
      <c r="AW20" s="30">
        <f>AW10-AW6</f>
        <v/>
      </c>
      <c r="AY20" s="24" t="n">
        <v>-6</v>
      </c>
      <c r="AZ20" s="35" t="n">
        <v>-3</v>
      </c>
    </row>
    <row r="21" ht="25" customHeight="1">
      <c r="A21" s="34" t="inlineStr">
        <is>
          <t>EUR GBP</t>
        </is>
      </c>
      <c r="B21" s="30">
        <f>B10-B8</f>
        <v/>
      </c>
      <c r="C21" s="30">
        <f>C10-C8</f>
        <v/>
      </c>
      <c r="D21" s="30">
        <f>D10-D8</f>
        <v/>
      </c>
      <c r="E21" s="30">
        <f>E10-E8</f>
        <v/>
      </c>
      <c r="F21" s="30">
        <f>F10-F8</f>
        <v/>
      </c>
      <c r="G21" s="30">
        <f>G10-G8</f>
        <v/>
      </c>
      <c r="H21" s="30">
        <f>H10-H8</f>
        <v/>
      </c>
      <c r="I21" s="30">
        <f>I10-I8</f>
        <v/>
      </c>
      <c r="J21" s="30">
        <f>J10-J8</f>
        <v/>
      </c>
      <c r="K21" s="30">
        <f>K10-K8</f>
        <v/>
      </c>
      <c r="L21" s="30">
        <f>L10-L8</f>
        <v/>
      </c>
      <c r="M21" s="30">
        <f>M10-M8</f>
        <v/>
      </c>
      <c r="N21" s="30">
        <f>N10-N8</f>
        <v/>
      </c>
      <c r="O21" s="30">
        <f>O10-O8</f>
        <v/>
      </c>
      <c r="P21" s="30">
        <f>P10-P8</f>
        <v/>
      </c>
      <c r="Q21" s="30">
        <f>Q10-Q8</f>
        <v/>
      </c>
      <c r="R21" s="30">
        <f>R10-R8</f>
        <v/>
      </c>
      <c r="S21" s="30">
        <f>S10-S8</f>
        <v/>
      </c>
      <c r="T21" s="30">
        <f>T10-T8</f>
        <v/>
      </c>
      <c r="U21" s="30">
        <f>U10-U8</f>
        <v/>
      </c>
      <c r="V21" s="30">
        <f>V10-V8</f>
        <v/>
      </c>
      <c r="W21" s="30">
        <f>W10-W8</f>
        <v/>
      </c>
      <c r="X21" s="30">
        <f>X10-X8</f>
        <v/>
      </c>
      <c r="Y21" s="30">
        <f>Y10-Y8</f>
        <v/>
      </c>
      <c r="Z21" s="30">
        <f>Z10-Z8</f>
        <v/>
      </c>
      <c r="AA21" s="30">
        <f>AA10-AA8</f>
        <v/>
      </c>
      <c r="AB21" s="30">
        <f>AB10-AB8</f>
        <v/>
      </c>
      <c r="AC21" s="30">
        <f>AC10-AC8</f>
        <v/>
      </c>
      <c r="AD21" s="30">
        <f>AD10-AD8</f>
        <v/>
      </c>
      <c r="AE21" s="30">
        <f>AE10-AE8</f>
        <v/>
      </c>
      <c r="AF21" s="30">
        <f>AF10-AF8</f>
        <v/>
      </c>
      <c r="AG21" s="30">
        <f>AG10-AG8</f>
        <v/>
      </c>
      <c r="AH21" s="30">
        <f>AH10-AH8</f>
        <v/>
      </c>
      <c r="AI21" s="30">
        <f>AI10-AI8</f>
        <v/>
      </c>
      <c r="AJ21" s="30">
        <f>AJ10-AJ8</f>
        <v/>
      </c>
      <c r="AK21" s="30">
        <f>AK10-AK8</f>
        <v/>
      </c>
      <c r="AL21" s="30">
        <f>AL10-AL8</f>
        <v/>
      </c>
      <c r="AM21" s="30">
        <f>AM10-AM8</f>
        <v/>
      </c>
      <c r="AN21" s="30">
        <f>AN10-AN8</f>
        <v/>
      </c>
      <c r="AO21" s="30">
        <f>AO10-AO8</f>
        <v/>
      </c>
      <c r="AP21" s="30">
        <f>AP10-AP8</f>
        <v/>
      </c>
      <c r="AQ21" s="30">
        <f>AQ10-AQ8</f>
        <v/>
      </c>
      <c r="AR21" s="30">
        <f>AR10-AR8</f>
        <v/>
      </c>
      <c r="AS21" s="30">
        <f>AS10-AS8</f>
        <v/>
      </c>
      <c r="AT21" s="30">
        <f>AT10-AT8</f>
        <v/>
      </c>
      <c r="AU21" s="30">
        <f>AU10-AU8</f>
        <v/>
      </c>
      <c r="AV21" s="30">
        <f>AV10-AV8</f>
        <v/>
      </c>
      <c r="AW21" s="30">
        <f>AW10-AW8</f>
        <v/>
      </c>
      <c r="AY21" s="24" t="n">
        <v>-7</v>
      </c>
      <c r="AZ21" s="35" t="n">
        <v>-4</v>
      </c>
    </row>
    <row r="22" ht="25" customHeight="1">
      <c r="A22" s="34" t="inlineStr">
        <is>
          <t>EUR CAD</t>
        </is>
      </c>
      <c r="B22" s="30">
        <f>B10-B4</f>
        <v/>
      </c>
      <c r="C22" s="30">
        <f>C10-C4</f>
        <v/>
      </c>
      <c r="D22" s="30">
        <f>D10-D4</f>
        <v/>
      </c>
      <c r="E22" s="30">
        <f>E10-E4</f>
        <v/>
      </c>
      <c r="F22" s="30">
        <f>F10-F4</f>
        <v/>
      </c>
      <c r="G22" s="30">
        <f>G10-G4</f>
        <v/>
      </c>
      <c r="H22" s="30">
        <f>H10-H4</f>
        <v/>
      </c>
      <c r="I22" s="30">
        <f>I10-I4</f>
        <v/>
      </c>
      <c r="J22" s="30">
        <f>J10-J4</f>
        <v/>
      </c>
      <c r="K22" s="30">
        <f>K10-K4</f>
        <v/>
      </c>
      <c r="L22" s="30">
        <f>L10-L4</f>
        <v/>
      </c>
      <c r="M22" s="30">
        <f>M10-M4</f>
        <v/>
      </c>
      <c r="N22" s="30">
        <f>N10-N4</f>
        <v/>
      </c>
      <c r="O22" s="30">
        <f>O10-O4</f>
        <v/>
      </c>
      <c r="P22" s="30">
        <f>P10-P4</f>
        <v/>
      </c>
      <c r="Q22" s="30">
        <f>Q10-Q4</f>
        <v/>
      </c>
      <c r="R22" s="30">
        <f>R10-R4</f>
        <v/>
      </c>
      <c r="S22" s="30">
        <f>S10-S4</f>
        <v/>
      </c>
      <c r="T22" s="30">
        <f>T10-T4</f>
        <v/>
      </c>
      <c r="U22" s="30">
        <f>U10-U4</f>
        <v/>
      </c>
      <c r="V22" s="30">
        <f>V10-V4</f>
        <v/>
      </c>
      <c r="W22" s="30">
        <f>W10-W4</f>
        <v/>
      </c>
      <c r="X22" s="30">
        <f>X10-X4</f>
        <v/>
      </c>
      <c r="Y22" s="30">
        <f>Y10-Y4</f>
        <v/>
      </c>
      <c r="Z22" s="30">
        <f>Z10-Z4</f>
        <v/>
      </c>
      <c r="AA22" s="30">
        <f>AA10-AA4</f>
        <v/>
      </c>
      <c r="AB22" s="30">
        <f>AB10-AB4</f>
        <v/>
      </c>
      <c r="AC22" s="30">
        <f>AC10-AC4</f>
        <v/>
      </c>
      <c r="AD22" s="30">
        <f>AD10-AD4</f>
        <v/>
      </c>
      <c r="AE22" s="30">
        <f>AE10-AE4</f>
        <v/>
      </c>
      <c r="AF22" s="30">
        <f>AF10-AF4</f>
        <v/>
      </c>
      <c r="AG22" s="30">
        <f>AG10-AG4</f>
        <v/>
      </c>
      <c r="AH22" s="30">
        <f>AH10-AH4</f>
        <v/>
      </c>
      <c r="AI22" s="30">
        <f>AI10-AI4</f>
        <v/>
      </c>
      <c r="AJ22" s="30">
        <f>AJ10-AJ4</f>
        <v/>
      </c>
      <c r="AK22" s="30">
        <f>AK10-AK4</f>
        <v/>
      </c>
      <c r="AL22" s="30">
        <f>AL10-AL4</f>
        <v/>
      </c>
      <c r="AM22" s="30">
        <f>AM10-AM4</f>
        <v/>
      </c>
      <c r="AN22" s="30">
        <f>AN10-AN4</f>
        <v/>
      </c>
      <c r="AO22" s="30">
        <f>AO10-AO4</f>
        <v/>
      </c>
      <c r="AP22" s="30">
        <f>AP10-AP4</f>
        <v/>
      </c>
      <c r="AQ22" s="30">
        <f>AQ10-AQ4</f>
        <v/>
      </c>
      <c r="AR22" s="30">
        <f>AR10-AR4</f>
        <v/>
      </c>
      <c r="AS22" s="30">
        <f>AS10-AS4</f>
        <v/>
      </c>
      <c r="AT22" s="30">
        <f>AT10-AT4</f>
        <v/>
      </c>
      <c r="AU22" s="30">
        <f>AU10-AU4</f>
        <v/>
      </c>
      <c r="AV22" s="30">
        <f>AV10-AV4</f>
        <v/>
      </c>
      <c r="AW22" s="30">
        <f>AW10-AW4</f>
        <v/>
      </c>
      <c r="AY22" s="24" t="n">
        <v>-8</v>
      </c>
      <c r="AZ22" s="35" t="n">
        <v>-5</v>
      </c>
    </row>
    <row r="23" ht="25" customHeight="1">
      <c r="A23" s="34" t="inlineStr">
        <is>
          <t>EUR AUD</t>
        </is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v>0</v>
      </c>
      <c r="G23" s="30" t="n">
        <v>0</v>
      </c>
      <c r="H23" s="30" t="n">
        <v>0</v>
      </c>
      <c r="I23" s="30" t="n">
        <v>0</v>
      </c>
      <c r="J23" s="30" t="n">
        <v>0</v>
      </c>
      <c r="K23" s="30" t="n">
        <v>0</v>
      </c>
      <c r="L23" s="30" t="n">
        <v>0</v>
      </c>
      <c r="M23" s="30" t="n">
        <v>0</v>
      </c>
      <c r="N23" s="30" t="n">
        <v>0</v>
      </c>
      <c r="O23" s="30" t="n">
        <v>0</v>
      </c>
      <c r="P23" s="30" t="n">
        <v>0</v>
      </c>
      <c r="Q23" s="30" t="n">
        <v>0</v>
      </c>
      <c r="R23" s="30" t="n">
        <v>0</v>
      </c>
      <c r="S23" s="30" t="n">
        <v>0</v>
      </c>
      <c r="T23" s="30" t="n">
        <v>0</v>
      </c>
      <c r="U23" s="30" t="n">
        <v>0</v>
      </c>
      <c r="V23" s="30" t="n">
        <v>0</v>
      </c>
      <c r="W23" s="30" t="n">
        <v>0</v>
      </c>
      <c r="X23" s="30" t="n">
        <v>0</v>
      </c>
      <c r="Y23" s="30" t="n">
        <v>0</v>
      </c>
      <c r="Z23" s="30" t="n">
        <v>0</v>
      </c>
      <c r="AA23" s="30" t="n">
        <v>0</v>
      </c>
      <c r="AB23" s="30" t="n">
        <v>0</v>
      </c>
      <c r="AC23" s="30">
        <f>AC10-AC3</f>
        <v/>
      </c>
      <c r="AD23" s="30">
        <f>AD10-AD3</f>
        <v/>
      </c>
      <c r="AE23" s="30">
        <f>AE10-AE3</f>
        <v/>
      </c>
      <c r="AF23" s="30">
        <f>AF10-AF3</f>
        <v/>
      </c>
      <c r="AG23" s="30">
        <f>AG10-AG3</f>
        <v/>
      </c>
      <c r="AH23" s="30">
        <f>AH10-AH3</f>
        <v/>
      </c>
      <c r="AI23" s="30">
        <f>AI10-AI3</f>
        <v/>
      </c>
      <c r="AJ23" s="30">
        <f>AJ10-AJ3</f>
        <v/>
      </c>
      <c r="AK23" s="30">
        <f>AK10-AK3</f>
        <v/>
      </c>
      <c r="AL23" s="30">
        <f>AL10-AL3</f>
        <v/>
      </c>
      <c r="AM23" s="30">
        <f>AM10-AM3</f>
        <v/>
      </c>
      <c r="AN23" s="30">
        <f>AN10-AN3</f>
        <v/>
      </c>
      <c r="AO23" s="30">
        <f>AO10-AO3</f>
        <v/>
      </c>
      <c r="AP23" s="30">
        <f>AP10-AP3</f>
        <v/>
      </c>
      <c r="AQ23" s="30">
        <f>AQ10-AQ3</f>
        <v/>
      </c>
      <c r="AR23" s="30">
        <f>AR10-AR3</f>
        <v/>
      </c>
      <c r="AS23" s="30">
        <f>AS10-AS3</f>
        <v/>
      </c>
      <c r="AT23" s="30">
        <f>AT10-AT3</f>
        <v/>
      </c>
      <c r="AU23" s="30">
        <f>AU10-AU3</f>
        <v/>
      </c>
      <c r="AV23" s="30">
        <f>AV10-AV3</f>
        <v/>
      </c>
      <c r="AW23" s="30">
        <f>AW10-AW3</f>
        <v/>
      </c>
      <c r="AY23" s="24" t="n">
        <v>-9</v>
      </c>
      <c r="AZ23" s="35" t="n">
        <v>-6</v>
      </c>
    </row>
    <row r="24" ht="25" customHeight="1">
      <c r="A24" s="36" t="inlineStr">
        <is>
          <t>EUR NZD</t>
        </is>
      </c>
      <c r="B24" s="30">
        <f>B10-B7</f>
        <v/>
      </c>
      <c r="C24" s="30">
        <f>C10-C7</f>
        <v/>
      </c>
      <c r="D24" s="30">
        <f>D10-D7</f>
        <v/>
      </c>
      <c r="E24" s="30">
        <f>E10-E7</f>
        <v/>
      </c>
      <c r="F24" s="30">
        <f>F10-F7</f>
        <v/>
      </c>
      <c r="G24" s="30">
        <f>G10-G7</f>
        <v/>
      </c>
      <c r="H24" s="30">
        <f>H10-H7</f>
        <v/>
      </c>
      <c r="I24" s="30">
        <f>I10-I7</f>
        <v/>
      </c>
      <c r="J24" s="30">
        <f>J10-J7</f>
        <v/>
      </c>
      <c r="K24" s="30">
        <f>K10-K7</f>
        <v/>
      </c>
      <c r="L24" s="30">
        <f>L10-L7</f>
        <v/>
      </c>
      <c r="M24" s="30">
        <f>M10-M7</f>
        <v/>
      </c>
      <c r="N24" s="30">
        <f>N10-N7</f>
        <v/>
      </c>
      <c r="O24" s="30">
        <f>O10-O7</f>
        <v/>
      </c>
      <c r="P24" s="30">
        <f>P10-P7</f>
        <v/>
      </c>
      <c r="Q24" s="30">
        <f>Q10-Q7</f>
        <v/>
      </c>
      <c r="R24" s="30">
        <f>R10-R7</f>
        <v/>
      </c>
      <c r="S24" s="30">
        <f>S10-S7</f>
        <v/>
      </c>
      <c r="T24" s="30">
        <f>T10-T7</f>
        <v/>
      </c>
      <c r="U24" s="30">
        <f>U10-U7</f>
        <v/>
      </c>
      <c r="V24" s="30">
        <f>V10-V7</f>
        <v/>
      </c>
      <c r="W24" s="30">
        <f>W10-W7</f>
        <v/>
      </c>
      <c r="X24" s="30">
        <f>X10-X7</f>
        <v/>
      </c>
      <c r="Y24" s="30">
        <f>Y10-Y7</f>
        <v/>
      </c>
      <c r="Z24" s="30">
        <f>Z10-Z7</f>
        <v/>
      </c>
      <c r="AA24" s="30">
        <f>AA10-AA7</f>
        <v/>
      </c>
      <c r="AB24" s="30">
        <f>AB10-AB7</f>
        <v/>
      </c>
      <c r="AC24" s="30">
        <f>AC10-AC7</f>
        <v/>
      </c>
      <c r="AD24" s="30">
        <f>AD10-AD7</f>
        <v/>
      </c>
      <c r="AE24" s="30">
        <f>AE10-AE7</f>
        <v/>
      </c>
      <c r="AF24" s="30">
        <f>AF10-AF7</f>
        <v/>
      </c>
      <c r="AG24" s="30">
        <f>AG10-AG7</f>
        <v/>
      </c>
      <c r="AH24" s="30">
        <f>AH10-AH7</f>
        <v/>
      </c>
      <c r="AI24" s="30">
        <f>AI10-AI7</f>
        <v/>
      </c>
      <c r="AJ24" s="30">
        <f>AJ10-AJ7</f>
        <v/>
      </c>
      <c r="AK24" s="30">
        <f>AK10-AK7</f>
        <v/>
      </c>
      <c r="AL24" s="30">
        <f>AL10-AL7</f>
        <v/>
      </c>
      <c r="AM24" s="30">
        <f>AM10-AM7</f>
        <v/>
      </c>
      <c r="AN24" s="30">
        <f>AN10-AN7</f>
        <v/>
      </c>
      <c r="AO24" s="30">
        <f>AO10-AO7</f>
        <v/>
      </c>
      <c r="AP24" s="30">
        <f>AP10-AP7</f>
        <v/>
      </c>
      <c r="AQ24" s="30">
        <f>AQ10-AQ7</f>
        <v/>
      </c>
      <c r="AR24" s="30">
        <f>AR10-AR7</f>
        <v/>
      </c>
      <c r="AS24" s="30">
        <f>AS10-AS7</f>
        <v/>
      </c>
      <c r="AT24" s="30">
        <f>AT10-AT7</f>
        <v/>
      </c>
      <c r="AU24" s="30">
        <f>AU10-AU7</f>
        <v/>
      </c>
      <c r="AV24" s="30">
        <f>AV10-AV7</f>
        <v/>
      </c>
      <c r="AW24" s="30">
        <f>AW10-AW7</f>
        <v/>
      </c>
      <c r="AY24" s="24" t="n">
        <v>-10</v>
      </c>
      <c r="AZ24" s="35" t="n">
        <v>-7</v>
      </c>
    </row>
    <row r="25" ht="25" customHeight="1">
      <c r="A25" s="37" t="inlineStr">
        <is>
          <t>GBP USD</t>
        </is>
      </c>
      <c r="B25" s="30">
        <f>B8-B9</f>
        <v/>
      </c>
      <c r="C25" s="30">
        <f>C8-C9</f>
        <v/>
      </c>
      <c r="D25" s="30">
        <f>D8-D9</f>
        <v/>
      </c>
      <c r="E25" s="30">
        <f>E8-E9</f>
        <v/>
      </c>
      <c r="F25" s="30">
        <f>F8-F9</f>
        <v/>
      </c>
      <c r="G25" s="30">
        <f>G8-G9</f>
        <v/>
      </c>
      <c r="H25" s="30">
        <f>H8-H9</f>
        <v/>
      </c>
      <c r="I25" s="30">
        <f>I8-I9</f>
        <v/>
      </c>
      <c r="J25" s="30">
        <f>J8-J9</f>
        <v/>
      </c>
      <c r="K25" s="30">
        <f>K8-K9</f>
        <v/>
      </c>
      <c r="L25" s="30">
        <f>L8-L9</f>
        <v/>
      </c>
      <c r="M25" s="30">
        <f>M8-M9</f>
        <v/>
      </c>
      <c r="N25" s="30">
        <f>N8-N9</f>
        <v/>
      </c>
      <c r="O25" s="30">
        <f>O8-O9</f>
        <v/>
      </c>
      <c r="P25" s="30">
        <f>P8-P9</f>
        <v/>
      </c>
      <c r="Q25" s="30">
        <f>Q8-Q9</f>
        <v/>
      </c>
      <c r="R25" s="30">
        <f>R8-R9</f>
        <v/>
      </c>
      <c r="S25" s="30">
        <f>S8-S9</f>
        <v/>
      </c>
      <c r="T25" s="30">
        <f>T8-T9</f>
        <v/>
      </c>
      <c r="U25" s="30">
        <f>U8-U9</f>
        <v/>
      </c>
      <c r="V25" s="30">
        <f>V8-V9</f>
        <v/>
      </c>
      <c r="W25" s="30">
        <f>W8-W9</f>
        <v/>
      </c>
      <c r="X25" s="30">
        <f>X8-X9</f>
        <v/>
      </c>
      <c r="Y25" s="30">
        <f>Y8-Y9</f>
        <v/>
      </c>
      <c r="Z25" s="30">
        <f>Z8-Z9</f>
        <v/>
      </c>
      <c r="AA25" s="30">
        <f>AA8-AA9</f>
        <v/>
      </c>
      <c r="AB25" s="30">
        <f>AB8-AB9</f>
        <v/>
      </c>
      <c r="AC25" s="30">
        <f>AC8-AC9</f>
        <v/>
      </c>
      <c r="AD25" s="30">
        <f>AD8-AD9</f>
        <v/>
      </c>
      <c r="AE25" s="30">
        <f>AE8-AE9</f>
        <v/>
      </c>
      <c r="AF25" s="30">
        <f>AF8-AF9</f>
        <v/>
      </c>
      <c r="AG25" s="30">
        <f>AG8-AG9</f>
        <v/>
      </c>
      <c r="AH25" s="30">
        <f>AH8-AH9</f>
        <v/>
      </c>
      <c r="AI25" s="30">
        <f>AI8-AI9</f>
        <v/>
      </c>
      <c r="AJ25" s="30">
        <f>AJ8-AJ9</f>
        <v/>
      </c>
      <c r="AK25" s="30">
        <f>AK8-AK9</f>
        <v/>
      </c>
      <c r="AL25" s="30">
        <f>AL8-AL9</f>
        <v/>
      </c>
      <c r="AM25" s="30">
        <f>AM8-AM9</f>
        <v/>
      </c>
      <c r="AN25" s="30">
        <f>AN8-AN9</f>
        <v/>
      </c>
      <c r="AO25" s="30">
        <f>AO8-AO9</f>
        <v/>
      </c>
      <c r="AP25" s="30">
        <f>AP8-AP9</f>
        <v/>
      </c>
      <c r="AQ25" s="30">
        <f>AQ8-AQ9</f>
        <v/>
      </c>
      <c r="AR25" s="30">
        <f>AR8-AR9</f>
        <v/>
      </c>
      <c r="AS25" s="30">
        <f>AS8-AS9</f>
        <v/>
      </c>
      <c r="AT25" s="30">
        <f>AT8-AT9</f>
        <v/>
      </c>
      <c r="AU25" s="30">
        <f>AU8-AU9</f>
        <v/>
      </c>
      <c r="AV25" s="30">
        <f>AV8-AV9</f>
        <v/>
      </c>
      <c r="AW25" s="30">
        <f>AW8-AW9</f>
        <v/>
      </c>
      <c r="AY25" s="24" t="n">
        <v>-11</v>
      </c>
      <c r="AZ25" s="35" t="n">
        <v>-8</v>
      </c>
    </row>
    <row r="26" ht="25" customHeight="1">
      <c r="A26" s="37" t="inlineStr">
        <is>
          <t>GBP JPY</t>
        </is>
      </c>
      <c r="B26" s="30">
        <f>B8-B5</f>
        <v/>
      </c>
      <c r="C26" s="30">
        <f>C8-C5</f>
        <v/>
      </c>
      <c r="D26" s="30">
        <f>D8-D5</f>
        <v/>
      </c>
      <c r="E26" s="30">
        <f>E8-E5</f>
        <v/>
      </c>
      <c r="F26" s="30">
        <f>F8-F5</f>
        <v/>
      </c>
      <c r="G26" s="30">
        <f>G8-G5</f>
        <v/>
      </c>
      <c r="H26" s="30">
        <f>H8-H5</f>
        <v/>
      </c>
      <c r="I26" s="30">
        <f>I8-I5</f>
        <v/>
      </c>
      <c r="J26" s="30">
        <f>J8-J5</f>
        <v/>
      </c>
      <c r="K26" s="30">
        <f>K8-K5</f>
        <v/>
      </c>
      <c r="L26" s="30">
        <f>L8-L5</f>
        <v/>
      </c>
      <c r="M26" s="30">
        <f>M8-M5</f>
        <v/>
      </c>
      <c r="N26" s="30">
        <f>N8-N5</f>
        <v/>
      </c>
      <c r="O26" s="30">
        <f>O8-O5</f>
        <v/>
      </c>
      <c r="P26" s="30">
        <f>P8-P5</f>
        <v/>
      </c>
      <c r="Q26" s="30">
        <f>Q8-Q5</f>
        <v/>
      </c>
      <c r="R26" s="30">
        <f>R8-R5</f>
        <v/>
      </c>
      <c r="S26" s="30">
        <f>S8-S5</f>
        <v/>
      </c>
      <c r="T26" s="30">
        <f>T8-T5</f>
        <v/>
      </c>
      <c r="U26" s="30">
        <f>U8-U5</f>
        <v/>
      </c>
      <c r="V26" s="30">
        <f>V8-V5</f>
        <v/>
      </c>
      <c r="W26" s="30">
        <f>W8-W5</f>
        <v/>
      </c>
      <c r="X26" s="30">
        <f>X8-X5</f>
        <v/>
      </c>
      <c r="Y26" s="30">
        <f>Y8-Y5</f>
        <v/>
      </c>
      <c r="Z26" s="30">
        <f>Z8-Z5</f>
        <v/>
      </c>
      <c r="AA26" s="30">
        <f>AA8-AA5</f>
        <v/>
      </c>
      <c r="AB26" s="30">
        <f>AB8-AB5</f>
        <v/>
      </c>
      <c r="AC26" s="30">
        <f>AC8-AC5</f>
        <v/>
      </c>
      <c r="AD26" s="30">
        <f>AD8-AD5</f>
        <v/>
      </c>
      <c r="AE26" s="30">
        <f>AE8-AE5</f>
        <v/>
      </c>
      <c r="AF26" s="30">
        <f>AF8-AF5</f>
        <v/>
      </c>
      <c r="AG26" s="30">
        <f>AG8-AG5</f>
        <v/>
      </c>
      <c r="AH26" s="30">
        <f>AH8-AH5</f>
        <v/>
      </c>
      <c r="AI26" s="30">
        <f>AI8-AI5</f>
        <v/>
      </c>
      <c r="AJ26" s="30">
        <f>AJ8-AJ5</f>
        <v/>
      </c>
      <c r="AK26" s="30">
        <f>AK8-AK5</f>
        <v/>
      </c>
      <c r="AL26" s="30">
        <f>AL8-AL5</f>
        <v/>
      </c>
      <c r="AM26" s="30">
        <f>AM8-AM5</f>
        <v/>
      </c>
      <c r="AN26" s="30">
        <f>AN8-AN5</f>
        <v/>
      </c>
      <c r="AO26" s="30">
        <f>AO8-AO5</f>
        <v/>
      </c>
      <c r="AP26" s="30">
        <f>AP8-AP5</f>
        <v/>
      </c>
      <c r="AQ26" s="30">
        <f>AQ8-AQ5</f>
        <v/>
      </c>
      <c r="AR26" s="30">
        <f>AR8-AR5</f>
        <v/>
      </c>
      <c r="AS26" s="30">
        <f>AS8-AS5</f>
        <v/>
      </c>
      <c r="AT26" s="30">
        <f>AT8-AT5</f>
        <v/>
      </c>
      <c r="AU26" s="30">
        <f>AU8-AU5</f>
        <v/>
      </c>
      <c r="AV26" s="30">
        <f>AV8-AV5</f>
        <v/>
      </c>
      <c r="AW26" s="30">
        <f>AW8-AW5</f>
        <v/>
      </c>
      <c r="AY26" s="24" t="n">
        <v>-12</v>
      </c>
      <c r="AZ26" s="35" t="n">
        <v>-9</v>
      </c>
    </row>
    <row r="27" ht="25" customHeight="1" thickBot="1">
      <c r="A27" s="37" t="inlineStr">
        <is>
          <t>GBP CHF</t>
        </is>
      </c>
      <c r="B27" s="30">
        <f>B8-B6</f>
        <v/>
      </c>
      <c r="C27" s="30">
        <f>C8-C6</f>
        <v/>
      </c>
      <c r="D27" s="30">
        <f>D8-D6</f>
        <v/>
      </c>
      <c r="E27" s="30">
        <f>E8-E6</f>
        <v/>
      </c>
      <c r="F27" s="30">
        <f>F8-F6</f>
        <v/>
      </c>
      <c r="G27" s="30">
        <f>G8-G6</f>
        <v/>
      </c>
      <c r="H27" s="30">
        <f>H8-H6</f>
        <v/>
      </c>
      <c r="I27" s="30">
        <f>I8-I6</f>
        <v/>
      </c>
      <c r="J27" s="30">
        <f>J8-J6</f>
        <v/>
      </c>
      <c r="K27" s="30">
        <f>K8-K6</f>
        <v/>
      </c>
      <c r="L27" s="30">
        <f>L8-L6</f>
        <v/>
      </c>
      <c r="M27" s="30">
        <f>M8-M6</f>
        <v/>
      </c>
      <c r="N27" s="30">
        <f>N8-N6</f>
        <v/>
      </c>
      <c r="O27" s="30">
        <f>O8-O6</f>
        <v/>
      </c>
      <c r="P27" s="30">
        <f>P8-P6</f>
        <v/>
      </c>
      <c r="Q27" s="30">
        <f>Q8-Q6</f>
        <v/>
      </c>
      <c r="R27" s="30">
        <f>R8-R6</f>
        <v/>
      </c>
      <c r="S27" s="30">
        <f>S8-S6</f>
        <v/>
      </c>
      <c r="T27" s="30">
        <f>T8-T6</f>
        <v/>
      </c>
      <c r="U27" s="30">
        <f>U8-U6</f>
        <v/>
      </c>
      <c r="V27" s="30">
        <f>V8-V6</f>
        <v/>
      </c>
      <c r="W27" s="30">
        <f>W8-W6</f>
        <v/>
      </c>
      <c r="X27" s="30">
        <f>X8-X6</f>
        <v/>
      </c>
      <c r="Y27" s="30">
        <f>Y8-Y6</f>
        <v/>
      </c>
      <c r="Z27" s="30">
        <f>Z8-Z6</f>
        <v/>
      </c>
      <c r="AA27" s="30">
        <f>AA8-AA6</f>
        <v/>
      </c>
      <c r="AB27" s="30">
        <f>AB8-AB6</f>
        <v/>
      </c>
      <c r="AC27" s="30">
        <f>AC8-AC6</f>
        <v/>
      </c>
      <c r="AD27" s="30">
        <f>AD8-AD6</f>
        <v/>
      </c>
      <c r="AE27" s="30">
        <f>AE8-AE6</f>
        <v/>
      </c>
      <c r="AF27" s="30">
        <f>AF8-AF6</f>
        <v/>
      </c>
      <c r="AG27" s="30">
        <f>AG8-AG6</f>
        <v/>
      </c>
      <c r="AH27" s="30">
        <f>AH8-AH6</f>
        <v/>
      </c>
      <c r="AI27" s="30">
        <f>AI8-AI6</f>
        <v/>
      </c>
      <c r="AJ27" s="30">
        <f>AJ8-AJ6</f>
        <v/>
      </c>
      <c r="AK27" s="30">
        <f>AK8-AK6</f>
        <v/>
      </c>
      <c r="AL27" s="30">
        <f>AL8-AL6</f>
        <v/>
      </c>
      <c r="AM27" s="30">
        <f>AM8-AM6</f>
        <v/>
      </c>
      <c r="AN27" s="30">
        <f>AN8-AN6</f>
        <v/>
      </c>
      <c r="AO27" s="30">
        <f>AO8-AO6</f>
        <v/>
      </c>
      <c r="AP27" s="30">
        <f>AP8-AP6</f>
        <v/>
      </c>
      <c r="AQ27" s="30">
        <f>AQ8-AQ6</f>
        <v/>
      </c>
      <c r="AR27" s="30">
        <f>AR8-AR6</f>
        <v/>
      </c>
      <c r="AS27" s="30">
        <f>AS8-AS6</f>
        <v/>
      </c>
      <c r="AT27" s="30">
        <f>AT8-AT6</f>
        <v/>
      </c>
      <c r="AU27" s="30">
        <f>AU8-AU6</f>
        <v/>
      </c>
      <c r="AV27" s="30">
        <f>AV8-AV6</f>
        <v/>
      </c>
      <c r="AW27" s="30">
        <f>AW8-AW6</f>
        <v/>
      </c>
      <c r="AY27" s="38" t="n">
        <v>-14</v>
      </c>
      <c r="AZ27" s="39" t="n">
        <v>-10</v>
      </c>
    </row>
    <row r="28" ht="25" customHeight="1">
      <c r="A28" s="37" t="inlineStr">
        <is>
          <t>GBP CAD</t>
        </is>
      </c>
      <c r="B28" s="30">
        <f>B8-B4</f>
        <v/>
      </c>
      <c r="C28" s="30">
        <f>C8-C4</f>
        <v/>
      </c>
      <c r="D28" s="30">
        <f>D8-D4</f>
        <v/>
      </c>
      <c r="E28" s="30">
        <f>E8-E4</f>
        <v/>
      </c>
      <c r="F28" s="30">
        <f>F8-F4</f>
        <v/>
      </c>
      <c r="G28" s="30">
        <f>G8-G4</f>
        <v/>
      </c>
      <c r="H28" s="30">
        <f>H8-H4</f>
        <v/>
      </c>
      <c r="I28" s="30">
        <f>I8-I4</f>
        <v/>
      </c>
      <c r="J28" s="30">
        <f>J8-J4</f>
        <v/>
      </c>
      <c r="K28" s="30">
        <f>K8-K4</f>
        <v/>
      </c>
      <c r="L28" s="30">
        <f>L8-L4</f>
        <v/>
      </c>
      <c r="M28" s="30">
        <f>M8-M4</f>
        <v/>
      </c>
      <c r="N28" s="30">
        <f>N8-N4</f>
        <v/>
      </c>
      <c r="O28" s="30">
        <f>O8-O4</f>
        <v/>
      </c>
      <c r="P28" s="30">
        <f>P8-P4</f>
        <v/>
      </c>
      <c r="Q28" s="30">
        <f>Q8-Q4</f>
        <v/>
      </c>
      <c r="R28" s="30">
        <f>R8-R4</f>
        <v/>
      </c>
      <c r="S28" s="30">
        <f>S8-S4</f>
        <v/>
      </c>
      <c r="T28" s="30">
        <f>T8-T4</f>
        <v/>
      </c>
      <c r="U28" s="30">
        <f>U8-U4</f>
        <v/>
      </c>
      <c r="V28" s="30">
        <f>V8-V4</f>
        <v/>
      </c>
      <c r="W28" s="30">
        <f>W8-W4</f>
        <v/>
      </c>
      <c r="X28" s="30">
        <f>X8-X4</f>
        <v/>
      </c>
      <c r="Y28" s="30">
        <f>Y8-Y4</f>
        <v/>
      </c>
      <c r="Z28" s="30">
        <f>Z8-Z4</f>
        <v/>
      </c>
      <c r="AA28" s="30">
        <f>AA8-AA4</f>
        <v/>
      </c>
      <c r="AB28" s="30">
        <f>AB8-AB4</f>
        <v/>
      </c>
      <c r="AC28" s="30">
        <f>AC8-AC4</f>
        <v/>
      </c>
      <c r="AD28" s="30">
        <f>AD8-AD4</f>
        <v/>
      </c>
      <c r="AE28" s="30">
        <f>AE8-AE4</f>
        <v/>
      </c>
      <c r="AF28" s="30">
        <f>AF8-AF4</f>
        <v/>
      </c>
      <c r="AG28" s="30">
        <f>AG8-AG4</f>
        <v/>
      </c>
      <c r="AH28" s="30">
        <f>AH8-AH4</f>
        <v/>
      </c>
      <c r="AI28" s="30">
        <f>AI8-AI4</f>
        <v/>
      </c>
      <c r="AJ28" s="30">
        <f>AJ8-AJ4</f>
        <v/>
      </c>
      <c r="AK28" s="30">
        <f>AK8-AK4</f>
        <v/>
      </c>
      <c r="AL28" s="30">
        <f>AL8-AL4</f>
        <v/>
      </c>
      <c r="AM28" s="30">
        <f>AM8-AM4</f>
        <v/>
      </c>
      <c r="AN28" s="30">
        <f>AN8-AN4</f>
        <v/>
      </c>
      <c r="AO28" s="30">
        <f>AO8-AO4</f>
        <v/>
      </c>
      <c r="AP28" s="30">
        <f>AP8-AP4</f>
        <v/>
      </c>
      <c r="AQ28" s="30">
        <f>AQ8-AQ4</f>
        <v/>
      </c>
      <c r="AR28" s="30">
        <f>AR8-AR4</f>
        <v/>
      </c>
      <c r="AS28" s="30">
        <f>AS8-AS4</f>
        <v/>
      </c>
      <c r="AT28" s="30">
        <f>AT8-AT4</f>
        <v/>
      </c>
      <c r="AU28" s="30">
        <f>AU8-AU4</f>
        <v/>
      </c>
      <c r="AV28" s="30">
        <f>AV8-AV4</f>
        <v/>
      </c>
      <c r="AW28" s="30">
        <f>AW8-AW4</f>
        <v/>
      </c>
    </row>
    <row r="29" ht="25" customHeight="1">
      <c r="A29" s="37" t="inlineStr">
        <is>
          <t>GBP AUD</t>
        </is>
      </c>
      <c r="B29" s="30">
        <f>B8-B3</f>
        <v/>
      </c>
      <c r="C29" s="30">
        <f>C8-C3</f>
        <v/>
      </c>
      <c r="D29" s="30">
        <f>D8-D3</f>
        <v/>
      </c>
      <c r="E29" s="30">
        <f>E8-E3</f>
        <v/>
      </c>
      <c r="F29" s="30">
        <f>F8-F3</f>
        <v/>
      </c>
      <c r="G29" s="30">
        <f>G8-G3</f>
        <v/>
      </c>
      <c r="H29" s="30">
        <f>H8-H3</f>
        <v/>
      </c>
      <c r="I29" s="30">
        <f>I8-I3</f>
        <v/>
      </c>
      <c r="J29" s="30">
        <f>J8-J3</f>
        <v/>
      </c>
      <c r="K29" s="30">
        <f>K8-K3</f>
        <v/>
      </c>
      <c r="L29" s="30">
        <f>L8-L3</f>
        <v/>
      </c>
      <c r="M29" s="30">
        <f>M8-M3</f>
        <v/>
      </c>
      <c r="N29" s="30">
        <f>N8-N3</f>
        <v/>
      </c>
      <c r="O29" s="30">
        <f>O8-O3</f>
        <v/>
      </c>
      <c r="P29" s="30">
        <f>P8-P3</f>
        <v/>
      </c>
      <c r="Q29" s="30">
        <f>Q8-Q3</f>
        <v/>
      </c>
      <c r="R29" s="30">
        <f>R8-R3</f>
        <v/>
      </c>
      <c r="S29" s="30">
        <f>S8-S3</f>
        <v/>
      </c>
      <c r="T29" s="30">
        <f>T8-T3</f>
        <v/>
      </c>
      <c r="U29" s="30">
        <f>U8-U3</f>
        <v/>
      </c>
      <c r="V29" s="30">
        <f>V8-V3</f>
        <v/>
      </c>
      <c r="W29" s="30">
        <f>W8-W3</f>
        <v/>
      </c>
      <c r="X29" s="30">
        <f>X8-X3</f>
        <v/>
      </c>
      <c r="Y29" s="30">
        <f>Y8-Y3</f>
        <v/>
      </c>
      <c r="Z29" s="30">
        <f>Z8-Z3</f>
        <v/>
      </c>
      <c r="AA29" s="30">
        <f>AA8-AA3</f>
        <v/>
      </c>
      <c r="AB29" s="30">
        <f>AB8-AB3</f>
        <v/>
      </c>
      <c r="AC29" s="30">
        <f>AC8-AC3</f>
        <v/>
      </c>
      <c r="AD29" s="30">
        <f>AD8-AD3</f>
        <v/>
      </c>
      <c r="AE29" s="30">
        <f>AE8-AE3</f>
        <v/>
      </c>
      <c r="AF29" s="30">
        <f>AF8-AF3</f>
        <v/>
      </c>
      <c r="AG29" s="30">
        <f>AG8-AG3</f>
        <v/>
      </c>
      <c r="AH29" s="30">
        <f>AH8-AH3</f>
        <v/>
      </c>
      <c r="AI29" s="30">
        <f>AI8-AI3</f>
        <v/>
      </c>
      <c r="AJ29" s="30">
        <f>AJ8-AJ3</f>
        <v/>
      </c>
      <c r="AK29" s="30">
        <f>AK8-AK3</f>
        <v/>
      </c>
      <c r="AL29" s="30">
        <f>AL8-AL3</f>
        <v/>
      </c>
      <c r="AM29" s="30">
        <f>AM8-AM3</f>
        <v/>
      </c>
      <c r="AN29" s="30">
        <f>AN8-AN3</f>
        <v/>
      </c>
      <c r="AO29" s="30">
        <f>AO8-AO3</f>
        <v/>
      </c>
      <c r="AP29" s="30">
        <f>AP8-AP3</f>
        <v/>
      </c>
      <c r="AQ29" s="30">
        <f>AQ8-AQ3</f>
        <v/>
      </c>
      <c r="AR29" s="30">
        <f>AR8-AR3</f>
        <v/>
      </c>
      <c r="AS29" s="30">
        <f>AS8-AS3</f>
        <v/>
      </c>
      <c r="AT29" s="30">
        <f>AT8-AT3</f>
        <v/>
      </c>
      <c r="AU29" s="30">
        <f>AU8-AU3</f>
        <v/>
      </c>
      <c r="AV29" s="30">
        <f>AV8-AV3</f>
        <v/>
      </c>
      <c r="AW29" s="30">
        <f>AW8-AW3</f>
        <v/>
      </c>
    </row>
    <row r="30" ht="25" customHeight="1">
      <c r="A30" s="37" t="inlineStr">
        <is>
          <t>GBP NZD</t>
        </is>
      </c>
      <c r="B30" s="30">
        <f>B8-B7</f>
        <v/>
      </c>
      <c r="C30" s="30">
        <f>C8-C7</f>
        <v/>
      </c>
      <c r="D30" s="30">
        <f>D8-D7</f>
        <v/>
      </c>
      <c r="E30" s="30">
        <f>E8-E7</f>
        <v/>
      </c>
      <c r="F30" s="30">
        <f>F8-F7</f>
        <v/>
      </c>
      <c r="G30" s="30">
        <f>G8-G7</f>
        <v/>
      </c>
      <c r="H30" s="30">
        <f>H8-H7</f>
        <v/>
      </c>
      <c r="I30" s="30">
        <f>I8-I7</f>
        <v/>
      </c>
      <c r="J30" s="30">
        <f>J8-J7</f>
        <v/>
      </c>
      <c r="K30" s="30">
        <f>K8-K7</f>
        <v/>
      </c>
      <c r="L30" s="30">
        <f>L8-L7</f>
        <v/>
      </c>
      <c r="M30" s="30">
        <f>M8-M7</f>
        <v/>
      </c>
      <c r="N30" s="30">
        <f>N8-N7</f>
        <v/>
      </c>
      <c r="O30" s="30">
        <f>O8-O7</f>
        <v/>
      </c>
      <c r="P30" s="30">
        <f>P8-P7</f>
        <v/>
      </c>
      <c r="Q30" s="30">
        <f>Q8-Q7</f>
        <v/>
      </c>
      <c r="R30" s="30">
        <f>R8-R7</f>
        <v/>
      </c>
      <c r="S30" s="30">
        <f>S8-S7</f>
        <v/>
      </c>
      <c r="T30" s="30">
        <f>T8-T7</f>
        <v/>
      </c>
      <c r="U30" s="30">
        <f>U8-U7</f>
        <v/>
      </c>
      <c r="V30" s="30">
        <f>V8-V7</f>
        <v/>
      </c>
      <c r="W30" s="30">
        <f>W8-W7</f>
        <v/>
      </c>
      <c r="X30" s="30">
        <f>X8-X7</f>
        <v/>
      </c>
      <c r="Y30" s="30">
        <f>Y8-Y7</f>
        <v/>
      </c>
      <c r="Z30" s="30">
        <f>Z8-Z7</f>
        <v/>
      </c>
      <c r="AA30" s="30">
        <f>AA8-AA7</f>
        <v/>
      </c>
      <c r="AB30" s="30">
        <f>AB8-AB7</f>
        <v/>
      </c>
      <c r="AC30" s="30">
        <f>AC8-AC7</f>
        <v/>
      </c>
      <c r="AD30" s="30">
        <f>AD8-AD7</f>
        <v/>
      </c>
      <c r="AE30" s="30">
        <f>AE8-AE7</f>
        <v/>
      </c>
      <c r="AF30" s="30">
        <f>AF8-AF7</f>
        <v/>
      </c>
      <c r="AG30" s="30">
        <f>AG8-AG7</f>
        <v/>
      </c>
      <c r="AH30" s="30">
        <f>AH8-AH7</f>
        <v/>
      </c>
      <c r="AI30" s="30">
        <f>AI8-AI7</f>
        <v/>
      </c>
      <c r="AJ30" s="30">
        <f>AJ8-AJ7</f>
        <v/>
      </c>
      <c r="AK30" s="30">
        <f>AK8-AK7</f>
        <v/>
      </c>
      <c r="AL30" s="30">
        <f>AL8-AL7</f>
        <v/>
      </c>
      <c r="AM30" s="30">
        <f>AM8-AM7</f>
        <v/>
      </c>
      <c r="AN30" s="30">
        <f>AN8-AN7</f>
        <v/>
      </c>
      <c r="AO30" s="30">
        <f>AO8-AO7</f>
        <v/>
      </c>
      <c r="AP30" s="30">
        <f>AP8-AP7</f>
        <v/>
      </c>
      <c r="AQ30" s="30">
        <f>AQ8-AQ7</f>
        <v/>
      </c>
      <c r="AR30" s="30">
        <f>AR8-AR7</f>
        <v/>
      </c>
      <c r="AS30" s="30">
        <f>AS8-AS7</f>
        <v/>
      </c>
      <c r="AT30" s="30">
        <f>AT8-AT7</f>
        <v/>
      </c>
      <c r="AU30" s="30">
        <f>AU8-AU7</f>
        <v/>
      </c>
      <c r="AV30" s="30">
        <f>AV8-AV7</f>
        <v/>
      </c>
      <c r="AW30" s="30">
        <f>AW8-AW7</f>
        <v/>
      </c>
    </row>
    <row r="31" ht="25" customHeight="1">
      <c r="A31" s="40" t="inlineStr">
        <is>
          <t xml:space="preserve">CHF JPY </t>
        </is>
      </c>
      <c r="B31" s="30">
        <f>B6-B5</f>
        <v/>
      </c>
      <c r="C31" s="30">
        <f>C6-C5</f>
        <v/>
      </c>
      <c r="D31" s="30">
        <f>D6-D5</f>
        <v/>
      </c>
      <c r="E31" s="30">
        <f>E6-E5</f>
        <v/>
      </c>
      <c r="F31" s="30">
        <f>F6-F5</f>
        <v/>
      </c>
      <c r="G31" s="30">
        <f>G6-G5</f>
        <v/>
      </c>
      <c r="H31" s="30">
        <f>H6-H5</f>
        <v/>
      </c>
      <c r="I31" s="30">
        <f>I6-I5</f>
        <v/>
      </c>
      <c r="J31" s="30">
        <f>J6-J5</f>
        <v/>
      </c>
      <c r="K31" s="30">
        <f>K6-K5</f>
        <v/>
      </c>
      <c r="L31" s="30">
        <f>L6-L5</f>
        <v/>
      </c>
      <c r="M31" s="30">
        <f>M6-M5</f>
        <v/>
      </c>
      <c r="N31" s="30">
        <f>N6-N5</f>
        <v/>
      </c>
      <c r="O31" s="30">
        <f>O6-O5</f>
        <v/>
      </c>
      <c r="P31" s="30">
        <f>P6-P5</f>
        <v/>
      </c>
      <c r="Q31" s="30">
        <f>Q6-Q5</f>
        <v/>
      </c>
      <c r="R31" s="30">
        <f>R6-R5</f>
        <v/>
      </c>
      <c r="S31" s="30">
        <f>S6-S5</f>
        <v/>
      </c>
      <c r="T31" s="30">
        <f>T6-T5</f>
        <v/>
      </c>
      <c r="U31" s="30">
        <f>U6-U5</f>
        <v/>
      </c>
      <c r="V31" s="30">
        <f>V6-V5</f>
        <v/>
      </c>
      <c r="W31" s="30">
        <f>W6-W5</f>
        <v/>
      </c>
      <c r="X31" s="30">
        <f>X6-X5</f>
        <v/>
      </c>
      <c r="Y31" s="30">
        <f>Y6-Y5</f>
        <v/>
      </c>
      <c r="Z31" s="30">
        <f>Z6-Z5</f>
        <v/>
      </c>
      <c r="AA31" s="30">
        <f>AA6-AA5</f>
        <v/>
      </c>
      <c r="AB31" s="30">
        <f>AB6-AB5</f>
        <v/>
      </c>
      <c r="AC31" s="30">
        <f>AC6-AC5</f>
        <v/>
      </c>
      <c r="AD31" s="30">
        <f>AD6-AD5</f>
        <v/>
      </c>
      <c r="AE31" s="30">
        <f>AE6-AE5</f>
        <v/>
      </c>
      <c r="AF31" s="30">
        <f>AF6-AF5</f>
        <v/>
      </c>
      <c r="AG31" s="30">
        <f>AG6-AG5</f>
        <v/>
      </c>
      <c r="AH31" s="30">
        <f>AH6-AH5</f>
        <v/>
      </c>
      <c r="AI31" s="30">
        <f>AI6-AI5</f>
        <v/>
      </c>
      <c r="AJ31" s="30">
        <f>AJ6-AJ5</f>
        <v/>
      </c>
      <c r="AK31" s="30">
        <f>AK6-AK5</f>
        <v/>
      </c>
      <c r="AL31" s="30">
        <f>AL6-AL5</f>
        <v/>
      </c>
      <c r="AM31" s="30">
        <f>AM6-AM5</f>
        <v/>
      </c>
      <c r="AN31" s="30">
        <f>AN6-AN5</f>
        <v/>
      </c>
      <c r="AO31" s="30">
        <f>AO6-AO5</f>
        <v/>
      </c>
      <c r="AP31" s="30">
        <f>AP6-AP5</f>
        <v/>
      </c>
      <c r="AQ31" s="30">
        <f>AQ6-AQ5</f>
        <v/>
      </c>
      <c r="AR31" s="30">
        <f>AR6-AR5</f>
        <v/>
      </c>
      <c r="AS31" s="30">
        <f>AS6-AS5</f>
        <v/>
      </c>
      <c r="AT31" s="30">
        <f>AT6-AT5</f>
        <v/>
      </c>
      <c r="AU31" s="30">
        <f>AU6-AU5</f>
        <v/>
      </c>
      <c r="AV31" s="30">
        <f>AV6-AV5</f>
        <v/>
      </c>
      <c r="AW31" s="30">
        <f>AW6-AW5</f>
        <v/>
      </c>
    </row>
    <row r="32" ht="25" customHeight="1">
      <c r="A32" s="41" t="inlineStr">
        <is>
          <t>AUD USD</t>
        </is>
      </c>
      <c r="B32" s="30">
        <f>B3-B9</f>
        <v/>
      </c>
      <c r="C32" s="30">
        <f>C3-C9</f>
        <v/>
      </c>
      <c r="D32" s="30">
        <f>D3-D9</f>
        <v/>
      </c>
      <c r="E32" s="30">
        <f>E3-E9</f>
        <v/>
      </c>
      <c r="F32" s="30">
        <f>F3-F9</f>
        <v/>
      </c>
      <c r="G32" s="30">
        <f>G3-G9</f>
        <v/>
      </c>
      <c r="H32" s="30">
        <f>H3-H9</f>
        <v/>
      </c>
      <c r="I32" s="30">
        <f>I3-I9</f>
        <v/>
      </c>
      <c r="J32" s="30">
        <f>J3-J9</f>
        <v/>
      </c>
      <c r="K32" s="30">
        <f>K3-K9</f>
        <v/>
      </c>
      <c r="L32" s="30">
        <f>L3-L9</f>
        <v/>
      </c>
      <c r="M32" s="30">
        <f>M3-M9</f>
        <v/>
      </c>
      <c r="N32" s="30">
        <f>N3-N9</f>
        <v/>
      </c>
      <c r="O32" s="30">
        <f>O3-O9</f>
        <v/>
      </c>
      <c r="P32" s="30">
        <f>P3-P9</f>
        <v/>
      </c>
      <c r="Q32" s="30">
        <f>Q3-Q9</f>
        <v/>
      </c>
      <c r="R32" s="30">
        <f>R3-R9</f>
        <v/>
      </c>
      <c r="S32" s="30">
        <f>S3-S9</f>
        <v/>
      </c>
      <c r="T32" s="30">
        <f>T3-T9</f>
        <v/>
      </c>
      <c r="U32" s="30">
        <f>U3-U9</f>
        <v/>
      </c>
      <c r="V32" s="30">
        <f>V3-V9</f>
        <v/>
      </c>
      <c r="W32" s="30">
        <f>W3-W9</f>
        <v/>
      </c>
      <c r="X32" s="30">
        <f>X3-X9</f>
        <v/>
      </c>
      <c r="Y32" s="30">
        <f>Y3-Y9</f>
        <v/>
      </c>
      <c r="Z32" s="30">
        <f>Z3-Z9</f>
        <v/>
      </c>
      <c r="AA32" s="30">
        <f>AA3-AA9</f>
        <v/>
      </c>
      <c r="AB32" s="30">
        <f>AB3-AB9</f>
        <v/>
      </c>
      <c r="AC32" s="30">
        <f>AC3-AC9</f>
        <v/>
      </c>
      <c r="AD32" s="30">
        <f>AD3-AD9</f>
        <v/>
      </c>
      <c r="AE32" s="30">
        <f>AE3-AE9</f>
        <v/>
      </c>
      <c r="AF32" s="30">
        <f>AF3-AF9</f>
        <v/>
      </c>
      <c r="AG32" s="30">
        <f>AG3-AG9</f>
        <v/>
      </c>
      <c r="AH32" s="30">
        <f>AH3-AH9</f>
        <v/>
      </c>
      <c r="AI32" s="30">
        <f>AI3-AI9</f>
        <v/>
      </c>
      <c r="AJ32" s="30">
        <f>AJ3-AJ9</f>
        <v/>
      </c>
      <c r="AK32" s="30">
        <f>AK3-AK9</f>
        <v/>
      </c>
      <c r="AL32" s="30">
        <f>AL3-AL9</f>
        <v/>
      </c>
      <c r="AM32" s="30">
        <f>AM3-AM9</f>
        <v/>
      </c>
      <c r="AN32" s="30">
        <f>AN3-AN9</f>
        <v/>
      </c>
      <c r="AO32" s="30">
        <f>AO3-AO9</f>
        <v/>
      </c>
      <c r="AP32" s="30">
        <f>AP3-AP9</f>
        <v/>
      </c>
      <c r="AQ32" s="30">
        <f>AQ3-AQ9</f>
        <v/>
      </c>
      <c r="AR32" s="30">
        <f>AR3-AR9</f>
        <v/>
      </c>
      <c r="AS32" s="30">
        <f>AS3-AS9</f>
        <v/>
      </c>
      <c r="AT32" s="30">
        <f>AT3-AT9</f>
        <v/>
      </c>
      <c r="AU32" s="30">
        <f>AU3-AU9</f>
        <v/>
      </c>
      <c r="AV32" s="30">
        <f>AV3-AV9</f>
        <v/>
      </c>
      <c r="AW32" s="30">
        <f>AW3-AW9</f>
        <v/>
      </c>
    </row>
    <row r="33" ht="25" customHeight="1">
      <c r="A33" s="41" t="inlineStr">
        <is>
          <t>AUD CHF</t>
        </is>
      </c>
      <c r="B33" s="30">
        <f>B3-B6</f>
        <v/>
      </c>
      <c r="C33" s="30">
        <f>C3-C6</f>
        <v/>
      </c>
      <c r="D33" s="30">
        <f>D3-D6</f>
        <v/>
      </c>
      <c r="E33" s="30">
        <f>E3-E6</f>
        <v/>
      </c>
      <c r="F33" s="30">
        <f>F3-F6</f>
        <v/>
      </c>
      <c r="G33" s="30">
        <f>G3-G6</f>
        <v/>
      </c>
      <c r="H33" s="30">
        <f>H3-H6</f>
        <v/>
      </c>
      <c r="I33" s="30">
        <f>I3-I6</f>
        <v/>
      </c>
      <c r="J33" s="30">
        <f>J3-J6</f>
        <v/>
      </c>
      <c r="K33" s="30">
        <f>K3-K6</f>
        <v/>
      </c>
      <c r="L33" s="30">
        <f>L3-L6</f>
        <v/>
      </c>
      <c r="M33" s="30">
        <f>M3-M6</f>
        <v/>
      </c>
      <c r="N33" s="30">
        <f>N3-N6</f>
        <v/>
      </c>
      <c r="O33" s="30">
        <f>O3-O6</f>
        <v/>
      </c>
      <c r="P33" s="30">
        <f>P3-P6</f>
        <v/>
      </c>
      <c r="Q33" s="30">
        <f>Q3-Q6</f>
        <v/>
      </c>
      <c r="R33" s="30">
        <f>R3-R6</f>
        <v/>
      </c>
      <c r="S33" s="30">
        <f>S3-S6</f>
        <v/>
      </c>
      <c r="T33" s="30">
        <f>T3-T6</f>
        <v/>
      </c>
      <c r="U33" s="30">
        <f>U3-U6</f>
        <v/>
      </c>
      <c r="V33" s="30">
        <f>V3-V6</f>
        <v/>
      </c>
      <c r="W33" s="30">
        <f>W3-W6</f>
        <v/>
      </c>
      <c r="X33" s="30">
        <f>X3-X6</f>
        <v/>
      </c>
      <c r="Y33" s="30">
        <f>Y3-Y6</f>
        <v/>
      </c>
      <c r="Z33" s="30">
        <f>Z3-Z6</f>
        <v/>
      </c>
      <c r="AA33" s="30">
        <f>AA3-AA6</f>
        <v/>
      </c>
      <c r="AB33" s="30">
        <f>AB3-AB6</f>
        <v/>
      </c>
      <c r="AC33" s="30">
        <f>AC3-AC6</f>
        <v/>
      </c>
      <c r="AD33" s="30">
        <f>AD3-AD6</f>
        <v/>
      </c>
      <c r="AE33" s="30">
        <f>AE3-AE6</f>
        <v/>
      </c>
      <c r="AF33" s="30">
        <f>AF3-AF6</f>
        <v/>
      </c>
      <c r="AG33" s="30">
        <f>AG3-AG6</f>
        <v/>
      </c>
      <c r="AH33" s="30">
        <f>AH3-AH6</f>
        <v/>
      </c>
      <c r="AI33" s="30">
        <f>AI3-AI6</f>
        <v/>
      </c>
      <c r="AJ33" s="30">
        <f>AJ3-AJ6</f>
        <v/>
      </c>
      <c r="AK33" s="30">
        <f>AK3-AK6</f>
        <v/>
      </c>
      <c r="AL33" s="30">
        <f>AL3-AL6</f>
        <v/>
      </c>
      <c r="AM33" s="30">
        <f>AM3-AM6</f>
        <v/>
      </c>
      <c r="AN33" s="30">
        <f>AN3-AN6</f>
        <v/>
      </c>
      <c r="AO33" s="30">
        <f>AO3-AO6</f>
        <v/>
      </c>
      <c r="AP33" s="30">
        <f>AP3-AP6</f>
        <v/>
      </c>
      <c r="AQ33" s="30">
        <f>AQ3-AQ6</f>
        <v/>
      </c>
      <c r="AR33" s="30">
        <f>AR3-AR6</f>
        <v/>
      </c>
      <c r="AS33" s="30">
        <f>AS3-AS6</f>
        <v/>
      </c>
      <c r="AT33" s="30">
        <f>AT3-AT6</f>
        <v/>
      </c>
      <c r="AU33" s="30">
        <f>AU3-AU6</f>
        <v/>
      </c>
      <c r="AV33" s="30">
        <f>AV3-AV6</f>
        <v/>
      </c>
      <c r="AW33" s="30">
        <f>AW3-AW6</f>
        <v/>
      </c>
    </row>
    <row r="34" ht="25" customHeight="1">
      <c r="A34" s="41" t="inlineStr">
        <is>
          <t>AUD JPY</t>
        </is>
      </c>
      <c r="B34" s="30">
        <f>B3-B5</f>
        <v/>
      </c>
      <c r="C34" s="30">
        <f>C3-C5</f>
        <v/>
      </c>
      <c r="D34" s="30">
        <f>D3-D5</f>
        <v/>
      </c>
      <c r="E34" s="30">
        <f>E3-E5</f>
        <v/>
      </c>
      <c r="F34" s="30">
        <f>F3-F5</f>
        <v/>
      </c>
      <c r="G34" s="30">
        <f>G3-G5</f>
        <v/>
      </c>
      <c r="H34" s="30">
        <f>H3-H5</f>
        <v/>
      </c>
      <c r="I34" s="30">
        <f>I3-I5</f>
        <v/>
      </c>
      <c r="J34" s="30">
        <f>J3-J5</f>
        <v/>
      </c>
      <c r="K34" s="30">
        <f>K3-K5</f>
        <v/>
      </c>
      <c r="L34" s="30">
        <f>L3-L5</f>
        <v/>
      </c>
      <c r="M34" s="30">
        <f>M3-M5</f>
        <v/>
      </c>
      <c r="N34" s="30">
        <f>N3-N5</f>
        <v/>
      </c>
      <c r="O34" s="30">
        <f>O3-O5</f>
        <v/>
      </c>
      <c r="P34" s="30">
        <f>P3-P5</f>
        <v/>
      </c>
      <c r="Q34" s="30">
        <f>Q3-Q5</f>
        <v/>
      </c>
      <c r="R34" s="30">
        <f>R3-R5</f>
        <v/>
      </c>
      <c r="S34" s="30">
        <f>S3-S5</f>
        <v/>
      </c>
      <c r="T34" s="30">
        <f>T3-T5</f>
        <v/>
      </c>
      <c r="U34" s="30">
        <f>U3-U5</f>
        <v/>
      </c>
      <c r="V34" s="30">
        <f>V3-V5</f>
        <v/>
      </c>
      <c r="W34" s="30">
        <f>W3-W5</f>
        <v/>
      </c>
      <c r="X34" s="30">
        <f>X3-X5</f>
        <v/>
      </c>
      <c r="Y34" s="30">
        <f>Y3-Y5</f>
        <v/>
      </c>
      <c r="Z34" s="30">
        <f>Z3-Z5</f>
        <v/>
      </c>
      <c r="AA34" s="30">
        <f>AA3-AA5</f>
        <v/>
      </c>
      <c r="AB34" s="30">
        <f>AB3-AB5</f>
        <v/>
      </c>
      <c r="AC34" s="30">
        <f>AC3-AC5</f>
        <v/>
      </c>
      <c r="AD34" s="30">
        <f>AD3-AD5</f>
        <v/>
      </c>
      <c r="AE34" s="30">
        <f>AE3-AE5</f>
        <v/>
      </c>
      <c r="AF34" s="30">
        <f>AF3-AF5</f>
        <v/>
      </c>
      <c r="AG34" s="30">
        <f>AG3-AG5</f>
        <v/>
      </c>
      <c r="AH34" s="30">
        <f>AH3-AH5</f>
        <v/>
      </c>
      <c r="AI34" s="30">
        <f>AI3-AI5</f>
        <v/>
      </c>
      <c r="AJ34" s="30">
        <f>AJ3-AJ5</f>
        <v/>
      </c>
      <c r="AK34" s="30">
        <f>AK3-AK5</f>
        <v/>
      </c>
      <c r="AL34" s="30">
        <f>AL3-AL5</f>
        <v/>
      </c>
      <c r="AM34" s="30">
        <f>AM3-AM5</f>
        <v/>
      </c>
      <c r="AN34" s="30">
        <f>AN3-AN5</f>
        <v/>
      </c>
      <c r="AO34" s="30">
        <f>AO3-AO5</f>
        <v/>
      </c>
      <c r="AP34" s="30">
        <f>AP3-AP5</f>
        <v/>
      </c>
      <c r="AQ34" s="30">
        <f>AQ3-AQ5</f>
        <v/>
      </c>
      <c r="AR34" s="30">
        <f>AR3-AR5</f>
        <v/>
      </c>
      <c r="AS34" s="30">
        <f>AS3-AS5</f>
        <v/>
      </c>
      <c r="AT34" s="30">
        <f>AT3-AT5</f>
        <v/>
      </c>
      <c r="AU34" s="30">
        <f>AU3-AU5</f>
        <v/>
      </c>
      <c r="AV34" s="30">
        <f>AV3-AV5</f>
        <v/>
      </c>
      <c r="AW34" s="30">
        <f>AW3-AW5</f>
        <v/>
      </c>
    </row>
    <row r="35" ht="25" customHeight="1">
      <c r="A35" s="41" t="inlineStr">
        <is>
          <t>AUD NZD</t>
        </is>
      </c>
      <c r="B35" s="30">
        <f>B3-B7</f>
        <v/>
      </c>
      <c r="C35" s="30">
        <f>C3-C7</f>
        <v/>
      </c>
      <c r="D35" s="30">
        <f>D3-D7</f>
        <v/>
      </c>
      <c r="E35" s="30">
        <f>E3-E7</f>
        <v/>
      </c>
      <c r="F35" s="30">
        <f>F3-F7</f>
        <v/>
      </c>
      <c r="G35" s="30">
        <f>G3-G7</f>
        <v/>
      </c>
      <c r="H35" s="30">
        <f>H3-H7</f>
        <v/>
      </c>
      <c r="I35" s="30">
        <f>I3-I7</f>
        <v/>
      </c>
      <c r="J35" s="30">
        <f>J3-J7</f>
        <v/>
      </c>
      <c r="K35" s="30">
        <f>K3-K7</f>
        <v/>
      </c>
      <c r="L35" s="30">
        <f>L3-L7</f>
        <v/>
      </c>
      <c r="M35" s="30">
        <f>M3-M7</f>
        <v/>
      </c>
      <c r="N35" s="30">
        <f>N3-N7</f>
        <v/>
      </c>
      <c r="O35" s="30">
        <f>O3-O7</f>
        <v/>
      </c>
      <c r="P35" s="30">
        <f>P3-P7</f>
        <v/>
      </c>
      <c r="Q35" s="30">
        <f>Q3-Q7</f>
        <v/>
      </c>
      <c r="R35" s="30">
        <f>R3-R7</f>
        <v/>
      </c>
      <c r="S35" s="30">
        <f>S3-S7</f>
        <v/>
      </c>
      <c r="T35" s="30">
        <f>T3-T7</f>
        <v/>
      </c>
      <c r="U35" s="30">
        <f>U3-U7</f>
        <v/>
      </c>
      <c r="V35" s="30">
        <f>V3-V7</f>
        <v/>
      </c>
      <c r="W35" s="30">
        <f>W3-W7</f>
        <v/>
      </c>
      <c r="X35" s="30">
        <f>X3-X7</f>
        <v/>
      </c>
      <c r="Y35" s="30">
        <f>Y3-Y7</f>
        <v/>
      </c>
      <c r="Z35" s="30">
        <f>Z3-Z7</f>
        <v/>
      </c>
      <c r="AA35" s="30">
        <f>AA3-AA7</f>
        <v/>
      </c>
      <c r="AB35" s="30">
        <f>AB3-AB7</f>
        <v/>
      </c>
      <c r="AC35" s="30">
        <f>AC3-AC7</f>
        <v/>
      </c>
      <c r="AD35" s="30">
        <f>AD3-AD7</f>
        <v/>
      </c>
      <c r="AE35" s="30">
        <f>AE3-AE7</f>
        <v/>
      </c>
      <c r="AF35" s="30">
        <f>AF3-AF7</f>
        <v/>
      </c>
      <c r="AG35" s="30">
        <f>AG3-AG7</f>
        <v/>
      </c>
      <c r="AH35" s="30">
        <f>AH3-AH7</f>
        <v/>
      </c>
      <c r="AI35" s="30">
        <f>AI3-AI7</f>
        <v/>
      </c>
      <c r="AJ35" s="30">
        <f>AJ3-AJ7</f>
        <v/>
      </c>
      <c r="AK35" s="30">
        <f>AK3-AK7</f>
        <v/>
      </c>
      <c r="AL35" s="30">
        <f>AL3-AL7</f>
        <v/>
      </c>
      <c r="AM35" s="30">
        <f>AM3-AM7</f>
        <v/>
      </c>
      <c r="AN35" s="30">
        <f>AN3-AN7</f>
        <v/>
      </c>
      <c r="AO35" s="30">
        <f>AO3-AO7</f>
        <v/>
      </c>
      <c r="AP35" s="30">
        <f>AP3-AP7</f>
        <v/>
      </c>
      <c r="AQ35" s="30">
        <f>AQ3-AQ7</f>
        <v/>
      </c>
      <c r="AR35" s="30">
        <f>AR3-AR7</f>
        <v/>
      </c>
      <c r="AS35" s="30">
        <f>AS3-AS7</f>
        <v/>
      </c>
      <c r="AT35" s="30">
        <f>AT3-AT7</f>
        <v/>
      </c>
      <c r="AU35" s="30">
        <f>AU3-AU7</f>
        <v/>
      </c>
      <c r="AV35" s="30">
        <f>AV3-AV7</f>
        <v/>
      </c>
      <c r="AW35" s="30">
        <f>AW3-AW7</f>
        <v/>
      </c>
    </row>
    <row r="36" ht="25" customHeight="1">
      <c r="A36" s="41" t="inlineStr">
        <is>
          <t>AUD CAD</t>
        </is>
      </c>
      <c r="B36" s="30">
        <f>B3-B4</f>
        <v/>
      </c>
      <c r="C36" s="30">
        <f>C3-C4</f>
        <v/>
      </c>
      <c r="D36" s="30">
        <f>D3-D4</f>
        <v/>
      </c>
      <c r="E36" s="30">
        <f>E3-E4</f>
        <v/>
      </c>
      <c r="F36" s="30">
        <f>F3-F4</f>
        <v/>
      </c>
      <c r="G36" s="30">
        <f>G3-G4</f>
        <v/>
      </c>
      <c r="H36" s="30">
        <f>H3-H4</f>
        <v/>
      </c>
      <c r="I36" s="30">
        <f>I3-I4</f>
        <v/>
      </c>
      <c r="J36" s="30">
        <f>J3-J4</f>
        <v/>
      </c>
      <c r="K36" s="30">
        <f>K3-K4</f>
        <v/>
      </c>
      <c r="L36" s="30">
        <f>L3-L4</f>
        <v/>
      </c>
      <c r="M36" s="30">
        <f>M3-M4</f>
        <v/>
      </c>
      <c r="N36" s="30">
        <f>N3-N4</f>
        <v/>
      </c>
      <c r="O36" s="30">
        <f>O3-O4</f>
        <v/>
      </c>
      <c r="P36" s="30">
        <f>P3-P4</f>
        <v/>
      </c>
      <c r="Q36" s="30">
        <f>Q3-Q4</f>
        <v/>
      </c>
      <c r="R36" s="30">
        <f>R3-R4</f>
        <v/>
      </c>
      <c r="S36" s="30">
        <f>S3-S4</f>
        <v/>
      </c>
      <c r="T36" s="30">
        <f>T3-T4</f>
        <v/>
      </c>
      <c r="U36" s="30">
        <f>U3-U4</f>
        <v/>
      </c>
      <c r="V36" s="30">
        <f>V3-V4</f>
        <v/>
      </c>
      <c r="W36" s="30">
        <f>W3-W4</f>
        <v/>
      </c>
      <c r="X36" s="30">
        <f>X3-X4</f>
        <v/>
      </c>
      <c r="Y36" s="30">
        <f>Y3-Y4</f>
        <v/>
      </c>
      <c r="Z36" s="30">
        <f>Z3-Z4</f>
        <v/>
      </c>
      <c r="AA36" s="30">
        <f>AA3-AA4</f>
        <v/>
      </c>
      <c r="AB36" s="30">
        <f>AB3-AB4</f>
        <v/>
      </c>
      <c r="AC36" s="30">
        <f>AC3-AC4</f>
        <v/>
      </c>
      <c r="AD36" s="30">
        <f>AD3-AD4</f>
        <v/>
      </c>
      <c r="AE36" s="30">
        <f>AE3-AE4</f>
        <v/>
      </c>
      <c r="AF36" s="30">
        <f>AF3-AF4</f>
        <v/>
      </c>
      <c r="AG36" s="30">
        <f>AG3-AG4</f>
        <v/>
      </c>
      <c r="AH36" s="30">
        <f>AH3-AH4</f>
        <v/>
      </c>
      <c r="AI36" s="30">
        <f>AI3-AI4</f>
        <v/>
      </c>
      <c r="AJ36" s="30">
        <f>AJ3-AJ4</f>
        <v/>
      </c>
      <c r="AK36" s="30">
        <f>AK3-AK4</f>
        <v/>
      </c>
      <c r="AL36" s="30">
        <f>AL3-AL4</f>
        <v/>
      </c>
      <c r="AM36" s="30">
        <f>AM3-AM4</f>
        <v/>
      </c>
      <c r="AN36" s="30">
        <f>AN3-AN4</f>
        <v/>
      </c>
      <c r="AO36" s="30">
        <f>AO3-AO4</f>
        <v/>
      </c>
      <c r="AP36" s="30">
        <f>AP3-AP4</f>
        <v/>
      </c>
      <c r="AQ36" s="30">
        <f>AQ3-AQ4</f>
        <v/>
      </c>
      <c r="AR36" s="30">
        <f>AR3-AR4</f>
        <v/>
      </c>
      <c r="AS36" s="30">
        <f>AS3-AS4</f>
        <v/>
      </c>
      <c r="AT36" s="30">
        <f>AT3-AT4</f>
        <v/>
      </c>
      <c r="AU36" s="30">
        <f>AU3-AU4</f>
        <v/>
      </c>
      <c r="AV36" s="30">
        <f>AV3-AV4</f>
        <v/>
      </c>
      <c r="AW36" s="30">
        <f>AW3-AW4</f>
        <v/>
      </c>
    </row>
    <row r="37" ht="25" customHeight="1">
      <c r="A37" s="42" t="inlineStr">
        <is>
          <t>CAD JPY</t>
        </is>
      </c>
      <c r="B37" s="30">
        <f>B4-B5</f>
        <v/>
      </c>
      <c r="C37" s="30">
        <f>C4-C5</f>
        <v/>
      </c>
      <c r="D37" s="30">
        <f>D4-D5</f>
        <v/>
      </c>
      <c r="E37" s="30">
        <f>E4-E5</f>
        <v/>
      </c>
      <c r="F37" s="30">
        <f>F4-F5</f>
        <v/>
      </c>
      <c r="G37" s="30">
        <f>G4-G5</f>
        <v/>
      </c>
      <c r="H37" s="30">
        <f>H4-H5</f>
        <v/>
      </c>
      <c r="I37" s="30">
        <f>I4-I5</f>
        <v/>
      </c>
      <c r="J37" s="30">
        <f>J4-J5</f>
        <v/>
      </c>
      <c r="K37" s="30">
        <f>K4-K5</f>
        <v/>
      </c>
      <c r="L37" s="30">
        <f>L4-L5</f>
        <v/>
      </c>
      <c r="M37" s="30">
        <f>M4-M5</f>
        <v/>
      </c>
      <c r="N37" s="30">
        <f>N4-N5</f>
        <v/>
      </c>
      <c r="O37" s="30">
        <f>O4-O5</f>
        <v/>
      </c>
      <c r="P37" s="30">
        <f>P4-P5</f>
        <v/>
      </c>
      <c r="Q37" s="30">
        <f>Q4-Q5</f>
        <v/>
      </c>
      <c r="R37" s="30">
        <f>R4-R5</f>
        <v/>
      </c>
      <c r="S37" s="30">
        <f>S4-S5</f>
        <v/>
      </c>
      <c r="T37" s="30">
        <f>T4-T5</f>
        <v/>
      </c>
      <c r="U37" s="30">
        <f>U4-U5</f>
        <v/>
      </c>
      <c r="V37" s="30">
        <f>V4-V5</f>
        <v/>
      </c>
      <c r="W37" s="30">
        <f>W4-W5</f>
        <v/>
      </c>
      <c r="X37" s="30">
        <f>X4-X5</f>
        <v/>
      </c>
      <c r="Y37" s="30">
        <f>Y4-Y5</f>
        <v/>
      </c>
      <c r="Z37" s="30">
        <f>Z4-Z5</f>
        <v/>
      </c>
      <c r="AA37" s="30">
        <f>AA4-AA5</f>
        <v/>
      </c>
      <c r="AB37" s="30">
        <f>AB4-AB5</f>
        <v/>
      </c>
      <c r="AC37" s="30">
        <f>AC4-AC5</f>
        <v/>
      </c>
      <c r="AD37" s="30">
        <f>AD4-AD5</f>
        <v/>
      </c>
      <c r="AE37" s="30">
        <f>AE4-AE5</f>
        <v/>
      </c>
      <c r="AF37" s="30">
        <f>AF4-AF5</f>
        <v/>
      </c>
      <c r="AG37" s="30">
        <f>AG4-AG5</f>
        <v/>
      </c>
      <c r="AH37" s="30">
        <f>AH4-AH5</f>
        <v/>
      </c>
      <c r="AI37" s="30">
        <f>AI4-AI5</f>
        <v/>
      </c>
      <c r="AJ37" s="30">
        <f>AJ4-AJ5</f>
        <v/>
      </c>
      <c r="AK37" s="30">
        <f>AK4-AK5</f>
        <v/>
      </c>
      <c r="AL37" s="30">
        <f>AL4-AL5</f>
        <v/>
      </c>
      <c r="AM37" s="30">
        <f>AM4-AM5</f>
        <v/>
      </c>
      <c r="AN37" s="30">
        <f>AN4-AN5</f>
        <v/>
      </c>
      <c r="AO37" s="30">
        <f>AO4-AO5</f>
        <v/>
      </c>
      <c r="AP37" s="30">
        <f>AP4-AP5</f>
        <v/>
      </c>
      <c r="AQ37" s="30">
        <f>AQ4-AQ5</f>
        <v/>
      </c>
      <c r="AR37" s="30">
        <f>AR4-AR5</f>
        <v/>
      </c>
      <c r="AS37" s="30">
        <f>AS4-AS5</f>
        <v/>
      </c>
      <c r="AT37" s="30">
        <f>AT4-AT5</f>
        <v/>
      </c>
      <c r="AU37" s="30">
        <f>AU4-AU5</f>
        <v/>
      </c>
      <c r="AV37" s="30">
        <f>AV4-AV5</f>
        <v/>
      </c>
      <c r="AW37" s="30">
        <f>AW4-AW5</f>
        <v/>
      </c>
    </row>
    <row r="43" ht="25" customHeight="1">
      <c r="A43" s="28" t="inlineStr">
        <is>
          <t>Paire</t>
        </is>
      </c>
      <c r="B43" s="295" t="n">
        <v>44927</v>
      </c>
      <c r="C43" s="295" t="n">
        <v>44958</v>
      </c>
      <c r="D43" s="295" t="n">
        <v>44986</v>
      </c>
      <c r="E43" s="295" t="n">
        <v>45017</v>
      </c>
      <c r="F43" s="295" t="n">
        <v>45047</v>
      </c>
      <c r="G43" s="295" t="n">
        <v>45078</v>
      </c>
      <c r="H43" s="295" t="n">
        <v>45108</v>
      </c>
      <c r="I43" s="295" t="n">
        <v>45139</v>
      </c>
      <c r="J43" s="295" t="n">
        <v>45170</v>
      </c>
      <c r="K43" s="295" t="n">
        <v>45200</v>
      </c>
      <c r="L43" s="295" t="n">
        <v>45231</v>
      </c>
      <c r="M43" s="295" t="n">
        <v>45261</v>
      </c>
      <c r="N43" s="295" t="n">
        <v>45292</v>
      </c>
      <c r="O43" s="295" t="n">
        <v>45323</v>
      </c>
      <c r="P43" s="295" t="n">
        <v>45352</v>
      </c>
      <c r="Q43" s="295" t="n">
        <v>45383</v>
      </c>
      <c r="R43" s="295" t="n">
        <v>45413</v>
      </c>
      <c r="S43" s="295" t="n">
        <v>45444</v>
      </c>
      <c r="T43" s="295" t="n">
        <v>45474</v>
      </c>
      <c r="U43" s="295" t="n">
        <v>45505</v>
      </c>
      <c r="V43" s="295" t="n">
        <v>45536</v>
      </c>
      <c r="W43" s="295" t="n">
        <v>45566</v>
      </c>
      <c r="X43" s="295" t="n">
        <v>45597</v>
      </c>
      <c r="Y43" s="295" t="n">
        <v>45627</v>
      </c>
      <c r="Z43" s="295" t="n">
        <v>45658</v>
      </c>
      <c r="AA43" s="295" t="n">
        <v>45689</v>
      </c>
      <c r="AB43" s="295" t="n">
        <v>45717</v>
      </c>
      <c r="AC43" s="295" t="n">
        <v>45748</v>
      </c>
      <c r="AD43" s="295" t="n">
        <v>45778</v>
      </c>
      <c r="AE43" s="295" t="n">
        <v>45809</v>
      </c>
      <c r="AF43" s="295" t="n">
        <v>45839</v>
      </c>
      <c r="AG43" s="295" t="n">
        <v>45870</v>
      </c>
      <c r="AH43" s="295" t="n">
        <v>45901</v>
      </c>
      <c r="AI43" s="295" t="n">
        <v>45931</v>
      </c>
      <c r="AJ43" s="295" t="n">
        <v>45962</v>
      </c>
      <c r="AK43" s="295" t="n">
        <v>45992</v>
      </c>
      <c r="AL43" s="295" t="n">
        <v>46023</v>
      </c>
      <c r="AM43" s="295" t="n">
        <v>46054</v>
      </c>
      <c r="AN43" s="295" t="n">
        <v>46082</v>
      </c>
      <c r="AO43" s="295" t="n">
        <v>46113</v>
      </c>
      <c r="AP43" s="295" t="n">
        <v>46143</v>
      </c>
      <c r="AQ43" s="295" t="n">
        <v>46174</v>
      </c>
      <c r="AR43" s="295" t="n">
        <v>46204</v>
      </c>
      <c r="AS43" s="295" t="n">
        <v>46235</v>
      </c>
      <c r="AT43" s="295" t="n">
        <v>46266</v>
      </c>
      <c r="AU43" s="295" t="n">
        <v>46296</v>
      </c>
      <c r="AV43" s="295" t="n">
        <v>46327</v>
      </c>
      <c r="AW43" s="295" t="n">
        <v>46357</v>
      </c>
    </row>
    <row r="44" ht="25" customHeight="1">
      <c r="A44" s="43" t="inlineStr">
        <is>
          <t>USD JPY</t>
        </is>
      </c>
      <c r="B44" s="30">
        <f t="array" ref="B44">_xlfn.XLOOKUP(MIN(ABS($AY$7:$AY$27 - MEDIAN(MIN($AY$7:$AY$27), MAX($AY$7:$AY$27), B15))), ABS($AY$7:$AY$27 - MEDIAN(MIN($AY$7:$AY$27), MAX($AY$7:$AY$27), B15)), $AZ$7:$AZ$27, "Not Found", 0)</f>
        <v/>
      </c>
      <c r="C44" s="30">
        <f t="array" ref="C44">_xlfn.XLOOKUP(MIN(ABS($AY$7:$AY$27 - MEDIAN(MIN($AY$7:$AY$27), MAX($AY$7:$AY$27), C15))), ABS($AY$7:$AY$27 - MEDIAN(MIN($AY$7:$AY$27), MAX($AY$7:$AY$27), C15)), $AZ$7:$AZ$27, "Not Found", 0)</f>
        <v/>
      </c>
      <c r="D44" s="30">
        <f t="array" ref="D44">_xlfn.XLOOKUP(MIN(ABS($AY$7:$AY$27 - MEDIAN(MIN($AY$7:$AY$27), MAX($AY$7:$AY$27), D15))), ABS($AY$7:$AY$27 - MEDIAN(MIN($AY$7:$AY$27), MAX($AY$7:$AY$27), D15)), $AZ$7:$AZ$27, "Not Found", 0)</f>
        <v/>
      </c>
      <c r="E44" s="30">
        <f t="array" ref="E44">_xlfn.XLOOKUP(MIN(ABS($AY$7:$AY$27 - MEDIAN(MIN($AY$7:$AY$27), MAX($AY$7:$AY$27), E15))), ABS($AY$7:$AY$27 - MEDIAN(MIN($AY$7:$AY$27), MAX($AY$7:$AY$27), E15)), $AZ$7:$AZ$27, "Not Found", 0)</f>
        <v/>
      </c>
      <c r="F44" s="30">
        <f t="array" ref="F44">_xlfn.XLOOKUP(MIN(ABS($AY$7:$AY$27 - MEDIAN(MIN($AY$7:$AY$27), MAX($AY$7:$AY$27), F15))), ABS($AY$7:$AY$27 - MEDIAN(MIN($AY$7:$AY$27), MAX($AY$7:$AY$27), F15)), $AZ$7:$AZ$27, "Not Found", 0)</f>
        <v/>
      </c>
      <c r="G44" s="30">
        <f t="array" ref="G44">_xlfn.XLOOKUP(MIN(ABS($AY$7:$AY$27 - MEDIAN(MIN($AY$7:$AY$27), MAX($AY$7:$AY$27), G15))), ABS($AY$7:$AY$27 - MEDIAN(MIN($AY$7:$AY$27), MAX($AY$7:$AY$27), G15)), $AZ$7:$AZ$27, "Not Found", 0)</f>
        <v/>
      </c>
      <c r="H44" s="30">
        <f t="array" ref="H44">_xlfn.XLOOKUP(MIN(ABS($AY$7:$AY$27 - MEDIAN(MIN($AY$7:$AY$27), MAX($AY$7:$AY$27), H15))), ABS($AY$7:$AY$27 - MEDIAN(MIN($AY$7:$AY$27), MAX($AY$7:$AY$27), H15)), $AZ$7:$AZ$27, "Not Found", 0)</f>
        <v/>
      </c>
      <c r="I44" s="30">
        <f t="array" ref="I44">_xlfn.XLOOKUP(MIN(ABS($AY$7:$AY$27 - MEDIAN(MIN($AY$7:$AY$27), MAX($AY$7:$AY$27), I15))), ABS($AY$7:$AY$27 - MEDIAN(MIN($AY$7:$AY$27), MAX($AY$7:$AY$27), I15)), $AZ$7:$AZ$27, "Not Found", 0)</f>
        <v/>
      </c>
      <c r="J44" s="30">
        <f t="array" ref="J44">_xlfn.XLOOKUP(MIN(ABS($AY$7:$AY$27 - MEDIAN(MIN($AY$7:$AY$27), MAX($AY$7:$AY$27), J15))), ABS($AY$7:$AY$27 - MEDIAN(MIN($AY$7:$AY$27), MAX($AY$7:$AY$27), J15)), $AZ$7:$AZ$27, "Not Found", 0)</f>
        <v/>
      </c>
      <c r="K44" s="30">
        <f t="array" ref="K44">_xlfn.XLOOKUP(MIN(ABS($AY$7:$AY$27 - MEDIAN(MIN($AY$7:$AY$27), MAX($AY$7:$AY$27), K15))), ABS($AY$7:$AY$27 - MEDIAN(MIN($AY$7:$AY$27), MAX($AY$7:$AY$27), K15)), $AZ$7:$AZ$27, "Not Found", 0)</f>
        <v/>
      </c>
      <c r="L44" s="30">
        <f t="array" ref="L44">_xlfn.XLOOKUP(MIN(ABS($AY$7:$AY$27 - MEDIAN(MIN($AY$7:$AY$27), MAX($AY$7:$AY$27), L15))), ABS($AY$7:$AY$27 - MEDIAN(MIN($AY$7:$AY$27), MAX($AY$7:$AY$27), L15)), $AZ$7:$AZ$27, "Not Found", 0)</f>
        <v/>
      </c>
      <c r="M44" s="30">
        <f t="array" ref="M44">_xlfn.XLOOKUP(MIN(ABS($AY$7:$AY$27 - MEDIAN(MIN($AY$7:$AY$27), MAX($AY$7:$AY$27), M15))), ABS($AY$7:$AY$27 - MEDIAN(MIN($AY$7:$AY$27), MAX($AY$7:$AY$27), M15)), $AZ$7:$AZ$27, "Not Found", 0)</f>
        <v/>
      </c>
      <c r="N44" s="30">
        <f t="array" ref="N44">_xlfn.XLOOKUP(MIN(ABS($AY$7:$AY$27 - MEDIAN(MIN($AY$7:$AY$27), MAX($AY$7:$AY$27), N15))), ABS($AY$7:$AY$27 - MEDIAN(MIN($AY$7:$AY$27), MAX($AY$7:$AY$27), N15)), $AZ$7:$AZ$27, "Not Found", 0)</f>
        <v/>
      </c>
      <c r="O44" s="30">
        <f t="array" ref="O44">_xlfn.XLOOKUP(MIN(ABS($AY$7:$AY$27 - MEDIAN(MIN($AY$7:$AY$27), MAX($AY$7:$AY$27), O15))), ABS($AY$7:$AY$27 - MEDIAN(MIN($AY$7:$AY$27), MAX($AY$7:$AY$27), O15)), $AZ$7:$AZ$27, "Not Found", 0)</f>
        <v/>
      </c>
      <c r="P44" s="30">
        <f t="array" ref="P44">_xlfn.XLOOKUP(MIN(ABS($AY$7:$AY$27 - MEDIAN(MIN($AY$7:$AY$27), MAX($AY$7:$AY$27), P15))), ABS($AY$7:$AY$27 - MEDIAN(MIN($AY$7:$AY$27), MAX($AY$7:$AY$27), P15)), $AZ$7:$AZ$27, "Not Found", 0)</f>
        <v/>
      </c>
      <c r="Q44" s="30">
        <f t="array" ref="Q44">_xlfn.XLOOKUP(MIN(ABS($AY$7:$AY$27 - MEDIAN(MIN($AY$7:$AY$27), MAX($AY$7:$AY$27), Q15))), ABS($AY$7:$AY$27 - MEDIAN(MIN($AY$7:$AY$27), MAX($AY$7:$AY$27), Q15)), $AZ$7:$AZ$27, "Not Found", 0)</f>
        <v/>
      </c>
      <c r="R44" s="30">
        <f t="array" ref="R44">_xlfn.XLOOKUP(MIN(ABS($AY$7:$AY$27 - MEDIAN(MIN($AY$7:$AY$27), MAX($AY$7:$AY$27), R15))), ABS($AY$7:$AY$27 - MEDIAN(MIN($AY$7:$AY$27), MAX($AY$7:$AY$27), R15)), $AZ$7:$AZ$27, "Not Found", 0)</f>
        <v/>
      </c>
      <c r="S44" s="30">
        <f t="array" ref="S44">_xlfn.XLOOKUP(MIN(ABS($AY$7:$AY$27 - MEDIAN(MIN($AY$7:$AY$27), MAX($AY$7:$AY$27), S15))), ABS($AY$7:$AY$27 - MEDIAN(MIN($AY$7:$AY$27), MAX($AY$7:$AY$27), S15)), $AZ$7:$AZ$27, "Not Found", 0)</f>
        <v/>
      </c>
      <c r="T44" s="30">
        <f t="array" ref="T44">_xlfn.XLOOKUP(MIN(ABS($AY$7:$AY$27 - MEDIAN(MIN($AY$7:$AY$27), MAX($AY$7:$AY$27), T15))), ABS($AY$7:$AY$27 - MEDIAN(MIN($AY$7:$AY$27), MAX($AY$7:$AY$27), T15)), $AZ$7:$AZ$27, "Not Found", 0)</f>
        <v/>
      </c>
      <c r="U44" s="30">
        <f t="array" ref="U44">_xlfn.XLOOKUP(MIN(ABS($AY$7:$AY$27 - MEDIAN(MIN($AY$7:$AY$27), MAX($AY$7:$AY$27), U15))), ABS($AY$7:$AY$27 - MEDIAN(MIN($AY$7:$AY$27), MAX($AY$7:$AY$27), U15)), $AZ$7:$AZ$27, "Not Found", 0)</f>
        <v/>
      </c>
      <c r="V44" s="30">
        <f t="array" ref="V44">_xlfn.XLOOKUP(MIN(ABS($AY$7:$AY$27 - MEDIAN(MIN($AY$7:$AY$27), MAX($AY$7:$AY$27), V15))), ABS($AY$7:$AY$27 - MEDIAN(MIN($AY$7:$AY$27), MAX($AY$7:$AY$27), V15)), $AZ$7:$AZ$27, "Not Found", 0)</f>
        <v/>
      </c>
      <c r="W44" s="30">
        <f t="array" ref="W44">_xlfn.XLOOKUP(MIN(ABS($AY$7:$AY$27 - MEDIAN(MIN($AY$7:$AY$27), MAX($AY$7:$AY$27), W15))), ABS($AY$7:$AY$27 - MEDIAN(MIN($AY$7:$AY$27), MAX($AY$7:$AY$27), W15)), $AZ$7:$AZ$27, "Not Found", 0)</f>
        <v/>
      </c>
      <c r="X44" s="30">
        <f t="array" ref="X44">_xlfn.XLOOKUP(MIN(ABS($AY$7:$AY$27 - MEDIAN(MIN($AY$7:$AY$27), MAX($AY$7:$AY$27), X15))), ABS($AY$7:$AY$27 - MEDIAN(MIN($AY$7:$AY$27), MAX($AY$7:$AY$27), X15)), $AZ$7:$AZ$27, "Not Found", 0)</f>
        <v/>
      </c>
      <c r="Y44" s="30">
        <f t="array" ref="Y44">_xlfn.XLOOKUP(MIN(ABS($AY$7:$AY$27 - MEDIAN(MIN($AY$7:$AY$27), MAX($AY$7:$AY$27), Y15))), ABS($AY$7:$AY$27 - MEDIAN(MIN($AY$7:$AY$27), MAX($AY$7:$AY$27), Y15)), $AZ$7:$AZ$27, "Not Found", 0)</f>
        <v/>
      </c>
      <c r="Z44" s="30">
        <f t="array" ref="Z44">_xlfn.XLOOKUP(MIN(ABS($AY$7:$AY$27 - MEDIAN(MIN($AY$7:$AY$27), MAX($AY$7:$AY$27), Z15))), ABS($AY$7:$AY$27 - MEDIAN(MIN($AY$7:$AY$27), MAX($AY$7:$AY$27), Z15)), $AZ$7:$AZ$27, "Not Found", 0)</f>
        <v/>
      </c>
      <c r="AA44" s="30">
        <f t="array" ref="AA44">_xlfn.XLOOKUP(MIN(ABS($AY$7:$AY$27 - MEDIAN(MIN($AY$7:$AY$27), MAX($AY$7:$AY$27), AA15))), ABS($AY$7:$AY$27 - MEDIAN(MIN($AY$7:$AY$27), MAX($AY$7:$AY$27), AA15)), $AZ$7:$AZ$27, "Not Found", 0)</f>
        <v/>
      </c>
      <c r="AB44" s="30">
        <f t="array" ref="AB44">_xlfn.XLOOKUP(MIN(ABS($AY$7:$AY$27 - MEDIAN(MIN($AY$7:$AY$27), MAX($AY$7:$AY$27), AB15))), ABS($AY$7:$AY$27 - MEDIAN(MIN($AY$7:$AY$27), MAX($AY$7:$AY$27), AB15)), $AZ$7:$AZ$27, "Not Found", 0)</f>
        <v/>
      </c>
      <c r="AC44" s="30">
        <f t="array" ref="AC44">_xlfn.XLOOKUP(MIN(ABS($AY$7:$AY$27 - MEDIAN(MIN($AY$7:$AY$27), MAX($AY$7:$AY$27), AC15))), ABS($AY$7:$AY$27 - MEDIAN(MIN($AY$7:$AY$27), MAX($AY$7:$AY$27), AC15)), $AZ$7:$AZ$27, "Not Found", 0)</f>
        <v/>
      </c>
      <c r="AD44" s="30">
        <f t="array" ref="AD44">_xlfn.XLOOKUP(MIN(ABS($AY$7:$AY$27 - MEDIAN(MIN($AY$7:$AY$27), MAX($AY$7:$AY$27), AD15))), ABS($AY$7:$AY$27 - MEDIAN(MIN($AY$7:$AY$27), MAX($AY$7:$AY$27), AD15)), $AZ$7:$AZ$27, "Not Found", 0)</f>
        <v/>
      </c>
      <c r="AE44" s="30">
        <f t="array" ref="AE44">_xlfn.XLOOKUP(MIN(ABS($AY$7:$AY$27 - MEDIAN(MIN($AY$7:$AY$27), MAX($AY$7:$AY$27), AE15))), ABS($AY$7:$AY$27 - MEDIAN(MIN($AY$7:$AY$27), MAX($AY$7:$AY$27), AE15)), $AZ$7:$AZ$27, "Not Found", 0)</f>
        <v/>
      </c>
      <c r="AF44" s="30">
        <f t="array" ref="AF44">_xlfn.XLOOKUP(MIN(ABS($AY$7:$AY$27 - MEDIAN(MIN($AY$7:$AY$27), MAX($AY$7:$AY$27), AF15))), ABS($AY$7:$AY$27 - MEDIAN(MIN($AY$7:$AY$27), MAX($AY$7:$AY$27), AF15)), $AZ$7:$AZ$27, "Not Found", 0)</f>
        <v/>
      </c>
      <c r="AG44" s="30">
        <f t="array" ref="AG44">_xlfn.XLOOKUP(MIN(ABS($AY$7:$AY$27 - MEDIAN(MIN($AY$7:$AY$27), MAX($AY$7:$AY$27), AG15))), ABS($AY$7:$AY$27 - MEDIAN(MIN($AY$7:$AY$27), MAX($AY$7:$AY$27), AG15)), $AZ$7:$AZ$27, "Not Found", 0)</f>
        <v/>
      </c>
      <c r="AH44" s="30">
        <f t="array" ref="AH44">_xlfn.XLOOKUP(MIN(ABS($AY$7:$AY$27 - MEDIAN(MIN($AY$7:$AY$27), MAX($AY$7:$AY$27), AH15))), ABS($AY$7:$AY$27 - MEDIAN(MIN($AY$7:$AY$27), MAX($AY$7:$AY$27), AH15)), $AZ$7:$AZ$27, "Not Found", 0)</f>
        <v/>
      </c>
      <c r="AI44" s="30">
        <f t="array" ref="AI44">_xlfn.XLOOKUP(MIN(ABS($AY$7:$AY$27 - MEDIAN(MIN($AY$7:$AY$27), MAX($AY$7:$AY$27), AI15))), ABS($AY$7:$AY$27 - MEDIAN(MIN($AY$7:$AY$27), MAX($AY$7:$AY$27), AI15)), $AZ$7:$AZ$27, "Not Found", 0)</f>
        <v/>
      </c>
      <c r="AJ44" s="30">
        <f t="array" ref="AJ44">_xlfn.XLOOKUP(MIN(ABS($AY$7:$AY$27 - MEDIAN(MIN($AY$7:$AY$27), MAX($AY$7:$AY$27), AJ15))), ABS($AY$7:$AY$27 - MEDIAN(MIN($AY$7:$AY$27), MAX($AY$7:$AY$27), AJ15)), $AZ$7:$AZ$27, "Not Found", 0)</f>
        <v/>
      </c>
      <c r="AK44" s="30">
        <f t="array" ref="AK44">_xlfn.XLOOKUP(MIN(ABS($AY$7:$AY$27 - MEDIAN(MIN($AY$7:$AY$27), MAX($AY$7:$AY$27), AK15))), ABS($AY$7:$AY$27 - MEDIAN(MIN($AY$7:$AY$27), MAX($AY$7:$AY$27), AK15)), $AZ$7:$AZ$27, "Not Found", 0)</f>
        <v/>
      </c>
      <c r="AL44" s="30">
        <f t="array" ref="AL44">_xlfn.XLOOKUP(MIN(ABS($AY$7:$AY$27 - MEDIAN(MIN($AY$7:$AY$27), MAX($AY$7:$AY$27), AL15))), ABS($AY$7:$AY$27 - MEDIAN(MIN($AY$7:$AY$27), MAX($AY$7:$AY$27), AL15)), $AZ$7:$AZ$27, "Not Found", 0)</f>
        <v/>
      </c>
      <c r="AM44" s="30">
        <f t="array" ref="AM44">_xlfn.XLOOKUP(MIN(ABS($AY$7:$AY$27 - MEDIAN(MIN($AY$7:$AY$27), MAX($AY$7:$AY$27), AM15))), ABS($AY$7:$AY$27 - MEDIAN(MIN($AY$7:$AY$27), MAX($AY$7:$AY$27), AM15)), $AZ$7:$AZ$27, "Not Found", 0)</f>
        <v/>
      </c>
      <c r="AN44" s="30">
        <f t="array" ref="AN44">_xlfn.XLOOKUP(MIN(ABS($AY$7:$AY$27 - MEDIAN(MIN($AY$7:$AY$27), MAX($AY$7:$AY$27), AN15))), ABS($AY$7:$AY$27 - MEDIAN(MIN($AY$7:$AY$27), MAX($AY$7:$AY$27), AN15)), $AZ$7:$AZ$27, "Not Found", 0)</f>
        <v/>
      </c>
      <c r="AO44" s="30">
        <f t="array" ref="AO44">_xlfn.XLOOKUP(MIN(ABS($AY$7:$AY$27 - MEDIAN(MIN($AY$7:$AY$27), MAX($AY$7:$AY$27), AO15))), ABS($AY$7:$AY$27 - MEDIAN(MIN($AY$7:$AY$27), MAX($AY$7:$AY$27), AO15)), $AZ$7:$AZ$27, "Not Found", 0)</f>
        <v/>
      </c>
      <c r="AP44" s="30">
        <f t="array" ref="AP44">_xlfn.XLOOKUP(MIN(ABS($AY$7:$AY$27 - MEDIAN(MIN($AY$7:$AY$27), MAX($AY$7:$AY$27), AP15))), ABS($AY$7:$AY$27 - MEDIAN(MIN($AY$7:$AY$27), MAX($AY$7:$AY$27), AP15)), $AZ$7:$AZ$27, "Not Found", 0)</f>
        <v/>
      </c>
      <c r="AQ44" s="30">
        <f t="array" ref="AQ44">_xlfn.XLOOKUP(MIN(ABS($AY$7:$AY$27 - MEDIAN(MIN($AY$7:$AY$27), MAX($AY$7:$AY$27), AQ15))), ABS($AY$7:$AY$27 - MEDIAN(MIN($AY$7:$AY$27), MAX($AY$7:$AY$27), AQ15)), $AZ$7:$AZ$27, "Not Found", 0)</f>
        <v/>
      </c>
      <c r="AR44" s="30">
        <f t="array" ref="AR44">_xlfn.XLOOKUP(MIN(ABS($AY$7:$AY$27 - MEDIAN(MIN($AY$7:$AY$27), MAX($AY$7:$AY$27), AR15))), ABS($AY$7:$AY$27 - MEDIAN(MIN($AY$7:$AY$27), MAX($AY$7:$AY$27), AR15)), $AZ$7:$AZ$27, "Not Found", 0)</f>
        <v/>
      </c>
      <c r="AS44" s="30">
        <f t="array" ref="AS44">_xlfn.XLOOKUP(MIN(ABS($AY$7:$AY$27 - MEDIAN(MIN($AY$7:$AY$27), MAX($AY$7:$AY$27), AS15))), ABS($AY$7:$AY$27 - MEDIAN(MIN($AY$7:$AY$27), MAX($AY$7:$AY$27), AS15)), $AZ$7:$AZ$27, "Not Found", 0)</f>
        <v/>
      </c>
      <c r="AT44" s="30">
        <f t="array" ref="AT44">_xlfn.XLOOKUP(MIN(ABS($AY$7:$AY$27 - MEDIAN(MIN($AY$7:$AY$27), MAX($AY$7:$AY$27), AT15))), ABS($AY$7:$AY$27 - MEDIAN(MIN($AY$7:$AY$27), MAX($AY$7:$AY$27), AT15)), $AZ$7:$AZ$27, "Not Found", 0)</f>
        <v/>
      </c>
      <c r="AU44" s="30">
        <f t="array" ref="AU44">_xlfn.XLOOKUP(MIN(ABS($AY$7:$AY$27 - MEDIAN(MIN($AY$7:$AY$27), MAX($AY$7:$AY$27), AU15))), ABS($AY$7:$AY$27 - MEDIAN(MIN($AY$7:$AY$27), MAX($AY$7:$AY$27), AU15)), $AZ$7:$AZ$27, "Not Found", 0)</f>
        <v/>
      </c>
      <c r="AV44" s="30">
        <f t="array" ref="AV44">_xlfn.XLOOKUP(MIN(ABS($AY$7:$AY$27 - MEDIAN(MIN($AY$7:$AY$27), MAX($AY$7:$AY$27), AV15))), ABS($AY$7:$AY$27 - MEDIAN(MIN($AY$7:$AY$27), MAX($AY$7:$AY$27), AV15)), $AZ$7:$AZ$27, "Not Found", 0)</f>
        <v/>
      </c>
      <c r="AW44" s="30">
        <f t="array" ref="AW44">_xlfn.XLOOKUP(MIN(ABS($AY$7:$AY$27 - MEDIAN(MIN($AY$7:$AY$27), MAX($AY$7:$AY$27), AW15))), ABS($AY$7:$AY$27 - MEDIAN(MIN($AY$7:$AY$27), MAX($AY$7:$AY$27), AW15)), $AZ$7:$AZ$27, "Not Found", 0)</f>
        <v/>
      </c>
    </row>
    <row r="45" ht="25" customHeight="1">
      <c r="A45" s="45" t="inlineStr">
        <is>
          <t>USD CHF</t>
        </is>
      </c>
      <c r="B45" s="30">
        <f t="array" ref="B45">_xlfn.XLOOKUP(MIN(ABS($AY$7:$AY$27 - MEDIAN(MIN($AY$7:$AY$27), MAX($AY$7:$AY$27), B16))), ABS($AY$7:$AY$27 - MEDIAN(MIN($AY$7:$AY$27), MAX($AY$7:$AY$27), B16)), $AZ$7:$AZ$27, "Not Found", 0)</f>
        <v/>
      </c>
      <c r="C45" s="30">
        <f t="array" ref="C45">_xlfn.XLOOKUP(MIN(ABS($AY$7:$AY$27 - MEDIAN(MIN($AY$7:$AY$27), MAX($AY$7:$AY$27), C16))), ABS($AY$7:$AY$27 - MEDIAN(MIN($AY$7:$AY$27), MAX($AY$7:$AY$27), C16)), $AZ$7:$AZ$27, "Not Found", 0)</f>
        <v/>
      </c>
      <c r="D45" s="30">
        <f t="array" ref="D45">_xlfn.XLOOKUP(MIN(ABS($AY$7:$AY$27 - MEDIAN(MIN($AY$7:$AY$27), MAX($AY$7:$AY$27), D16))), ABS($AY$7:$AY$27 - MEDIAN(MIN($AY$7:$AY$27), MAX($AY$7:$AY$27), D16)), $AZ$7:$AZ$27, "Not Found", 0)</f>
        <v/>
      </c>
      <c r="E45" s="30">
        <f t="array" ref="E45">_xlfn.XLOOKUP(MIN(ABS($AY$7:$AY$27 - MEDIAN(MIN($AY$7:$AY$27), MAX($AY$7:$AY$27), E16))), ABS($AY$7:$AY$27 - MEDIAN(MIN($AY$7:$AY$27), MAX($AY$7:$AY$27), E16)), $AZ$7:$AZ$27, "Not Found", 0)</f>
        <v/>
      </c>
      <c r="F45" s="30">
        <f t="array" ref="F45">_xlfn.XLOOKUP(MIN(ABS($AY$7:$AY$27 - MEDIAN(MIN($AY$7:$AY$27), MAX($AY$7:$AY$27), F16))), ABS($AY$7:$AY$27 - MEDIAN(MIN($AY$7:$AY$27), MAX($AY$7:$AY$27), F16)), $AZ$7:$AZ$27, "Not Found", 0)</f>
        <v/>
      </c>
      <c r="G45" s="30">
        <f t="array" ref="G45">_xlfn.XLOOKUP(MIN(ABS($AY$7:$AY$27 - MEDIAN(MIN($AY$7:$AY$27), MAX($AY$7:$AY$27), G16))), ABS($AY$7:$AY$27 - MEDIAN(MIN($AY$7:$AY$27), MAX($AY$7:$AY$27), G16)), $AZ$7:$AZ$27, "Not Found", 0)</f>
        <v/>
      </c>
      <c r="H45" s="30">
        <f t="array" ref="H45">_xlfn.XLOOKUP(MIN(ABS($AY$7:$AY$27 - MEDIAN(MIN($AY$7:$AY$27), MAX($AY$7:$AY$27), H16))), ABS($AY$7:$AY$27 - MEDIAN(MIN($AY$7:$AY$27), MAX($AY$7:$AY$27), H16)), $AZ$7:$AZ$27, "Not Found", 0)</f>
        <v/>
      </c>
      <c r="I45" s="30">
        <f t="array" ref="I45">_xlfn.XLOOKUP(MIN(ABS($AY$7:$AY$27 - MEDIAN(MIN($AY$7:$AY$27), MAX($AY$7:$AY$27), I16))), ABS($AY$7:$AY$27 - MEDIAN(MIN($AY$7:$AY$27), MAX($AY$7:$AY$27), I16)), $AZ$7:$AZ$27, "Not Found", 0)</f>
        <v/>
      </c>
      <c r="J45" s="30">
        <f t="array" ref="J45">_xlfn.XLOOKUP(MIN(ABS($AY$7:$AY$27 - MEDIAN(MIN($AY$7:$AY$27), MAX($AY$7:$AY$27), J16))), ABS($AY$7:$AY$27 - MEDIAN(MIN($AY$7:$AY$27), MAX($AY$7:$AY$27), J16)), $AZ$7:$AZ$27, "Not Found", 0)</f>
        <v/>
      </c>
      <c r="K45" s="30">
        <f t="array" ref="K45">_xlfn.XLOOKUP(MIN(ABS($AY$7:$AY$27 - MEDIAN(MIN($AY$7:$AY$27), MAX($AY$7:$AY$27), K16))), ABS($AY$7:$AY$27 - MEDIAN(MIN($AY$7:$AY$27), MAX($AY$7:$AY$27), K16)), $AZ$7:$AZ$27, "Not Found", 0)</f>
        <v/>
      </c>
      <c r="L45" s="30">
        <f t="array" ref="L45">_xlfn.XLOOKUP(MIN(ABS($AY$7:$AY$27 - MEDIAN(MIN($AY$7:$AY$27), MAX($AY$7:$AY$27), L16))), ABS($AY$7:$AY$27 - MEDIAN(MIN($AY$7:$AY$27), MAX($AY$7:$AY$27), L16)), $AZ$7:$AZ$27, "Not Found", 0)</f>
        <v/>
      </c>
      <c r="M45" s="30">
        <f t="array" ref="M45">_xlfn.XLOOKUP(MIN(ABS($AY$7:$AY$27 - MEDIAN(MIN($AY$7:$AY$27), MAX($AY$7:$AY$27), M16))), ABS($AY$7:$AY$27 - MEDIAN(MIN($AY$7:$AY$27), MAX($AY$7:$AY$27), M16)), $AZ$7:$AZ$27, "Not Found", 0)</f>
        <v/>
      </c>
      <c r="N45" s="30">
        <f t="array" ref="N45">_xlfn.XLOOKUP(MIN(ABS($AY$7:$AY$27 - MEDIAN(MIN($AY$7:$AY$27), MAX($AY$7:$AY$27), N16))), ABS($AY$7:$AY$27 - MEDIAN(MIN($AY$7:$AY$27), MAX($AY$7:$AY$27), N16)), $AZ$7:$AZ$27, "Not Found", 0)</f>
        <v/>
      </c>
      <c r="O45" s="30">
        <f t="array" ref="O45">_xlfn.XLOOKUP(MIN(ABS($AY$7:$AY$27 - MEDIAN(MIN($AY$7:$AY$27), MAX($AY$7:$AY$27), O16))), ABS($AY$7:$AY$27 - MEDIAN(MIN($AY$7:$AY$27), MAX($AY$7:$AY$27), O16)), $AZ$7:$AZ$27, "Not Found", 0)</f>
        <v/>
      </c>
      <c r="P45" s="30">
        <f t="array" ref="P45">_xlfn.XLOOKUP(MIN(ABS($AY$7:$AY$27 - MEDIAN(MIN($AY$7:$AY$27), MAX($AY$7:$AY$27), P16))), ABS($AY$7:$AY$27 - MEDIAN(MIN($AY$7:$AY$27), MAX($AY$7:$AY$27), P16)), $AZ$7:$AZ$27, "Not Found", 0)</f>
        <v/>
      </c>
      <c r="Q45" s="30">
        <f t="array" ref="Q45">_xlfn.XLOOKUP(MIN(ABS($AY$7:$AY$27 - MEDIAN(MIN($AY$7:$AY$27), MAX($AY$7:$AY$27), Q16))), ABS($AY$7:$AY$27 - MEDIAN(MIN($AY$7:$AY$27), MAX($AY$7:$AY$27), Q16)), $AZ$7:$AZ$27, "Not Found", 0)</f>
        <v/>
      </c>
      <c r="R45" s="30">
        <f t="array" ref="R45">_xlfn.XLOOKUP(MIN(ABS($AY$7:$AY$27 - MEDIAN(MIN($AY$7:$AY$27), MAX($AY$7:$AY$27), R16))), ABS($AY$7:$AY$27 - MEDIAN(MIN($AY$7:$AY$27), MAX($AY$7:$AY$27), R16)), $AZ$7:$AZ$27, "Not Found", 0)</f>
        <v/>
      </c>
      <c r="S45" s="30">
        <f t="array" ref="S45">_xlfn.XLOOKUP(MIN(ABS($AY$7:$AY$27 - MEDIAN(MIN($AY$7:$AY$27), MAX($AY$7:$AY$27), S16))), ABS($AY$7:$AY$27 - MEDIAN(MIN($AY$7:$AY$27), MAX($AY$7:$AY$27), S16)), $AZ$7:$AZ$27, "Not Found", 0)</f>
        <v/>
      </c>
      <c r="T45" s="30">
        <f t="array" ref="T45">_xlfn.XLOOKUP(MIN(ABS($AY$7:$AY$27 - MEDIAN(MIN($AY$7:$AY$27), MAX($AY$7:$AY$27), T16))), ABS($AY$7:$AY$27 - MEDIAN(MIN($AY$7:$AY$27), MAX($AY$7:$AY$27), T16)), $AZ$7:$AZ$27, "Not Found", 0)</f>
        <v/>
      </c>
      <c r="U45" s="30">
        <f t="array" ref="U45">_xlfn.XLOOKUP(MIN(ABS($AY$7:$AY$27 - MEDIAN(MIN($AY$7:$AY$27), MAX($AY$7:$AY$27), U16))), ABS($AY$7:$AY$27 - MEDIAN(MIN($AY$7:$AY$27), MAX($AY$7:$AY$27), U16)), $AZ$7:$AZ$27, "Not Found", 0)</f>
        <v/>
      </c>
      <c r="V45" s="30">
        <f t="array" ref="V45">_xlfn.XLOOKUP(MIN(ABS($AY$7:$AY$27 - MEDIAN(MIN($AY$7:$AY$27), MAX($AY$7:$AY$27), V16))), ABS($AY$7:$AY$27 - MEDIAN(MIN($AY$7:$AY$27), MAX($AY$7:$AY$27), V16)), $AZ$7:$AZ$27, "Not Found", 0)</f>
        <v/>
      </c>
      <c r="W45" s="30">
        <f t="array" ref="W45">_xlfn.XLOOKUP(MIN(ABS($AY$7:$AY$27 - MEDIAN(MIN($AY$7:$AY$27), MAX($AY$7:$AY$27), W16))), ABS($AY$7:$AY$27 - MEDIAN(MIN($AY$7:$AY$27), MAX($AY$7:$AY$27), W16)), $AZ$7:$AZ$27, "Not Found", 0)</f>
        <v/>
      </c>
      <c r="X45" s="30">
        <f t="array" ref="X45">_xlfn.XLOOKUP(MIN(ABS($AY$7:$AY$27 - MEDIAN(MIN($AY$7:$AY$27), MAX($AY$7:$AY$27), X16))), ABS($AY$7:$AY$27 - MEDIAN(MIN($AY$7:$AY$27), MAX($AY$7:$AY$27), X16)), $AZ$7:$AZ$27, "Not Found", 0)</f>
        <v/>
      </c>
      <c r="Y45" s="30">
        <f t="array" ref="Y45">_xlfn.XLOOKUP(MIN(ABS($AY$7:$AY$27 - MEDIAN(MIN($AY$7:$AY$27), MAX($AY$7:$AY$27), Y16))), ABS($AY$7:$AY$27 - MEDIAN(MIN($AY$7:$AY$27), MAX($AY$7:$AY$27), Y16)), $AZ$7:$AZ$27, "Not Found", 0)</f>
        <v/>
      </c>
      <c r="Z45" s="30">
        <f t="array" ref="Z45">_xlfn.XLOOKUP(MIN(ABS($AY$7:$AY$27 - MEDIAN(MIN($AY$7:$AY$27), MAX($AY$7:$AY$27), Z16))), ABS($AY$7:$AY$27 - MEDIAN(MIN($AY$7:$AY$27), MAX($AY$7:$AY$27), Z16)), $AZ$7:$AZ$27, "Not Found", 0)</f>
        <v/>
      </c>
      <c r="AA45" s="30">
        <f t="array" ref="AA45">_xlfn.XLOOKUP(MIN(ABS($AY$7:$AY$27 - MEDIAN(MIN($AY$7:$AY$27), MAX($AY$7:$AY$27), AA16))), ABS($AY$7:$AY$27 - MEDIAN(MIN($AY$7:$AY$27), MAX($AY$7:$AY$27), AA16)), $AZ$7:$AZ$27, "Not Found", 0)</f>
        <v/>
      </c>
      <c r="AB45" s="30">
        <f t="array" ref="AB45">_xlfn.XLOOKUP(MIN(ABS($AY$7:$AY$27 - MEDIAN(MIN($AY$7:$AY$27), MAX($AY$7:$AY$27), AB16))), ABS($AY$7:$AY$27 - MEDIAN(MIN($AY$7:$AY$27), MAX($AY$7:$AY$27), AB16)), $AZ$7:$AZ$27, "Not Found", 0)</f>
        <v/>
      </c>
      <c r="AC45" s="30">
        <f t="array" ref="AC45">_xlfn.XLOOKUP(MIN(ABS($AY$7:$AY$27 - MEDIAN(MIN($AY$7:$AY$27), MAX($AY$7:$AY$27), AC16))), ABS($AY$7:$AY$27 - MEDIAN(MIN($AY$7:$AY$27), MAX($AY$7:$AY$27), AC16)), $AZ$7:$AZ$27, "Not Found", 0)</f>
        <v/>
      </c>
      <c r="AD45" s="30">
        <f t="array" ref="AD45">_xlfn.XLOOKUP(MIN(ABS($AY$7:$AY$27 - MEDIAN(MIN($AY$7:$AY$27), MAX($AY$7:$AY$27), AD16))), ABS($AY$7:$AY$27 - MEDIAN(MIN($AY$7:$AY$27), MAX($AY$7:$AY$27), AD16)), $AZ$7:$AZ$27, "Not Found", 0)</f>
        <v/>
      </c>
      <c r="AE45" s="30">
        <f t="array" ref="AE45">_xlfn.XLOOKUP(MIN(ABS($AY$7:$AY$27 - MEDIAN(MIN($AY$7:$AY$27), MAX($AY$7:$AY$27), AE16))), ABS($AY$7:$AY$27 - MEDIAN(MIN($AY$7:$AY$27), MAX($AY$7:$AY$27), AE16)), $AZ$7:$AZ$27, "Not Found", 0)</f>
        <v/>
      </c>
      <c r="AF45" s="30">
        <f t="array" ref="AF45">_xlfn.XLOOKUP(MIN(ABS($AY$7:$AY$27 - MEDIAN(MIN($AY$7:$AY$27), MAX($AY$7:$AY$27), AF16))), ABS($AY$7:$AY$27 - MEDIAN(MIN($AY$7:$AY$27), MAX($AY$7:$AY$27), AF16)), $AZ$7:$AZ$27, "Not Found", 0)</f>
        <v/>
      </c>
      <c r="AG45" s="30">
        <f t="array" ref="AG45">_xlfn.XLOOKUP(MIN(ABS($AY$7:$AY$27 - MEDIAN(MIN($AY$7:$AY$27), MAX($AY$7:$AY$27), AG16))), ABS($AY$7:$AY$27 - MEDIAN(MIN($AY$7:$AY$27), MAX($AY$7:$AY$27), AG16)), $AZ$7:$AZ$27, "Not Found", 0)</f>
        <v/>
      </c>
      <c r="AH45" s="30">
        <f t="array" ref="AH45">_xlfn.XLOOKUP(MIN(ABS($AY$7:$AY$27 - MEDIAN(MIN($AY$7:$AY$27), MAX($AY$7:$AY$27), AH16))), ABS($AY$7:$AY$27 - MEDIAN(MIN($AY$7:$AY$27), MAX($AY$7:$AY$27), AH16)), $AZ$7:$AZ$27, "Not Found", 0)</f>
        <v/>
      </c>
      <c r="AI45" s="30">
        <f t="array" ref="AI45">_xlfn.XLOOKUP(MIN(ABS($AY$7:$AY$27 - MEDIAN(MIN($AY$7:$AY$27), MAX($AY$7:$AY$27), AI16))), ABS($AY$7:$AY$27 - MEDIAN(MIN($AY$7:$AY$27), MAX($AY$7:$AY$27), AI16)), $AZ$7:$AZ$27, "Not Found", 0)</f>
        <v/>
      </c>
      <c r="AJ45" s="30">
        <f t="array" ref="AJ45">_xlfn.XLOOKUP(MIN(ABS($AY$7:$AY$27 - MEDIAN(MIN($AY$7:$AY$27), MAX($AY$7:$AY$27), AJ16))), ABS($AY$7:$AY$27 - MEDIAN(MIN($AY$7:$AY$27), MAX($AY$7:$AY$27), AJ16)), $AZ$7:$AZ$27, "Not Found", 0)</f>
        <v/>
      </c>
      <c r="AK45" s="30">
        <f t="array" ref="AK45">_xlfn.XLOOKUP(MIN(ABS($AY$7:$AY$27 - MEDIAN(MIN($AY$7:$AY$27), MAX($AY$7:$AY$27), AK16))), ABS($AY$7:$AY$27 - MEDIAN(MIN($AY$7:$AY$27), MAX($AY$7:$AY$27), AK16)), $AZ$7:$AZ$27, "Not Found", 0)</f>
        <v/>
      </c>
      <c r="AL45" s="30">
        <f t="array" ref="AL45">_xlfn.XLOOKUP(MIN(ABS($AY$7:$AY$27 - MEDIAN(MIN($AY$7:$AY$27), MAX($AY$7:$AY$27), AL16))), ABS($AY$7:$AY$27 - MEDIAN(MIN($AY$7:$AY$27), MAX($AY$7:$AY$27), AL16)), $AZ$7:$AZ$27, "Not Found", 0)</f>
        <v/>
      </c>
      <c r="AM45" s="30">
        <f t="array" ref="AM45">_xlfn.XLOOKUP(MIN(ABS($AY$7:$AY$27 - MEDIAN(MIN($AY$7:$AY$27), MAX($AY$7:$AY$27), AM16))), ABS($AY$7:$AY$27 - MEDIAN(MIN($AY$7:$AY$27), MAX($AY$7:$AY$27), AM16)), $AZ$7:$AZ$27, "Not Found", 0)</f>
        <v/>
      </c>
      <c r="AN45" s="30">
        <f t="array" ref="AN45">_xlfn.XLOOKUP(MIN(ABS($AY$7:$AY$27 - MEDIAN(MIN($AY$7:$AY$27), MAX($AY$7:$AY$27), AN16))), ABS($AY$7:$AY$27 - MEDIAN(MIN($AY$7:$AY$27), MAX($AY$7:$AY$27), AN16)), $AZ$7:$AZ$27, "Not Found", 0)</f>
        <v/>
      </c>
      <c r="AO45" s="30">
        <f t="array" ref="AO45">_xlfn.XLOOKUP(MIN(ABS($AY$7:$AY$27 - MEDIAN(MIN($AY$7:$AY$27), MAX($AY$7:$AY$27), AO16))), ABS($AY$7:$AY$27 - MEDIAN(MIN($AY$7:$AY$27), MAX($AY$7:$AY$27), AO16)), $AZ$7:$AZ$27, "Not Found", 0)</f>
        <v/>
      </c>
      <c r="AP45" s="30">
        <f t="array" ref="AP45">_xlfn.XLOOKUP(MIN(ABS($AY$7:$AY$27 - MEDIAN(MIN($AY$7:$AY$27), MAX($AY$7:$AY$27), AP16))), ABS($AY$7:$AY$27 - MEDIAN(MIN($AY$7:$AY$27), MAX($AY$7:$AY$27), AP16)), $AZ$7:$AZ$27, "Not Found", 0)</f>
        <v/>
      </c>
      <c r="AQ45" s="30">
        <f t="array" ref="AQ45">_xlfn.XLOOKUP(MIN(ABS($AY$7:$AY$27 - MEDIAN(MIN($AY$7:$AY$27), MAX($AY$7:$AY$27), AQ16))), ABS($AY$7:$AY$27 - MEDIAN(MIN($AY$7:$AY$27), MAX($AY$7:$AY$27), AQ16)), $AZ$7:$AZ$27, "Not Found", 0)</f>
        <v/>
      </c>
      <c r="AR45" s="30">
        <f t="array" ref="AR45">_xlfn.XLOOKUP(MIN(ABS($AY$7:$AY$27 - MEDIAN(MIN($AY$7:$AY$27), MAX($AY$7:$AY$27), AR16))), ABS($AY$7:$AY$27 - MEDIAN(MIN($AY$7:$AY$27), MAX($AY$7:$AY$27), AR16)), $AZ$7:$AZ$27, "Not Found", 0)</f>
        <v/>
      </c>
      <c r="AS45" s="30">
        <f t="array" ref="AS45">_xlfn.XLOOKUP(MIN(ABS($AY$7:$AY$27 - MEDIAN(MIN($AY$7:$AY$27), MAX($AY$7:$AY$27), AS16))), ABS($AY$7:$AY$27 - MEDIAN(MIN($AY$7:$AY$27), MAX($AY$7:$AY$27), AS16)), $AZ$7:$AZ$27, "Not Found", 0)</f>
        <v/>
      </c>
      <c r="AT45" s="30">
        <f t="array" ref="AT45">_xlfn.XLOOKUP(MIN(ABS($AY$7:$AY$27 - MEDIAN(MIN($AY$7:$AY$27), MAX($AY$7:$AY$27), AT16))), ABS($AY$7:$AY$27 - MEDIAN(MIN($AY$7:$AY$27), MAX($AY$7:$AY$27), AT16)), $AZ$7:$AZ$27, "Not Found", 0)</f>
        <v/>
      </c>
      <c r="AU45" s="30">
        <f t="array" ref="AU45">_xlfn.XLOOKUP(MIN(ABS($AY$7:$AY$27 - MEDIAN(MIN($AY$7:$AY$27), MAX($AY$7:$AY$27), AU16))), ABS($AY$7:$AY$27 - MEDIAN(MIN($AY$7:$AY$27), MAX($AY$7:$AY$27), AU16)), $AZ$7:$AZ$27, "Not Found", 0)</f>
        <v/>
      </c>
      <c r="AV45" s="30">
        <f t="array" ref="AV45">_xlfn.XLOOKUP(MIN(ABS($AY$7:$AY$27 - MEDIAN(MIN($AY$7:$AY$27), MAX($AY$7:$AY$27), AV16))), ABS($AY$7:$AY$27 - MEDIAN(MIN($AY$7:$AY$27), MAX($AY$7:$AY$27), AV16)), $AZ$7:$AZ$27, "Not Found", 0)</f>
        <v/>
      </c>
      <c r="AW45" s="30">
        <f t="array" ref="AW45">_xlfn.XLOOKUP(MIN(ABS($AY$7:$AY$27 - MEDIAN(MIN($AY$7:$AY$27), MAX($AY$7:$AY$27), AW16))), ABS($AY$7:$AY$27 - MEDIAN(MIN($AY$7:$AY$27), MAX($AY$7:$AY$27), AW16)), $AZ$7:$AZ$27, "Not Found", 0)</f>
        <v/>
      </c>
    </row>
    <row r="46" ht="25" customHeight="1">
      <c r="A46" s="45" t="inlineStr">
        <is>
          <t>USD CAD</t>
        </is>
      </c>
      <c r="B46" s="30">
        <f t="array" ref="B46">_xlfn.XLOOKUP(MIN(ABS($AY$7:$AY$27 - MEDIAN(MIN($AY$7:$AY$27), MAX($AY$7:$AY$27), B17))), ABS($AY$7:$AY$27 - MEDIAN(MIN($AY$7:$AY$27), MAX($AY$7:$AY$27), B17)), $AZ$7:$AZ$27, "Not Found", 0)</f>
        <v/>
      </c>
      <c r="C46" s="30">
        <f t="array" ref="C46">_xlfn.XLOOKUP(MIN(ABS($AY$7:$AY$27 - MEDIAN(MIN($AY$7:$AY$27), MAX($AY$7:$AY$27), C17))), ABS($AY$7:$AY$27 - MEDIAN(MIN($AY$7:$AY$27), MAX($AY$7:$AY$27), C17)), $AZ$7:$AZ$27, "Not Found", 0)</f>
        <v/>
      </c>
      <c r="D46" s="30">
        <f t="array" ref="D46">_xlfn.XLOOKUP(MIN(ABS($AY$7:$AY$27 - MEDIAN(MIN($AY$7:$AY$27), MAX($AY$7:$AY$27), D17))), ABS($AY$7:$AY$27 - MEDIAN(MIN($AY$7:$AY$27), MAX($AY$7:$AY$27), D17)), $AZ$7:$AZ$27, "Not Found", 0)</f>
        <v/>
      </c>
      <c r="E46" s="30">
        <f t="array" ref="E46">_xlfn.XLOOKUP(MIN(ABS($AY$7:$AY$27 - MEDIAN(MIN($AY$7:$AY$27), MAX($AY$7:$AY$27), E17))), ABS($AY$7:$AY$27 - MEDIAN(MIN($AY$7:$AY$27), MAX($AY$7:$AY$27), E17)), $AZ$7:$AZ$27, "Not Found", 0)</f>
        <v/>
      </c>
      <c r="F46" s="30">
        <f t="array" ref="F46">_xlfn.XLOOKUP(MIN(ABS($AY$7:$AY$27 - MEDIAN(MIN($AY$7:$AY$27), MAX($AY$7:$AY$27), F17))), ABS($AY$7:$AY$27 - MEDIAN(MIN($AY$7:$AY$27), MAX($AY$7:$AY$27), F17)), $AZ$7:$AZ$27, "Not Found", 0)</f>
        <v/>
      </c>
      <c r="G46" s="30">
        <f t="array" ref="G46">_xlfn.XLOOKUP(MIN(ABS($AY$7:$AY$27 - MEDIAN(MIN($AY$7:$AY$27), MAX($AY$7:$AY$27), G17))), ABS($AY$7:$AY$27 - MEDIAN(MIN($AY$7:$AY$27), MAX($AY$7:$AY$27), G17)), $AZ$7:$AZ$27, "Not Found", 0)</f>
        <v/>
      </c>
      <c r="H46" s="30">
        <f t="array" ref="H46">_xlfn.XLOOKUP(MIN(ABS($AY$7:$AY$27 - MEDIAN(MIN($AY$7:$AY$27), MAX($AY$7:$AY$27), H17))), ABS($AY$7:$AY$27 - MEDIAN(MIN($AY$7:$AY$27), MAX($AY$7:$AY$27), H17)), $AZ$7:$AZ$27, "Not Found", 0)</f>
        <v/>
      </c>
      <c r="I46" s="30">
        <f t="array" ref="I46">_xlfn.XLOOKUP(MIN(ABS($AY$7:$AY$27 - MEDIAN(MIN($AY$7:$AY$27), MAX($AY$7:$AY$27), I17))), ABS($AY$7:$AY$27 - MEDIAN(MIN($AY$7:$AY$27), MAX($AY$7:$AY$27), I17)), $AZ$7:$AZ$27, "Not Found", 0)</f>
        <v/>
      </c>
      <c r="J46" s="30">
        <f t="array" ref="J46">_xlfn.XLOOKUP(MIN(ABS($AY$7:$AY$27 - MEDIAN(MIN($AY$7:$AY$27), MAX($AY$7:$AY$27), J17))), ABS($AY$7:$AY$27 - MEDIAN(MIN($AY$7:$AY$27), MAX($AY$7:$AY$27), J17)), $AZ$7:$AZ$27, "Not Found", 0)</f>
        <v/>
      </c>
      <c r="K46" s="30">
        <f t="array" ref="K46">_xlfn.XLOOKUP(MIN(ABS($AY$7:$AY$27 - MEDIAN(MIN($AY$7:$AY$27), MAX($AY$7:$AY$27), K17))), ABS($AY$7:$AY$27 - MEDIAN(MIN($AY$7:$AY$27), MAX($AY$7:$AY$27), K17)), $AZ$7:$AZ$27, "Not Found", 0)</f>
        <v/>
      </c>
      <c r="L46" s="30">
        <f t="array" ref="L46">_xlfn.XLOOKUP(MIN(ABS($AY$7:$AY$27 - MEDIAN(MIN($AY$7:$AY$27), MAX($AY$7:$AY$27), L17))), ABS($AY$7:$AY$27 - MEDIAN(MIN($AY$7:$AY$27), MAX($AY$7:$AY$27), L17)), $AZ$7:$AZ$27, "Not Found", 0)</f>
        <v/>
      </c>
      <c r="M46" s="30">
        <f t="array" ref="M46">_xlfn.XLOOKUP(MIN(ABS($AY$7:$AY$27 - MEDIAN(MIN($AY$7:$AY$27), MAX($AY$7:$AY$27), M17))), ABS($AY$7:$AY$27 - MEDIAN(MIN($AY$7:$AY$27), MAX($AY$7:$AY$27), M17)), $AZ$7:$AZ$27, "Not Found", 0)</f>
        <v/>
      </c>
      <c r="N46" s="30">
        <f t="array" ref="N46">_xlfn.XLOOKUP(MIN(ABS($AY$7:$AY$27 - MEDIAN(MIN($AY$7:$AY$27), MAX($AY$7:$AY$27), N17))), ABS($AY$7:$AY$27 - MEDIAN(MIN($AY$7:$AY$27), MAX($AY$7:$AY$27), N17)), $AZ$7:$AZ$27, "Not Found", 0)</f>
        <v/>
      </c>
      <c r="O46" s="30">
        <f t="array" ref="O46">_xlfn.XLOOKUP(MIN(ABS($AY$7:$AY$27 - MEDIAN(MIN($AY$7:$AY$27), MAX($AY$7:$AY$27), O17))), ABS($AY$7:$AY$27 - MEDIAN(MIN($AY$7:$AY$27), MAX($AY$7:$AY$27), O17)), $AZ$7:$AZ$27, "Not Found", 0)</f>
        <v/>
      </c>
      <c r="P46" s="30">
        <f t="array" ref="P46">_xlfn.XLOOKUP(MIN(ABS($AY$7:$AY$27 - MEDIAN(MIN($AY$7:$AY$27), MAX($AY$7:$AY$27), P17))), ABS($AY$7:$AY$27 - MEDIAN(MIN($AY$7:$AY$27), MAX($AY$7:$AY$27), P17)), $AZ$7:$AZ$27, "Not Found", 0)</f>
        <v/>
      </c>
      <c r="Q46" s="30">
        <f t="array" ref="Q46">_xlfn.XLOOKUP(MIN(ABS($AY$7:$AY$27 - MEDIAN(MIN($AY$7:$AY$27), MAX($AY$7:$AY$27), Q17))), ABS($AY$7:$AY$27 - MEDIAN(MIN($AY$7:$AY$27), MAX($AY$7:$AY$27), Q17)), $AZ$7:$AZ$27, "Not Found", 0)</f>
        <v/>
      </c>
      <c r="R46" s="30">
        <f t="array" ref="R46">_xlfn.XLOOKUP(MIN(ABS($AY$7:$AY$27 - MEDIAN(MIN($AY$7:$AY$27), MAX($AY$7:$AY$27), R17))), ABS($AY$7:$AY$27 - MEDIAN(MIN($AY$7:$AY$27), MAX($AY$7:$AY$27), R17)), $AZ$7:$AZ$27, "Not Found", 0)</f>
        <v/>
      </c>
      <c r="S46" s="30">
        <f t="array" ref="S46">_xlfn.XLOOKUP(MIN(ABS($AY$7:$AY$27 - MEDIAN(MIN($AY$7:$AY$27), MAX($AY$7:$AY$27), S17))), ABS($AY$7:$AY$27 - MEDIAN(MIN($AY$7:$AY$27), MAX($AY$7:$AY$27), S17)), $AZ$7:$AZ$27, "Not Found", 0)</f>
        <v/>
      </c>
      <c r="T46" s="30">
        <f t="array" ref="T46">_xlfn.XLOOKUP(MIN(ABS($AY$7:$AY$27 - MEDIAN(MIN($AY$7:$AY$27), MAX($AY$7:$AY$27), T17))), ABS($AY$7:$AY$27 - MEDIAN(MIN($AY$7:$AY$27), MAX($AY$7:$AY$27), T17)), $AZ$7:$AZ$27, "Not Found", 0)</f>
        <v/>
      </c>
      <c r="U46" s="30">
        <f t="array" ref="U46">_xlfn.XLOOKUP(MIN(ABS($AY$7:$AY$27 - MEDIAN(MIN($AY$7:$AY$27), MAX($AY$7:$AY$27), U17))), ABS($AY$7:$AY$27 - MEDIAN(MIN($AY$7:$AY$27), MAX($AY$7:$AY$27), U17)), $AZ$7:$AZ$27, "Not Found", 0)</f>
        <v/>
      </c>
      <c r="V46" s="30">
        <f t="array" ref="V46">_xlfn.XLOOKUP(MIN(ABS($AY$7:$AY$27 - MEDIAN(MIN($AY$7:$AY$27), MAX($AY$7:$AY$27), V17))), ABS($AY$7:$AY$27 - MEDIAN(MIN($AY$7:$AY$27), MAX($AY$7:$AY$27), V17)), $AZ$7:$AZ$27, "Not Found", 0)</f>
        <v/>
      </c>
      <c r="W46" s="30">
        <f t="array" ref="W46">_xlfn.XLOOKUP(MIN(ABS($AY$7:$AY$27 - MEDIAN(MIN($AY$7:$AY$27), MAX($AY$7:$AY$27), W17))), ABS($AY$7:$AY$27 - MEDIAN(MIN($AY$7:$AY$27), MAX($AY$7:$AY$27), W17)), $AZ$7:$AZ$27, "Not Found", 0)</f>
        <v/>
      </c>
      <c r="X46" s="30">
        <f t="array" ref="X46">_xlfn.XLOOKUP(MIN(ABS($AY$7:$AY$27 - MEDIAN(MIN($AY$7:$AY$27), MAX($AY$7:$AY$27), X17))), ABS($AY$7:$AY$27 - MEDIAN(MIN($AY$7:$AY$27), MAX($AY$7:$AY$27), X17)), $AZ$7:$AZ$27, "Not Found", 0)</f>
        <v/>
      </c>
      <c r="Y46" s="30">
        <f t="array" ref="Y46">_xlfn.XLOOKUP(MIN(ABS($AY$7:$AY$27 - MEDIAN(MIN($AY$7:$AY$27), MAX($AY$7:$AY$27), Y17))), ABS($AY$7:$AY$27 - MEDIAN(MIN($AY$7:$AY$27), MAX($AY$7:$AY$27), Y17)), $AZ$7:$AZ$27, "Not Found", 0)</f>
        <v/>
      </c>
      <c r="Z46" s="30">
        <f t="array" ref="Z46">_xlfn.XLOOKUP(MIN(ABS($AY$7:$AY$27 - MEDIAN(MIN($AY$7:$AY$27), MAX($AY$7:$AY$27), Z17))), ABS($AY$7:$AY$27 - MEDIAN(MIN($AY$7:$AY$27), MAX($AY$7:$AY$27), Z17)), $AZ$7:$AZ$27, "Not Found", 0)</f>
        <v/>
      </c>
      <c r="AA46" s="30">
        <f t="array" ref="AA46">_xlfn.XLOOKUP(MIN(ABS($AY$7:$AY$27 - MEDIAN(MIN($AY$7:$AY$27), MAX($AY$7:$AY$27), AA17))), ABS($AY$7:$AY$27 - MEDIAN(MIN($AY$7:$AY$27), MAX($AY$7:$AY$27), AA17)), $AZ$7:$AZ$27, "Not Found", 0)</f>
        <v/>
      </c>
      <c r="AB46" s="30">
        <f t="array" ref="AB46">_xlfn.XLOOKUP(MIN(ABS($AY$7:$AY$27 - MEDIAN(MIN($AY$7:$AY$27), MAX($AY$7:$AY$27), AB17))), ABS($AY$7:$AY$27 - MEDIAN(MIN($AY$7:$AY$27), MAX($AY$7:$AY$27), AB17)), $AZ$7:$AZ$27, "Not Found", 0)</f>
        <v/>
      </c>
      <c r="AC46" s="30">
        <f t="array" ref="AC46">_xlfn.XLOOKUP(MIN(ABS($AY$7:$AY$27 - MEDIAN(MIN($AY$7:$AY$27), MAX($AY$7:$AY$27), AC17))), ABS($AY$7:$AY$27 - MEDIAN(MIN($AY$7:$AY$27), MAX($AY$7:$AY$27), AC17)), $AZ$7:$AZ$27, "Not Found", 0)</f>
        <v/>
      </c>
      <c r="AD46" s="30">
        <f t="array" ref="AD46">_xlfn.XLOOKUP(MIN(ABS($AY$7:$AY$27 - MEDIAN(MIN($AY$7:$AY$27), MAX($AY$7:$AY$27), AD17))), ABS($AY$7:$AY$27 - MEDIAN(MIN($AY$7:$AY$27), MAX($AY$7:$AY$27), AD17)), $AZ$7:$AZ$27, "Not Found", 0)</f>
        <v/>
      </c>
      <c r="AE46" s="30">
        <f t="array" ref="AE46">_xlfn.XLOOKUP(MIN(ABS($AY$7:$AY$27 - MEDIAN(MIN($AY$7:$AY$27), MAX($AY$7:$AY$27), AE17))), ABS($AY$7:$AY$27 - MEDIAN(MIN($AY$7:$AY$27), MAX($AY$7:$AY$27), AE17)), $AZ$7:$AZ$27, "Not Found", 0)</f>
        <v/>
      </c>
      <c r="AF46" s="30">
        <f t="array" ref="AF46">_xlfn.XLOOKUP(MIN(ABS($AY$7:$AY$27 - MEDIAN(MIN($AY$7:$AY$27), MAX($AY$7:$AY$27), AF17))), ABS($AY$7:$AY$27 - MEDIAN(MIN($AY$7:$AY$27), MAX($AY$7:$AY$27), AF17)), $AZ$7:$AZ$27, "Not Found", 0)</f>
        <v/>
      </c>
      <c r="AG46" s="30">
        <f t="array" ref="AG46">_xlfn.XLOOKUP(MIN(ABS($AY$7:$AY$27 - MEDIAN(MIN($AY$7:$AY$27), MAX($AY$7:$AY$27), AG17))), ABS($AY$7:$AY$27 - MEDIAN(MIN($AY$7:$AY$27), MAX($AY$7:$AY$27), AG17)), $AZ$7:$AZ$27, "Not Found", 0)</f>
        <v/>
      </c>
      <c r="AH46" s="30">
        <f t="array" ref="AH46">_xlfn.XLOOKUP(MIN(ABS($AY$7:$AY$27 - MEDIAN(MIN($AY$7:$AY$27), MAX($AY$7:$AY$27), AH17))), ABS($AY$7:$AY$27 - MEDIAN(MIN($AY$7:$AY$27), MAX($AY$7:$AY$27), AH17)), $AZ$7:$AZ$27, "Not Found", 0)</f>
        <v/>
      </c>
      <c r="AI46" s="30">
        <f t="array" ref="AI46">_xlfn.XLOOKUP(MIN(ABS($AY$7:$AY$27 - MEDIAN(MIN($AY$7:$AY$27), MAX($AY$7:$AY$27), AI17))), ABS($AY$7:$AY$27 - MEDIAN(MIN($AY$7:$AY$27), MAX($AY$7:$AY$27), AI17)), $AZ$7:$AZ$27, "Not Found", 0)</f>
        <v/>
      </c>
      <c r="AJ46" s="30">
        <f t="array" ref="AJ46">_xlfn.XLOOKUP(MIN(ABS($AY$7:$AY$27 - MEDIAN(MIN($AY$7:$AY$27), MAX($AY$7:$AY$27), AJ17))), ABS($AY$7:$AY$27 - MEDIAN(MIN($AY$7:$AY$27), MAX($AY$7:$AY$27), AJ17)), $AZ$7:$AZ$27, "Not Found", 0)</f>
        <v/>
      </c>
      <c r="AK46" s="30">
        <f t="array" ref="AK46">_xlfn.XLOOKUP(MIN(ABS($AY$7:$AY$27 - MEDIAN(MIN($AY$7:$AY$27), MAX($AY$7:$AY$27), AK17))), ABS($AY$7:$AY$27 - MEDIAN(MIN($AY$7:$AY$27), MAX($AY$7:$AY$27), AK17)), $AZ$7:$AZ$27, "Not Found", 0)</f>
        <v/>
      </c>
      <c r="AL46" s="30">
        <f t="array" ref="AL46">_xlfn.XLOOKUP(MIN(ABS($AY$7:$AY$27 - MEDIAN(MIN($AY$7:$AY$27), MAX($AY$7:$AY$27), AL17))), ABS($AY$7:$AY$27 - MEDIAN(MIN($AY$7:$AY$27), MAX($AY$7:$AY$27), AL17)), $AZ$7:$AZ$27, "Not Found", 0)</f>
        <v/>
      </c>
      <c r="AM46" s="30">
        <f t="array" ref="AM46">_xlfn.XLOOKUP(MIN(ABS($AY$7:$AY$27 - MEDIAN(MIN($AY$7:$AY$27), MAX($AY$7:$AY$27), AM17))), ABS($AY$7:$AY$27 - MEDIAN(MIN($AY$7:$AY$27), MAX($AY$7:$AY$27), AM17)), $AZ$7:$AZ$27, "Not Found", 0)</f>
        <v/>
      </c>
      <c r="AN46" s="30">
        <f t="array" ref="AN46">_xlfn.XLOOKUP(MIN(ABS($AY$7:$AY$27 - MEDIAN(MIN($AY$7:$AY$27), MAX($AY$7:$AY$27), AN17))), ABS($AY$7:$AY$27 - MEDIAN(MIN($AY$7:$AY$27), MAX($AY$7:$AY$27), AN17)), $AZ$7:$AZ$27, "Not Found", 0)</f>
        <v/>
      </c>
      <c r="AO46" s="30">
        <f t="array" ref="AO46">_xlfn.XLOOKUP(MIN(ABS($AY$7:$AY$27 - MEDIAN(MIN($AY$7:$AY$27), MAX($AY$7:$AY$27), AO17))), ABS($AY$7:$AY$27 - MEDIAN(MIN($AY$7:$AY$27), MAX($AY$7:$AY$27), AO17)), $AZ$7:$AZ$27, "Not Found", 0)</f>
        <v/>
      </c>
      <c r="AP46" s="30">
        <f t="array" ref="AP46">_xlfn.XLOOKUP(MIN(ABS($AY$7:$AY$27 - MEDIAN(MIN($AY$7:$AY$27), MAX($AY$7:$AY$27), AP17))), ABS($AY$7:$AY$27 - MEDIAN(MIN($AY$7:$AY$27), MAX($AY$7:$AY$27), AP17)), $AZ$7:$AZ$27, "Not Found", 0)</f>
        <v/>
      </c>
      <c r="AQ46" s="30">
        <f t="array" ref="AQ46">_xlfn.XLOOKUP(MIN(ABS($AY$7:$AY$27 - MEDIAN(MIN($AY$7:$AY$27), MAX($AY$7:$AY$27), AQ17))), ABS($AY$7:$AY$27 - MEDIAN(MIN($AY$7:$AY$27), MAX($AY$7:$AY$27), AQ17)), $AZ$7:$AZ$27, "Not Found", 0)</f>
        <v/>
      </c>
      <c r="AR46" s="30">
        <f t="array" ref="AR46">_xlfn.XLOOKUP(MIN(ABS($AY$7:$AY$27 - MEDIAN(MIN($AY$7:$AY$27), MAX($AY$7:$AY$27), AR17))), ABS($AY$7:$AY$27 - MEDIAN(MIN($AY$7:$AY$27), MAX($AY$7:$AY$27), AR17)), $AZ$7:$AZ$27, "Not Found", 0)</f>
        <v/>
      </c>
      <c r="AS46" s="30">
        <f t="array" ref="AS46">_xlfn.XLOOKUP(MIN(ABS($AY$7:$AY$27 - MEDIAN(MIN($AY$7:$AY$27), MAX($AY$7:$AY$27), AS17))), ABS($AY$7:$AY$27 - MEDIAN(MIN($AY$7:$AY$27), MAX($AY$7:$AY$27), AS17)), $AZ$7:$AZ$27, "Not Found", 0)</f>
        <v/>
      </c>
      <c r="AT46" s="30">
        <f t="array" ref="AT46">_xlfn.XLOOKUP(MIN(ABS($AY$7:$AY$27 - MEDIAN(MIN($AY$7:$AY$27), MAX($AY$7:$AY$27), AT17))), ABS($AY$7:$AY$27 - MEDIAN(MIN($AY$7:$AY$27), MAX($AY$7:$AY$27), AT17)), $AZ$7:$AZ$27, "Not Found", 0)</f>
        <v/>
      </c>
      <c r="AU46" s="30">
        <f t="array" ref="AU46">_xlfn.XLOOKUP(MIN(ABS($AY$7:$AY$27 - MEDIAN(MIN($AY$7:$AY$27), MAX($AY$7:$AY$27), AU17))), ABS($AY$7:$AY$27 - MEDIAN(MIN($AY$7:$AY$27), MAX($AY$7:$AY$27), AU17)), $AZ$7:$AZ$27, "Not Found", 0)</f>
        <v/>
      </c>
      <c r="AV46" s="30">
        <f t="array" ref="AV46">_xlfn.XLOOKUP(MIN(ABS($AY$7:$AY$27 - MEDIAN(MIN($AY$7:$AY$27), MAX($AY$7:$AY$27), AV17))), ABS($AY$7:$AY$27 - MEDIAN(MIN($AY$7:$AY$27), MAX($AY$7:$AY$27), AV17)), $AZ$7:$AZ$27, "Not Found", 0)</f>
        <v/>
      </c>
      <c r="AW46" s="30">
        <f t="array" ref="AW46">_xlfn.XLOOKUP(MIN(ABS($AY$7:$AY$27 - MEDIAN(MIN($AY$7:$AY$27), MAX($AY$7:$AY$27), AW17))), ABS($AY$7:$AY$27 - MEDIAN(MIN($AY$7:$AY$27), MAX($AY$7:$AY$27), AW17)), $AZ$7:$AZ$27, "Not Found", 0)</f>
        <v/>
      </c>
    </row>
    <row r="47" ht="25" customHeight="1">
      <c r="A47" s="46" t="inlineStr">
        <is>
          <t>EUR USD</t>
        </is>
      </c>
      <c r="B47" s="30">
        <f t="array" ref="B47">_xlfn.XLOOKUP(MIN(ABS($AY$7:$AY$27 - MEDIAN(MIN($AY$7:$AY$27), MAX($AY$7:$AY$27), B18))), ABS($AY$7:$AY$27 - MEDIAN(MIN($AY$7:$AY$27), MAX($AY$7:$AY$27), B18)), $AZ$7:$AZ$27, "Not Found", 0)</f>
        <v/>
      </c>
      <c r="C47" s="30">
        <f t="array" ref="C47">_xlfn.XLOOKUP(MIN(ABS($AY$7:$AY$27 - MEDIAN(MIN($AY$7:$AY$27), MAX($AY$7:$AY$27), C18))), ABS($AY$7:$AY$27 - MEDIAN(MIN($AY$7:$AY$27), MAX($AY$7:$AY$27), C18)), $AZ$7:$AZ$27, "Not Found", 0)</f>
        <v/>
      </c>
      <c r="D47" s="30">
        <f t="array" ref="D47">_xlfn.XLOOKUP(MIN(ABS($AY$7:$AY$27 - MEDIAN(MIN($AY$7:$AY$27), MAX($AY$7:$AY$27), D18))), ABS($AY$7:$AY$27 - MEDIAN(MIN($AY$7:$AY$27), MAX($AY$7:$AY$27), D18)), $AZ$7:$AZ$27, "Not Found", 0)</f>
        <v/>
      </c>
      <c r="E47" s="30">
        <f t="array" ref="E47">_xlfn.XLOOKUP(MIN(ABS($AY$7:$AY$27 - MEDIAN(MIN($AY$7:$AY$27), MAX($AY$7:$AY$27), E18))), ABS($AY$7:$AY$27 - MEDIAN(MIN($AY$7:$AY$27), MAX($AY$7:$AY$27), E18)), $AZ$7:$AZ$27, "Not Found", 0)</f>
        <v/>
      </c>
      <c r="F47" s="30">
        <f t="array" ref="F47">_xlfn.XLOOKUP(MIN(ABS($AY$7:$AY$27 - MEDIAN(MIN($AY$7:$AY$27), MAX($AY$7:$AY$27), F18))), ABS($AY$7:$AY$27 - MEDIAN(MIN($AY$7:$AY$27), MAX($AY$7:$AY$27), F18)), $AZ$7:$AZ$27, "Not Found", 0)</f>
        <v/>
      </c>
      <c r="G47" s="30">
        <f t="array" ref="G47">_xlfn.XLOOKUP(MIN(ABS($AY$7:$AY$27 - MEDIAN(MIN($AY$7:$AY$27), MAX($AY$7:$AY$27), G18))), ABS($AY$7:$AY$27 - MEDIAN(MIN($AY$7:$AY$27), MAX($AY$7:$AY$27), G18)), $AZ$7:$AZ$27, "Not Found", 0)</f>
        <v/>
      </c>
      <c r="H47" s="30">
        <f t="array" ref="H47">_xlfn.XLOOKUP(MIN(ABS($AY$7:$AY$27 - MEDIAN(MIN($AY$7:$AY$27), MAX($AY$7:$AY$27), H18))), ABS($AY$7:$AY$27 - MEDIAN(MIN($AY$7:$AY$27), MAX($AY$7:$AY$27), H18)), $AZ$7:$AZ$27, "Not Found", 0)</f>
        <v/>
      </c>
      <c r="I47" s="30">
        <f t="array" ref="I47">_xlfn.XLOOKUP(MIN(ABS($AY$7:$AY$27 - MEDIAN(MIN($AY$7:$AY$27), MAX($AY$7:$AY$27), I18))), ABS($AY$7:$AY$27 - MEDIAN(MIN($AY$7:$AY$27), MAX($AY$7:$AY$27), I18)), $AZ$7:$AZ$27, "Not Found", 0)</f>
        <v/>
      </c>
      <c r="J47" s="30">
        <f t="array" ref="J47">_xlfn.XLOOKUP(MIN(ABS($AY$7:$AY$27 - MEDIAN(MIN($AY$7:$AY$27), MAX($AY$7:$AY$27), J18))), ABS($AY$7:$AY$27 - MEDIAN(MIN($AY$7:$AY$27), MAX($AY$7:$AY$27), J18)), $AZ$7:$AZ$27, "Not Found", 0)</f>
        <v/>
      </c>
      <c r="K47" s="30">
        <f t="array" ref="K47">_xlfn.XLOOKUP(MIN(ABS($AY$7:$AY$27 - MEDIAN(MIN($AY$7:$AY$27), MAX($AY$7:$AY$27), K18))), ABS($AY$7:$AY$27 - MEDIAN(MIN($AY$7:$AY$27), MAX($AY$7:$AY$27), K18)), $AZ$7:$AZ$27, "Not Found", 0)</f>
        <v/>
      </c>
      <c r="L47" s="30">
        <f t="array" ref="L47">_xlfn.XLOOKUP(MIN(ABS($AY$7:$AY$27 - MEDIAN(MIN($AY$7:$AY$27), MAX($AY$7:$AY$27), L18))), ABS($AY$7:$AY$27 - MEDIAN(MIN($AY$7:$AY$27), MAX($AY$7:$AY$27), L18)), $AZ$7:$AZ$27, "Not Found", 0)</f>
        <v/>
      </c>
      <c r="M47" s="30">
        <f t="array" ref="M47">_xlfn.XLOOKUP(MIN(ABS($AY$7:$AY$27 - MEDIAN(MIN($AY$7:$AY$27), MAX($AY$7:$AY$27), M18))), ABS($AY$7:$AY$27 - MEDIAN(MIN($AY$7:$AY$27), MAX($AY$7:$AY$27), M18)), $AZ$7:$AZ$27, "Not Found", 0)</f>
        <v/>
      </c>
      <c r="N47" s="30">
        <f t="array" ref="N47">_xlfn.XLOOKUP(MIN(ABS($AY$7:$AY$27 - MEDIAN(MIN($AY$7:$AY$27), MAX($AY$7:$AY$27), N18))), ABS($AY$7:$AY$27 - MEDIAN(MIN($AY$7:$AY$27), MAX($AY$7:$AY$27), N18)), $AZ$7:$AZ$27, "Not Found", 0)</f>
        <v/>
      </c>
      <c r="O47" s="30">
        <f t="array" ref="O47">_xlfn.XLOOKUP(MIN(ABS($AY$7:$AY$27 - MEDIAN(MIN($AY$7:$AY$27), MAX($AY$7:$AY$27), O18))), ABS($AY$7:$AY$27 - MEDIAN(MIN($AY$7:$AY$27), MAX($AY$7:$AY$27), O18)), $AZ$7:$AZ$27, "Not Found", 0)</f>
        <v/>
      </c>
      <c r="P47" s="30">
        <f t="array" ref="P47">_xlfn.XLOOKUP(MIN(ABS($AY$7:$AY$27 - MEDIAN(MIN($AY$7:$AY$27), MAX($AY$7:$AY$27), P18))), ABS($AY$7:$AY$27 - MEDIAN(MIN($AY$7:$AY$27), MAX($AY$7:$AY$27), P18)), $AZ$7:$AZ$27, "Not Found", 0)</f>
        <v/>
      </c>
      <c r="Q47" s="30">
        <f t="array" ref="Q47">_xlfn.XLOOKUP(MIN(ABS($AY$7:$AY$27 - MEDIAN(MIN($AY$7:$AY$27), MAX($AY$7:$AY$27), Q18))), ABS($AY$7:$AY$27 - MEDIAN(MIN($AY$7:$AY$27), MAX($AY$7:$AY$27), Q18)), $AZ$7:$AZ$27, "Not Found", 0)</f>
        <v/>
      </c>
      <c r="R47" s="30">
        <f t="array" ref="R47">_xlfn.XLOOKUP(MIN(ABS($AY$7:$AY$27 - MEDIAN(MIN($AY$7:$AY$27), MAX($AY$7:$AY$27), R18))), ABS($AY$7:$AY$27 - MEDIAN(MIN($AY$7:$AY$27), MAX($AY$7:$AY$27), R18)), $AZ$7:$AZ$27, "Not Found", 0)</f>
        <v/>
      </c>
      <c r="S47" s="30">
        <f t="array" ref="S47">_xlfn.XLOOKUP(MIN(ABS($AY$7:$AY$27 - MEDIAN(MIN($AY$7:$AY$27), MAX($AY$7:$AY$27), S18))), ABS($AY$7:$AY$27 - MEDIAN(MIN($AY$7:$AY$27), MAX($AY$7:$AY$27), S18)), $AZ$7:$AZ$27, "Not Found", 0)</f>
        <v/>
      </c>
      <c r="T47" s="30">
        <f t="array" ref="T47">_xlfn.XLOOKUP(MIN(ABS($AY$7:$AY$27 - MEDIAN(MIN($AY$7:$AY$27), MAX($AY$7:$AY$27), T18))), ABS($AY$7:$AY$27 - MEDIAN(MIN($AY$7:$AY$27), MAX($AY$7:$AY$27), T18)), $AZ$7:$AZ$27, "Not Found", 0)</f>
        <v/>
      </c>
      <c r="U47" s="30">
        <f t="array" ref="U47">_xlfn.XLOOKUP(MIN(ABS($AY$7:$AY$27 - MEDIAN(MIN($AY$7:$AY$27), MAX($AY$7:$AY$27), U18))), ABS($AY$7:$AY$27 - MEDIAN(MIN($AY$7:$AY$27), MAX($AY$7:$AY$27), U18)), $AZ$7:$AZ$27, "Not Found", 0)</f>
        <v/>
      </c>
      <c r="V47" s="30">
        <f t="array" ref="V47">_xlfn.XLOOKUP(MIN(ABS($AY$7:$AY$27 - MEDIAN(MIN($AY$7:$AY$27), MAX($AY$7:$AY$27), V18))), ABS($AY$7:$AY$27 - MEDIAN(MIN($AY$7:$AY$27), MAX($AY$7:$AY$27), V18)), $AZ$7:$AZ$27, "Not Found", 0)</f>
        <v/>
      </c>
      <c r="W47" s="30">
        <f t="array" ref="W47">_xlfn.XLOOKUP(MIN(ABS($AY$7:$AY$27 - MEDIAN(MIN($AY$7:$AY$27), MAX($AY$7:$AY$27), W18))), ABS($AY$7:$AY$27 - MEDIAN(MIN($AY$7:$AY$27), MAX($AY$7:$AY$27), W18)), $AZ$7:$AZ$27, "Not Found", 0)</f>
        <v/>
      </c>
      <c r="X47" s="30">
        <f t="array" ref="X47">_xlfn.XLOOKUP(MIN(ABS($AY$7:$AY$27 - MEDIAN(MIN($AY$7:$AY$27), MAX($AY$7:$AY$27), X18))), ABS($AY$7:$AY$27 - MEDIAN(MIN($AY$7:$AY$27), MAX($AY$7:$AY$27), X18)), $AZ$7:$AZ$27, "Not Found", 0)</f>
        <v/>
      </c>
      <c r="Y47" s="30">
        <f t="array" ref="Y47">_xlfn.XLOOKUP(MIN(ABS($AY$7:$AY$27 - MEDIAN(MIN($AY$7:$AY$27), MAX($AY$7:$AY$27), Y18))), ABS($AY$7:$AY$27 - MEDIAN(MIN($AY$7:$AY$27), MAX($AY$7:$AY$27), Y18)), $AZ$7:$AZ$27, "Not Found", 0)</f>
        <v/>
      </c>
      <c r="Z47" s="30">
        <f t="array" ref="Z47">_xlfn.XLOOKUP(MIN(ABS($AY$7:$AY$27 - MEDIAN(MIN($AY$7:$AY$27), MAX($AY$7:$AY$27), Z18))), ABS($AY$7:$AY$27 - MEDIAN(MIN($AY$7:$AY$27), MAX($AY$7:$AY$27), Z18)), $AZ$7:$AZ$27, "Not Found", 0)</f>
        <v/>
      </c>
      <c r="AA47" s="30">
        <f t="array" ref="AA47">_xlfn.XLOOKUP(MIN(ABS($AY$7:$AY$27 - MEDIAN(MIN($AY$7:$AY$27), MAX($AY$7:$AY$27), AA18))), ABS($AY$7:$AY$27 - MEDIAN(MIN($AY$7:$AY$27), MAX($AY$7:$AY$27), AA18)), $AZ$7:$AZ$27, "Not Found", 0)</f>
        <v/>
      </c>
      <c r="AB47" s="30">
        <f t="array" ref="AB47">_xlfn.XLOOKUP(MIN(ABS($AY$7:$AY$27 - MEDIAN(MIN($AY$7:$AY$27), MAX($AY$7:$AY$27), AB18))), ABS($AY$7:$AY$27 - MEDIAN(MIN($AY$7:$AY$27), MAX($AY$7:$AY$27), AB18)), $AZ$7:$AZ$27, "Not Found", 0)</f>
        <v/>
      </c>
      <c r="AC47" s="30">
        <f t="array" ref="AC47">_xlfn.XLOOKUP(MIN(ABS($AY$7:$AY$27 - MEDIAN(MIN($AY$7:$AY$27), MAX($AY$7:$AY$27), AC18))), ABS($AY$7:$AY$27 - MEDIAN(MIN($AY$7:$AY$27), MAX($AY$7:$AY$27), AC18)), $AZ$7:$AZ$27, "Not Found", 0)</f>
        <v/>
      </c>
      <c r="AD47" s="30">
        <f t="array" ref="AD47">_xlfn.XLOOKUP(MIN(ABS($AY$7:$AY$27 - MEDIAN(MIN($AY$7:$AY$27), MAX($AY$7:$AY$27), AD18))), ABS($AY$7:$AY$27 - MEDIAN(MIN($AY$7:$AY$27), MAX($AY$7:$AY$27), AD18)), $AZ$7:$AZ$27, "Not Found", 0)</f>
        <v/>
      </c>
      <c r="AE47" s="30">
        <f t="array" ref="AE47">_xlfn.XLOOKUP(MIN(ABS($AY$7:$AY$27 - MEDIAN(MIN($AY$7:$AY$27), MAX($AY$7:$AY$27), AE18))), ABS($AY$7:$AY$27 - MEDIAN(MIN($AY$7:$AY$27), MAX($AY$7:$AY$27), AE18)), $AZ$7:$AZ$27, "Not Found", 0)</f>
        <v/>
      </c>
      <c r="AF47" s="30">
        <f t="array" ref="AF47">_xlfn.XLOOKUP(MIN(ABS($AY$7:$AY$27 - MEDIAN(MIN($AY$7:$AY$27), MAX($AY$7:$AY$27), AF18))), ABS($AY$7:$AY$27 - MEDIAN(MIN($AY$7:$AY$27), MAX($AY$7:$AY$27), AF18)), $AZ$7:$AZ$27, "Not Found", 0)</f>
        <v/>
      </c>
      <c r="AG47" s="30">
        <f t="array" ref="AG47">_xlfn.XLOOKUP(MIN(ABS($AY$7:$AY$27 - MEDIAN(MIN($AY$7:$AY$27), MAX($AY$7:$AY$27), AG18))), ABS($AY$7:$AY$27 - MEDIAN(MIN($AY$7:$AY$27), MAX($AY$7:$AY$27), AG18)), $AZ$7:$AZ$27, "Not Found", 0)</f>
        <v/>
      </c>
      <c r="AH47" s="30">
        <f t="array" ref="AH47">_xlfn.XLOOKUP(MIN(ABS($AY$7:$AY$27 - MEDIAN(MIN($AY$7:$AY$27), MAX($AY$7:$AY$27), AH18))), ABS($AY$7:$AY$27 - MEDIAN(MIN($AY$7:$AY$27), MAX($AY$7:$AY$27), AH18)), $AZ$7:$AZ$27, "Not Found", 0)</f>
        <v/>
      </c>
      <c r="AI47" s="30">
        <f t="array" ref="AI47">_xlfn.XLOOKUP(MIN(ABS($AY$7:$AY$27 - MEDIAN(MIN($AY$7:$AY$27), MAX($AY$7:$AY$27), AI18))), ABS($AY$7:$AY$27 - MEDIAN(MIN($AY$7:$AY$27), MAX($AY$7:$AY$27), AI18)), $AZ$7:$AZ$27, "Not Found", 0)</f>
        <v/>
      </c>
      <c r="AJ47" s="30">
        <f t="array" ref="AJ47">_xlfn.XLOOKUP(MIN(ABS($AY$7:$AY$27 - MEDIAN(MIN($AY$7:$AY$27), MAX($AY$7:$AY$27), AJ18))), ABS($AY$7:$AY$27 - MEDIAN(MIN($AY$7:$AY$27), MAX($AY$7:$AY$27), AJ18)), $AZ$7:$AZ$27, "Not Found", 0)</f>
        <v/>
      </c>
      <c r="AK47" s="30">
        <f t="array" ref="AK47">_xlfn.XLOOKUP(MIN(ABS($AY$7:$AY$27 - MEDIAN(MIN($AY$7:$AY$27), MAX($AY$7:$AY$27), AK18))), ABS($AY$7:$AY$27 - MEDIAN(MIN($AY$7:$AY$27), MAX($AY$7:$AY$27), AK18)), $AZ$7:$AZ$27, "Not Found", 0)</f>
        <v/>
      </c>
      <c r="AL47" s="30">
        <f t="array" ref="AL47">_xlfn.XLOOKUP(MIN(ABS($AY$7:$AY$27 - MEDIAN(MIN($AY$7:$AY$27), MAX($AY$7:$AY$27), AL18))), ABS($AY$7:$AY$27 - MEDIAN(MIN($AY$7:$AY$27), MAX($AY$7:$AY$27), AL18)), $AZ$7:$AZ$27, "Not Found", 0)</f>
        <v/>
      </c>
      <c r="AM47" s="30">
        <f t="array" ref="AM47">_xlfn.XLOOKUP(MIN(ABS($AY$7:$AY$27 - MEDIAN(MIN($AY$7:$AY$27), MAX($AY$7:$AY$27), AM18))), ABS($AY$7:$AY$27 - MEDIAN(MIN($AY$7:$AY$27), MAX($AY$7:$AY$27), AM18)), $AZ$7:$AZ$27, "Not Found", 0)</f>
        <v/>
      </c>
      <c r="AN47" s="30">
        <f t="array" ref="AN47">_xlfn.XLOOKUP(MIN(ABS($AY$7:$AY$27 - MEDIAN(MIN($AY$7:$AY$27), MAX($AY$7:$AY$27), AN18))), ABS($AY$7:$AY$27 - MEDIAN(MIN($AY$7:$AY$27), MAX($AY$7:$AY$27), AN18)), $AZ$7:$AZ$27, "Not Found", 0)</f>
        <v/>
      </c>
      <c r="AO47" s="30">
        <f t="array" ref="AO47">_xlfn.XLOOKUP(MIN(ABS($AY$7:$AY$27 - MEDIAN(MIN($AY$7:$AY$27), MAX($AY$7:$AY$27), AO18))), ABS($AY$7:$AY$27 - MEDIAN(MIN($AY$7:$AY$27), MAX($AY$7:$AY$27), AO18)), $AZ$7:$AZ$27, "Not Found", 0)</f>
        <v/>
      </c>
      <c r="AP47" s="30">
        <f t="array" ref="AP47">_xlfn.XLOOKUP(MIN(ABS($AY$7:$AY$27 - MEDIAN(MIN($AY$7:$AY$27), MAX($AY$7:$AY$27), AP18))), ABS($AY$7:$AY$27 - MEDIAN(MIN($AY$7:$AY$27), MAX($AY$7:$AY$27), AP18)), $AZ$7:$AZ$27, "Not Found", 0)</f>
        <v/>
      </c>
      <c r="AQ47" s="30">
        <f t="array" ref="AQ47">_xlfn.XLOOKUP(MIN(ABS($AY$7:$AY$27 - MEDIAN(MIN($AY$7:$AY$27), MAX($AY$7:$AY$27), AQ18))), ABS($AY$7:$AY$27 - MEDIAN(MIN($AY$7:$AY$27), MAX($AY$7:$AY$27), AQ18)), $AZ$7:$AZ$27, "Not Found", 0)</f>
        <v/>
      </c>
      <c r="AR47" s="30">
        <f t="array" ref="AR47">_xlfn.XLOOKUP(MIN(ABS($AY$7:$AY$27 - MEDIAN(MIN($AY$7:$AY$27), MAX($AY$7:$AY$27), AR18))), ABS($AY$7:$AY$27 - MEDIAN(MIN($AY$7:$AY$27), MAX($AY$7:$AY$27), AR18)), $AZ$7:$AZ$27, "Not Found", 0)</f>
        <v/>
      </c>
      <c r="AS47" s="30">
        <f t="array" ref="AS47">_xlfn.XLOOKUP(MIN(ABS($AY$7:$AY$27 - MEDIAN(MIN($AY$7:$AY$27), MAX($AY$7:$AY$27), AS18))), ABS($AY$7:$AY$27 - MEDIAN(MIN($AY$7:$AY$27), MAX($AY$7:$AY$27), AS18)), $AZ$7:$AZ$27, "Not Found", 0)</f>
        <v/>
      </c>
      <c r="AT47" s="30">
        <f t="array" ref="AT47">_xlfn.XLOOKUP(MIN(ABS($AY$7:$AY$27 - MEDIAN(MIN($AY$7:$AY$27), MAX($AY$7:$AY$27), AT18))), ABS($AY$7:$AY$27 - MEDIAN(MIN($AY$7:$AY$27), MAX($AY$7:$AY$27), AT18)), $AZ$7:$AZ$27, "Not Found", 0)</f>
        <v/>
      </c>
      <c r="AU47" s="30">
        <f t="array" ref="AU47">_xlfn.XLOOKUP(MIN(ABS($AY$7:$AY$27 - MEDIAN(MIN($AY$7:$AY$27), MAX($AY$7:$AY$27), AU18))), ABS($AY$7:$AY$27 - MEDIAN(MIN($AY$7:$AY$27), MAX($AY$7:$AY$27), AU18)), $AZ$7:$AZ$27, "Not Found", 0)</f>
        <v/>
      </c>
      <c r="AV47" s="30">
        <f t="array" ref="AV47">_xlfn.XLOOKUP(MIN(ABS($AY$7:$AY$27 - MEDIAN(MIN($AY$7:$AY$27), MAX($AY$7:$AY$27), AV18))), ABS($AY$7:$AY$27 - MEDIAN(MIN($AY$7:$AY$27), MAX($AY$7:$AY$27), AV18)), $AZ$7:$AZ$27, "Not Found", 0)</f>
        <v/>
      </c>
      <c r="AW47" s="30">
        <f t="array" ref="AW47">_xlfn.XLOOKUP(MIN(ABS($AY$7:$AY$27 - MEDIAN(MIN($AY$7:$AY$27), MAX($AY$7:$AY$27), AW18))), ABS($AY$7:$AY$27 - MEDIAN(MIN($AY$7:$AY$27), MAX($AY$7:$AY$27), AW18)), $AZ$7:$AZ$27, "Not Found", 0)</f>
        <v/>
      </c>
    </row>
    <row r="48" ht="25" customHeight="1">
      <c r="A48" s="46" t="inlineStr">
        <is>
          <t>EUR JPY</t>
        </is>
      </c>
      <c r="B48" s="30">
        <f t="array" ref="B48">_xlfn.XLOOKUP(MIN(ABS($AY$7:$AY$27 - MEDIAN(MIN($AY$7:$AY$27), MAX($AY$7:$AY$27), B19))), ABS($AY$7:$AY$27 - MEDIAN(MIN($AY$7:$AY$27), MAX($AY$7:$AY$27), B19)), $AZ$7:$AZ$27, "Not Found", 0)</f>
        <v/>
      </c>
      <c r="C48" s="30">
        <f t="array" ref="C48">_xlfn.XLOOKUP(MIN(ABS($AY$7:$AY$27 - MEDIAN(MIN($AY$7:$AY$27), MAX($AY$7:$AY$27), C19))), ABS($AY$7:$AY$27 - MEDIAN(MIN($AY$7:$AY$27), MAX($AY$7:$AY$27), C19)), $AZ$7:$AZ$27, "Not Found", 0)</f>
        <v/>
      </c>
      <c r="D48" s="30">
        <f t="array" ref="D48">_xlfn.XLOOKUP(MIN(ABS($AY$7:$AY$27 - MEDIAN(MIN($AY$7:$AY$27), MAX($AY$7:$AY$27), D19))), ABS($AY$7:$AY$27 - MEDIAN(MIN($AY$7:$AY$27), MAX($AY$7:$AY$27), D19)), $AZ$7:$AZ$27, "Not Found", 0)</f>
        <v/>
      </c>
      <c r="E48" s="30">
        <f t="array" ref="E48">_xlfn.XLOOKUP(MIN(ABS($AY$7:$AY$27 - MEDIAN(MIN($AY$7:$AY$27), MAX($AY$7:$AY$27), E19))), ABS($AY$7:$AY$27 - MEDIAN(MIN($AY$7:$AY$27), MAX($AY$7:$AY$27), E19)), $AZ$7:$AZ$27, "Not Found", 0)</f>
        <v/>
      </c>
      <c r="F48" s="30">
        <f t="array" ref="F48">_xlfn.XLOOKUP(MIN(ABS($AY$7:$AY$27 - MEDIAN(MIN($AY$7:$AY$27), MAX($AY$7:$AY$27), F19))), ABS($AY$7:$AY$27 - MEDIAN(MIN($AY$7:$AY$27), MAX($AY$7:$AY$27), F19)), $AZ$7:$AZ$27, "Not Found", 0)</f>
        <v/>
      </c>
      <c r="G48" s="30">
        <f t="array" ref="G48">_xlfn.XLOOKUP(MIN(ABS($AY$7:$AY$27 - MEDIAN(MIN($AY$7:$AY$27), MAX($AY$7:$AY$27), G19))), ABS($AY$7:$AY$27 - MEDIAN(MIN($AY$7:$AY$27), MAX($AY$7:$AY$27), G19)), $AZ$7:$AZ$27, "Not Found", 0)</f>
        <v/>
      </c>
      <c r="H48" s="30">
        <f t="array" ref="H48">_xlfn.XLOOKUP(MIN(ABS($AY$7:$AY$27 - MEDIAN(MIN($AY$7:$AY$27), MAX($AY$7:$AY$27), H19))), ABS($AY$7:$AY$27 - MEDIAN(MIN($AY$7:$AY$27), MAX($AY$7:$AY$27), H19)), $AZ$7:$AZ$27, "Not Found", 0)</f>
        <v/>
      </c>
      <c r="I48" s="30">
        <f t="array" ref="I48">_xlfn.XLOOKUP(MIN(ABS($AY$7:$AY$27 - MEDIAN(MIN($AY$7:$AY$27), MAX($AY$7:$AY$27), I19))), ABS($AY$7:$AY$27 - MEDIAN(MIN($AY$7:$AY$27), MAX($AY$7:$AY$27), I19)), $AZ$7:$AZ$27, "Not Found", 0)</f>
        <v/>
      </c>
      <c r="J48" s="30">
        <f t="array" ref="J48">_xlfn.XLOOKUP(MIN(ABS($AY$7:$AY$27 - MEDIAN(MIN($AY$7:$AY$27), MAX($AY$7:$AY$27), J19))), ABS($AY$7:$AY$27 - MEDIAN(MIN($AY$7:$AY$27), MAX($AY$7:$AY$27), J19)), $AZ$7:$AZ$27, "Not Found", 0)</f>
        <v/>
      </c>
      <c r="K48" s="30">
        <f t="array" ref="K48">_xlfn.XLOOKUP(MIN(ABS($AY$7:$AY$27 - MEDIAN(MIN($AY$7:$AY$27), MAX($AY$7:$AY$27), K19))), ABS($AY$7:$AY$27 - MEDIAN(MIN($AY$7:$AY$27), MAX($AY$7:$AY$27), K19)), $AZ$7:$AZ$27, "Not Found", 0)</f>
        <v/>
      </c>
      <c r="L48" s="30">
        <f t="array" ref="L48">_xlfn.XLOOKUP(MIN(ABS($AY$7:$AY$27 - MEDIAN(MIN($AY$7:$AY$27), MAX($AY$7:$AY$27), L19))), ABS($AY$7:$AY$27 - MEDIAN(MIN($AY$7:$AY$27), MAX($AY$7:$AY$27), L19)), $AZ$7:$AZ$27, "Not Found", 0)</f>
        <v/>
      </c>
      <c r="M48" s="30">
        <f t="array" ref="M48">_xlfn.XLOOKUP(MIN(ABS($AY$7:$AY$27 - MEDIAN(MIN($AY$7:$AY$27), MAX($AY$7:$AY$27), M19))), ABS($AY$7:$AY$27 - MEDIAN(MIN($AY$7:$AY$27), MAX($AY$7:$AY$27), M19)), $AZ$7:$AZ$27, "Not Found", 0)</f>
        <v/>
      </c>
      <c r="N48" s="30">
        <f t="array" ref="N48">_xlfn.XLOOKUP(MIN(ABS($AY$7:$AY$27 - MEDIAN(MIN($AY$7:$AY$27), MAX($AY$7:$AY$27), N19))), ABS($AY$7:$AY$27 - MEDIAN(MIN($AY$7:$AY$27), MAX($AY$7:$AY$27), N19)), $AZ$7:$AZ$27, "Not Found", 0)</f>
        <v/>
      </c>
      <c r="O48" s="30">
        <f t="array" ref="O48">_xlfn.XLOOKUP(MIN(ABS($AY$7:$AY$27 - MEDIAN(MIN($AY$7:$AY$27), MAX($AY$7:$AY$27), O19))), ABS($AY$7:$AY$27 - MEDIAN(MIN($AY$7:$AY$27), MAX($AY$7:$AY$27), O19)), $AZ$7:$AZ$27, "Not Found", 0)</f>
        <v/>
      </c>
      <c r="P48" s="30">
        <f t="array" ref="P48">_xlfn.XLOOKUP(MIN(ABS($AY$7:$AY$27 - MEDIAN(MIN($AY$7:$AY$27), MAX($AY$7:$AY$27), P19))), ABS($AY$7:$AY$27 - MEDIAN(MIN($AY$7:$AY$27), MAX($AY$7:$AY$27), P19)), $AZ$7:$AZ$27, "Not Found", 0)</f>
        <v/>
      </c>
      <c r="Q48" s="30">
        <f t="array" ref="Q48">_xlfn.XLOOKUP(MIN(ABS($AY$7:$AY$27 - MEDIAN(MIN($AY$7:$AY$27), MAX($AY$7:$AY$27), Q19))), ABS($AY$7:$AY$27 - MEDIAN(MIN($AY$7:$AY$27), MAX($AY$7:$AY$27), Q19)), $AZ$7:$AZ$27, "Not Found", 0)</f>
        <v/>
      </c>
      <c r="R48" s="30">
        <f t="array" ref="R48">_xlfn.XLOOKUP(MIN(ABS($AY$7:$AY$27 - MEDIAN(MIN($AY$7:$AY$27), MAX($AY$7:$AY$27), R19))), ABS($AY$7:$AY$27 - MEDIAN(MIN($AY$7:$AY$27), MAX($AY$7:$AY$27), R19)), $AZ$7:$AZ$27, "Not Found", 0)</f>
        <v/>
      </c>
      <c r="S48" s="30">
        <f t="array" ref="S48">_xlfn.XLOOKUP(MIN(ABS($AY$7:$AY$27 - MEDIAN(MIN($AY$7:$AY$27), MAX($AY$7:$AY$27), S19))), ABS($AY$7:$AY$27 - MEDIAN(MIN($AY$7:$AY$27), MAX($AY$7:$AY$27), S19)), $AZ$7:$AZ$27, "Not Found", 0)</f>
        <v/>
      </c>
      <c r="T48" s="30">
        <f t="array" ref="T48">_xlfn.XLOOKUP(MIN(ABS($AY$7:$AY$27 - MEDIAN(MIN($AY$7:$AY$27), MAX($AY$7:$AY$27), T19))), ABS($AY$7:$AY$27 - MEDIAN(MIN($AY$7:$AY$27), MAX($AY$7:$AY$27), T19)), $AZ$7:$AZ$27, "Not Found", 0)</f>
        <v/>
      </c>
      <c r="U48" s="30">
        <f t="array" ref="U48">_xlfn.XLOOKUP(MIN(ABS($AY$7:$AY$27 - MEDIAN(MIN($AY$7:$AY$27), MAX($AY$7:$AY$27), U19))), ABS($AY$7:$AY$27 - MEDIAN(MIN($AY$7:$AY$27), MAX($AY$7:$AY$27), U19)), $AZ$7:$AZ$27, "Not Found", 0)</f>
        <v/>
      </c>
      <c r="V48" s="30">
        <f t="array" ref="V48">_xlfn.XLOOKUP(MIN(ABS($AY$7:$AY$27 - MEDIAN(MIN($AY$7:$AY$27), MAX($AY$7:$AY$27), V19))), ABS($AY$7:$AY$27 - MEDIAN(MIN($AY$7:$AY$27), MAX($AY$7:$AY$27), V19)), $AZ$7:$AZ$27, "Not Found", 0)</f>
        <v/>
      </c>
      <c r="W48" s="30">
        <f t="array" ref="W48">_xlfn.XLOOKUP(MIN(ABS($AY$7:$AY$27 - MEDIAN(MIN($AY$7:$AY$27), MAX($AY$7:$AY$27), W19))), ABS($AY$7:$AY$27 - MEDIAN(MIN($AY$7:$AY$27), MAX($AY$7:$AY$27), W19)), $AZ$7:$AZ$27, "Not Found", 0)</f>
        <v/>
      </c>
      <c r="X48" s="30">
        <f t="array" ref="X48">_xlfn.XLOOKUP(MIN(ABS($AY$7:$AY$27 - MEDIAN(MIN($AY$7:$AY$27), MAX($AY$7:$AY$27), X19))), ABS($AY$7:$AY$27 - MEDIAN(MIN($AY$7:$AY$27), MAX($AY$7:$AY$27), X19)), $AZ$7:$AZ$27, "Not Found", 0)</f>
        <v/>
      </c>
      <c r="Y48" s="30">
        <f t="array" ref="Y48">_xlfn.XLOOKUP(MIN(ABS($AY$7:$AY$27 - MEDIAN(MIN($AY$7:$AY$27), MAX($AY$7:$AY$27), Y19))), ABS($AY$7:$AY$27 - MEDIAN(MIN($AY$7:$AY$27), MAX($AY$7:$AY$27), Y19)), $AZ$7:$AZ$27, "Not Found", 0)</f>
        <v/>
      </c>
      <c r="Z48" s="30">
        <f t="array" ref="Z48">_xlfn.XLOOKUP(MIN(ABS($AY$7:$AY$27 - MEDIAN(MIN($AY$7:$AY$27), MAX($AY$7:$AY$27), Z19))), ABS($AY$7:$AY$27 - MEDIAN(MIN($AY$7:$AY$27), MAX($AY$7:$AY$27), Z19)), $AZ$7:$AZ$27, "Not Found", 0)</f>
        <v/>
      </c>
      <c r="AA48" s="30">
        <f t="array" ref="AA48">_xlfn.XLOOKUP(MIN(ABS($AY$7:$AY$27 - MEDIAN(MIN($AY$7:$AY$27), MAX($AY$7:$AY$27), AA19))), ABS($AY$7:$AY$27 - MEDIAN(MIN($AY$7:$AY$27), MAX($AY$7:$AY$27), AA19)), $AZ$7:$AZ$27, "Not Found", 0)</f>
        <v/>
      </c>
      <c r="AB48" s="30">
        <f t="array" ref="AB48">_xlfn.XLOOKUP(MIN(ABS($AY$7:$AY$27 - MEDIAN(MIN($AY$7:$AY$27), MAX($AY$7:$AY$27), AB19))), ABS($AY$7:$AY$27 - MEDIAN(MIN($AY$7:$AY$27), MAX($AY$7:$AY$27), AB19)), $AZ$7:$AZ$27, "Not Found", 0)</f>
        <v/>
      </c>
      <c r="AC48" s="30">
        <f t="array" ref="AC48">_xlfn.XLOOKUP(MIN(ABS($AY$7:$AY$27 - MEDIAN(MIN($AY$7:$AY$27), MAX($AY$7:$AY$27), AC19))), ABS($AY$7:$AY$27 - MEDIAN(MIN($AY$7:$AY$27), MAX($AY$7:$AY$27), AC19)), $AZ$7:$AZ$27, "Not Found", 0)</f>
        <v/>
      </c>
      <c r="AD48" s="30">
        <f t="array" ref="AD48">_xlfn.XLOOKUP(MIN(ABS($AY$7:$AY$27 - MEDIAN(MIN($AY$7:$AY$27), MAX($AY$7:$AY$27), AD19))), ABS($AY$7:$AY$27 - MEDIAN(MIN($AY$7:$AY$27), MAX($AY$7:$AY$27), AD19)), $AZ$7:$AZ$27, "Not Found", 0)</f>
        <v/>
      </c>
      <c r="AE48" s="30">
        <f t="array" ref="AE48">_xlfn.XLOOKUP(MIN(ABS($AY$7:$AY$27 - MEDIAN(MIN($AY$7:$AY$27), MAX($AY$7:$AY$27), AE19))), ABS($AY$7:$AY$27 - MEDIAN(MIN($AY$7:$AY$27), MAX($AY$7:$AY$27), AE19)), $AZ$7:$AZ$27, "Not Found", 0)</f>
        <v/>
      </c>
      <c r="AF48" s="30">
        <f t="array" ref="AF48">_xlfn.XLOOKUP(MIN(ABS($AY$7:$AY$27 - MEDIAN(MIN($AY$7:$AY$27), MAX($AY$7:$AY$27), AF19))), ABS($AY$7:$AY$27 - MEDIAN(MIN($AY$7:$AY$27), MAX($AY$7:$AY$27), AF19)), $AZ$7:$AZ$27, "Not Found", 0)</f>
        <v/>
      </c>
      <c r="AG48" s="30">
        <f t="array" ref="AG48">_xlfn.XLOOKUP(MIN(ABS($AY$7:$AY$27 - MEDIAN(MIN($AY$7:$AY$27), MAX($AY$7:$AY$27), AG19))), ABS($AY$7:$AY$27 - MEDIAN(MIN($AY$7:$AY$27), MAX($AY$7:$AY$27), AG19)), $AZ$7:$AZ$27, "Not Found", 0)</f>
        <v/>
      </c>
      <c r="AH48" s="30">
        <f t="array" ref="AH48">_xlfn.XLOOKUP(MIN(ABS($AY$7:$AY$27 - MEDIAN(MIN($AY$7:$AY$27), MAX($AY$7:$AY$27), AH19))), ABS($AY$7:$AY$27 - MEDIAN(MIN($AY$7:$AY$27), MAX($AY$7:$AY$27), AH19)), $AZ$7:$AZ$27, "Not Found", 0)</f>
        <v/>
      </c>
      <c r="AI48" s="30">
        <f t="array" ref="AI48">_xlfn.XLOOKUP(MIN(ABS($AY$7:$AY$27 - MEDIAN(MIN($AY$7:$AY$27), MAX($AY$7:$AY$27), AI19))), ABS($AY$7:$AY$27 - MEDIAN(MIN($AY$7:$AY$27), MAX($AY$7:$AY$27), AI19)), $AZ$7:$AZ$27, "Not Found", 0)</f>
        <v/>
      </c>
      <c r="AJ48" s="30">
        <f t="array" ref="AJ48">_xlfn.XLOOKUP(MIN(ABS($AY$7:$AY$27 - MEDIAN(MIN($AY$7:$AY$27), MAX($AY$7:$AY$27), AJ19))), ABS($AY$7:$AY$27 - MEDIAN(MIN($AY$7:$AY$27), MAX($AY$7:$AY$27), AJ19)), $AZ$7:$AZ$27, "Not Found", 0)</f>
        <v/>
      </c>
      <c r="AK48" s="30">
        <f t="array" ref="AK48">_xlfn.XLOOKUP(MIN(ABS($AY$7:$AY$27 - MEDIAN(MIN($AY$7:$AY$27), MAX($AY$7:$AY$27), AK19))), ABS($AY$7:$AY$27 - MEDIAN(MIN($AY$7:$AY$27), MAX($AY$7:$AY$27), AK19)), $AZ$7:$AZ$27, "Not Found", 0)</f>
        <v/>
      </c>
      <c r="AL48" s="30">
        <f t="array" ref="AL48">_xlfn.XLOOKUP(MIN(ABS($AY$7:$AY$27 - MEDIAN(MIN($AY$7:$AY$27), MAX($AY$7:$AY$27), AL19))), ABS($AY$7:$AY$27 - MEDIAN(MIN($AY$7:$AY$27), MAX($AY$7:$AY$27), AL19)), $AZ$7:$AZ$27, "Not Found", 0)</f>
        <v/>
      </c>
      <c r="AM48" s="30">
        <f t="array" ref="AM48">_xlfn.XLOOKUP(MIN(ABS($AY$7:$AY$27 - MEDIAN(MIN($AY$7:$AY$27), MAX($AY$7:$AY$27), AM19))), ABS($AY$7:$AY$27 - MEDIAN(MIN($AY$7:$AY$27), MAX($AY$7:$AY$27), AM19)), $AZ$7:$AZ$27, "Not Found", 0)</f>
        <v/>
      </c>
      <c r="AN48" s="30">
        <f t="array" ref="AN48">_xlfn.XLOOKUP(MIN(ABS($AY$7:$AY$27 - MEDIAN(MIN($AY$7:$AY$27), MAX($AY$7:$AY$27), AN19))), ABS($AY$7:$AY$27 - MEDIAN(MIN($AY$7:$AY$27), MAX($AY$7:$AY$27), AN19)), $AZ$7:$AZ$27, "Not Found", 0)</f>
        <v/>
      </c>
      <c r="AO48" s="30">
        <f t="array" ref="AO48">_xlfn.XLOOKUP(MIN(ABS($AY$7:$AY$27 - MEDIAN(MIN($AY$7:$AY$27), MAX($AY$7:$AY$27), AO19))), ABS($AY$7:$AY$27 - MEDIAN(MIN($AY$7:$AY$27), MAX($AY$7:$AY$27), AO19)), $AZ$7:$AZ$27, "Not Found", 0)</f>
        <v/>
      </c>
      <c r="AP48" s="30">
        <f t="array" ref="AP48">_xlfn.XLOOKUP(MIN(ABS($AY$7:$AY$27 - MEDIAN(MIN($AY$7:$AY$27), MAX($AY$7:$AY$27), AP19))), ABS($AY$7:$AY$27 - MEDIAN(MIN($AY$7:$AY$27), MAX($AY$7:$AY$27), AP19)), $AZ$7:$AZ$27, "Not Found", 0)</f>
        <v/>
      </c>
      <c r="AQ48" s="30">
        <f t="array" ref="AQ48">_xlfn.XLOOKUP(MIN(ABS($AY$7:$AY$27 - MEDIAN(MIN($AY$7:$AY$27), MAX($AY$7:$AY$27), AQ19))), ABS($AY$7:$AY$27 - MEDIAN(MIN($AY$7:$AY$27), MAX($AY$7:$AY$27), AQ19)), $AZ$7:$AZ$27, "Not Found", 0)</f>
        <v/>
      </c>
      <c r="AR48" s="30">
        <f t="array" ref="AR48">_xlfn.XLOOKUP(MIN(ABS($AY$7:$AY$27 - MEDIAN(MIN($AY$7:$AY$27), MAX($AY$7:$AY$27), AR19))), ABS($AY$7:$AY$27 - MEDIAN(MIN($AY$7:$AY$27), MAX($AY$7:$AY$27), AR19)), $AZ$7:$AZ$27, "Not Found", 0)</f>
        <v/>
      </c>
      <c r="AS48" s="30">
        <f t="array" ref="AS48">_xlfn.XLOOKUP(MIN(ABS($AY$7:$AY$27 - MEDIAN(MIN($AY$7:$AY$27), MAX($AY$7:$AY$27), AS19))), ABS($AY$7:$AY$27 - MEDIAN(MIN($AY$7:$AY$27), MAX($AY$7:$AY$27), AS19)), $AZ$7:$AZ$27, "Not Found", 0)</f>
        <v/>
      </c>
      <c r="AT48" s="30">
        <f t="array" ref="AT48">_xlfn.XLOOKUP(MIN(ABS($AY$7:$AY$27 - MEDIAN(MIN($AY$7:$AY$27), MAX($AY$7:$AY$27), AT19))), ABS($AY$7:$AY$27 - MEDIAN(MIN($AY$7:$AY$27), MAX($AY$7:$AY$27), AT19)), $AZ$7:$AZ$27, "Not Found", 0)</f>
        <v/>
      </c>
      <c r="AU48" s="30">
        <f t="array" ref="AU48">_xlfn.XLOOKUP(MIN(ABS($AY$7:$AY$27 - MEDIAN(MIN($AY$7:$AY$27), MAX($AY$7:$AY$27), AU19))), ABS($AY$7:$AY$27 - MEDIAN(MIN($AY$7:$AY$27), MAX($AY$7:$AY$27), AU19)), $AZ$7:$AZ$27, "Not Found", 0)</f>
        <v/>
      </c>
      <c r="AV48" s="30">
        <f t="array" ref="AV48">_xlfn.XLOOKUP(MIN(ABS($AY$7:$AY$27 - MEDIAN(MIN($AY$7:$AY$27), MAX($AY$7:$AY$27), AV19))), ABS($AY$7:$AY$27 - MEDIAN(MIN($AY$7:$AY$27), MAX($AY$7:$AY$27), AV19)), $AZ$7:$AZ$27, "Not Found", 0)</f>
        <v/>
      </c>
      <c r="AW48" s="30">
        <f t="array" ref="AW48">_xlfn.XLOOKUP(MIN(ABS($AY$7:$AY$27 - MEDIAN(MIN($AY$7:$AY$27), MAX($AY$7:$AY$27), AW19))), ABS($AY$7:$AY$27 - MEDIAN(MIN($AY$7:$AY$27), MAX($AY$7:$AY$27), AW19)), $AZ$7:$AZ$27, "Not Found", 0)</f>
        <v/>
      </c>
    </row>
    <row r="49" ht="25" customHeight="1">
      <c r="A49" s="46" t="inlineStr">
        <is>
          <t>EUR CHF</t>
        </is>
      </c>
      <c r="B49" s="30">
        <f t="array" ref="B49">_xlfn.XLOOKUP(MIN(ABS($AY$7:$AY$27 - MEDIAN(MIN($AY$7:$AY$27), MAX($AY$7:$AY$27), B20))), ABS($AY$7:$AY$27 - MEDIAN(MIN($AY$7:$AY$27), MAX($AY$7:$AY$27), B20)), $AZ$7:$AZ$27, "Not Found", 0)</f>
        <v/>
      </c>
      <c r="C49" s="30">
        <f t="array" ref="C49">_xlfn.XLOOKUP(MIN(ABS($AY$7:$AY$27 - MEDIAN(MIN($AY$7:$AY$27), MAX($AY$7:$AY$27), C20))), ABS($AY$7:$AY$27 - MEDIAN(MIN($AY$7:$AY$27), MAX($AY$7:$AY$27), C20)), $AZ$7:$AZ$27, "Not Found", 0)</f>
        <v/>
      </c>
      <c r="D49" s="30">
        <f t="array" ref="D49">_xlfn.XLOOKUP(MIN(ABS($AY$7:$AY$27 - MEDIAN(MIN($AY$7:$AY$27), MAX($AY$7:$AY$27), D20))), ABS($AY$7:$AY$27 - MEDIAN(MIN($AY$7:$AY$27), MAX($AY$7:$AY$27), D20)), $AZ$7:$AZ$27, "Not Found", 0)</f>
        <v/>
      </c>
      <c r="E49" s="30">
        <f t="array" ref="E49">_xlfn.XLOOKUP(MIN(ABS($AY$7:$AY$27 - MEDIAN(MIN($AY$7:$AY$27), MAX($AY$7:$AY$27), E20))), ABS($AY$7:$AY$27 - MEDIAN(MIN($AY$7:$AY$27), MAX($AY$7:$AY$27), E20)), $AZ$7:$AZ$27, "Not Found", 0)</f>
        <v/>
      </c>
      <c r="F49" s="30">
        <f t="array" ref="F49">_xlfn.XLOOKUP(MIN(ABS($AY$7:$AY$27 - MEDIAN(MIN($AY$7:$AY$27), MAX($AY$7:$AY$27), F20))), ABS($AY$7:$AY$27 - MEDIAN(MIN($AY$7:$AY$27), MAX($AY$7:$AY$27), F20)), $AZ$7:$AZ$27, "Not Found", 0)</f>
        <v/>
      </c>
      <c r="G49" s="30">
        <f t="array" ref="G49">_xlfn.XLOOKUP(MIN(ABS($AY$7:$AY$27 - MEDIAN(MIN($AY$7:$AY$27), MAX($AY$7:$AY$27), G20))), ABS($AY$7:$AY$27 - MEDIAN(MIN($AY$7:$AY$27), MAX($AY$7:$AY$27), G20)), $AZ$7:$AZ$27, "Not Found", 0)</f>
        <v/>
      </c>
      <c r="H49" s="30">
        <f t="array" ref="H49">_xlfn.XLOOKUP(MIN(ABS($AY$7:$AY$27 - MEDIAN(MIN($AY$7:$AY$27), MAX($AY$7:$AY$27), H20))), ABS($AY$7:$AY$27 - MEDIAN(MIN($AY$7:$AY$27), MAX($AY$7:$AY$27), H20)), $AZ$7:$AZ$27, "Not Found", 0)</f>
        <v/>
      </c>
      <c r="I49" s="30">
        <f t="array" ref="I49">_xlfn.XLOOKUP(MIN(ABS($AY$7:$AY$27 - MEDIAN(MIN($AY$7:$AY$27), MAX($AY$7:$AY$27), I20))), ABS($AY$7:$AY$27 - MEDIAN(MIN($AY$7:$AY$27), MAX($AY$7:$AY$27), I20)), $AZ$7:$AZ$27, "Not Found", 0)</f>
        <v/>
      </c>
      <c r="J49" s="30">
        <f t="array" ref="J49">_xlfn.XLOOKUP(MIN(ABS($AY$7:$AY$27 - MEDIAN(MIN($AY$7:$AY$27), MAX($AY$7:$AY$27), J20))), ABS($AY$7:$AY$27 - MEDIAN(MIN($AY$7:$AY$27), MAX($AY$7:$AY$27), J20)), $AZ$7:$AZ$27, "Not Found", 0)</f>
        <v/>
      </c>
      <c r="K49" s="30">
        <f t="array" ref="K49">_xlfn.XLOOKUP(MIN(ABS($AY$7:$AY$27 - MEDIAN(MIN($AY$7:$AY$27), MAX($AY$7:$AY$27), K20))), ABS($AY$7:$AY$27 - MEDIAN(MIN($AY$7:$AY$27), MAX($AY$7:$AY$27), K20)), $AZ$7:$AZ$27, "Not Found", 0)</f>
        <v/>
      </c>
      <c r="L49" s="30">
        <f t="array" ref="L49">_xlfn.XLOOKUP(MIN(ABS($AY$7:$AY$27 - MEDIAN(MIN($AY$7:$AY$27), MAX($AY$7:$AY$27), L20))), ABS($AY$7:$AY$27 - MEDIAN(MIN($AY$7:$AY$27), MAX($AY$7:$AY$27), L20)), $AZ$7:$AZ$27, "Not Found", 0)</f>
        <v/>
      </c>
      <c r="M49" s="30">
        <f t="array" ref="M49">_xlfn.XLOOKUP(MIN(ABS($AY$7:$AY$27 - MEDIAN(MIN($AY$7:$AY$27), MAX($AY$7:$AY$27), M20))), ABS($AY$7:$AY$27 - MEDIAN(MIN($AY$7:$AY$27), MAX($AY$7:$AY$27), M20)), $AZ$7:$AZ$27, "Not Found", 0)</f>
        <v/>
      </c>
      <c r="N49" s="30">
        <f t="array" ref="N49">_xlfn.XLOOKUP(MIN(ABS($AY$7:$AY$27 - MEDIAN(MIN($AY$7:$AY$27), MAX($AY$7:$AY$27), N20))), ABS($AY$7:$AY$27 - MEDIAN(MIN($AY$7:$AY$27), MAX($AY$7:$AY$27), N20)), $AZ$7:$AZ$27, "Not Found", 0)</f>
        <v/>
      </c>
      <c r="O49" s="30">
        <f t="array" ref="O49">_xlfn.XLOOKUP(MIN(ABS($AY$7:$AY$27 - MEDIAN(MIN($AY$7:$AY$27), MAX($AY$7:$AY$27), O20))), ABS($AY$7:$AY$27 - MEDIAN(MIN($AY$7:$AY$27), MAX($AY$7:$AY$27), O20)), $AZ$7:$AZ$27, "Not Found", 0)</f>
        <v/>
      </c>
      <c r="P49" s="30">
        <f t="array" ref="P49">_xlfn.XLOOKUP(MIN(ABS($AY$7:$AY$27 - MEDIAN(MIN($AY$7:$AY$27), MAX($AY$7:$AY$27), P20))), ABS($AY$7:$AY$27 - MEDIAN(MIN($AY$7:$AY$27), MAX($AY$7:$AY$27), P20)), $AZ$7:$AZ$27, "Not Found", 0)</f>
        <v/>
      </c>
      <c r="Q49" s="30">
        <f t="array" ref="Q49">_xlfn.XLOOKUP(MIN(ABS($AY$7:$AY$27 - MEDIAN(MIN($AY$7:$AY$27), MAX($AY$7:$AY$27), Q20))), ABS($AY$7:$AY$27 - MEDIAN(MIN($AY$7:$AY$27), MAX($AY$7:$AY$27), Q20)), $AZ$7:$AZ$27, "Not Found", 0)</f>
        <v/>
      </c>
      <c r="R49" s="30">
        <f t="array" ref="R49">_xlfn.XLOOKUP(MIN(ABS($AY$7:$AY$27 - MEDIAN(MIN($AY$7:$AY$27), MAX($AY$7:$AY$27), R20))), ABS($AY$7:$AY$27 - MEDIAN(MIN($AY$7:$AY$27), MAX($AY$7:$AY$27), R20)), $AZ$7:$AZ$27, "Not Found", 0)</f>
        <v/>
      </c>
      <c r="S49" s="30">
        <f t="array" ref="S49">_xlfn.XLOOKUP(MIN(ABS($AY$7:$AY$27 - MEDIAN(MIN($AY$7:$AY$27), MAX($AY$7:$AY$27), S20))), ABS($AY$7:$AY$27 - MEDIAN(MIN($AY$7:$AY$27), MAX($AY$7:$AY$27), S20)), $AZ$7:$AZ$27, "Not Found", 0)</f>
        <v/>
      </c>
      <c r="T49" s="30">
        <f t="array" ref="T49">_xlfn.XLOOKUP(MIN(ABS($AY$7:$AY$27 - MEDIAN(MIN($AY$7:$AY$27), MAX($AY$7:$AY$27), T20))), ABS($AY$7:$AY$27 - MEDIAN(MIN($AY$7:$AY$27), MAX($AY$7:$AY$27), T20)), $AZ$7:$AZ$27, "Not Found", 0)</f>
        <v/>
      </c>
      <c r="U49" s="30">
        <f t="array" ref="U49">_xlfn.XLOOKUP(MIN(ABS($AY$7:$AY$27 - MEDIAN(MIN($AY$7:$AY$27), MAX($AY$7:$AY$27), U20))), ABS($AY$7:$AY$27 - MEDIAN(MIN($AY$7:$AY$27), MAX($AY$7:$AY$27), U20)), $AZ$7:$AZ$27, "Not Found", 0)</f>
        <v/>
      </c>
      <c r="V49" s="30">
        <f t="array" ref="V49">_xlfn.XLOOKUP(MIN(ABS($AY$7:$AY$27 - MEDIAN(MIN($AY$7:$AY$27), MAX($AY$7:$AY$27), V20))), ABS($AY$7:$AY$27 - MEDIAN(MIN($AY$7:$AY$27), MAX($AY$7:$AY$27), V20)), $AZ$7:$AZ$27, "Not Found", 0)</f>
        <v/>
      </c>
      <c r="W49" s="30">
        <f t="array" ref="W49">_xlfn.XLOOKUP(MIN(ABS($AY$7:$AY$27 - MEDIAN(MIN($AY$7:$AY$27), MAX($AY$7:$AY$27), W20))), ABS($AY$7:$AY$27 - MEDIAN(MIN($AY$7:$AY$27), MAX($AY$7:$AY$27), W20)), $AZ$7:$AZ$27, "Not Found", 0)</f>
        <v/>
      </c>
      <c r="X49" s="30">
        <f t="array" ref="X49">_xlfn.XLOOKUP(MIN(ABS($AY$7:$AY$27 - MEDIAN(MIN($AY$7:$AY$27), MAX($AY$7:$AY$27), X20))), ABS($AY$7:$AY$27 - MEDIAN(MIN($AY$7:$AY$27), MAX($AY$7:$AY$27), X20)), $AZ$7:$AZ$27, "Not Found", 0)</f>
        <v/>
      </c>
      <c r="Y49" s="30">
        <f t="array" ref="Y49">_xlfn.XLOOKUP(MIN(ABS($AY$7:$AY$27 - MEDIAN(MIN($AY$7:$AY$27), MAX($AY$7:$AY$27), Y20))), ABS($AY$7:$AY$27 - MEDIAN(MIN($AY$7:$AY$27), MAX($AY$7:$AY$27), Y20)), $AZ$7:$AZ$27, "Not Found", 0)</f>
        <v/>
      </c>
      <c r="Z49" s="30">
        <f t="array" ref="Z49">_xlfn.XLOOKUP(MIN(ABS($AY$7:$AY$27 - MEDIAN(MIN($AY$7:$AY$27), MAX($AY$7:$AY$27), Z20))), ABS($AY$7:$AY$27 - MEDIAN(MIN($AY$7:$AY$27), MAX($AY$7:$AY$27), Z20)), $AZ$7:$AZ$27, "Not Found", 0)</f>
        <v/>
      </c>
      <c r="AA49" s="30">
        <f t="array" ref="AA49">_xlfn.XLOOKUP(MIN(ABS($AY$7:$AY$27 - MEDIAN(MIN($AY$7:$AY$27), MAX($AY$7:$AY$27), AA20))), ABS($AY$7:$AY$27 - MEDIAN(MIN($AY$7:$AY$27), MAX($AY$7:$AY$27), AA20)), $AZ$7:$AZ$27, "Not Found", 0)</f>
        <v/>
      </c>
      <c r="AB49" s="30">
        <f t="array" ref="AB49">_xlfn.XLOOKUP(MIN(ABS($AY$7:$AY$27 - MEDIAN(MIN($AY$7:$AY$27), MAX($AY$7:$AY$27), AB20))), ABS($AY$7:$AY$27 - MEDIAN(MIN($AY$7:$AY$27), MAX($AY$7:$AY$27), AB20)), $AZ$7:$AZ$27, "Not Found", 0)</f>
        <v/>
      </c>
      <c r="AC49" s="30">
        <f t="array" ref="AC49">_xlfn.XLOOKUP(MIN(ABS($AY$7:$AY$27 - MEDIAN(MIN($AY$7:$AY$27), MAX($AY$7:$AY$27), AC20))), ABS($AY$7:$AY$27 - MEDIAN(MIN($AY$7:$AY$27), MAX($AY$7:$AY$27), AC20)), $AZ$7:$AZ$27, "Not Found", 0)</f>
        <v/>
      </c>
      <c r="AD49" s="30">
        <f t="array" ref="AD49">_xlfn.XLOOKUP(MIN(ABS($AY$7:$AY$27 - MEDIAN(MIN($AY$7:$AY$27), MAX($AY$7:$AY$27), AD20))), ABS($AY$7:$AY$27 - MEDIAN(MIN($AY$7:$AY$27), MAX($AY$7:$AY$27), AD20)), $AZ$7:$AZ$27, "Not Found", 0)</f>
        <v/>
      </c>
      <c r="AE49" s="30">
        <f t="array" ref="AE49">_xlfn.XLOOKUP(MIN(ABS($AY$7:$AY$27 - MEDIAN(MIN($AY$7:$AY$27), MAX($AY$7:$AY$27), AE20))), ABS($AY$7:$AY$27 - MEDIAN(MIN($AY$7:$AY$27), MAX($AY$7:$AY$27), AE20)), $AZ$7:$AZ$27, "Not Found", 0)</f>
        <v/>
      </c>
      <c r="AF49" s="30">
        <f t="array" ref="AF49">_xlfn.XLOOKUP(MIN(ABS($AY$7:$AY$27 - MEDIAN(MIN($AY$7:$AY$27), MAX($AY$7:$AY$27), AF20))), ABS($AY$7:$AY$27 - MEDIAN(MIN($AY$7:$AY$27), MAX($AY$7:$AY$27), AF20)), $AZ$7:$AZ$27, "Not Found", 0)</f>
        <v/>
      </c>
      <c r="AG49" s="30">
        <f t="array" ref="AG49">_xlfn.XLOOKUP(MIN(ABS($AY$7:$AY$27 - MEDIAN(MIN($AY$7:$AY$27), MAX($AY$7:$AY$27), AG20))), ABS($AY$7:$AY$27 - MEDIAN(MIN($AY$7:$AY$27), MAX($AY$7:$AY$27), AG20)), $AZ$7:$AZ$27, "Not Found", 0)</f>
        <v/>
      </c>
      <c r="AH49" s="30">
        <f t="array" ref="AH49">_xlfn.XLOOKUP(MIN(ABS($AY$7:$AY$27 - MEDIAN(MIN($AY$7:$AY$27), MAX($AY$7:$AY$27), AH20))), ABS($AY$7:$AY$27 - MEDIAN(MIN($AY$7:$AY$27), MAX($AY$7:$AY$27), AH20)), $AZ$7:$AZ$27, "Not Found", 0)</f>
        <v/>
      </c>
      <c r="AI49" s="30">
        <f t="array" ref="AI49">_xlfn.XLOOKUP(MIN(ABS($AY$7:$AY$27 - MEDIAN(MIN($AY$7:$AY$27), MAX($AY$7:$AY$27), AI20))), ABS($AY$7:$AY$27 - MEDIAN(MIN($AY$7:$AY$27), MAX($AY$7:$AY$27), AI20)), $AZ$7:$AZ$27, "Not Found", 0)</f>
        <v/>
      </c>
      <c r="AJ49" s="30">
        <f t="array" ref="AJ49">_xlfn.XLOOKUP(MIN(ABS($AY$7:$AY$27 - MEDIAN(MIN($AY$7:$AY$27), MAX($AY$7:$AY$27), AJ20))), ABS($AY$7:$AY$27 - MEDIAN(MIN($AY$7:$AY$27), MAX($AY$7:$AY$27), AJ20)), $AZ$7:$AZ$27, "Not Found", 0)</f>
        <v/>
      </c>
      <c r="AK49" s="30">
        <f t="array" ref="AK49">_xlfn.XLOOKUP(MIN(ABS($AY$7:$AY$27 - MEDIAN(MIN($AY$7:$AY$27), MAX($AY$7:$AY$27), AK20))), ABS($AY$7:$AY$27 - MEDIAN(MIN($AY$7:$AY$27), MAX($AY$7:$AY$27), AK20)), $AZ$7:$AZ$27, "Not Found", 0)</f>
        <v/>
      </c>
      <c r="AL49" s="30">
        <f t="array" ref="AL49">_xlfn.XLOOKUP(MIN(ABS($AY$7:$AY$27 - MEDIAN(MIN($AY$7:$AY$27), MAX($AY$7:$AY$27), AL20))), ABS($AY$7:$AY$27 - MEDIAN(MIN($AY$7:$AY$27), MAX($AY$7:$AY$27), AL20)), $AZ$7:$AZ$27, "Not Found", 0)</f>
        <v/>
      </c>
      <c r="AM49" s="30">
        <f t="array" ref="AM49">_xlfn.XLOOKUP(MIN(ABS($AY$7:$AY$27 - MEDIAN(MIN($AY$7:$AY$27), MAX($AY$7:$AY$27), AM20))), ABS($AY$7:$AY$27 - MEDIAN(MIN($AY$7:$AY$27), MAX($AY$7:$AY$27), AM20)), $AZ$7:$AZ$27, "Not Found", 0)</f>
        <v/>
      </c>
      <c r="AN49" s="30">
        <f t="array" ref="AN49">_xlfn.XLOOKUP(MIN(ABS($AY$7:$AY$27 - MEDIAN(MIN($AY$7:$AY$27), MAX($AY$7:$AY$27), AN20))), ABS($AY$7:$AY$27 - MEDIAN(MIN($AY$7:$AY$27), MAX($AY$7:$AY$27), AN20)), $AZ$7:$AZ$27, "Not Found", 0)</f>
        <v/>
      </c>
      <c r="AO49" s="30">
        <f t="array" ref="AO49">_xlfn.XLOOKUP(MIN(ABS($AY$7:$AY$27 - MEDIAN(MIN($AY$7:$AY$27), MAX($AY$7:$AY$27), AO20))), ABS($AY$7:$AY$27 - MEDIAN(MIN($AY$7:$AY$27), MAX($AY$7:$AY$27), AO20)), $AZ$7:$AZ$27, "Not Found", 0)</f>
        <v/>
      </c>
      <c r="AP49" s="30">
        <f t="array" ref="AP49">_xlfn.XLOOKUP(MIN(ABS($AY$7:$AY$27 - MEDIAN(MIN($AY$7:$AY$27), MAX($AY$7:$AY$27), AP20))), ABS($AY$7:$AY$27 - MEDIAN(MIN($AY$7:$AY$27), MAX($AY$7:$AY$27), AP20)), $AZ$7:$AZ$27, "Not Found", 0)</f>
        <v/>
      </c>
      <c r="AQ49" s="30">
        <f t="array" ref="AQ49">_xlfn.XLOOKUP(MIN(ABS($AY$7:$AY$27 - MEDIAN(MIN($AY$7:$AY$27), MAX($AY$7:$AY$27), AQ20))), ABS($AY$7:$AY$27 - MEDIAN(MIN($AY$7:$AY$27), MAX($AY$7:$AY$27), AQ20)), $AZ$7:$AZ$27, "Not Found", 0)</f>
        <v/>
      </c>
      <c r="AR49" s="30">
        <f t="array" ref="AR49">_xlfn.XLOOKUP(MIN(ABS($AY$7:$AY$27 - MEDIAN(MIN($AY$7:$AY$27), MAX($AY$7:$AY$27), AR20))), ABS($AY$7:$AY$27 - MEDIAN(MIN($AY$7:$AY$27), MAX($AY$7:$AY$27), AR20)), $AZ$7:$AZ$27, "Not Found", 0)</f>
        <v/>
      </c>
      <c r="AS49" s="30">
        <f t="array" ref="AS49">_xlfn.XLOOKUP(MIN(ABS($AY$7:$AY$27 - MEDIAN(MIN($AY$7:$AY$27), MAX($AY$7:$AY$27), AS20))), ABS($AY$7:$AY$27 - MEDIAN(MIN($AY$7:$AY$27), MAX($AY$7:$AY$27), AS20)), $AZ$7:$AZ$27, "Not Found", 0)</f>
        <v/>
      </c>
      <c r="AT49" s="30">
        <f t="array" ref="AT49">_xlfn.XLOOKUP(MIN(ABS($AY$7:$AY$27 - MEDIAN(MIN($AY$7:$AY$27), MAX($AY$7:$AY$27), AT20))), ABS($AY$7:$AY$27 - MEDIAN(MIN($AY$7:$AY$27), MAX($AY$7:$AY$27), AT20)), $AZ$7:$AZ$27, "Not Found", 0)</f>
        <v/>
      </c>
      <c r="AU49" s="30">
        <f t="array" ref="AU49">_xlfn.XLOOKUP(MIN(ABS($AY$7:$AY$27 - MEDIAN(MIN($AY$7:$AY$27), MAX($AY$7:$AY$27), AU20))), ABS($AY$7:$AY$27 - MEDIAN(MIN($AY$7:$AY$27), MAX($AY$7:$AY$27), AU20)), $AZ$7:$AZ$27, "Not Found", 0)</f>
        <v/>
      </c>
      <c r="AV49" s="30">
        <f t="array" ref="AV49">_xlfn.XLOOKUP(MIN(ABS($AY$7:$AY$27 - MEDIAN(MIN($AY$7:$AY$27), MAX($AY$7:$AY$27), AV20))), ABS($AY$7:$AY$27 - MEDIAN(MIN($AY$7:$AY$27), MAX($AY$7:$AY$27), AV20)), $AZ$7:$AZ$27, "Not Found", 0)</f>
        <v/>
      </c>
      <c r="AW49" s="30">
        <f t="array" ref="AW49">_xlfn.XLOOKUP(MIN(ABS($AY$7:$AY$27 - MEDIAN(MIN($AY$7:$AY$27), MAX($AY$7:$AY$27), AW20))), ABS($AY$7:$AY$27 - MEDIAN(MIN($AY$7:$AY$27), MAX($AY$7:$AY$27), AW20)), $AZ$7:$AZ$27, "Not Found", 0)</f>
        <v/>
      </c>
    </row>
    <row r="50" ht="25" customHeight="1">
      <c r="A50" s="46" t="inlineStr">
        <is>
          <t>EUR GBP</t>
        </is>
      </c>
      <c r="B50" s="30">
        <f t="array" ref="B50">_xlfn.XLOOKUP(MIN(ABS($AY$7:$AY$27 - MEDIAN(MIN($AY$7:$AY$27), MAX($AY$7:$AY$27), B21))), ABS($AY$7:$AY$27 - MEDIAN(MIN($AY$7:$AY$27), MAX($AY$7:$AY$27), B21)), $AZ$7:$AZ$27, "Not Found", 0)</f>
        <v/>
      </c>
      <c r="C50" s="30">
        <f t="array" ref="C50">_xlfn.XLOOKUP(MIN(ABS($AY$7:$AY$27 - MEDIAN(MIN($AY$7:$AY$27), MAX($AY$7:$AY$27), C21))), ABS($AY$7:$AY$27 - MEDIAN(MIN($AY$7:$AY$27), MAX($AY$7:$AY$27), C21)), $AZ$7:$AZ$27, "Not Found", 0)</f>
        <v/>
      </c>
      <c r="D50" s="30">
        <f t="array" ref="D50">_xlfn.XLOOKUP(MIN(ABS($AY$7:$AY$27 - MEDIAN(MIN($AY$7:$AY$27), MAX($AY$7:$AY$27), D21))), ABS($AY$7:$AY$27 - MEDIAN(MIN($AY$7:$AY$27), MAX($AY$7:$AY$27), D21)), $AZ$7:$AZ$27, "Not Found", 0)</f>
        <v/>
      </c>
      <c r="E50" s="30">
        <f t="array" ref="E50">_xlfn.XLOOKUP(MIN(ABS($AY$7:$AY$27 - MEDIAN(MIN($AY$7:$AY$27), MAX($AY$7:$AY$27), E21))), ABS($AY$7:$AY$27 - MEDIAN(MIN($AY$7:$AY$27), MAX($AY$7:$AY$27), E21)), $AZ$7:$AZ$27, "Not Found", 0)</f>
        <v/>
      </c>
      <c r="F50" s="30">
        <f t="array" ref="F50">_xlfn.XLOOKUP(MIN(ABS($AY$7:$AY$27 - MEDIAN(MIN($AY$7:$AY$27), MAX($AY$7:$AY$27), F21))), ABS($AY$7:$AY$27 - MEDIAN(MIN($AY$7:$AY$27), MAX($AY$7:$AY$27), F21)), $AZ$7:$AZ$27, "Not Found", 0)</f>
        <v/>
      </c>
      <c r="G50" s="30">
        <f t="array" ref="G50">_xlfn.XLOOKUP(MIN(ABS($AY$7:$AY$27 - MEDIAN(MIN($AY$7:$AY$27), MAX($AY$7:$AY$27), G21))), ABS($AY$7:$AY$27 - MEDIAN(MIN($AY$7:$AY$27), MAX($AY$7:$AY$27), G21)), $AZ$7:$AZ$27, "Not Found", 0)</f>
        <v/>
      </c>
      <c r="H50" s="30">
        <f t="array" ref="H50">_xlfn.XLOOKUP(MIN(ABS($AY$7:$AY$27 - MEDIAN(MIN($AY$7:$AY$27), MAX($AY$7:$AY$27), H21))), ABS($AY$7:$AY$27 - MEDIAN(MIN($AY$7:$AY$27), MAX($AY$7:$AY$27), H21)), $AZ$7:$AZ$27, "Not Found", 0)</f>
        <v/>
      </c>
      <c r="I50" s="30">
        <f t="array" ref="I50">_xlfn.XLOOKUP(MIN(ABS($AY$7:$AY$27 - MEDIAN(MIN($AY$7:$AY$27), MAX($AY$7:$AY$27), I21))), ABS($AY$7:$AY$27 - MEDIAN(MIN($AY$7:$AY$27), MAX($AY$7:$AY$27), I21)), $AZ$7:$AZ$27, "Not Found", 0)</f>
        <v/>
      </c>
      <c r="J50" s="30">
        <f t="array" ref="J50">_xlfn.XLOOKUP(MIN(ABS($AY$7:$AY$27 - MEDIAN(MIN($AY$7:$AY$27), MAX($AY$7:$AY$27), J21))), ABS($AY$7:$AY$27 - MEDIAN(MIN($AY$7:$AY$27), MAX($AY$7:$AY$27), J21)), $AZ$7:$AZ$27, "Not Found", 0)</f>
        <v/>
      </c>
      <c r="K50" s="30">
        <f t="array" ref="K50">_xlfn.XLOOKUP(MIN(ABS($AY$7:$AY$27 - MEDIAN(MIN($AY$7:$AY$27), MAX($AY$7:$AY$27), K21))), ABS($AY$7:$AY$27 - MEDIAN(MIN($AY$7:$AY$27), MAX($AY$7:$AY$27), K21)), $AZ$7:$AZ$27, "Not Found", 0)</f>
        <v/>
      </c>
      <c r="L50" s="30">
        <f t="array" ref="L50">_xlfn.XLOOKUP(MIN(ABS($AY$7:$AY$27 - MEDIAN(MIN($AY$7:$AY$27), MAX($AY$7:$AY$27), L21))), ABS($AY$7:$AY$27 - MEDIAN(MIN($AY$7:$AY$27), MAX($AY$7:$AY$27), L21)), $AZ$7:$AZ$27, "Not Found", 0)</f>
        <v/>
      </c>
      <c r="M50" s="30">
        <f t="array" ref="M50">_xlfn.XLOOKUP(MIN(ABS($AY$7:$AY$27 - MEDIAN(MIN($AY$7:$AY$27), MAX($AY$7:$AY$27), M21))), ABS($AY$7:$AY$27 - MEDIAN(MIN($AY$7:$AY$27), MAX($AY$7:$AY$27), M21)), $AZ$7:$AZ$27, "Not Found", 0)</f>
        <v/>
      </c>
      <c r="N50" s="30">
        <f t="array" ref="N50">_xlfn.XLOOKUP(MIN(ABS($AY$7:$AY$27 - MEDIAN(MIN($AY$7:$AY$27), MAX($AY$7:$AY$27), N21))), ABS($AY$7:$AY$27 - MEDIAN(MIN($AY$7:$AY$27), MAX($AY$7:$AY$27), N21)), $AZ$7:$AZ$27, "Not Found", 0)</f>
        <v/>
      </c>
      <c r="O50" s="30">
        <f t="array" ref="O50">_xlfn.XLOOKUP(MIN(ABS($AY$7:$AY$27 - MEDIAN(MIN($AY$7:$AY$27), MAX($AY$7:$AY$27), O21))), ABS($AY$7:$AY$27 - MEDIAN(MIN($AY$7:$AY$27), MAX($AY$7:$AY$27), O21)), $AZ$7:$AZ$27, "Not Found", 0)</f>
        <v/>
      </c>
      <c r="P50" s="30">
        <f t="array" ref="P50">_xlfn.XLOOKUP(MIN(ABS($AY$7:$AY$27 - MEDIAN(MIN($AY$7:$AY$27), MAX($AY$7:$AY$27), P21))), ABS($AY$7:$AY$27 - MEDIAN(MIN($AY$7:$AY$27), MAX($AY$7:$AY$27), P21)), $AZ$7:$AZ$27, "Not Found", 0)</f>
        <v/>
      </c>
      <c r="Q50" s="30">
        <f t="array" ref="Q50">_xlfn.XLOOKUP(MIN(ABS($AY$7:$AY$27 - MEDIAN(MIN($AY$7:$AY$27), MAX($AY$7:$AY$27), Q21))), ABS($AY$7:$AY$27 - MEDIAN(MIN($AY$7:$AY$27), MAX($AY$7:$AY$27), Q21)), $AZ$7:$AZ$27, "Not Found", 0)</f>
        <v/>
      </c>
      <c r="R50" s="30">
        <f t="array" ref="R50">_xlfn.XLOOKUP(MIN(ABS($AY$7:$AY$27 - MEDIAN(MIN($AY$7:$AY$27), MAX($AY$7:$AY$27), R21))), ABS($AY$7:$AY$27 - MEDIAN(MIN($AY$7:$AY$27), MAX($AY$7:$AY$27), R21)), $AZ$7:$AZ$27, "Not Found", 0)</f>
        <v/>
      </c>
      <c r="S50" s="30">
        <f t="array" ref="S50">_xlfn.XLOOKUP(MIN(ABS($AY$7:$AY$27 - MEDIAN(MIN($AY$7:$AY$27), MAX($AY$7:$AY$27), S21))), ABS($AY$7:$AY$27 - MEDIAN(MIN($AY$7:$AY$27), MAX($AY$7:$AY$27), S21)), $AZ$7:$AZ$27, "Not Found", 0)</f>
        <v/>
      </c>
      <c r="T50" s="30">
        <f t="array" ref="T50">_xlfn.XLOOKUP(MIN(ABS($AY$7:$AY$27 - MEDIAN(MIN($AY$7:$AY$27), MAX($AY$7:$AY$27), T21))), ABS($AY$7:$AY$27 - MEDIAN(MIN($AY$7:$AY$27), MAX($AY$7:$AY$27), T21)), $AZ$7:$AZ$27, "Not Found", 0)</f>
        <v/>
      </c>
      <c r="U50" s="30">
        <f t="array" ref="U50">_xlfn.XLOOKUP(MIN(ABS($AY$7:$AY$27 - MEDIAN(MIN($AY$7:$AY$27), MAX($AY$7:$AY$27), U21))), ABS($AY$7:$AY$27 - MEDIAN(MIN($AY$7:$AY$27), MAX($AY$7:$AY$27), U21)), $AZ$7:$AZ$27, "Not Found", 0)</f>
        <v/>
      </c>
      <c r="V50" s="30">
        <f t="array" ref="V50">_xlfn.XLOOKUP(MIN(ABS($AY$7:$AY$27 - MEDIAN(MIN($AY$7:$AY$27), MAX($AY$7:$AY$27), V21))), ABS($AY$7:$AY$27 - MEDIAN(MIN($AY$7:$AY$27), MAX($AY$7:$AY$27), V21)), $AZ$7:$AZ$27, "Not Found", 0)</f>
        <v/>
      </c>
      <c r="W50" s="30">
        <f t="array" ref="W50">_xlfn.XLOOKUP(MIN(ABS($AY$7:$AY$27 - MEDIAN(MIN($AY$7:$AY$27), MAX($AY$7:$AY$27), W21))), ABS($AY$7:$AY$27 - MEDIAN(MIN($AY$7:$AY$27), MAX($AY$7:$AY$27), W21)), $AZ$7:$AZ$27, "Not Found", 0)</f>
        <v/>
      </c>
      <c r="X50" s="30">
        <f t="array" ref="X50">_xlfn.XLOOKUP(MIN(ABS($AY$7:$AY$27 - MEDIAN(MIN($AY$7:$AY$27), MAX($AY$7:$AY$27), X21))), ABS($AY$7:$AY$27 - MEDIAN(MIN($AY$7:$AY$27), MAX($AY$7:$AY$27), X21)), $AZ$7:$AZ$27, "Not Found", 0)</f>
        <v/>
      </c>
      <c r="Y50" s="30">
        <f t="array" ref="Y50">_xlfn.XLOOKUP(MIN(ABS($AY$7:$AY$27 - MEDIAN(MIN($AY$7:$AY$27), MAX($AY$7:$AY$27), Y21))), ABS($AY$7:$AY$27 - MEDIAN(MIN($AY$7:$AY$27), MAX($AY$7:$AY$27), Y21)), $AZ$7:$AZ$27, "Not Found", 0)</f>
        <v/>
      </c>
      <c r="Z50" s="30">
        <f t="array" ref="Z50">_xlfn.XLOOKUP(MIN(ABS($AY$7:$AY$27 - MEDIAN(MIN($AY$7:$AY$27), MAX($AY$7:$AY$27), Z21))), ABS($AY$7:$AY$27 - MEDIAN(MIN($AY$7:$AY$27), MAX($AY$7:$AY$27), Z21)), $AZ$7:$AZ$27, "Not Found", 0)</f>
        <v/>
      </c>
      <c r="AA50" s="30">
        <f t="array" ref="AA50">_xlfn.XLOOKUP(MIN(ABS($AY$7:$AY$27 - MEDIAN(MIN($AY$7:$AY$27), MAX($AY$7:$AY$27), AA21))), ABS($AY$7:$AY$27 - MEDIAN(MIN($AY$7:$AY$27), MAX($AY$7:$AY$27), AA21)), $AZ$7:$AZ$27, "Not Found", 0)</f>
        <v/>
      </c>
      <c r="AB50" s="30">
        <f t="array" ref="AB50">_xlfn.XLOOKUP(MIN(ABS($AY$7:$AY$27 - MEDIAN(MIN($AY$7:$AY$27), MAX($AY$7:$AY$27), AB21))), ABS($AY$7:$AY$27 - MEDIAN(MIN($AY$7:$AY$27), MAX($AY$7:$AY$27), AB21)), $AZ$7:$AZ$27, "Not Found", 0)</f>
        <v/>
      </c>
      <c r="AC50" s="30">
        <f t="array" ref="AC50">_xlfn.XLOOKUP(MIN(ABS($AY$7:$AY$27 - MEDIAN(MIN($AY$7:$AY$27), MAX($AY$7:$AY$27), AC21))), ABS($AY$7:$AY$27 - MEDIAN(MIN($AY$7:$AY$27), MAX($AY$7:$AY$27), AC21)), $AZ$7:$AZ$27, "Not Found", 0)</f>
        <v/>
      </c>
      <c r="AD50" s="30">
        <f t="array" ref="AD50">_xlfn.XLOOKUP(MIN(ABS($AY$7:$AY$27 - MEDIAN(MIN($AY$7:$AY$27), MAX($AY$7:$AY$27), AD21))), ABS($AY$7:$AY$27 - MEDIAN(MIN($AY$7:$AY$27), MAX($AY$7:$AY$27), AD21)), $AZ$7:$AZ$27, "Not Found", 0)</f>
        <v/>
      </c>
      <c r="AE50" s="30">
        <f t="array" ref="AE50">_xlfn.XLOOKUP(MIN(ABS($AY$7:$AY$27 - MEDIAN(MIN($AY$7:$AY$27), MAX($AY$7:$AY$27), AE21))), ABS($AY$7:$AY$27 - MEDIAN(MIN($AY$7:$AY$27), MAX($AY$7:$AY$27), AE21)), $AZ$7:$AZ$27, "Not Found", 0)</f>
        <v/>
      </c>
      <c r="AF50" s="30">
        <f t="array" ref="AF50">_xlfn.XLOOKUP(MIN(ABS($AY$7:$AY$27 - MEDIAN(MIN($AY$7:$AY$27), MAX($AY$7:$AY$27), AF21))), ABS($AY$7:$AY$27 - MEDIAN(MIN($AY$7:$AY$27), MAX($AY$7:$AY$27), AF21)), $AZ$7:$AZ$27, "Not Found", 0)</f>
        <v/>
      </c>
      <c r="AG50" s="30">
        <f t="array" ref="AG50">_xlfn.XLOOKUP(MIN(ABS($AY$7:$AY$27 - MEDIAN(MIN($AY$7:$AY$27), MAX($AY$7:$AY$27), AG21))), ABS($AY$7:$AY$27 - MEDIAN(MIN($AY$7:$AY$27), MAX($AY$7:$AY$27), AG21)), $AZ$7:$AZ$27, "Not Found", 0)</f>
        <v/>
      </c>
      <c r="AH50" s="30">
        <f t="array" ref="AH50">_xlfn.XLOOKUP(MIN(ABS($AY$7:$AY$27 - MEDIAN(MIN($AY$7:$AY$27), MAX($AY$7:$AY$27), AH21))), ABS($AY$7:$AY$27 - MEDIAN(MIN($AY$7:$AY$27), MAX($AY$7:$AY$27), AH21)), $AZ$7:$AZ$27, "Not Found", 0)</f>
        <v/>
      </c>
      <c r="AI50" s="30">
        <f t="array" ref="AI50">_xlfn.XLOOKUP(MIN(ABS($AY$7:$AY$27 - MEDIAN(MIN($AY$7:$AY$27), MAX($AY$7:$AY$27), AI21))), ABS($AY$7:$AY$27 - MEDIAN(MIN($AY$7:$AY$27), MAX($AY$7:$AY$27), AI21)), $AZ$7:$AZ$27, "Not Found", 0)</f>
        <v/>
      </c>
      <c r="AJ50" s="30">
        <f t="array" ref="AJ50">_xlfn.XLOOKUP(MIN(ABS($AY$7:$AY$27 - MEDIAN(MIN($AY$7:$AY$27), MAX($AY$7:$AY$27), AJ21))), ABS($AY$7:$AY$27 - MEDIAN(MIN($AY$7:$AY$27), MAX($AY$7:$AY$27), AJ21)), $AZ$7:$AZ$27, "Not Found", 0)</f>
        <v/>
      </c>
      <c r="AK50" s="30">
        <f t="array" ref="AK50">_xlfn.XLOOKUP(MIN(ABS($AY$7:$AY$27 - MEDIAN(MIN($AY$7:$AY$27), MAX($AY$7:$AY$27), AK21))), ABS($AY$7:$AY$27 - MEDIAN(MIN($AY$7:$AY$27), MAX($AY$7:$AY$27), AK21)), $AZ$7:$AZ$27, "Not Found", 0)</f>
        <v/>
      </c>
      <c r="AL50" s="30">
        <f t="array" ref="AL50">_xlfn.XLOOKUP(MIN(ABS($AY$7:$AY$27 - MEDIAN(MIN($AY$7:$AY$27), MAX($AY$7:$AY$27), AL21))), ABS($AY$7:$AY$27 - MEDIAN(MIN($AY$7:$AY$27), MAX($AY$7:$AY$27), AL21)), $AZ$7:$AZ$27, "Not Found", 0)</f>
        <v/>
      </c>
      <c r="AM50" s="30">
        <f t="array" ref="AM50">_xlfn.XLOOKUP(MIN(ABS($AY$7:$AY$27 - MEDIAN(MIN($AY$7:$AY$27), MAX($AY$7:$AY$27), AM21))), ABS($AY$7:$AY$27 - MEDIAN(MIN($AY$7:$AY$27), MAX($AY$7:$AY$27), AM21)), $AZ$7:$AZ$27, "Not Found", 0)</f>
        <v/>
      </c>
      <c r="AN50" s="30">
        <f t="array" ref="AN50">_xlfn.XLOOKUP(MIN(ABS($AY$7:$AY$27 - MEDIAN(MIN($AY$7:$AY$27), MAX($AY$7:$AY$27), AN21))), ABS($AY$7:$AY$27 - MEDIAN(MIN($AY$7:$AY$27), MAX($AY$7:$AY$27), AN21)), $AZ$7:$AZ$27, "Not Found", 0)</f>
        <v/>
      </c>
      <c r="AO50" s="30">
        <f t="array" ref="AO50">_xlfn.XLOOKUP(MIN(ABS($AY$7:$AY$27 - MEDIAN(MIN($AY$7:$AY$27), MAX($AY$7:$AY$27), AO21))), ABS($AY$7:$AY$27 - MEDIAN(MIN($AY$7:$AY$27), MAX($AY$7:$AY$27), AO21)), $AZ$7:$AZ$27, "Not Found", 0)</f>
        <v/>
      </c>
      <c r="AP50" s="30">
        <f t="array" ref="AP50">_xlfn.XLOOKUP(MIN(ABS($AY$7:$AY$27 - MEDIAN(MIN($AY$7:$AY$27), MAX($AY$7:$AY$27), AP21))), ABS($AY$7:$AY$27 - MEDIAN(MIN($AY$7:$AY$27), MAX($AY$7:$AY$27), AP21)), $AZ$7:$AZ$27, "Not Found", 0)</f>
        <v/>
      </c>
      <c r="AQ50" s="30">
        <f t="array" ref="AQ50">_xlfn.XLOOKUP(MIN(ABS($AY$7:$AY$27 - MEDIAN(MIN($AY$7:$AY$27), MAX($AY$7:$AY$27), AQ21))), ABS($AY$7:$AY$27 - MEDIAN(MIN($AY$7:$AY$27), MAX($AY$7:$AY$27), AQ21)), $AZ$7:$AZ$27, "Not Found", 0)</f>
        <v/>
      </c>
      <c r="AR50" s="30">
        <f t="array" ref="AR50">_xlfn.XLOOKUP(MIN(ABS($AY$7:$AY$27 - MEDIAN(MIN($AY$7:$AY$27), MAX($AY$7:$AY$27), AR21))), ABS($AY$7:$AY$27 - MEDIAN(MIN($AY$7:$AY$27), MAX($AY$7:$AY$27), AR21)), $AZ$7:$AZ$27, "Not Found", 0)</f>
        <v/>
      </c>
      <c r="AS50" s="30">
        <f t="array" ref="AS50">_xlfn.XLOOKUP(MIN(ABS($AY$7:$AY$27 - MEDIAN(MIN($AY$7:$AY$27), MAX($AY$7:$AY$27), AS21))), ABS($AY$7:$AY$27 - MEDIAN(MIN($AY$7:$AY$27), MAX($AY$7:$AY$27), AS21)), $AZ$7:$AZ$27, "Not Found", 0)</f>
        <v/>
      </c>
      <c r="AT50" s="30">
        <f t="array" ref="AT50">_xlfn.XLOOKUP(MIN(ABS($AY$7:$AY$27 - MEDIAN(MIN($AY$7:$AY$27), MAX($AY$7:$AY$27), AT21))), ABS($AY$7:$AY$27 - MEDIAN(MIN($AY$7:$AY$27), MAX($AY$7:$AY$27), AT21)), $AZ$7:$AZ$27, "Not Found", 0)</f>
        <v/>
      </c>
      <c r="AU50" s="30">
        <f t="array" ref="AU50">_xlfn.XLOOKUP(MIN(ABS($AY$7:$AY$27 - MEDIAN(MIN($AY$7:$AY$27), MAX($AY$7:$AY$27), AU21))), ABS($AY$7:$AY$27 - MEDIAN(MIN($AY$7:$AY$27), MAX($AY$7:$AY$27), AU21)), $AZ$7:$AZ$27, "Not Found", 0)</f>
        <v/>
      </c>
      <c r="AV50" s="30">
        <f t="array" ref="AV50">_xlfn.XLOOKUP(MIN(ABS($AY$7:$AY$27 - MEDIAN(MIN($AY$7:$AY$27), MAX($AY$7:$AY$27), AV21))), ABS($AY$7:$AY$27 - MEDIAN(MIN($AY$7:$AY$27), MAX($AY$7:$AY$27), AV21)), $AZ$7:$AZ$27, "Not Found", 0)</f>
        <v/>
      </c>
      <c r="AW50" s="30">
        <f t="array" ref="AW50">_xlfn.XLOOKUP(MIN(ABS($AY$7:$AY$27 - MEDIAN(MIN($AY$7:$AY$27), MAX($AY$7:$AY$27), AW21))), ABS($AY$7:$AY$27 - MEDIAN(MIN($AY$7:$AY$27), MAX($AY$7:$AY$27), AW21)), $AZ$7:$AZ$27, "Not Found", 0)</f>
        <v/>
      </c>
    </row>
    <row r="51" ht="25" customHeight="1">
      <c r="A51" s="46" t="inlineStr">
        <is>
          <t>EUR CAD</t>
        </is>
      </c>
      <c r="B51" s="30">
        <f t="array" ref="B51">_xlfn.XLOOKUP(MIN(ABS($AY$7:$AY$27 - MEDIAN(MIN($AY$7:$AY$27), MAX($AY$7:$AY$27), B22))), ABS($AY$7:$AY$27 - MEDIAN(MIN($AY$7:$AY$27), MAX($AY$7:$AY$27), B22)), $AZ$7:$AZ$27, "Not Found", 0)</f>
        <v/>
      </c>
      <c r="C51" s="30">
        <f t="array" ref="C51">_xlfn.XLOOKUP(MIN(ABS($AY$7:$AY$27 - MEDIAN(MIN($AY$7:$AY$27), MAX($AY$7:$AY$27), C22))), ABS($AY$7:$AY$27 - MEDIAN(MIN($AY$7:$AY$27), MAX($AY$7:$AY$27), C22)), $AZ$7:$AZ$27, "Not Found", 0)</f>
        <v/>
      </c>
      <c r="D51" s="30">
        <f t="array" ref="D51">_xlfn.XLOOKUP(MIN(ABS($AY$7:$AY$27 - MEDIAN(MIN($AY$7:$AY$27), MAX($AY$7:$AY$27), D22))), ABS($AY$7:$AY$27 - MEDIAN(MIN($AY$7:$AY$27), MAX($AY$7:$AY$27), D22)), $AZ$7:$AZ$27, "Not Found", 0)</f>
        <v/>
      </c>
      <c r="E51" s="30">
        <f t="array" ref="E51">_xlfn.XLOOKUP(MIN(ABS($AY$7:$AY$27 - MEDIAN(MIN($AY$7:$AY$27), MAX($AY$7:$AY$27), E22))), ABS($AY$7:$AY$27 - MEDIAN(MIN($AY$7:$AY$27), MAX($AY$7:$AY$27), E22)), $AZ$7:$AZ$27, "Not Found", 0)</f>
        <v/>
      </c>
      <c r="F51" s="30">
        <f t="array" ref="F51">_xlfn.XLOOKUP(MIN(ABS($AY$7:$AY$27 - MEDIAN(MIN($AY$7:$AY$27), MAX($AY$7:$AY$27), F22))), ABS($AY$7:$AY$27 - MEDIAN(MIN($AY$7:$AY$27), MAX($AY$7:$AY$27), F22)), $AZ$7:$AZ$27, "Not Found", 0)</f>
        <v/>
      </c>
      <c r="G51" s="30">
        <f t="array" ref="G51">_xlfn.XLOOKUP(MIN(ABS($AY$7:$AY$27 - MEDIAN(MIN($AY$7:$AY$27), MAX($AY$7:$AY$27), G22))), ABS($AY$7:$AY$27 - MEDIAN(MIN($AY$7:$AY$27), MAX($AY$7:$AY$27), G22)), $AZ$7:$AZ$27, "Not Found", 0)</f>
        <v/>
      </c>
      <c r="H51" s="30">
        <f t="array" ref="H51">_xlfn.XLOOKUP(MIN(ABS($AY$7:$AY$27 - MEDIAN(MIN($AY$7:$AY$27), MAX($AY$7:$AY$27), H22))), ABS($AY$7:$AY$27 - MEDIAN(MIN($AY$7:$AY$27), MAX($AY$7:$AY$27), H22)), $AZ$7:$AZ$27, "Not Found", 0)</f>
        <v/>
      </c>
      <c r="I51" s="30">
        <f t="array" ref="I51">_xlfn.XLOOKUP(MIN(ABS($AY$7:$AY$27 - MEDIAN(MIN($AY$7:$AY$27), MAX($AY$7:$AY$27), I22))), ABS($AY$7:$AY$27 - MEDIAN(MIN($AY$7:$AY$27), MAX($AY$7:$AY$27), I22)), $AZ$7:$AZ$27, "Not Found", 0)</f>
        <v/>
      </c>
      <c r="J51" s="30">
        <f t="array" ref="J51">_xlfn.XLOOKUP(MIN(ABS($AY$7:$AY$27 - MEDIAN(MIN($AY$7:$AY$27), MAX($AY$7:$AY$27), J22))), ABS($AY$7:$AY$27 - MEDIAN(MIN($AY$7:$AY$27), MAX($AY$7:$AY$27), J22)), $AZ$7:$AZ$27, "Not Found", 0)</f>
        <v/>
      </c>
      <c r="K51" s="30">
        <f t="array" ref="K51">_xlfn.XLOOKUP(MIN(ABS($AY$7:$AY$27 - MEDIAN(MIN($AY$7:$AY$27), MAX($AY$7:$AY$27), K22))), ABS($AY$7:$AY$27 - MEDIAN(MIN($AY$7:$AY$27), MAX($AY$7:$AY$27), K22)), $AZ$7:$AZ$27, "Not Found", 0)</f>
        <v/>
      </c>
      <c r="L51" s="30">
        <f t="array" ref="L51">_xlfn.XLOOKUP(MIN(ABS($AY$7:$AY$27 - MEDIAN(MIN($AY$7:$AY$27), MAX($AY$7:$AY$27), L22))), ABS($AY$7:$AY$27 - MEDIAN(MIN($AY$7:$AY$27), MAX($AY$7:$AY$27), L22)), $AZ$7:$AZ$27, "Not Found", 0)</f>
        <v/>
      </c>
      <c r="M51" s="30">
        <f t="array" ref="M51">_xlfn.XLOOKUP(MIN(ABS($AY$7:$AY$27 - MEDIAN(MIN($AY$7:$AY$27), MAX($AY$7:$AY$27), M22))), ABS($AY$7:$AY$27 - MEDIAN(MIN($AY$7:$AY$27), MAX($AY$7:$AY$27), M22)), $AZ$7:$AZ$27, "Not Found", 0)</f>
        <v/>
      </c>
      <c r="N51" s="30">
        <f t="array" ref="N51">_xlfn.XLOOKUP(MIN(ABS($AY$7:$AY$27 - MEDIAN(MIN($AY$7:$AY$27), MAX($AY$7:$AY$27), N22))), ABS($AY$7:$AY$27 - MEDIAN(MIN($AY$7:$AY$27), MAX($AY$7:$AY$27), N22)), $AZ$7:$AZ$27, "Not Found", 0)</f>
        <v/>
      </c>
      <c r="O51" s="30">
        <f t="array" ref="O51">_xlfn.XLOOKUP(MIN(ABS($AY$7:$AY$27 - MEDIAN(MIN($AY$7:$AY$27), MAX($AY$7:$AY$27), O22))), ABS($AY$7:$AY$27 - MEDIAN(MIN($AY$7:$AY$27), MAX($AY$7:$AY$27), O22)), $AZ$7:$AZ$27, "Not Found", 0)</f>
        <v/>
      </c>
      <c r="P51" s="30">
        <f t="array" ref="P51">_xlfn.XLOOKUP(MIN(ABS($AY$7:$AY$27 - MEDIAN(MIN($AY$7:$AY$27), MAX($AY$7:$AY$27), P22))), ABS($AY$7:$AY$27 - MEDIAN(MIN($AY$7:$AY$27), MAX($AY$7:$AY$27), P22)), $AZ$7:$AZ$27, "Not Found", 0)</f>
        <v/>
      </c>
      <c r="Q51" s="30">
        <f t="array" ref="Q51">_xlfn.XLOOKUP(MIN(ABS($AY$7:$AY$27 - MEDIAN(MIN($AY$7:$AY$27), MAX($AY$7:$AY$27), Q22))), ABS($AY$7:$AY$27 - MEDIAN(MIN($AY$7:$AY$27), MAX($AY$7:$AY$27), Q22)), $AZ$7:$AZ$27, "Not Found", 0)</f>
        <v/>
      </c>
      <c r="R51" s="30">
        <f t="array" ref="R51">_xlfn.XLOOKUP(MIN(ABS($AY$7:$AY$27 - MEDIAN(MIN($AY$7:$AY$27), MAX($AY$7:$AY$27), R22))), ABS($AY$7:$AY$27 - MEDIAN(MIN($AY$7:$AY$27), MAX($AY$7:$AY$27), R22)), $AZ$7:$AZ$27, "Not Found", 0)</f>
        <v/>
      </c>
      <c r="S51" s="30">
        <f t="array" ref="S51">_xlfn.XLOOKUP(MIN(ABS($AY$7:$AY$27 - MEDIAN(MIN($AY$7:$AY$27), MAX($AY$7:$AY$27), S22))), ABS($AY$7:$AY$27 - MEDIAN(MIN($AY$7:$AY$27), MAX($AY$7:$AY$27), S22)), $AZ$7:$AZ$27, "Not Found", 0)</f>
        <v/>
      </c>
      <c r="T51" s="30">
        <f t="array" ref="T51">_xlfn.XLOOKUP(MIN(ABS($AY$7:$AY$27 - MEDIAN(MIN($AY$7:$AY$27), MAX($AY$7:$AY$27), T22))), ABS($AY$7:$AY$27 - MEDIAN(MIN($AY$7:$AY$27), MAX($AY$7:$AY$27), T22)), $AZ$7:$AZ$27, "Not Found", 0)</f>
        <v/>
      </c>
      <c r="U51" s="30">
        <f t="array" ref="U51">_xlfn.XLOOKUP(MIN(ABS($AY$7:$AY$27 - MEDIAN(MIN($AY$7:$AY$27), MAX($AY$7:$AY$27), U22))), ABS($AY$7:$AY$27 - MEDIAN(MIN($AY$7:$AY$27), MAX($AY$7:$AY$27), U22)), $AZ$7:$AZ$27, "Not Found", 0)</f>
        <v/>
      </c>
      <c r="V51" s="30">
        <f t="array" ref="V51">_xlfn.XLOOKUP(MIN(ABS($AY$7:$AY$27 - MEDIAN(MIN($AY$7:$AY$27), MAX($AY$7:$AY$27), V22))), ABS($AY$7:$AY$27 - MEDIAN(MIN($AY$7:$AY$27), MAX($AY$7:$AY$27), V22)), $AZ$7:$AZ$27, "Not Found", 0)</f>
        <v/>
      </c>
      <c r="W51" s="30">
        <f t="array" ref="W51">_xlfn.XLOOKUP(MIN(ABS($AY$7:$AY$27 - MEDIAN(MIN($AY$7:$AY$27), MAX($AY$7:$AY$27), W22))), ABS($AY$7:$AY$27 - MEDIAN(MIN($AY$7:$AY$27), MAX($AY$7:$AY$27), W22)), $AZ$7:$AZ$27, "Not Found", 0)</f>
        <v/>
      </c>
      <c r="X51" s="30">
        <f t="array" ref="X51">_xlfn.XLOOKUP(MIN(ABS($AY$7:$AY$27 - MEDIAN(MIN($AY$7:$AY$27), MAX($AY$7:$AY$27), X22))), ABS($AY$7:$AY$27 - MEDIAN(MIN($AY$7:$AY$27), MAX($AY$7:$AY$27), X22)), $AZ$7:$AZ$27, "Not Found", 0)</f>
        <v/>
      </c>
      <c r="Y51" s="30">
        <f t="array" ref="Y51">_xlfn.XLOOKUP(MIN(ABS($AY$7:$AY$27 - MEDIAN(MIN($AY$7:$AY$27), MAX($AY$7:$AY$27), Y22))), ABS($AY$7:$AY$27 - MEDIAN(MIN($AY$7:$AY$27), MAX($AY$7:$AY$27), Y22)), $AZ$7:$AZ$27, "Not Found", 0)</f>
        <v/>
      </c>
      <c r="Z51" s="30">
        <f t="array" ref="Z51">_xlfn.XLOOKUP(MIN(ABS($AY$7:$AY$27 - MEDIAN(MIN($AY$7:$AY$27), MAX($AY$7:$AY$27), Z22))), ABS($AY$7:$AY$27 - MEDIAN(MIN($AY$7:$AY$27), MAX($AY$7:$AY$27), Z22)), $AZ$7:$AZ$27, "Not Found", 0)</f>
        <v/>
      </c>
      <c r="AA51" s="30">
        <f t="array" ref="AA51">_xlfn.XLOOKUP(MIN(ABS($AY$7:$AY$27 - MEDIAN(MIN($AY$7:$AY$27), MAX($AY$7:$AY$27), AA22))), ABS($AY$7:$AY$27 - MEDIAN(MIN($AY$7:$AY$27), MAX($AY$7:$AY$27), AA22)), $AZ$7:$AZ$27, "Not Found", 0)</f>
        <v/>
      </c>
      <c r="AB51" s="30">
        <f t="array" ref="AB51">_xlfn.XLOOKUP(MIN(ABS($AY$7:$AY$27 - MEDIAN(MIN($AY$7:$AY$27), MAX($AY$7:$AY$27), AB22))), ABS($AY$7:$AY$27 - MEDIAN(MIN($AY$7:$AY$27), MAX($AY$7:$AY$27), AB22)), $AZ$7:$AZ$27, "Not Found", 0)</f>
        <v/>
      </c>
      <c r="AC51" s="30">
        <f t="array" ref="AC51">_xlfn.XLOOKUP(MIN(ABS($AY$7:$AY$27 - MEDIAN(MIN($AY$7:$AY$27), MAX($AY$7:$AY$27), AC22))), ABS($AY$7:$AY$27 - MEDIAN(MIN($AY$7:$AY$27), MAX($AY$7:$AY$27), AC22)), $AZ$7:$AZ$27, "Not Found", 0)</f>
        <v/>
      </c>
      <c r="AD51" s="30">
        <f t="array" ref="AD51">_xlfn.XLOOKUP(MIN(ABS($AY$7:$AY$27 - MEDIAN(MIN($AY$7:$AY$27), MAX($AY$7:$AY$27), AD22))), ABS($AY$7:$AY$27 - MEDIAN(MIN($AY$7:$AY$27), MAX($AY$7:$AY$27), AD22)), $AZ$7:$AZ$27, "Not Found", 0)</f>
        <v/>
      </c>
      <c r="AE51" s="30">
        <f t="array" ref="AE51">_xlfn.XLOOKUP(MIN(ABS($AY$7:$AY$27 - MEDIAN(MIN($AY$7:$AY$27), MAX($AY$7:$AY$27), AE22))), ABS($AY$7:$AY$27 - MEDIAN(MIN($AY$7:$AY$27), MAX($AY$7:$AY$27), AE22)), $AZ$7:$AZ$27, "Not Found", 0)</f>
        <v/>
      </c>
      <c r="AF51" s="30">
        <f t="array" ref="AF51">_xlfn.XLOOKUP(MIN(ABS($AY$7:$AY$27 - MEDIAN(MIN($AY$7:$AY$27), MAX($AY$7:$AY$27), AF22))), ABS($AY$7:$AY$27 - MEDIAN(MIN($AY$7:$AY$27), MAX($AY$7:$AY$27), AF22)), $AZ$7:$AZ$27, "Not Found", 0)</f>
        <v/>
      </c>
      <c r="AG51" s="30">
        <f t="array" ref="AG51">_xlfn.XLOOKUP(MIN(ABS($AY$7:$AY$27 - MEDIAN(MIN($AY$7:$AY$27), MAX($AY$7:$AY$27), AG22))), ABS($AY$7:$AY$27 - MEDIAN(MIN($AY$7:$AY$27), MAX($AY$7:$AY$27), AG22)), $AZ$7:$AZ$27, "Not Found", 0)</f>
        <v/>
      </c>
      <c r="AH51" s="30">
        <f t="array" ref="AH51">_xlfn.XLOOKUP(MIN(ABS($AY$7:$AY$27 - MEDIAN(MIN($AY$7:$AY$27), MAX($AY$7:$AY$27), AH22))), ABS($AY$7:$AY$27 - MEDIAN(MIN($AY$7:$AY$27), MAX($AY$7:$AY$27), AH22)), $AZ$7:$AZ$27, "Not Found", 0)</f>
        <v/>
      </c>
      <c r="AI51" s="30">
        <f t="array" ref="AI51">_xlfn.XLOOKUP(MIN(ABS($AY$7:$AY$27 - MEDIAN(MIN($AY$7:$AY$27), MAX($AY$7:$AY$27), AI22))), ABS($AY$7:$AY$27 - MEDIAN(MIN($AY$7:$AY$27), MAX($AY$7:$AY$27), AI22)), $AZ$7:$AZ$27, "Not Found", 0)</f>
        <v/>
      </c>
      <c r="AJ51" s="30">
        <f t="array" ref="AJ51">_xlfn.XLOOKUP(MIN(ABS($AY$7:$AY$27 - MEDIAN(MIN($AY$7:$AY$27), MAX($AY$7:$AY$27), AJ22))), ABS($AY$7:$AY$27 - MEDIAN(MIN($AY$7:$AY$27), MAX($AY$7:$AY$27), AJ22)), $AZ$7:$AZ$27, "Not Found", 0)</f>
        <v/>
      </c>
      <c r="AK51" s="30">
        <f t="array" ref="AK51">_xlfn.XLOOKUP(MIN(ABS($AY$7:$AY$27 - MEDIAN(MIN($AY$7:$AY$27), MAX($AY$7:$AY$27), AK22))), ABS($AY$7:$AY$27 - MEDIAN(MIN($AY$7:$AY$27), MAX($AY$7:$AY$27), AK22)), $AZ$7:$AZ$27, "Not Found", 0)</f>
        <v/>
      </c>
      <c r="AL51" s="30">
        <f t="array" ref="AL51">_xlfn.XLOOKUP(MIN(ABS($AY$7:$AY$27 - MEDIAN(MIN($AY$7:$AY$27), MAX($AY$7:$AY$27), AL22))), ABS($AY$7:$AY$27 - MEDIAN(MIN($AY$7:$AY$27), MAX($AY$7:$AY$27), AL22)), $AZ$7:$AZ$27, "Not Found", 0)</f>
        <v/>
      </c>
      <c r="AM51" s="30">
        <f t="array" ref="AM51">_xlfn.XLOOKUP(MIN(ABS($AY$7:$AY$27 - MEDIAN(MIN($AY$7:$AY$27), MAX($AY$7:$AY$27), AM22))), ABS($AY$7:$AY$27 - MEDIAN(MIN($AY$7:$AY$27), MAX($AY$7:$AY$27), AM22)), $AZ$7:$AZ$27, "Not Found", 0)</f>
        <v/>
      </c>
      <c r="AN51" s="30">
        <f t="array" ref="AN51">_xlfn.XLOOKUP(MIN(ABS($AY$7:$AY$27 - MEDIAN(MIN($AY$7:$AY$27), MAX($AY$7:$AY$27), AN22))), ABS($AY$7:$AY$27 - MEDIAN(MIN($AY$7:$AY$27), MAX($AY$7:$AY$27), AN22)), $AZ$7:$AZ$27, "Not Found", 0)</f>
        <v/>
      </c>
      <c r="AO51" s="30">
        <f t="array" ref="AO51">_xlfn.XLOOKUP(MIN(ABS($AY$7:$AY$27 - MEDIAN(MIN($AY$7:$AY$27), MAX($AY$7:$AY$27), AO22))), ABS($AY$7:$AY$27 - MEDIAN(MIN($AY$7:$AY$27), MAX($AY$7:$AY$27), AO22)), $AZ$7:$AZ$27, "Not Found", 0)</f>
        <v/>
      </c>
      <c r="AP51" s="30">
        <f t="array" ref="AP51">_xlfn.XLOOKUP(MIN(ABS($AY$7:$AY$27 - MEDIAN(MIN($AY$7:$AY$27), MAX($AY$7:$AY$27), AP22))), ABS($AY$7:$AY$27 - MEDIAN(MIN($AY$7:$AY$27), MAX($AY$7:$AY$27), AP22)), $AZ$7:$AZ$27, "Not Found", 0)</f>
        <v/>
      </c>
      <c r="AQ51" s="30">
        <f t="array" ref="AQ51">_xlfn.XLOOKUP(MIN(ABS($AY$7:$AY$27 - MEDIAN(MIN($AY$7:$AY$27), MAX($AY$7:$AY$27), AQ22))), ABS($AY$7:$AY$27 - MEDIAN(MIN($AY$7:$AY$27), MAX($AY$7:$AY$27), AQ22)), $AZ$7:$AZ$27, "Not Found", 0)</f>
        <v/>
      </c>
      <c r="AR51" s="30">
        <f t="array" ref="AR51">_xlfn.XLOOKUP(MIN(ABS($AY$7:$AY$27 - MEDIAN(MIN($AY$7:$AY$27), MAX($AY$7:$AY$27), AR22))), ABS($AY$7:$AY$27 - MEDIAN(MIN($AY$7:$AY$27), MAX($AY$7:$AY$27), AR22)), $AZ$7:$AZ$27, "Not Found", 0)</f>
        <v/>
      </c>
      <c r="AS51" s="30">
        <f t="array" ref="AS51">_xlfn.XLOOKUP(MIN(ABS($AY$7:$AY$27 - MEDIAN(MIN($AY$7:$AY$27), MAX($AY$7:$AY$27), AS22))), ABS($AY$7:$AY$27 - MEDIAN(MIN($AY$7:$AY$27), MAX($AY$7:$AY$27), AS22)), $AZ$7:$AZ$27, "Not Found", 0)</f>
        <v/>
      </c>
      <c r="AT51" s="30">
        <f t="array" ref="AT51">_xlfn.XLOOKUP(MIN(ABS($AY$7:$AY$27 - MEDIAN(MIN($AY$7:$AY$27), MAX($AY$7:$AY$27), AT22))), ABS($AY$7:$AY$27 - MEDIAN(MIN($AY$7:$AY$27), MAX($AY$7:$AY$27), AT22)), $AZ$7:$AZ$27, "Not Found", 0)</f>
        <v/>
      </c>
      <c r="AU51" s="30">
        <f t="array" ref="AU51">_xlfn.XLOOKUP(MIN(ABS($AY$7:$AY$27 - MEDIAN(MIN($AY$7:$AY$27), MAX($AY$7:$AY$27), AU22))), ABS($AY$7:$AY$27 - MEDIAN(MIN($AY$7:$AY$27), MAX($AY$7:$AY$27), AU22)), $AZ$7:$AZ$27, "Not Found", 0)</f>
        <v/>
      </c>
      <c r="AV51" s="30">
        <f t="array" ref="AV51">_xlfn.XLOOKUP(MIN(ABS($AY$7:$AY$27 - MEDIAN(MIN($AY$7:$AY$27), MAX($AY$7:$AY$27), AV22))), ABS($AY$7:$AY$27 - MEDIAN(MIN($AY$7:$AY$27), MAX($AY$7:$AY$27), AV22)), $AZ$7:$AZ$27, "Not Found", 0)</f>
        <v/>
      </c>
      <c r="AW51" s="30">
        <f t="array" ref="AW51">_xlfn.XLOOKUP(MIN(ABS($AY$7:$AY$27 - MEDIAN(MIN($AY$7:$AY$27), MAX($AY$7:$AY$27), AW22))), ABS($AY$7:$AY$27 - MEDIAN(MIN($AY$7:$AY$27), MAX($AY$7:$AY$27), AW22)), $AZ$7:$AZ$27, "Not Found", 0)</f>
        <v/>
      </c>
    </row>
    <row r="52" ht="25" customHeight="1">
      <c r="A52" s="46" t="inlineStr">
        <is>
          <t>EUR AUD</t>
        </is>
      </c>
      <c r="B52" s="30">
        <f t="array" ref="B52">_xlfn.XLOOKUP(MIN(ABS($AY$7:$AY$27 - MEDIAN(MIN($AY$7:$AY$27), MAX($AY$7:$AY$27), B23))), ABS($AY$7:$AY$27 - MEDIAN(MIN($AY$7:$AY$27), MAX($AY$7:$AY$27), B23)), $AZ$7:$AZ$27, "Not Found", 0)</f>
        <v/>
      </c>
      <c r="C52" s="30">
        <f t="array" ref="C52">_xlfn.XLOOKUP(MIN(ABS($AY$7:$AY$27 - MEDIAN(MIN($AY$7:$AY$27), MAX($AY$7:$AY$27), C23))), ABS($AY$7:$AY$27 - MEDIAN(MIN($AY$7:$AY$27), MAX($AY$7:$AY$27), C23)), $AZ$7:$AZ$27, "Not Found", 0)</f>
        <v/>
      </c>
      <c r="D52" s="30">
        <f t="array" ref="D52">_xlfn.XLOOKUP(MIN(ABS($AY$7:$AY$27 - MEDIAN(MIN($AY$7:$AY$27), MAX($AY$7:$AY$27), D23))), ABS($AY$7:$AY$27 - MEDIAN(MIN($AY$7:$AY$27), MAX($AY$7:$AY$27), D23)), $AZ$7:$AZ$27, "Not Found", 0)</f>
        <v/>
      </c>
      <c r="E52" s="30">
        <f t="array" ref="E52">_xlfn.XLOOKUP(MIN(ABS($AY$7:$AY$27 - MEDIAN(MIN($AY$7:$AY$27), MAX($AY$7:$AY$27), E23))), ABS($AY$7:$AY$27 - MEDIAN(MIN($AY$7:$AY$27), MAX($AY$7:$AY$27), E23)), $AZ$7:$AZ$27, "Not Found", 0)</f>
        <v/>
      </c>
      <c r="F52" s="30">
        <f t="array" ref="F52">_xlfn.XLOOKUP(MIN(ABS($AY$7:$AY$27 - MEDIAN(MIN($AY$7:$AY$27), MAX($AY$7:$AY$27), F23))), ABS($AY$7:$AY$27 - MEDIAN(MIN($AY$7:$AY$27), MAX($AY$7:$AY$27), F23)), $AZ$7:$AZ$27, "Not Found", 0)</f>
        <v/>
      </c>
      <c r="G52" s="30">
        <f t="array" ref="G52">_xlfn.XLOOKUP(MIN(ABS($AY$7:$AY$27 - MEDIAN(MIN($AY$7:$AY$27), MAX($AY$7:$AY$27), G23))), ABS($AY$7:$AY$27 - MEDIAN(MIN($AY$7:$AY$27), MAX($AY$7:$AY$27), G23)), $AZ$7:$AZ$27, "Not Found", 0)</f>
        <v/>
      </c>
      <c r="H52" s="30">
        <f t="array" ref="H52">_xlfn.XLOOKUP(MIN(ABS($AY$7:$AY$27 - MEDIAN(MIN($AY$7:$AY$27), MAX($AY$7:$AY$27), H23))), ABS($AY$7:$AY$27 - MEDIAN(MIN($AY$7:$AY$27), MAX($AY$7:$AY$27), H23)), $AZ$7:$AZ$27, "Not Found", 0)</f>
        <v/>
      </c>
      <c r="I52" s="30">
        <f t="array" ref="I52">_xlfn.XLOOKUP(MIN(ABS($AY$7:$AY$27 - MEDIAN(MIN($AY$7:$AY$27), MAX($AY$7:$AY$27), I23))), ABS($AY$7:$AY$27 - MEDIAN(MIN($AY$7:$AY$27), MAX($AY$7:$AY$27), I23)), $AZ$7:$AZ$27, "Not Found", 0)</f>
        <v/>
      </c>
      <c r="J52" s="30">
        <f t="array" ref="J52">_xlfn.XLOOKUP(MIN(ABS($AY$7:$AY$27 - MEDIAN(MIN($AY$7:$AY$27), MAX($AY$7:$AY$27), J23))), ABS($AY$7:$AY$27 - MEDIAN(MIN($AY$7:$AY$27), MAX($AY$7:$AY$27), J23)), $AZ$7:$AZ$27, "Not Found", 0)</f>
        <v/>
      </c>
      <c r="K52" s="30">
        <f t="array" ref="K52">_xlfn.XLOOKUP(MIN(ABS($AY$7:$AY$27 - MEDIAN(MIN($AY$7:$AY$27), MAX($AY$7:$AY$27), K23))), ABS($AY$7:$AY$27 - MEDIAN(MIN($AY$7:$AY$27), MAX($AY$7:$AY$27), K23)), $AZ$7:$AZ$27, "Not Found", 0)</f>
        <v/>
      </c>
      <c r="L52" s="30">
        <f t="array" ref="L52">_xlfn.XLOOKUP(MIN(ABS($AY$7:$AY$27 - MEDIAN(MIN($AY$7:$AY$27), MAX($AY$7:$AY$27), L23))), ABS($AY$7:$AY$27 - MEDIAN(MIN($AY$7:$AY$27), MAX($AY$7:$AY$27), L23)), $AZ$7:$AZ$27, "Not Found", 0)</f>
        <v/>
      </c>
      <c r="M52" s="30">
        <f t="array" ref="M52">_xlfn.XLOOKUP(MIN(ABS($AY$7:$AY$27 - MEDIAN(MIN($AY$7:$AY$27), MAX($AY$7:$AY$27), M23))), ABS($AY$7:$AY$27 - MEDIAN(MIN($AY$7:$AY$27), MAX($AY$7:$AY$27), M23)), $AZ$7:$AZ$27, "Not Found", 0)</f>
        <v/>
      </c>
      <c r="N52" s="30">
        <f t="array" ref="N52">_xlfn.XLOOKUP(MIN(ABS($AY$7:$AY$27 - MEDIAN(MIN($AY$7:$AY$27), MAX($AY$7:$AY$27), N23))), ABS($AY$7:$AY$27 - MEDIAN(MIN($AY$7:$AY$27), MAX($AY$7:$AY$27), N23)), $AZ$7:$AZ$27, "Not Found", 0)</f>
        <v/>
      </c>
      <c r="O52" s="30">
        <f t="array" ref="O52">_xlfn.XLOOKUP(MIN(ABS($AY$7:$AY$27 - MEDIAN(MIN($AY$7:$AY$27), MAX($AY$7:$AY$27), O23))), ABS($AY$7:$AY$27 - MEDIAN(MIN($AY$7:$AY$27), MAX($AY$7:$AY$27), O23)), $AZ$7:$AZ$27, "Not Found", 0)</f>
        <v/>
      </c>
      <c r="P52" s="30">
        <f t="array" ref="P52">_xlfn.XLOOKUP(MIN(ABS($AY$7:$AY$27 - MEDIAN(MIN($AY$7:$AY$27), MAX($AY$7:$AY$27), P23))), ABS($AY$7:$AY$27 - MEDIAN(MIN($AY$7:$AY$27), MAX($AY$7:$AY$27), P23)), $AZ$7:$AZ$27, "Not Found", 0)</f>
        <v/>
      </c>
      <c r="Q52" s="30">
        <f t="array" ref="Q52">_xlfn.XLOOKUP(MIN(ABS($AY$7:$AY$27 - MEDIAN(MIN($AY$7:$AY$27), MAX($AY$7:$AY$27), Q23))), ABS($AY$7:$AY$27 - MEDIAN(MIN($AY$7:$AY$27), MAX($AY$7:$AY$27), Q23)), $AZ$7:$AZ$27, "Not Found", 0)</f>
        <v/>
      </c>
      <c r="R52" s="30">
        <f t="array" ref="R52">_xlfn.XLOOKUP(MIN(ABS($AY$7:$AY$27 - MEDIAN(MIN($AY$7:$AY$27), MAX($AY$7:$AY$27), R23))), ABS($AY$7:$AY$27 - MEDIAN(MIN($AY$7:$AY$27), MAX($AY$7:$AY$27), R23)), $AZ$7:$AZ$27, "Not Found", 0)</f>
        <v/>
      </c>
      <c r="S52" s="30">
        <f t="array" ref="S52">_xlfn.XLOOKUP(MIN(ABS($AY$7:$AY$27 - MEDIAN(MIN($AY$7:$AY$27), MAX($AY$7:$AY$27), S23))), ABS($AY$7:$AY$27 - MEDIAN(MIN($AY$7:$AY$27), MAX($AY$7:$AY$27), S23)), $AZ$7:$AZ$27, "Not Found", 0)</f>
        <v/>
      </c>
      <c r="T52" s="30">
        <f t="array" ref="T52">_xlfn.XLOOKUP(MIN(ABS($AY$7:$AY$27 - MEDIAN(MIN($AY$7:$AY$27), MAX($AY$7:$AY$27), T23))), ABS($AY$7:$AY$27 - MEDIAN(MIN($AY$7:$AY$27), MAX($AY$7:$AY$27), T23)), $AZ$7:$AZ$27, "Not Found", 0)</f>
        <v/>
      </c>
      <c r="U52" s="30">
        <f t="array" ref="U52">_xlfn.XLOOKUP(MIN(ABS($AY$7:$AY$27 - MEDIAN(MIN($AY$7:$AY$27), MAX($AY$7:$AY$27), U23))), ABS($AY$7:$AY$27 - MEDIAN(MIN($AY$7:$AY$27), MAX($AY$7:$AY$27), U23)), $AZ$7:$AZ$27, "Not Found", 0)</f>
        <v/>
      </c>
      <c r="V52" s="30">
        <f t="array" ref="V52">_xlfn.XLOOKUP(MIN(ABS($AY$7:$AY$27 - MEDIAN(MIN($AY$7:$AY$27), MAX($AY$7:$AY$27), V23))), ABS($AY$7:$AY$27 - MEDIAN(MIN($AY$7:$AY$27), MAX($AY$7:$AY$27), V23)), $AZ$7:$AZ$27, "Not Found", 0)</f>
        <v/>
      </c>
      <c r="W52" s="30">
        <f t="array" ref="W52">_xlfn.XLOOKUP(MIN(ABS($AY$7:$AY$27 - MEDIAN(MIN($AY$7:$AY$27), MAX($AY$7:$AY$27), W23))), ABS($AY$7:$AY$27 - MEDIAN(MIN($AY$7:$AY$27), MAX($AY$7:$AY$27), W23)), $AZ$7:$AZ$27, "Not Found", 0)</f>
        <v/>
      </c>
      <c r="X52" s="30">
        <f t="array" ref="X52">_xlfn.XLOOKUP(MIN(ABS($AY$7:$AY$27 - MEDIAN(MIN($AY$7:$AY$27), MAX($AY$7:$AY$27), X23))), ABS($AY$7:$AY$27 - MEDIAN(MIN($AY$7:$AY$27), MAX($AY$7:$AY$27), X23)), $AZ$7:$AZ$27, "Not Found", 0)</f>
        <v/>
      </c>
      <c r="Y52" s="30">
        <f t="array" ref="Y52">_xlfn.XLOOKUP(MIN(ABS($AY$7:$AY$27 - MEDIAN(MIN($AY$7:$AY$27), MAX($AY$7:$AY$27), Y23))), ABS($AY$7:$AY$27 - MEDIAN(MIN($AY$7:$AY$27), MAX($AY$7:$AY$27), Y23)), $AZ$7:$AZ$27, "Not Found", 0)</f>
        <v/>
      </c>
      <c r="Z52" s="30">
        <f t="array" ref="Z52">_xlfn.XLOOKUP(MIN(ABS($AY$7:$AY$27 - MEDIAN(MIN($AY$7:$AY$27), MAX($AY$7:$AY$27), Z23))), ABS($AY$7:$AY$27 - MEDIAN(MIN($AY$7:$AY$27), MAX($AY$7:$AY$27), Z23)), $AZ$7:$AZ$27, "Not Found", 0)</f>
        <v/>
      </c>
      <c r="AA52" s="30">
        <f t="array" ref="AA52">_xlfn.XLOOKUP(MIN(ABS($AY$7:$AY$27 - MEDIAN(MIN($AY$7:$AY$27), MAX($AY$7:$AY$27), AA23))), ABS($AY$7:$AY$27 - MEDIAN(MIN($AY$7:$AY$27), MAX($AY$7:$AY$27), AA23)), $AZ$7:$AZ$27, "Not Found", 0)</f>
        <v/>
      </c>
      <c r="AB52" s="30">
        <f t="array" ref="AB52">_xlfn.XLOOKUP(MIN(ABS($AY$7:$AY$27 - MEDIAN(MIN($AY$7:$AY$27), MAX($AY$7:$AY$27), AB23))), ABS($AY$7:$AY$27 - MEDIAN(MIN($AY$7:$AY$27), MAX($AY$7:$AY$27), AB23)), $AZ$7:$AZ$27, "Not Found", 0)</f>
        <v/>
      </c>
      <c r="AC52" s="30">
        <f t="array" ref="AC52">_xlfn.XLOOKUP(MIN(ABS($AY$7:$AY$27 - MEDIAN(MIN($AY$7:$AY$27), MAX($AY$7:$AY$27), AC23))), ABS($AY$7:$AY$27 - MEDIAN(MIN($AY$7:$AY$27), MAX($AY$7:$AY$27), AC23)), $AZ$7:$AZ$27, "Not Found", 0)</f>
        <v/>
      </c>
      <c r="AD52" s="30">
        <f t="array" ref="AD52">_xlfn.XLOOKUP(MIN(ABS($AY$7:$AY$27 - MEDIAN(MIN($AY$7:$AY$27), MAX($AY$7:$AY$27), AD23))), ABS($AY$7:$AY$27 - MEDIAN(MIN($AY$7:$AY$27), MAX($AY$7:$AY$27), AD23)), $AZ$7:$AZ$27, "Not Found", 0)</f>
        <v/>
      </c>
      <c r="AE52" s="30">
        <f t="array" ref="AE52">_xlfn.XLOOKUP(MIN(ABS($AY$7:$AY$27 - MEDIAN(MIN($AY$7:$AY$27), MAX($AY$7:$AY$27), AE23))), ABS($AY$7:$AY$27 - MEDIAN(MIN($AY$7:$AY$27), MAX($AY$7:$AY$27), AE23)), $AZ$7:$AZ$27, "Not Found", 0)</f>
        <v/>
      </c>
      <c r="AF52" s="30">
        <f t="array" ref="AF52">_xlfn.XLOOKUP(MIN(ABS($AY$7:$AY$27 - MEDIAN(MIN($AY$7:$AY$27), MAX($AY$7:$AY$27), AF23))), ABS($AY$7:$AY$27 - MEDIAN(MIN($AY$7:$AY$27), MAX($AY$7:$AY$27), AF23)), $AZ$7:$AZ$27, "Not Found", 0)</f>
        <v/>
      </c>
      <c r="AG52" s="30">
        <f t="array" ref="AG52">_xlfn.XLOOKUP(MIN(ABS($AY$7:$AY$27 - MEDIAN(MIN($AY$7:$AY$27), MAX($AY$7:$AY$27), AG23))), ABS($AY$7:$AY$27 - MEDIAN(MIN($AY$7:$AY$27), MAX($AY$7:$AY$27), AG23)), $AZ$7:$AZ$27, "Not Found", 0)</f>
        <v/>
      </c>
      <c r="AH52" s="30">
        <f t="array" ref="AH52">_xlfn.XLOOKUP(MIN(ABS($AY$7:$AY$27 - MEDIAN(MIN($AY$7:$AY$27), MAX($AY$7:$AY$27), AH23))), ABS($AY$7:$AY$27 - MEDIAN(MIN($AY$7:$AY$27), MAX($AY$7:$AY$27), AH23)), $AZ$7:$AZ$27, "Not Found", 0)</f>
        <v/>
      </c>
      <c r="AI52" s="30">
        <f t="array" ref="AI52">_xlfn.XLOOKUP(MIN(ABS($AY$7:$AY$27 - MEDIAN(MIN($AY$7:$AY$27), MAX($AY$7:$AY$27), AI23))), ABS($AY$7:$AY$27 - MEDIAN(MIN($AY$7:$AY$27), MAX($AY$7:$AY$27), AI23)), $AZ$7:$AZ$27, "Not Found", 0)</f>
        <v/>
      </c>
      <c r="AJ52" s="30">
        <f t="array" ref="AJ52">_xlfn.XLOOKUP(MIN(ABS($AY$7:$AY$27 - MEDIAN(MIN($AY$7:$AY$27), MAX($AY$7:$AY$27), AJ23))), ABS($AY$7:$AY$27 - MEDIAN(MIN($AY$7:$AY$27), MAX($AY$7:$AY$27), AJ23)), $AZ$7:$AZ$27, "Not Found", 0)</f>
        <v/>
      </c>
      <c r="AK52" s="30">
        <f t="array" ref="AK52">_xlfn.XLOOKUP(MIN(ABS($AY$7:$AY$27 - MEDIAN(MIN($AY$7:$AY$27), MAX($AY$7:$AY$27), AK23))), ABS($AY$7:$AY$27 - MEDIAN(MIN($AY$7:$AY$27), MAX($AY$7:$AY$27), AK23)), $AZ$7:$AZ$27, "Not Found", 0)</f>
        <v/>
      </c>
      <c r="AL52" s="30">
        <f t="array" ref="AL52">_xlfn.XLOOKUP(MIN(ABS($AY$7:$AY$27 - MEDIAN(MIN($AY$7:$AY$27), MAX($AY$7:$AY$27), AL23))), ABS($AY$7:$AY$27 - MEDIAN(MIN($AY$7:$AY$27), MAX($AY$7:$AY$27), AL23)), $AZ$7:$AZ$27, "Not Found", 0)</f>
        <v/>
      </c>
      <c r="AM52" s="30">
        <f t="array" ref="AM52">_xlfn.XLOOKUP(MIN(ABS($AY$7:$AY$27 - MEDIAN(MIN($AY$7:$AY$27), MAX($AY$7:$AY$27), AM23))), ABS($AY$7:$AY$27 - MEDIAN(MIN($AY$7:$AY$27), MAX($AY$7:$AY$27), AM23)), $AZ$7:$AZ$27, "Not Found", 0)</f>
        <v/>
      </c>
      <c r="AN52" s="30">
        <f t="array" ref="AN52">_xlfn.XLOOKUP(MIN(ABS($AY$7:$AY$27 - MEDIAN(MIN($AY$7:$AY$27), MAX($AY$7:$AY$27), AN23))), ABS($AY$7:$AY$27 - MEDIAN(MIN($AY$7:$AY$27), MAX($AY$7:$AY$27), AN23)), $AZ$7:$AZ$27, "Not Found", 0)</f>
        <v/>
      </c>
      <c r="AO52" s="30">
        <f t="array" ref="AO52">_xlfn.XLOOKUP(MIN(ABS($AY$7:$AY$27 - MEDIAN(MIN($AY$7:$AY$27), MAX($AY$7:$AY$27), AO23))), ABS($AY$7:$AY$27 - MEDIAN(MIN($AY$7:$AY$27), MAX($AY$7:$AY$27), AO23)), $AZ$7:$AZ$27, "Not Found", 0)</f>
        <v/>
      </c>
      <c r="AP52" s="30">
        <f t="array" ref="AP52">_xlfn.XLOOKUP(MIN(ABS($AY$7:$AY$27 - MEDIAN(MIN($AY$7:$AY$27), MAX($AY$7:$AY$27), AP23))), ABS($AY$7:$AY$27 - MEDIAN(MIN($AY$7:$AY$27), MAX($AY$7:$AY$27), AP23)), $AZ$7:$AZ$27, "Not Found", 0)</f>
        <v/>
      </c>
      <c r="AQ52" s="30">
        <f t="array" ref="AQ52">_xlfn.XLOOKUP(MIN(ABS($AY$7:$AY$27 - MEDIAN(MIN($AY$7:$AY$27), MAX($AY$7:$AY$27), AQ23))), ABS($AY$7:$AY$27 - MEDIAN(MIN($AY$7:$AY$27), MAX($AY$7:$AY$27), AQ23)), $AZ$7:$AZ$27, "Not Found", 0)</f>
        <v/>
      </c>
      <c r="AR52" s="30">
        <f t="array" ref="AR52">_xlfn.XLOOKUP(MIN(ABS($AY$7:$AY$27 - MEDIAN(MIN($AY$7:$AY$27), MAX($AY$7:$AY$27), AR23))), ABS($AY$7:$AY$27 - MEDIAN(MIN($AY$7:$AY$27), MAX($AY$7:$AY$27), AR23)), $AZ$7:$AZ$27, "Not Found", 0)</f>
        <v/>
      </c>
      <c r="AS52" s="30">
        <f t="array" ref="AS52">_xlfn.XLOOKUP(MIN(ABS($AY$7:$AY$27 - MEDIAN(MIN($AY$7:$AY$27), MAX($AY$7:$AY$27), AS23))), ABS($AY$7:$AY$27 - MEDIAN(MIN($AY$7:$AY$27), MAX($AY$7:$AY$27), AS23)), $AZ$7:$AZ$27, "Not Found", 0)</f>
        <v/>
      </c>
      <c r="AT52" s="30">
        <f t="array" ref="AT52">_xlfn.XLOOKUP(MIN(ABS($AY$7:$AY$27 - MEDIAN(MIN($AY$7:$AY$27), MAX($AY$7:$AY$27), AT23))), ABS($AY$7:$AY$27 - MEDIAN(MIN($AY$7:$AY$27), MAX($AY$7:$AY$27), AT23)), $AZ$7:$AZ$27, "Not Found", 0)</f>
        <v/>
      </c>
      <c r="AU52" s="30">
        <f t="array" ref="AU52">_xlfn.XLOOKUP(MIN(ABS($AY$7:$AY$27 - MEDIAN(MIN($AY$7:$AY$27), MAX($AY$7:$AY$27), AU23))), ABS($AY$7:$AY$27 - MEDIAN(MIN($AY$7:$AY$27), MAX($AY$7:$AY$27), AU23)), $AZ$7:$AZ$27, "Not Found", 0)</f>
        <v/>
      </c>
      <c r="AV52" s="30">
        <f t="array" ref="AV52">_xlfn.XLOOKUP(MIN(ABS($AY$7:$AY$27 - MEDIAN(MIN($AY$7:$AY$27), MAX($AY$7:$AY$27), AV23))), ABS($AY$7:$AY$27 - MEDIAN(MIN($AY$7:$AY$27), MAX($AY$7:$AY$27), AV23)), $AZ$7:$AZ$27, "Not Found", 0)</f>
        <v/>
      </c>
      <c r="AW52" s="30">
        <f t="array" ref="AW52">_xlfn.XLOOKUP(MIN(ABS($AY$7:$AY$27 - MEDIAN(MIN($AY$7:$AY$27), MAX($AY$7:$AY$27), AW23))), ABS($AY$7:$AY$27 - MEDIAN(MIN($AY$7:$AY$27), MAX($AY$7:$AY$27), AW23)), $AZ$7:$AZ$27, "Not Found", 0)</f>
        <v/>
      </c>
    </row>
    <row r="53" ht="25" customHeight="1">
      <c r="A53" s="47" t="inlineStr">
        <is>
          <t>EUR NZD</t>
        </is>
      </c>
      <c r="B53" s="30">
        <f t="array" ref="B53">_xlfn.XLOOKUP(MIN(ABS($AY$7:$AY$27 - MEDIAN(MIN($AY$7:$AY$27), MAX($AY$7:$AY$27), B24))), ABS($AY$7:$AY$27 - MEDIAN(MIN($AY$7:$AY$27), MAX($AY$7:$AY$27), B24)), $AZ$7:$AZ$27, "Not Found", 0)</f>
        <v/>
      </c>
      <c r="C53" s="30">
        <f t="array" ref="C53">_xlfn.XLOOKUP(MIN(ABS($AY$7:$AY$27 - MEDIAN(MIN($AY$7:$AY$27), MAX($AY$7:$AY$27), C24))), ABS($AY$7:$AY$27 - MEDIAN(MIN($AY$7:$AY$27), MAX($AY$7:$AY$27), C24)), $AZ$7:$AZ$27, "Not Found", 0)</f>
        <v/>
      </c>
      <c r="D53" s="30">
        <f t="array" ref="D53">_xlfn.XLOOKUP(MIN(ABS($AY$7:$AY$27 - MEDIAN(MIN($AY$7:$AY$27), MAX($AY$7:$AY$27), D24))), ABS($AY$7:$AY$27 - MEDIAN(MIN($AY$7:$AY$27), MAX($AY$7:$AY$27), D24)), $AZ$7:$AZ$27, "Not Found", 0)</f>
        <v/>
      </c>
      <c r="E53" s="30">
        <f t="array" ref="E53">_xlfn.XLOOKUP(MIN(ABS($AY$7:$AY$27 - MEDIAN(MIN($AY$7:$AY$27), MAX($AY$7:$AY$27), E24))), ABS($AY$7:$AY$27 - MEDIAN(MIN($AY$7:$AY$27), MAX($AY$7:$AY$27), E24)), $AZ$7:$AZ$27, "Not Found", 0)</f>
        <v/>
      </c>
      <c r="F53" s="30">
        <f t="array" ref="F53">_xlfn.XLOOKUP(MIN(ABS($AY$7:$AY$27 - MEDIAN(MIN($AY$7:$AY$27), MAX($AY$7:$AY$27), F24))), ABS($AY$7:$AY$27 - MEDIAN(MIN($AY$7:$AY$27), MAX($AY$7:$AY$27), F24)), $AZ$7:$AZ$27, "Not Found", 0)</f>
        <v/>
      </c>
      <c r="G53" s="30">
        <f t="array" ref="G53">_xlfn.XLOOKUP(MIN(ABS($AY$7:$AY$27 - MEDIAN(MIN($AY$7:$AY$27), MAX($AY$7:$AY$27), G24))), ABS($AY$7:$AY$27 - MEDIAN(MIN($AY$7:$AY$27), MAX($AY$7:$AY$27), G24)), $AZ$7:$AZ$27, "Not Found", 0)</f>
        <v/>
      </c>
      <c r="H53" s="30">
        <f t="array" ref="H53">_xlfn.XLOOKUP(MIN(ABS($AY$7:$AY$27 - MEDIAN(MIN($AY$7:$AY$27), MAX($AY$7:$AY$27), H24))), ABS($AY$7:$AY$27 - MEDIAN(MIN($AY$7:$AY$27), MAX($AY$7:$AY$27), H24)), $AZ$7:$AZ$27, "Not Found", 0)</f>
        <v/>
      </c>
      <c r="I53" s="30">
        <f t="array" ref="I53">_xlfn.XLOOKUP(MIN(ABS($AY$7:$AY$27 - MEDIAN(MIN($AY$7:$AY$27), MAX($AY$7:$AY$27), I24))), ABS($AY$7:$AY$27 - MEDIAN(MIN($AY$7:$AY$27), MAX($AY$7:$AY$27), I24)), $AZ$7:$AZ$27, "Not Found", 0)</f>
        <v/>
      </c>
      <c r="J53" s="30">
        <f t="array" ref="J53">_xlfn.XLOOKUP(MIN(ABS($AY$7:$AY$27 - MEDIAN(MIN($AY$7:$AY$27), MAX($AY$7:$AY$27), J24))), ABS($AY$7:$AY$27 - MEDIAN(MIN($AY$7:$AY$27), MAX($AY$7:$AY$27), J24)), $AZ$7:$AZ$27, "Not Found", 0)</f>
        <v/>
      </c>
      <c r="K53" s="30">
        <f t="array" ref="K53">_xlfn.XLOOKUP(MIN(ABS($AY$7:$AY$27 - MEDIAN(MIN($AY$7:$AY$27), MAX($AY$7:$AY$27), K24))), ABS($AY$7:$AY$27 - MEDIAN(MIN($AY$7:$AY$27), MAX($AY$7:$AY$27), K24)), $AZ$7:$AZ$27, "Not Found", 0)</f>
        <v/>
      </c>
      <c r="L53" s="30">
        <f t="array" ref="L53">_xlfn.XLOOKUP(MIN(ABS($AY$7:$AY$27 - MEDIAN(MIN($AY$7:$AY$27), MAX($AY$7:$AY$27), L24))), ABS($AY$7:$AY$27 - MEDIAN(MIN($AY$7:$AY$27), MAX($AY$7:$AY$27), L24)), $AZ$7:$AZ$27, "Not Found", 0)</f>
        <v/>
      </c>
      <c r="M53" s="30">
        <f t="array" ref="M53">_xlfn.XLOOKUP(MIN(ABS($AY$7:$AY$27 - MEDIAN(MIN($AY$7:$AY$27), MAX($AY$7:$AY$27), M24))), ABS($AY$7:$AY$27 - MEDIAN(MIN($AY$7:$AY$27), MAX($AY$7:$AY$27), M24)), $AZ$7:$AZ$27, "Not Found", 0)</f>
        <v/>
      </c>
      <c r="N53" s="30">
        <f t="array" ref="N53">_xlfn.XLOOKUP(MIN(ABS($AY$7:$AY$27 - MEDIAN(MIN($AY$7:$AY$27), MAX($AY$7:$AY$27), N24))), ABS($AY$7:$AY$27 - MEDIAN(MIN($AY$7:$AY$27), MAX($AY$7:$AY$27), N24)), $AZ$7:$AZ$27, "Not Found", 0)</f>
        <v/>
      </c>
      <c r="O53" s="30">
        <f t="array" ref="O53">_xlfn.XLOOKUP(MIN(ABS($AY$7:$AY$27 - MEDIAN(MIN($AY$7:$AY$27), MAX($AY$7:$AY$27), O24))), ABS($AY$7:$AY$27 - MEDIAN(MIN($AY$7:$AY$27), MAX($AY$7:$AY$27), O24)), $AZ$7:$AZ$27, "Not Found", 0)</f>
        <v/>
      </c>
      <c r="P53" s="30">
        <f t="array" ref="P53">_xlfn.XLOOKUP(MIN(ABS($AY$7:$AY$27 - MEDIAN(MIN($AY$7:$AY$27), MAX($AY$7:$AY$27), P24))), ABS($AY$7:$AY$27 - MEDIAN(MIN($AY$7:$AY$27), MAX($AY$7:$AY$27), P24)), $AZ$7:$AZ$27, "Not Found", 0)</f>
        <v/>
      </c>
      <c r="Q53" s="30">
        <f t="array" ref="Q53">_xlfn.XLOOKUP(MIN(ABS($AY$7:$AY$27 - MEDIAN(MIN($AY$7:$AY$27), MAX($AY$7:$AY$27), Q24))), ABS($AY$7:$AY$27 - MEDIAN(MIN($AY$7:$AY$27), MAX($AY$7:$AY$27), Q24)), $AZ$7:$AZ$27, "Not Found", 0)</f>
        <v/>
      </c>
      <c r="R53" s="30">
        <f t="array" ref="R53">_xlfn.XLOOKUP(MIN(ABS($AY$7:$AY$27 - MEDIAN(MIN($AY$7:$AY$27), MAX($AY$7:$AY$27), R24))), ABS($AY$7:$AY$27 - MEDIAN(MIN($AY$7:$AY$27), MAX($AY$7:$AY$27), R24)), $AZ$7:$AZ$27, "Not Found", 0)</f>
        <v/>
      </c>
      <c r="S53" s="30">
        <f t="array" ref="S53">_xlfn.XLOOKUP(MIN(ABS($AY$7:$AY$27 - MEDIAN(MIN($AY$7:$AY$27), MAX($AY$7:$AY$27), S24))), ABS($AY$7:$AY$27 - MEDIAN(MIN($AY$7:$AY$27), MAX($AY$7:$AY$27), S24)), $AZ$7:$AZ$27, "Not Found", 0)</f>
        <v/>
      </c>
      <c r="T53" s="30">
        <f t="array" ref="T53">_xlfn.XLOOKUP(MIN(ABS($AY$7:$AY$27 - MEDIAN(MIN($AY$7:$AY$27), MAX($AY$7:$AY$27), T24))), ABS($AY$7:$AY$27 - MEDIAN(MIN($AY$7:$AY$27), MAX($AY$7:$AY$27), T24)), $AZ$7:$AZ$27, "Not Found", 0)</f>
        <v/>
      </c>
      <c r="U53" s="30">
        <f t="array" ref="U53">_xlfn.XLOOKUP(MIN(ABS($AY$7:$AY$27 - MEDIAN(MIN($AY$7:$AY$27), MAX($AY$7:$AY$27), U24))), ABS($AY$7:$AY$27 - MEDIAN(MIN($AY$7:$AY$27), MAX($AY$7:$AY$27), U24)), $AZ$7:$AZ$27, "Not Found", 0)</f>
        <v/>
      </c>
      <c r="V53" s="30">
        <f t="array" ref="V53">_xlfn.XLOOKUP(MIN(ABS($AY$7:$AY$27 - MEDIAN(MIN($AY$7:$AY$27), MAX($AY$7:$AY$27), V24))), ABS($AY$7:$AY$27 - MEDIAN(MIN($AY$7:$AY$27), MAX($AY$7:$AY$27), V24)), $AZ$7:$AZ$27, "Not Found", 0)</f>
        <v/>
      </c>
      <c r="W53" s="30">
        <f t="array" ref="W53">_xlfn.XLOOKUP(MIN(ABS($AY$7:$AY$27 - MEDIAN(MIN($AY$7:$AY$27), MAX($AY$7:$AY$27), W24))), ABS($AY$7:$AY$27 - MEDIAN(MIN($AY$7:$AY$27), MAX($AY$7:$AY$27), W24)), $AZ$7:$AZ$27, "Not Found", 0)</f>
        <v/>
      </c>
      <c r="X53" s="30">
        <f t="array" ref="X53">_xlfn.XLOOKUP(MIN(ABS($AY$7:$AY$27 - MEDIAN(MIN($AY$7:$AY$27), MAX($AY$7:$AY$27), X24))), ABS($AY$7:$AY$27 - MEDIAN(MIN($AY$7:$AY$27), MAX($AY$7:$AY$27), X24)), $AZ$7:$AZ$27, "Not Found", 0)</f>
        <v/>
      </c>
      <c r="Y53" s="30">
        <f t="array" ref="Y53">_xlfn.XLOOKUP(MIN(ABS($AY$7:$AY$27 - MEDIAN(MIN($AY$7:$AY$27), MAX($AY$7:$AY$27), Y24))), ABS($AY$7:$AY$27 - MEDIAN(MIN($AY$7:$AY$27), MAX($AY$7:$AY$27), Y24)), $AZ$7:$AZ$27, "Not Found", 0)</f>
        <v/>
      </c>
      <c r="Z53" s="30">
        <f t="array" ref="Z53">_xlfn.XLOOKUP(MIN(ABS($AY$7:$AY$27 - MEDIAN(MIN($AY$7:$AY$27), MAX($AY$7:$AY$27), Z24))), ABS($AY$7:$AY$27 - MEDIAN(MIN($AY$7:$AY$27), MAX($AY$7:$AY$27), Z24)), $AZ$7:$AZ$27, "Not Found", 0)</f>
        <v/>
      </c>
      <c r="AA53" s="30">
        <f t="array" ref="AA53">_xlfn.XLOOKUP(MIN(ABS($AY$7:$AY$27 - MEDIAN(MIN($AY$7:$AY$27), MAX($AY$7:$AY$27), AA24))), ABS($AY$7:$AY$27 - MEDIAN(MIN($AY$7:$AY$27), MAX($AY$7:$AY$27), AA24)), $AZ$7:$AZ$27, "Not Found", 0)</f>
        <v/>
      </c>
      <c r="AB53" s="30">
        <f t="array" ref="AB53">_xlfn.XLOOKUP(MIN(ABS($AY$7:$AY$27 - MEDIAN(MIN($AY$7:$AY$27), MAX($AY$7:$AY$27), AB24))), ABS($AY$7:$AY$27 - MEDIAN(MIN($AY$7:$AY$27), MAX($AY$7:$AY$27), AB24)), $AZ$7:$AZ$27, "Not Found", 0)</f>
        <v/>
      </c>
      <c r="AC53" s="30">
        <f t="array" ref="AC53">_xlfn.XLOOKUP(MIN(ABS($AY$7:$AY$27 - MEDIAN(MIN($AY$7:$AY$27), MAX($AY$7:$AY$27), AC24))), ABS($AY$7:$AY$27 - MEDIAN(MIN($AY$7:$AY$27), MAX($AY$7:$AY$27), AC24)), $AZ$7:$AZ$27, "Not Found", 0)</f>
        <v/>
      </c>
      <c r="AD53" s="30">
        <f t="array" ref="AD53">_xlfn.XLOOKUP(MIN(ABS($AY$7:$AY$27 - MEDIAN(MIN($AY$7:$AY$27), MAX($AY$7:$AY$27), AD24))), ABS($AY$7:$AY$27 - MEDIAN(MIN($AY$7:$AY$27), MAX($AY$7:$AY$27), AD24)), $AZ$7:$AZ$27, "Not Found", 0)</f>
        <v/>
      </c>
      <c r="AE53" s="30">
        <f t="array" ref="AE53">_xlfn.XLOOKUP(MIN(ABS($AY$7:$AY$27 - MEDIAN(MIN($AY$7:$AY$27), MAX($AY$7:$AY$27), AE24))), ABS($AY$7:$AY$27 - MEDIAN(MIN($AY$7:$AY$27), MAX($AY$7:$AY$27), AE24)), $AZ$7:$AZ$27, "Not Found", 0)</f>
        <v/>
      </c>
      <c r="AF53" s="30">
        <f t="array" ref="AF53">_xlfn.XLOOKUP(MIN(ABS($AY$7:$AY$27 - MEDIAN(MIN($AY$7:$AY$27), MAX($AY$7:$AY$27), AF24))), ABS($AY$7:$AY$27 - MEDIAN(MIN($AY$7:$AY$27), MAX($AY$7:$AY$27), AF24)), $AZ$7:$AZ$27, "Not Found", 0)</f>
        <v/>
      </c>
      <c r="AG53" s="30">
        <f t="array" ref="AG53">_xlfn.XLOOKUP(MIN(ABS($AY$7:$AY$27 - MEDIAN(MIN($AY$7:$AY$27), MAX($AY$7:$AY$27), AG24))), ABS($AY$7:$AY$27 - MEDIAN(MIN($AY$7:$AY$27), MAX($AY$7:$AY$27), AG24)), $AZ$7:$AZ$27, "Not Found", 0)</f>
        <v/>
      </c>
      <c r="AH53" s="30">
        <f t="array" ref="AH53">_xlfn.XLOOKUP(MIN(ABS($AY$7:$AY$27 - MEDIAN(MIN($AY$7:$AY$27), MAX($AY$7:$AY$27), AH24))), ABS($AY$7:$AY$27 - MEDIAN(MIN($AY$7:$AY$27), MAX($AY$7:$AY$27), AH24)), $AZ$7:$AZ$27, "Not Found", 0)</f>
        <v/>
      </c>
      <c r="AI53" s="30">
        <f t="array" ref="AI53">_xlfn.XLOOKUP(MIN(ABS($AY$7:$AY$27 - MEDIAN(MIN($AY$7:$AY$27), MAX($AY$7:$AY$27), AI24))), ABS($AY$7:$AY$27 - MEDIAN(MIN($AY$7:$AY$27), MAX($AY$7:$AY$27), AI24)), $AZ$7:$AZ$27, "Not Found", 0)</f>
        <v/>
      </c>
      <c r="AJ53" s="30">
        <f t="array" ref="AJ53">_xlfn.XLOOKUP(MIN(ABS($AY$7:$AY$27 - MEDIAN(MIN($AY$7:$AY$27), MAX($AY$7:$AY$27), AJ24))), ABS($AY$7:$AY$27 - MEDIAN(MIN($AY$7:$AY$27), MAX($AY$7:$AY$27), AJ24)), $AZ$7:$AZ$27, "Not Found", 0)</f>
        <v/>
      </c>
      <c r="AK53" s="30">
        <f t="array" ref="AK53">_xlfn.XLOOKUP(MIN(ABS($AY$7:$AY$27 - MEDIAN(MIN($AY$7:$AY$27), MAX($AY$7:$AY$27), AK24))), ABS($AY$7:$AY$27 - MEDIAN(MIN($AY$7:$AY$27), MAX($AY$7:$AY$27), AK24)), $AZ$7:$AZ$27, "Not Found", 0)</f>
        <v/>
      </c>
      <c r="AL53" s="30">
        <f t="array" ref="AL53">_xlfn.XLOOKUP(MIN(ABS($AY$7:$AY$27 - MEDIAN(MIN($AY$7:$AY$27), MAX($AY$7:$AY$27), AL24))), ABS($AY$7:$AY$27 - MEDIAN(MIN($AY$7:$AY$27), MAX($AY$7:$AY$27), AL24)), $AZ$7:$AZ$27, "Not Found", 0)</f>
        <v/>
      </c>
      <c r="AM53" s="30">
        <f t="array" ref="AM53">_xlfn.XLOOKUP(MIN(ABS($AY$7:$AY$27 - MEDIAN(MIN($AY$7:$AY$27), MAX($AY$7:$AY$27), AM24))), ABS($AY$7:$AY$27 - MEDIAN(MIN($AY$7:$AY$27), MAX($AY$7:$AY$27), AM24)), $AZ$7:$AZ$27, "Not Found", 0)</f>
        <v/>
      </c>
      <c r="AN53" s="30">
        <f t="array" ref="AN53">_xlfn.XLOOKUP(MIN(ABS($AY$7:$AY$27 - MEDIAN(MIN($AY$7:$AY$27), MAX($AY$7:$AY$27), AN24))), ABS($AY$7:$AY$27 - MEDIAN(MIN($AY$7:$AY$27), MAX($AY$7:$AY$27), AN24)), $AZ$7:$AZ$27, "Not Found", 0)</f>
        <v/>
      </c>
      <c r="AO53" s="30">
        <f t="array" ref="AO53">_xlfn.XLOOKUP(MIN(ABS($AY$7:$AY$27 - MEDIAN(MIN($AY$7:$AY$27), MAX($AY$7:$AY$27), AO24))), ABS($AY$7:$AY$27 - MEDIAN(MIN($AY$7:$AY$27), MAX($AY$7:$AY$27), AO24)), $AZ$7:$AZ$27, "Not Found", 0)</f>
        <v/>
      </c>
      <c r="AP53" s="30">
        <f t="array" ref="AP53">_xlfn.XLOOKUP(MIN(ABS($AY$7:$AY$27 - MEDIAN(MIN($AY$7:$AY$27), MAX($AY$7:$AY$27), AP24))), ABS($AY$7:$AY$27 - MEDIAN(MIN($AY$7:$AY$27), MAX($AY$7:$AY$27), AP24)), $AZ$7:$AZ$27, "Not Found", 0)</f>
        <v/>
      </c>
      <c r="AQ53" s="30">
        <f t="array" ref="AQ53">_xlfn.XLOOKUP(MIN(ABS($AY$7:$AY$27 - MEDIAN(MIN($AY$7:$AY$27), MAX($AY$7:$AY$27), AQ24))), ABS($AY$7:$AY$27 - MEDIAN(MIN($AY$7:$AY$27), MAX($AY$7:$AY$27), AQ24)), $AZ$7:$AZ$27, "Not Found", 0)</f>
        <v/>
      </c>
      <c r="AR53" s="30">
        <f t="array" ref="AR53">_xlfn.XLOOKUP(MIN(ABS($AY$7:$AY$27 - MEDIAN(MIN($AY$7:$AY$27), MAX($AY$7:$AY$27), AR24))), ABS($AY$7:$AY$27 - MEDIAN(MIN($AY$7:$AY$27), MAX($AY$7:$AY$27), AR24)), $AZ$7:$AZ$27, "Not Found", 0)</f>
        <v/>
      </c>
      <c r="AS53" s="30">
        <f t="array" ref="AS53">_xlfn.XLOOKUP(MIN(ABS($AY$7:$AY$27 - MEDIAN(MIN($AY$7:$AY$27), MAX($AY$7:$AY$27), AS24))), ABS($AY$7:$AY$27 - MEDIAN(MIN($AY$7:$AY$27), MAX($AY$7:$AY$27), AS24)), $AZ$7:$AZ$27, "Not Found", 0)</f>
        <v/>
      </c>
      <c r="AT53" s="30">
        <f t="array" ref="AT53">_xlfn.XLOOKUP(MIN(ABS($AY$7:$AY$27 - MEDIAN(MIN($AY$7:$AY$27), MAX($AY$7:$AY$27), AT24))), ABS($AY$7:$AY$27 - MEDIAN(MIN($AY$7:$AY$27), MAX($AY$7:$AY$27), AT24)), $AZ$7:$AZ$27, "Not Found", 0)</f>
        <v/>
      </c>
      <c r="AU53" s="30">
        <f t="array" ref="AU53">_xlfn.XLOOKUP(MIN(ABS($AY$7:$AY$27 - MEDIAN(MIN($AY$7:$AY$27), MAX($AY$7:$AY$27), AU24))), ABS($AY$7:$AY$27 - MEDIAN(MIN($AY$7:$AY$27), MAX($AY$7:$AY$27), AU24)), $AZ$7:$AZ$27, "Not Found", 0)</f>
        <v/>
      </c>
      <c r="AV53" s="30">
        <f t="array" ref="AV53">_xlfn.XLOOKUP(MIN(ABS($AY$7:$AY$27 - MEDIAN(MIN($AY$7:$AY$27), MAX($AY$7:$AY$27), AV24))), ABS($AY$7:$AY$27 - MEDIAN(MIN($AY$7:$AY$27), MAX($AY$7:$AY$27), AV24)), $AZ$7:$AZ$27, "Not Found", 0)</f>
        <v/>
      </c>
      <c r="AW53" s="30">
        <f t="array" ref="AW53">_xlfn.XLOOKUP(MIN(ABS($AY$7:$AY$27 - MEDIAN(MIN($AY$7:$AY$27), MAX($AY$7:$AY$27), AW24))), ABS($AY$7:$AY$27 - MEDIAN(MIN($AY$7:$AY$27), MAX($AY$7:$AY$27), AW24)), $AZ$7:$AZ$27, "Not Found", 0)</f>
        <v/>
      </c>
    </row>
    <row r="54" ht="25" customHeight="1">
      <c r="A54" s="48" t="inlineStr">
        <is>
          <t>GBP USD</t>
        </is>
      </c>
      <c r="B54" s="30">
        <f t="array" ref="B54">_xlfn.XLOOKUP(MIN(ABS($AY$7:$AY$27 - MEDIAN(MIN($AY$7:$AY$27), MAX($AY$7:$AY$27), B25))), ABS($AY$7:$AY$27 - MEDIAN(MIN($AY$7:$AY$27), MAX($AY$7:$AY$27), B25)), $AZ$7:$AZ$27, "Not Found", 0)</f>
        <v/>
      </c>
      <c r="C54" s="30">
        <f t="array" ref="C54">_xlfn.XLOOKUP(MIN(ABS($AY$7:$AY$27 - MEDIAN(MIN($AY$7:$AY$27), MAX($AY$7:$AY$27), C25))), ABS($AY$7:$AY$27 - MEDIAN(MIN($AY$7:$AY$27), MAX($AY$7:$AY$27), C25)), $AZ$7:$AZ$27, "Not Found", 0)</f>
        <v/>
      </c>
      <c r="D54" s="30">
        <f t="array" ref="D54">_xlfn.XLOOKUP(MIN(ABS($AY$7:$AY$27 - MEDIAN(MIN($AY$7:$AY$27), MAX($AY$7:$AY$27), D25))), ABS($AY$7:$AY$27 - MEDIAN(MIN($AY$7:$AY$27), MAX($AY$7:$AY$27), D25)), $AZ$7:$AZ$27, "Not Found", 0)</f>
        <v/>
      </c>
      <c r="E54" s="30">
        <f t="array" ref="E54">_xlfn.XLOOKUP(MIN(ABS($AY$7:$AY$27 - MEDIAN(MIN($AY$7:$AY$27), MAX($AY$7:$AY$27), E25))), ABS($AY$7:$AY$27 - MEDIAN(MIN($AY$7:$AY$27), MAX($AY$7:$AY$27), E25)), $AZ$7:$AZ$27, "Not Found", 0)</f>
        <v/>
      </c>
      <c r="F54" s="30">
        <f t="array" ref="F54">_xlfn.XLOOKUP(MIN(ABS($AY$7:$AY$27 - MEDIAN(MIN($AY$7:$AY$27), MAX($AY$7:$AY$27), F25))), ABS($AY$7:$AY$27 - MEDIAN(MIN($AY$7:$AY$27), MAX($AY$7:$AY$27), F25)), $AZ$7:$AZ$27, "Not Found", 0)</f>
        <v/>
      </c>
      <c r="G54" s="30">
        <f t="array" ref="G54">_xlfn.XLOOKUP(MIN(ABS($AY$7:$AY$27 - MEDIAN(MIN($AY$7:$AY$27), MAX($AY$7:$AY$27), G25))), ABS($AY$7:$AY$27 - MEDIAN(MIN($AY$7:$AY$27), MAX($AY$7:$AY$27), G25)), $AZ$7:$AZ$27, "Not Found", 0)</f>
        <v/>
      </c>
      <c r="H54" s="30">
        <f t="array" ref="H54">_xlfn.XLOOKUP(MIN(ABS($AY$7:$AY$27 - MEDIAN(MIN($AY$7:$AY$27), MAX($AY$7:$AY$27), H25))), ABS($AY$7:$AY$27 - MEDIAN(MIN($AY$7:$AY$27), MAX($AY$7:$AY$27), H25)), $AZ$7:$AZ$27, "Not Found", 0)</f>
        <v/>
      </c>
      <c r="I54" s="30">
        <f t="array" ref="I54">_xlfn.XLOOKUP(MIN(ABS($AY$7:$AY$27 - MEDIAN(MIN($AY$7:$AY$27), MAX($AY$7:$AY$27), I25))), ABS($AY$7:$AY$27 - MEDIAN(MIN($AY$7:$AY$27), MAX($AY$7:$AY$27), I25)), $AZ$7:$AZ$27, "Not Found", 0)</f>
        <v/>
      </c>
      <c r="J54" s="30">
        <f t="array" ref="J54">_xlfn.XLOOKUP(MIN(ABS($AY$7:$AY$27 - MEDIAN(MIN($AY$7:$AY$27), MAX($AY$7:$AY$27), J25))), ABS($AY$7:$AY$27 - MEDIAN(MIN($AY$7:$AY$27), MAX($AY$7:$AY$27), J25)), $AZ$7:$AZ$27, "Not Found", 0)</f>
        <v/>
      </c>
      <c r="K54" s="30">
        <f t="array" ref="K54">_xlfn.XLOOKUP(MIN(ABS($AY$7:$AY$27 - MEDIAN(MIN($AY$7:$AY$27), MAX($AY$7:$AY$27), K25))), ABS($AY$7:$AY$27 - MEDIAN(MIN($AY$7:$AY$27), MAX($AY$7:$AY$27), K25)), $AZ$7:$AZ$27, "Not Found", 0)</f>
        <v/>
      </c>
      <c r="L54" s="30">
        <f t="array" ref="L54">_xlfn.XLOOKUP(MIN(ABS($AY$7:$AY$27 - MEDIAN(MIN($AY$7:$AY$27), MAX($AY$7:$AY$27), L25))), ABS($AY$7:$AY$27 - MEDIAN(MIN($AY$7:$AY$27), MAX($AY$7:$AY$27), L25)), $AZ$7:$AZ$27, "Not Found", 0)</f>
        <v/>
      </c>
      <c r="M54" s="30">
        <f t="array" ref="M54">_xlfn.XLOOKUP(MIN(ABS($AY$7:$AY$27 - MEDIAN(MIN($AY$7:$AY$27), MAX($AY$7:$AY$27), M25))), ABS($AY$7:$AY$27 - MEDIAN(MIN($AY$7:$AY$27), MAX($AY$7:$AY$27), M25)), $AZ$7:$AZ$27, "Not Found", 0)</f>
        <v/>
      </c>
      <c r="N54" s="30">
        <f t="array" ref="N54">_xlfn.XLOOKUP(MIN(ABS($AY$7:$AY$27 - MEDIAN(MIN($AY$7:$AY$27), MAX($AY$7:$AY$27), N25))), ABS($AY$7:$AY$27 - MEDIAN(MIN($AY$7:$AY$27), MAX($AY$7:$AY$27), N25)), $AZ$7:$AZ$27, "Not Found", 0)</f>
        <v/>
      </c>
      <c r="O54" s="30">
        <f t="array" ref="O54">_xlfn.XLOOKUP(MIN(ABS($AY$7:$AY$27 - MEDIAN(MIN($AY$7:$AY$27), MAX($AY$7:$AY$27), O25))), ABS($AY$7:$AY$27 - MEDIAN(MIN($AY$7:$AY$27), MAX($AY$7:$AY$27), O25)), $AZ$7:$AZ$27, "Not Found", 0)</f>
        <v/>
      </c>
      <c r="P54" s="30">
        <f t="array" ref="P54">_xlfn.XLOOKUP(MIN(ABS($AY$7:$AY$27 - MEDIAN(MIN($AY$7:$AY$27), MAX($AY$7:$AY$27), P25))), ABS($AY$7:$AY$27 - MEDIAN(MIN($AY$7:$AY$27), MAX($AY$7:$AY$27), P25)), $AZ$7:$AZ$27, "Not Found", 0)</f>
        <v/>
      </c>
      <c r="Q54" s="30">
        <f t="array" ref="Q54">_xlfn.XLOOKUP(MIN(ABS($AY$7:$AY$27 - MEDIAN(MIN($AY$7:$AY$27), MAX($AY$7:$AY$27), Q25))), ABS($AY$7:$AY$27 - MEDIAN(MIN($AY$7:$AY$27), MAX($AY$7:$AY$27), Q25)), $AZ$7:$AZ$27, "Not Found", 0)</f>
        <v/>
      </c>
      <c r="R54" s="30">
        <f t="array" ref="R54">_xlfn.XLOOKUP(MIN(ABS($AY$7:$AY$27 - MEDIAN(MIN($AY$7:$AY$27), MAX($AY$7:$AY$27), R25))), ABS($AY$7:$AY$27 - MEDIAN(MIN($AY$7:$AY$27), MAX($AY$7:$AY$27), R25)), $AZ$7:$AZ$27, "Not Found", 0)</f>
        <v/>
      </c>
      <c r="S54" s="30">
        <f t="array" ref="S54">_xlfn.XLOOKUP(MIN(ABS($AY$7:$AY$27 - MEDIAN(MIN($AY$7:$AY$27), MAX($AY$7:$AY$27), S25))), ABS($AY$7:$AY$27 - MEDIAN(MIN($AY$7:$AY$27), MAX($AY$7:$AY$27), S25)), $AZ$7:$AZ$27, "Not Found", 0)</f>
        <v/>
      </c>
      <c r="T54" s="30">
        <f t="array" ref="T54">_xlfn.XLOOKUP(MIN(ABS($AY$7:$AY$27 - MEDIAN(MIN($AY$7:$AY$27), MAX($AY$7:$AY$27), T25))), ABS($AY$7:$AY$27 - MEDIAN(MIN($AY$7:$AY$27), MAX($AY$7:$AY$27), T25)), $AZ$7:$AZ$27, "Not Found", 0)</f>
        <v/>
      </c>
      <c r="U54" s="30">
        <f t="array" ref="U54">_xlfn.XLOOKUP(MIN(ABS($AY$7:$AY$27 - MEDIAN(MIN($AY$7:$AY$27), MAX($AY$7:$AY$27), U25))), ABS($AY$7:$AY$27 - MEDIAN(MIN($AY$7:$AY$27), MAX($AY$7:$AY$27), U25)), $AZ$7:$AZ$27, "Not Found", 0)</f>
        <v/>
      </c>
      <c r="V54" s="30">
        <f t="array" ref="V54">_xlfn.XLOOKUP(MIN(ABS($AY$7:$AY$27 - MEDIAN(MIN($AY$7:$AY$27), MAX($AY$7:$AY$27), V25))), ABS($AY$7:$AY$27 - MEDIAN(MIN($AY$7:$AY$27), MAX($AY$7:$AY$27), V25)), $AZ$7:$AZ$27, "Not Found", 0)</f>
        <v/>
      </c>
      <c r="W54" s="30">
        <f t="array" ref="W54">_xlfn.XLOOKUP(MIN(ABS($AY$7:$AY$27 - MEDIAN(MIN($AY$7:$AY$27), MAX($AY$7:$AY$27), W25))), ABS($AY$7:$AY$27 - MEDIAN(MIN($AY$7:$AY$27), MAX($AY$7:$AY$27), W25)), $AZ$7:$AZ$27, "Not Found", 0)</f>
        <v/>
      </c>
      <c r="X54" s="30">
        <f t="array" ref="X54">_xlfn.XLOOKUP(MIN(ABS($AY$7:$AY$27 - MEDIAN(MIN($AY$7:$AY$27), MAX($AY$7:$AY$27), X25))), ABS($AY$7:$AY$27 - MEDIAN(MIN($AY$7:$AY$27), MAX($AY$7:$AY$27), X25)), $AZ$7:$AZ$27, "Not Found", 0)</f>
        <v/>
      </c>
      <c r="Y54" s="30">
        <f t="array" ref="Y54">_xlfn.XLOOKUP(MIN(ABS($AY$7:$AY$27 - MEDIAN(MIN($AY$7:$AY$27), MAX($AY$7:$AY$27), Y25))), ABS($AY$7:$AY$27 - MEDIAN(MIN($AY$7:$AY$27), MAX($AY$7:$AY$27), Y25)), $AZ$7:$AZ$27, "Not Found", 0)</f>
        <v/>
      </c>
      <c r="Z54" s="30">
        <f t="array" ref="Z54">_xlfn.XLOOKUP(MIN(ABS($AY$7:$AY$27 - MEDIAN(MIN($AY$7:$AY$27), MAX($AY$7:$AY$27), Z25))), ABS($AY$7:$AY$27 - MEDIAN(MIN($AY$7:$AY$27), MAX($AY$7:$AY$27), Z25)), $AZ$7:$AZ$27, "Not Found", 0)</f>
        <v/>
      </c>
      <c r="AA54" s="30">
        <f t="array" ref="AA54">_xlfn.XLOOKUP(MIN(ABS($AY$7:$AY$27 - MEDIAN(MIN($AY$7:$AY$27), MAX($AY$7:$AY$27), AA25))), ABS($AY$7:$AY$27 - MEDIAN(MIN($AY$7:$AY$27), MAX($AY$7:$AY$27), AA25)), $AZ$7:$AZ$27, "Not Found", 0)</f>
        <v/>
      </c>
      <c r="AB54" s="30">
        <f t="array" ref="AB54">_xlfn.XLOOKUP(MIN(ABS($AY$7:$AY$27 - MEDIAN(MIN($AY$7:$AY$27), MAX($AY$7:$AY$27), AB25))), ABS($AY$7:$AY$27 - MEDIAN(MIN($AY$7:$AY$27), MAX($AY$7:$AY$27), AB25)), $AZ$7:$AZ$27, "Not Found", 0)</f>
        <v/>
      </c>
      <c r="AC54" s="30">
        <f t="array" ref="AC54">_xlfn.XLOOKUP(MIN(ABS($AY$7:$AY$27 - MEDIAN(MIN($AY$7:$AY$27), MAX($AY$7:$AY$27), AC25))), ABS($AY$7:$AY$27 - MEDIAN(MIN($AY$7:$AY$27), MAX($AY$7:$AY$27), AC25)), $AZ$7:$AZ$27, "Not Found", 0)</f>
        <v/>
      </c>
      <c r="AD54" s="30">
        <f t="array" ref="AD54">_xlfn.XLOOKUP(MIN(ABS($AY$7:$AY$27 - MEDIAN(MIN($AY$7:$AY$27), MAX($AY$7:$AY$27), AD25))), ABS($AY$7:$AY$27 - MEDIAN(MIN($AY$7:$AY$27), MAX($AY$7:$AY$27), AD25)), $AZ$7:$AZ$27, "Not Found", 0)</f>
        <v/>
      </c>
      <c r="AE54" s="30">
        <f t="array" ref="AE54">_xlfn.XLOOKUP(MIN(ABS($AY$7:$AY$27 - MEDIAN(MIN($AY$7:$AY$27), MAX($AY$7:$AY$27), AE25))), ABS($AY$7:$AY$27 - MEDIAN(MIN($AY$7:$AY$27), MAX($AY$7:$AY$27), AE25)), $AZ$7:$AZ$27, "Not Found", 0)</f>
        <v/>
      </c>
      <c r="AF54" s="30">
        <f t="array" ref="AF54">_xlfn.XLOOKUP(MIN(ABS($AY$7:$AY$27 - MEDIAN(MIN($AY$7:$AY$27), MAX($AY$7:$AY$27), AF25))), ABS($AY$7:$AY$27 - MEDIAN(MIN($AY$7:$AY$27), MAX($AY$7:$AY$27), AF25)), $AZ$7:$AZ$27, "Not Found", 0)</f>
        <v/>
      </c>
      <c r="AG54" s="30">
        <f t="array" ref="AG54">_xlfn.XLOOKUP(MIN(ABS($AY$7:$AY$27 - MEDIAN(MIN($AY$7:$AY$27), MAX($AY$7:$AY$27), AG25))), ABS($AY$7:$AY$27 - MEDIAN(MIN($AY$7:$AY$27), MAX($AY$7:$AY$27), AG25)), $AZ$7:$AZ$27, "Not Found", 0)</f>
        <v/>
      </c>
      <c r="AH54" s="30">
        <f t="array" ref="AH54">_xlfn.XLOOKUP(MIN(ABS($AY$7:$AY$27 - MEDIAN(MIN($AY$7:$AY$27), MAX($AY$7:$AY$27), AH25))), ABS($AY$7:$AY$27 - MEDIAN(MIN($AY$7:$AY$27), MAX($AY$7:$AY$27), AH25)), $AZ$7:$AZ$27, "Not Found", 0)</f>
        <v/>
      </c>
      <c r="AI54" s="30">
        <f t="array" ref="AI54">_xlfn.XLOOKUP(MIN(ABS($AY$7:$AY$27 - MEDIAN(MIN($AY$7:$AY$27), MAX($AY$7:$AY$27), AI25))), ABS($AY$7:$AY$27 - MEDIAN(MIN($AY$7:$AY$27), MAX($AY$7:$AY$27), AI25)), $AZ$7:$AZ$27, "Not Found", 0)</f>
        <v/>
      </c>
      <c r="AJ54" s="30">
        <f t="array" ref="AJ54">_xlfn.XLOOKUP(MIN(ABS($AY$7:$AY$27 - MEDIAN(MIN($AY$7:$AY$27), MAX($AY$7:$AY$27), AJ25))), ABS($AY$7:$AY$27 - MEDIAN(MIN($AY$7:$AY$27), MAX($AY$7:$AY$27), AJ25)), $AZ$7:$AZ$27, "Not Found", 0)</f>
        <v/>
      </c>
      <c r="AK54" s="30">
        <f t="array" ref="AK54">_xlfn.XLOOKUP(MIN(ABS($AY$7:$AY$27 - MEDIAN(MIN($AY$7:$AY$27), MAX($AY$7:$AY$27), AK25))), ABS($AY$7:$AY$27 - MEDIAN(MIN($AY$7:$AY$27), MAX($AY$7:$AY$27), AK25)), $AZ$7:$AZ$27, "Not Found", 0)</f>
        <v/>
      </c>
      <c r="AL54" s="30">
        <f t="array" ref="AL54">_xlfn.XLOOKUP(MIN(ABS($AY$7:$AY$27 - MEDIAN(MIN($AY$7:$AY$27), MAX($AY$7:$AY$27), AL25))), ABS($AY$7:$AY$27 - MEDIAN(MIN($AY$7:$AY$27), MAX($AY$7:$AY$27), AL25)), $AZ$7:$AZ$27, "Not Found", 0)</f>
        <v/>
      </c>
      <c r="AM54" s="30">
        <f t="array" ref="AM54">_xlfn.XLOOKUP(MIN(ABS($AY$7:$AY$27 - MEDIAN(MIN($AY$7:$AY$27), MAX($AY$7:$AY$27), AM25))), ABS($AY$7:$AY$27 - MEDIAN(MIN($AY$7:$AY$27), MAX($AY$7:$AY$27), AM25)), $AZ$7:$AZ$27, "Not Found", 0)</f>
        <v/>
      </c>
      <c r="AN54" s="30">
        <f t="array" ref="AN54">_xlfn.XLOOKUP(MIN(ABS($AY$7:$AY$27 - MEDIAN(MIN($AY$7:$AY$27), MAX($AY$7:$AY$27), AN25))), ABS($AY$7:$AY$27 - MEDIAN(MIN($AY$7:$AY$27), MAX($AY$7:$AY$27), AN25)), $AZ$7:$AZ$27, "Not Found", 0)</f>
        <v/>
      </c>
      <c r="AO54" s="30">
        <f t="array" ref="AO54">_xlfn.XLOOKUP(MIN(ABS($AY$7:$AY$27 - MEDIAN(MIN($AY$7:$AY$27), MAX($AY$7:$AY$27), AO25))), ABS($AY$7:$AY$27 - MEDIAN(MIN($AY$7:$AY$27), MAX($AY$7:$AY$27), AO25)), $AZ$7:$AZ$27, "Not Found", 0)</f>
        <v/>
      </c>
      <c r="AP54" s="30">
        <f t="array" ref="AP54">_xlfn.XLOOKUP(MIN(ABS($AY$7:$AY$27 - MEDIAN(MIN($AY$7:$AY$27), MAX($AY$7:$AY$27), AP25))), ABS($AY$7:$AY$27 - MEDIAN(MIN($AY$7:$AY$27), MAX($AY$7:$AY$27), AP25)), $AZ$7:$AZ$27, "Not Found", 0)</f>
        <v/>
      </c>
      <c r="AQ54" s="30">
        <f t="array" ref="AQ54">_xlfn.XLOOKUP(MIN(ABS($AY$7:$AY$27 - MEDIAN(MIN($AY$7:$AY$27), MAX($AY$7:$AY$27), AQ25))), ABS($AY$7:$AY$27 - MEDIAN(MIN($AY$7:$AY$27), MAX($AY$7:$AY$27), AQ25)), $AZ$7:$AZ$27, "Not Found", 0)</f>
        <v/>
      </c>
      <c r="AR54" s="30">
        <f t="array" ref="AR54">_xlfn.XLOOKUP(MIN(ABS($AY$7:$AY$27 - MEDIAN(MIN($AY$7:$AY$27), MAX($AY$7:$AY$27), AR25))), ABS($AY$7:$AY$27 - MEDIAN(MIN($AY$7:$AY$27), MAX($AY$7:$AY$27), AR25)), $AZ$7:$AZ$27, "Not Found", 0)</f>
        <v/>
      </c>
      <c r="AS54" s="30">
        <f t="array" ref="AS54">_xlfn.XLOOKUP(MIN(ABS($AY$7:$AY$27 - MEDIAN(MIN($AY$7:$AY$27), MAX($AY$7:$AY$27), AS25))), ABS($AY$7:$AY$27 - MEDIAN(MIN($AY$7:$AY$27), MAX($AY$7:$AY$27), AS25)), $AZ$7:$AZ$27, "Not Found", 0)</f>
        <v/>
      </c>
      <c r="AT54" s="30">
        <f t="array" ref="AT54">_xlfn.XLOOKUP(MIN(ABS($AY$7:$AY$27 - MEDIAN(MIN($AY$7:$AY$27), MAX($AY$7:$AY$27), AT25))), ABS($AY$7:$AY$27 - MEDIAN(MIN($AY$7:$AY$27), MAX($AY$7:$AY$27), AT25)), $AZ$7:$AZ$27, "Not Found", 0)</f>
        <v/>
      </c>
      <c r="AU54" s="30">
        <f t="array" ref="AU54">_xlfn.XLOOKUP(MIN(ABS($AY$7:$AY$27 - MEDIAN(MIN($AY$7:$AY$27), MAX($AY$7:$AY$27), AU25))), ABS($AY$7:$AY$27 - MEDIAN(MIN($AY$7:$AY$27), MAX($AY$7:$AY$27), AU25)), $AZ$7:$AZ$27, "Not Found", 0)</f>
        <v/>
      </c>
      <c r="AV54" s="30">
        <f t="array" ref="AV54">_xlfn.XLOOKUP(MIN(ABS($AY$7:$AY$27 - MEDIAN(MIN($AY$7:$AY$27), MAX($AY$7:$AY$27), AV25))), ABS($AY$7:$AY$27 - MEDIAN(MIN($AY$7:$AY$27), MAX($AY$7:$AY$27), AV25)), $AZ$7:$AZ$27, "Not Found", 0)</f>
        <v/>
      </c>
      <c r="AW54" s="30">
        <f t="array" ref="AW54">_xlfn.XLOOKUP(MIN(ABS($AY$7:$AY$27 - MEDIAN(MIN($AY$7:$AY$27), MAX($AY$7:$AY$27), AW25))), ABS($AY$7:$AY$27 - MEDIAN(MIN($AY$7:$AY$27), MAX($AY$7:$AY$27), AW25)), $AZ$7:$AZ$27, "Not Found", 0)</f>
        <v/>
      </c>
    </row>
    <row r="55" ht="25" customHeight="1">
      <c r="A55" s="48" t="inlineStr">
        <is>
          <t>GBP JPY</t>
        </is>
      </c>
      <c r="B55" s="30">
        <f t="array" ref="B55">_xlfn.XLOOKUP(MIN(ABS($AY$7:$AY$27 - MEDIAN(MIN($AY$7:$AY$27), MAX($AY$7:$AY$27), B26))), ABS($AY$7:$AY$27 - MEDIAN(MIN($AY$7:$AY$27), MAX($AY$7:$AY$27), B26)), $AZ$7:$AZ$27, "Not Found", 0)</f>
        <v/>
      </c>
      <c r="C55" s="30">
        <f t="array" ref="C55">_xlfn.XLOOKUP(MIN(ABS($AY$7:$AY$27 - MEDIAN(MIN($AY$7:$AY$27), MAX($AY$7:$AY$27), C26))), ABS($AY$7:$AY$27 - MEDIAN(MIN($AY$7:$AY$27), MAX($AY$7:$AY$27), C26)), $AZ$7:$AZ$27, "Not Found", 0)</f>
        <v/>
      </c>
      <c r="D55" s="30">
        <f t="array" ref="D55">_xlfn.XLOOKUP(MIN(ABS($AY$7:$AY$27 - MEDIAN(MIN($AY$7:$AY$27), MAX($AY$7:$AY$27), D26))), ABS($AY$7:$AY$27 - MEDIAN(MIN($AY$7:$AY$27), MAX($AY$7:$AY$27), D26)), $AZ$7:$AZ$27, "Not Found", 0)</f>
        <v/>
      </c>
      <c r="E55" s="30">
        <f t="array" ref="E55">_xlfn.XLOOKUP(MIN(ABS($AY$7:$AY$27 - MEDIAN(MIN($AY$7:$AY$27), MAX($AY$7:$AY$27), E26))), ABS($AY$7:$AY$27 - MEDIAN(MIN($AY$7:$AY$27), MAX($AY$7:$AY$27), E26)), $AZ$7:$AZ$27, "Not Found", 0)</f>
        <v/>
      </c>
      <c r="F55" s="30">
        <f t="array" ref="F55">_xlfn.XLOOKUP(MIN(ABS($AY$7:$AY$27 - MEDIAN(MIN($AY$7:$AY$27), MAX($AY$7:$AY$27), F26))), ABS($AY$7:$AY$27 - MEDIAN(MIN($AY$7:$AY$27), MAX($AY$7:$AY$27), F26)), $AZ$7:$AZ$27, "Not Found", 0)</f>
        <v/>
      </c>
      <c r="G55" s="30">
        <f t="array" ref="G55">_xlfn.XLOOKUP(MIN(ABS($AY$7:$AY$27 - MEDIAN(MIN($AY$7:$AY$27), MAX($AY$7:$AY$27), G26))), ABS($AY$7:$AY$27 - MEDIAN(MIN($AY$7:$AY$27), MAX($AY$7:$AY$27), G26)), $AZ$7:$AZ$27, "Not Found", 0)</f>
        <v/>
      </c>
      <c r="H55" s="30">
        <f t="array" ref="H55">_xlfn.XLOOKUP(MIN(ABS($AY$7:$AY$27 - MEDIAN(MIN($AY$7:$AY$27), MAX($AY$7:$AY$27), H26))), ABS($AY$7:$AY$27 - MEDIAN(MIN($AY$7:$AY$27), MAX($AY$7:$AY$27), H26)), $AZ$7:$AZ$27, "Not Found", 0)</f>
        <v/>
      </c>
      <c r="I55" s="30">
        <f t="array" ref="I55">_xlfn.XLOOKUP(MIN(ABS($AY$7:$AY$27 - MEDIAN(MIN($AY$7:$AY$27), MAX($AY$7:$AY$27), I26))), ABS($AY$7:$AY$27 - MEDIAN(MIN($AY$7:$AY$27), MAX($AY$7:$AY$27), I26)), $AZ$7:$AZ$27, "Not Found", 0)</f>
        <v/>
      </c>
      <c r="J55" s="30">
        <f t="array" ref="J55">_xlfn.XLOOKUP(MIN(ABS($AY$7:$AY$27 - MEDIAN(MIN($AY$7:$AY$27), MAX($AY$7:$AY$27), J26))), ABS($AY$7:$AY$27 - MEDIAN(MIN($AY$7:$AY$27), MAX($AY$7:$AY$27), J26)), $AZ$7:$AZ$27, "Not Found", 0)</f>
        <v/>
      </c>
      <c r="K55" s="30">
        <f t="array" ref="K55">_xlfn.XLOOKUP(MIN(ABS($AY$7:$AY$27 - MEDIAN(MIN($AY$7:$AY$27), MAX($AY$7:$AY$27), K26))), ABS($AY$7:$AY$27 - MEDIAN(MIN($AY$7:$AY$27), MAX($AY$7:$AY$27), K26)), $AZ$7:$AZ$27, "Not Found", 0)</f>
        <v/>
      </c>
      <c r="L55" s="30">
        <f t="array" ref="L55">_xlfn.XLOOKUP(MIN(ABS($AY$7:$AY$27 - MEDIAN(MIN($AY$7:$AY$27), MAX($AY$7:$AY$27), L26))), ABS($AY$7:$AY$27 - MEDIAN(MIN($AY$7:$AY$27), MAX($AY$7:$AY$27), L26)), $AZ$7:$AZ$27, "Not Found", 0)</f>
        <v/>
      </c>
      <c r="M55" s="30">
        <f t="array" ref="M55">_xlfn.XLOOKUP(MIN(ABS($AY$7:$AY$27 - MEDIAN(MIN($AY$7:$AY$27), MAX($AY$7:$AY$27), M26))), ABS($AY$7:$AY$27 - MEDIAN(MIN($AY$7:$AY$27), MAX($AY$7:$AY$27), M26)), $AZ$7:$AZ$27, "Not Found", 0)</f>
        <v/>
      </c>
      <c r="N55" s="30">
        <f t="array" ref="N55">_xlfn.XLOOKUP(MIN(ABS($AY$7:$AY$27 - MEDIAN(MIN($AY$7:$AY$27), MAX($AY$7:$AY$27), N26))), ABS($AY$7:$AY$27 - MEDIAN(MIN($AY$7:$AY$27), MAX($AY$7:$AY$27), N26)), $AZ$7:$AZ$27, "Not Found", 0)</f>
        <v/>
      </c>
      <c r="O55" s="30">
        <f t="array" ref="O55">_xlfn.XLOOKUP(MIN(ABS($AY$7:$AY$27 - MEDIAN(MIN($AY$7:$AY$27), MAX($AY$7:$AY$27), O26))), ABS($AY$7:$AY$27 - MEDIAN(MIN($AY$7:$AY$27), MAX($AY$7:$AY$27), O26)), $AZ$7:$AZ$27, "Not Found", 0)</f>
        <v/>
      </c>
      <c r="P55" s="30">
        <f t="array" ref="P55">_xlfn.XLOOKUP(MIN(ABS($AY$7:$AY$27 - MEDIAN(MIN($AY$7:$AY$27), MAX($AY$7:$AY$27), P26))), ABS($AY$7:$AY$27 - MEDIAN(MIN($AY$7:$AY$27), MAX($AY$7:$AY$27), P26)), $AZ$7:$AZ$27, "Not Found", 0)</f>
        <v/>
      </c>
      <c r="Q55" s="30">
        <f t="array" ref="Q55">_xlfn.XLOOKUP(MIN(ABS($AY$7:$AY$27 - MEDIAN(MIN($AY$7:$AY$27), MAX($AY$7:$AY$27), Q26))), ABS($AY$7:$AY$27 - MEDIAN(MIN($AY$7:$AY$27), MAX($AY$7:$AY$27), Q26)), $AZ$7:$AZ$27, "Not Found", 0)</f>
        <v/>
      </c>
      <c r="R55" s="30">
        <f t="array" ref="R55">_xlfn.XLOOKUP(MIN(ABS($AY$7:$AY$27 - MEDIAN(MIN($AY$7:$AY$27), MAX($AY$7:$AY$27), R26))), ABS($AY$7:$AY$27 - MEDIAN(MIN($AY$7:$AY$27), MAX($AY$7:$AY$27), R26)), $AZ$7:$AZ$27, "Not Found", 0)</f>
        <v/>
      </c>
      <c r="S55" s="30">
        <f t="array" ref="S55">_xlfn.XLOOKUP(MIN(ABS($AY$7:$AY$27 - MEDIAN(MIN($AY$7:$AY$27), MAX($AY$7:$AY$27), S26))), ABS($AY$7:$AY$27 - MEDIAN(MIN($AY$7:$AY$27), MAX($AY$7:$AY$27), S26)), $AZ$7:$AZ$27, "Not Found", 0)</f>
        <v/>
      </c>
      <c r="T55" s="30">
        <f t="array" ref="T55">_xlfn.XLOOKUP(MIN(ABS($AY$7:$AY$27 - MEDIAN(MIN($AY$7:$AY$27), MAX($AY$7:$AY$27), T26))), ABS($AY$7:$AY$27 - MEDIAN(MIN($AY$7:$AY$27), MAX($AY$7:$AY$27), T26)), $AZ$7:$AZ$27, "Not Found", 0)</f>
        <v/>
      </c>
      <c r="U55" s="30">
        <f t="array" ref="U55">_xlfn.XLOOKUP(MIN(ABS($AY$7:$AY$27 - MEDIAN(MIN($AY$7:$AY$27), MAX($AY$7:$AY$27), U26))), ABS($AY$7:$AY$27 - MEDIAN(MIN($AY$7:$AY$27), MAX($AY$7:$AY$27), U26)), $AZ$7:$AZ$27, "Not Found", 0)</f>
        <v/>
      </c>
      <c r="V55" s="30">
        <f t="array" ref="V55">_xlfn.XLOOKUP(MIN(ABS($AY$7:$AY$27 - MEDIAN(MIN($AY$7:$AY$27), MAX($AY$7:$AY$27), V26))), ABS($AY$7:$AY$27 - MEDIAN(MIN($AY$7:$AY$27), MAX($AY$7:$AY$27), V26)), $AZ$7:$AZ$27, "Not Found", 0)</f>
        <v/>
      </c>
      <c r="W55" s="30">
        <f t="array" ref="W55">_xlfn.XLOOKUP(MIN(ABS($AY$7:$AY$27 - MEDIAN(MIN($AY$7:$AY$27), MAX($AY$7:$AY$27), W26))), ABS($AY$7:$AY$27 - MEDIAN(MIN($AY$7:$AY$27), MAX($AY$7:$AY$27), W26)), $AZ$7:$AZ$27, "Not Found", 0)</f>
        <v/>
      </c>
      <c r="X55" s="30">
        <f t="array" ref="X55">_xlfn.XLOOKUP(MIN(ABS($AY$7:$AY$27 - MEDIAN(MIN($AY$7:$AY$27), MAX($AY$7:$AY$27), X26))), ABS($AY$7:$AY$27 - MEDIAN(MIN($AY$7:$AY$27), MAX($AY$7:$AY$27), X26)), $AZ$7:$AZ$27, "Not Found", 0)</f>
        <v/>
      </c>
      <c r="Y55" s="30">
        <f t="array" ref="Y55">_xlfn.XLOOKUP(MIN(ABS($AY$7:$AY$27 - MEDIAN(MIN($AY$7:$AY$27), MAX($AY$7:$AY$27), Y26))), ABS($AY$7:$AY$27 - MEDIAN(MIN($AY$7:$AY$27), MAX($AY$7:$AY$27), Y26)), $AZ$7:$AZ$27, "Not Found", 0)</f>
        <v/>
      </c>
      <c r="Z55" s="30">
        <f t="array" ref="Z55">_xlfn.XLOOKUP(MIN(ABS($AY$7:$AY$27 - MEDIAN(MIN($AY$7:$AY$27), MAX($AY$7:$AY$27), Z26))), ABS($AY$7:$AY$27 - MEDIAN(MIN($AY$7:$AY$27), MAX($AY$7:$AY$27), Z26)), $AZ$7:$AZ$27, "Not Found", 0)</f>
        <v/>
      </c>
      <c r="AA55" s="30">
        <f t="array" ref="AA55">_xlfn.XLOOKUP(MIN(ABS($AY$7:$AY$27 - MEDIAN(MIN($AY$7:$AY$27), MAX($AY$7:$AY$27), AA26))), ABS($AY$7:$AY$27 - MEDIAN(MIN($AY$7:$AY$27), MAX($AY$7:$AY$27), AA26)), $AZ$7:$AZ$27, "Not Found", 0)</f>
        <v/>
      </c>
      <c r="AB55" s="30">
        <f t="array" ref="AB55">_xlfn.XLOOKUP(MIN(ABS($AY$7:$AY$27 - MEDIAN(MIN($AY$7:$AY$27), MAX($AY$7:$AY$27), AB26))), ABS($AY$7:$AY$27 - MEDIAN(MIN($AY$7:$AY$27), MAX($AY$7:$AY$27), AB26)), $AZ$7:$AZ$27, "Not Found", 0)</f>
        <v/>
      </c>
      <c r="AC55" s="30">
        <f t="array" ref="AC55">_xlfn.XLOOKUP(MIN(ABS($AY$7:$AY$27 - MEDIAN(MIN($AY$7:$AY$27), MAX($AY$7:$AY$27), AC26))), ABS($AY$7:$AY$27 - MEDIAN(MIN($AY$7:$AY$27), MAX($AY$7:$AY$27), AC26)), $AZ$7:$AZ$27, "Not Found", 0)</f>
        <v/>
      </c>
      <c r="AD55" s="30">
        <f t="array" ref="AD55">_xlfn.XLOOKUP(MIN(ABS($AY$7:$AY$27 - MEDIAN(MIN($AY$7:$AY$27), MAX($AY$7:$AY$27), AD26))), ABS($AY$7:$AY$27 - MEDIAN(MIN($AY$7:$AY$27), MAX($AY$7:$AY$27), AD26)), $AZ$7:$AZ$27, "Not Found", 0)</f>
        <v/>
      </c>
      <c r="AE55" s="30">
        <f t="array" ref="AE55">_xlfn.XLOOKUP(MIN(ABS($AY$7:$AY$27 - MEDIAN(MIN($AY$7:$AY$27), MAX($AY$7:$AY$27), AE26))), ABS($AY$7:$AY$27 - MEDIAN(MIN($AY$7:$AY$27), MAX($AY$7:$AY$27), AE26)), $AZ$7:$AZ$27, "Not Found", 0)</f>
        <v/>
      </c>
      <c r="AF55" s="30">
        <f t="array" ref="AF55">_xlfn.XLOOKUP(MIN(ABS($AY$7:$AY$27 - MEDIAN(MIN($AY$7:$AY$27), MAX($AY$7:$AY$27), AF26))), ABS($AY$7:$AY$27 - MEDIAN(MIN($AY$7:$AY$27), MAX($AY$7:$AY$27), AF26)), $AZ$7:$AZ$27, "Not Found", 0)</f>
        <v/>
      </c>
      <c r="AG55" s="30">
        <f t="array" ref="AG55">_xlfn.XLOOKUP(MIN(ABS($AY$7:$AY$27 - MEDIAN(MIN($AY$7:$AY$27), MAX($AY$7:$AY$27), AG26))), ABS($AY$7:$AY$27 - MEDIAN(MIN($AY$7:$AY$27), MAX($AY$7:$AY$27), AG26)), $AZ$7:$AZ$27, "Not Found", 0)</f>
        <v/>
      </c>
      <c r="AH55" s="30">
        <f t="array" ref="AH55">_xlfn.XLOOKUP(MIN(ABS($AY$7:$AY$27 - MEDIAN(MIN($AY$7:$AY$27), MAX($AY$7:$AY$27), AH26))), ABS($AY$7:$AY$27 - MEDIAN(MIN($AY$7:$AY$27), MAX($AY$7:$AY$27), AH26)), $AZ$7:$AZ$27, "Not Found", 0)</f>
        <v/>
      </c>
      <c r="AI55" s="30">
        <f t="array" ref="AI55">_xlfn.XLOOKUP(MIN(ABS($AY$7:$AY$27 - MEDIAN(MIN($AY$7:$AY$27), MAX($AY$7:$AY$27), AI26))), ABS($AY$7:$AY$27 - MEDIAN(MIN($AY$7:$AY$27), MAX($AY$7:$AY$27), AI26)), $AZ$7:$AZ$27, "Not Found", 0)</f>
        <v/>
      </c>
      <c r="AJ55" s="30">
        <f t="array" ref="AJ55">_xlfn.XLOOKUP(MIN(ABS($AY$7:$AY$27 - MEDIAN(MIN($AY$7:$AY$27), MAX($AY$7:$AY$27), AJ26))), ABS($AY$7:$AY$27 - MEDIAN(MIN($AY$7:$AY$27), MAX($AY$7:$AY$27), AJ26)), $AZ$7:$AZ$27, "Not Found", 0)</f>
        <v/>
      </c>
      <c r="AK55" s="30">
        <f t="array" ref="AK55">_xlfn.XLOOKUP(MIN(ABS($AY$7:$AY$27 - MEDIAN(MIN($AY$7:$AY$27), MAX($AY$7:$AY$27), AK26))), ABS($AY$7:$AY$27 - MEDIAN(MIN($AY$7:$AY$27), MAX($AY$7:$AY$27), AK26)), $AZ$7:$AZ$27, "Not Found", 0)</f>
        <v/>
      </c>
      <c r="AL55" s="30">
        <f t="array" ref="AL55">_xlfn.XLOOKUP(MIN(ABS($AY$7:$AY$27 - MEDIAN(MIN($AY$7:$AY$27), MAX($AY$7:$AY$27), AL26))), ABS($AY$7:$AY$27 - MEDIAN(MIN($AY$7:$AY$27), MAX($AY$7:$AY$27), AL26)), $AZ$7:$AZ$27, "Not Found", 0)</f>
        <v/>
      </c>
      <c r="AM55" s="30">
        <f t="array" ref="AM55">_xlfn.XLOOKUP(MIN(ABS($AY$7:$AY$27 - MEDIAN(MIN($AY$7:$AY$27), MAX($AY$7:$AY$27), AM26))), ABS($AY$7:$AY$27 - MEDIAN(MIN($AY$7:$AY$27), MAX($AY$7:$AY$27), AM26)), $AZ$7:$AZ$27, "Not Found", 0)</f>
        <v/>
      </c>
      <c r="AN55" s="30">
        <f t="array" ref="AN55">_xlfn.XLOOKUP(MIN(ABS($AY$7:$AY$27 - MEDIAN(MIN($AY$7:$AY$27), MAX($AY$7:$AY$27), AN26))), ABS($AY$7:$AY$27 - MEDIAN(MIN($AY$7:$AY$27), MAX($AY$7:$AY$27), AN26)), $AZ$7:$AZ$27, "Not Found", 0)</f>
        <v/>
      </c>
      <c r="AO55" s="30">
        <f t="array" ref="AO55">_xlfn.XLOOKUP(MIN(ABS($AY$7:$AY$27 - MEDIAN(MIN($AY$7:$AY$27), MAX($AY$7:$AY$27), AO26))), ABS($AY$7:$AY$27 - MEDIAN(MIN($AY$7:$AY$27), MAX($AY$7:$AY$27), AO26)), $AZ$7:$AZ$27, "Not Found", 0)</f>
        <v/>
      </c>
      <c r="AP55" s="30">
        <f t="array" ref="AP55">_xlfn.XLOOKUP(MIN(ABS($AY$7:$AY$27 - MEDIAN(MIN($AY$7:$AY$27), MAX($AY$7:$AY$27), AP26))), ABS($AY$7:$AY$27 - MEDIAN(MIN($AY$7:$AY$27), MAX($AY$7:$AY$27), AP26)), $AZ$7:$AZ$27, "Not Found", 0)</f>
        <v/>
      </c>
      <c r="AQ55" s="30">
        <f t="array" ref="AQ55">_xlfn.XLOOKUP(MIN(ABS($AY$7:$AY$27 - MEDIAN(MIN($AY$7:$AY$27), MAX($AY$7:$AY$27), AQ26))), ABS($AY$7:$AY$27 - MEDIAN(MIN($AY$7:$AY$27), MAX($AY$7:$AY$27), AQ26)), $AZ$7:$AZ$27, "Not Found", 0)</f>
        <v/>
      </c>
      <c r="AR55" s="30">
        <f t="array" ref="AR55">_xlfn.XLOOKUP(MIN(ABS($AY$7:$AY$27 - MEDIAN(MIN($AY$7:$AY$27), MAX($AY$7:$AY$27), AR26))), ABS($AY$7:$AY$27 - MEDIAN(MIN($AY$7:$AY$27), MAX($AY$7:$AY$27), AR26)), $AZ$7:$AZ$27, "Not Found", 0)</f>
        <v/>
      </c>
      <c r="AS55" s="30">
        <f t="array" ref="AS55">_xlfn.XLOOKUP(MIN(ABS($AY$7:$AY$27 - MEDIAN(MIN($AY$7:$AY$27), MAX($AY$7:$AY$27), AS26))), ABS($AY$7:$AY$27 - MEDIAN(MIN($AY$7:$AY$27), MAX($AY$7:$AY$27), AS26)), $AZ$7:$AZ$27, "Not Found", 0)</f>
        <v/>
      </c>
      <c r="AT55" s="30">
        <f t="array" ref="AT55">_xlfn.XLOOKUP(MIN(ABS($AY$7:$AY$27 - MEDIAN(MIN($AY$7:$AY$27), MAX($AY$7:$AY$27), AT26))), ABS($AY$7:$AY$27 - MEDIAN(MIN($AY$7:$AY$27), MAX($AY$7:$AY$27), AT26)), $AZ$7:$AZ$27, "Not Found", 0)</f>
        <v/>
      </c>
      <c r="AU55" s="30">
        <f t="array" ref="AU55">_xlfn.XLOOKUP(MIN(ABS($AY$7:$AY$27 - MEDIAN(MIN($AY$7:$AY$27), MAX($AY$7:$AY$27), AU26))), ABS($AY$7:$AY$27 - MEDIAN(MIN($AY$7:$AY$27), MAX($AY$7:$AY$27), AU26)), $AZ$7:$AZ$27, "Not Found", 0)</f>
        <v/>
      </c>
      <c r="AV55" s="30">
        <f t="array" ref="AV55">_xlfn.XLOOKUP(MIN(ABS($AY$7:$AY$27 - MEDIAN(MIN($AY$7:$AY$27), MAX($AY$7:$AY$27), AV26))), ABS($AY$7:$AY$27 - MEDIAN(MIN($AY$7:$AY$27), MAX($AY$7:$AY$27), AV26)), $AZ$7:$AZ$27, "Not Found", 0)</f>
        <v/>
      </c>
      <c r="AW55" s="30">
        <f t="array" ref="AW55">_xlfn.XLOOKUP(MIN(ABS($AY$7:$AY$27 - MEDIAN(MIN($AY$7:$AY$27), MAX($AY$7:$AY$27), AW26))), ABS($AY$7:$AY$27 - MEDIAN(MIN($AY$7:$AY$27), MAX($AY$7:$AY$27), AW26)), $AZ$7:$AZ$27, "Not Found", 0)</f>
        <v/>
      </c>
    </row>
    <row r="56" ht="25" customHeight="1">
      <c r="A56" s="48" t="inlineStr">
        <is>
          <t>GBP CHF</t>
        </is>
      </c>
      <c r="B56" s="30">
        <f t="array" ref="B56">_xlfn.XLOOKUP(MIN(ABS($AY$7:$AY$27 - MEDIAN(MIN($AY$7:$AY$27), MAX($AY$7:$AY$27), B27))), ABS($AY$7:$AY$27 - MEDIAN(MIN($AY$7:$AY$27), MAX($AY$7:$AY$27), B27)), $AZ$7:$AZ$27, "Not Found", 0)</f>
        <v/>
      </c>
      <c r="C56" s="30">
        <f t="array" ref="C56">_xlfn.XLOOKUP(MIN(ABS($AY$7:$AY$27 - MEDIAN(MIN($AY$7:$AY$27), MAX($AY$7:$AY$27), C27))), ABS($AY$7:$AY$27 - MEDIAN(MIN($AY$7:$AY$27), MAX($AY$7:$AY$27), C27)), $AZ$7:$AZ$27, "Not Found", 0)</f>
        <v/>
      </c>
      <c r="D56" s="30">
        <f t="array" ref="D56">_xlfn.XLOOKUP(MIN(ABS($AY$7:$AY$27 - MEDIAN(MIN($AY$7:$AY$27), MAX($AY$7:$AY$27), D27))), ABS($AY$7:$AY$27 - MEDIAN(MIN($AY$7:$AY$27), MAX($AY$7:$AY$27), D27)), $AZ$7:$AZ$27, "Not Found", 0)</f>
        <v/>
      </c>
      <c r="E56" s="30">
        <f t="array" ref="E56">_xlfn.XLOOKUP(MIN(ABS($AY$7:$AY$27 - MEDIAN(MIN($AY$7:$AY$27), MAX($AY$7:$AY$27), E27))), ABS($AY$7:$AY$27 - MEDIAN(MIN($AY$7:$AY$27), MAX($AY$7:$AY$27), E27)), $AZ$7:$AZ$27, "Not Found", 0)</f>
        <v/>
      </c>
      <c r="F56" s="30">
        <f t="array" ref="F56">_xlfn.XLOOKUP(MIN(ABS($AY$7:$AY$27 - MEDIAN(MIN($AY$7:$AY$27), MAX($AY$7:$AY$27), F27))), ABS($AY$7:$AY$27 - MEDIAN(MIN($AY$7:$AY$27), MAX($AY$7:$AY$27), F27)), $AZ$7:$AZ$27, "Not Found", 0)</f>
        <v/>
      </c>
      <c r="G56" s="30">
        <f t="array" ref="G56">_xlfn.XLOOKUP(MIN(ABS($AY$7:$AY$27 - MEDIAN(MIN($AY$7:$AY$27), MAX($AY$7:$AY$27), G27))), ABS($AY$7:$AY$27 - MEDIAN(MIN($AY$7:$AY$27), MAX($AY$7:$AY$27), G27)), $AZ$7:$AZ$27, "Not Found", 0)</f>
        <v/>
      </c>
      <c r="H56" s="30">
        <f t="array" ref="H56">_xlfn.XLOOKUP(MIN(ABS($AY$7:$AY$27 - MEDIAN(MIN($AY$7:$AY$27), MAX($AY$7:$AY$27), H27))), ABS($AY$7:$AY$27 - MEDIAN(MIN($AY$7:$AY$27), MAX($AY$7:$AY$27), H27)), $AZ$7:$AZ$27, "Not Found", 0)</f>
        <v/>
      </c>
      <c r="I56" s="30">
        <f t="array" ref="I56">_xlfn.XLOOKUP(MIN(ABS($AY$7:$AY$27 - MEDIAN(MIN($AY$7:$AY$27), MAX($AY$7:$AY$27), I27))), ABS($AY$7:$AY$27 - MEDIAN(MIN($AY$7:$AY$27), MAX($AY$7:$AY$27), I27)), $AZ$7:$AZ$27, "Not Found", 0)</f>
        <v/>
      </c>
      <c r="J56" s="30">
        <f t="array" ref="J56">_xlfn.XLOOKUP(MIN(ABS($AY$7:$AY$27 - MEDIAN(MIN($AY$7:$AY$27), MAX($AY$7:$AY$27), J27))), ABS($AY$7:$AY$27 - MEDIAN(MIN($AY$7:$AY$27), MAX($AY$7:$AY$27), J27)), $AZ$7:$AZ$27, "Not Found", 0)</f>
        <v/>
      </c>
      <c r="K56" s="30">
        <f t="array" ref="K56">_xlfn.XLOOKUP(MIN(ABS($AY$7:$AY$27 - MEDIAN(MIN($AY$7:$AY$27), MAX($AY$7:$AY$27), K27))), ABS($AY$7:$AY$27 - MEDIAN(MIN($AY$7:$AY$27), MAX($AY$7:$AY$27), K27)), $AZ$7:$AZ$27, "Not Found", 0)</f>
        <v/>
      </c>
      <c r="L56" s="30">
        <f t="array" ref="L56">_xlfn.XLOOKUP(MIN(ABS($AY$7:$AY$27 - MEDIAN(MIN($AY$7:$AY$27), MAX($AY$7:$AY$27), L27))), ABS($AY$7:$AY$27 - MEDIAN(MIN($AY$7:$AY$27), MAX($AY$7:$AY$27), L27)), $AZ$7:$AZ$27, "Not Found", 0)</f>
        <v/>
      </c>
      <c r="M56" s="30">
        <f t="array" ref="M56">_xlfn.XLOOKUP(MIN(ABS($AY$7:$AY$27 - MEDIAN(MIN($AY$7:$AY$27), MAX($AY$7:$AY$27), M27))), ABS($AY$7:$AY$27 - MEDIAN(MIN($AY$7:$AY$27), MAX($AY$7:$AY$27), M27)), $AZ$7:$AZ$27, "Not Found", 0)</f>
        <v/>
      </c>
      <c r="N56" s="30">
        <f t="array" ref="N56">_xlfn.XLOOKUP(MIN(ABS($AY$7:$AY$27 - MEDIAN(MIN($AY$7:$AY$27), MAX($AY$7:$AY$27), N27))), ABS($AY$7:$AY$27 - MEDIAN(MIN($AY$7:$AY$27), MAX($AY$7:$AY$27), N27)), $AZ$7:$AZ$27, "Not Found", 0)</f>
        <v/>
      </c>
      <c r="O56" s="30">
        <f t="array" ref="O56">_xlfn.XLOOKUP(MIN(ABS($AY$7:$AY$27 - MEDIAN(MIN($AY$7:$AY$27), MAX($AY$7:$AY$27), O27))), ABS($AY$7:$AY$27 - MEDIAN(MIN($AY$7:$AY$27), MAX($AY$7:$AY$27), O27)), $AZ$7:$AZ$27, "Not Found", 0)</f>
        <v/>
      </c>
      <c r="P56" s="30">
        <f t="array" ref="P56">_xlfn.XLOOKUP(MIN(ABS($AY$7:$AY$27 - MEDIAN(MIN($AY$7:$AY$27), MAX($AY$7:$AY$27), P27))), ABS($AY$7:$AY$27 - MEDIAN(MIN($AY$7:$AY$27), MAX($AY$7:$AY$27), P27)), $AZ$7:$AZ$27, "Not Found", 0)</f>
        <v/>
      </c>
      <c r="Q56" s="30">
        <f t="array" ref="Q56">_xlfn.XLOOKUP(MIN(ABS($AY$7:$AY$27 - MEDIAN(MIN($AY$7:$AY$27), MAX($AY$7:$AY$27), Q27))), ABS($AY$7:$AY$27 - MEDIAN(MIN($AY$7:$AY$27), MAX($AY$7:$AY$27), Q27)), $AZ$7:$AZ$27, "Not Found", 0)</f>
        <v/>
      </c>
      <c r="R56" s="30">
        <f t="array" ref="R56">_xlfn.XLOOKUP(MIN(ABS($AY$7:$AY$27 - MEDIAN(MIN($AY$7:$AY$27), MAX($AY$7:$AY$27), R27))), ABS($AY$7:$AY$27 - MEDIAN(MIN($AY$7:$AY$27), MAX($AY$7:$AY$27), R27)), $AZ$7:$AZ$27, "Not Found", 0)</f>
        <v/>
      </c>
      <c r="S56" s="30">
        <f t="array" ref="S56">_xlfn.XLOOKUP(MIN(ABS($AY$7:$AY$27 - MEDIAN(MIN($AY$7:$AY$27), MAX($AY$7:$AY$27), S27))), ABS($AY$7:$AY$27 - MEDIAN(MIN($AY$7:$AY$27), MAX($AY$7:$AY$27), S27)), $AZ$7:$AZ$27, "Not Found", 0)</f>
        <v/>
      </c>
      <c r="T56" s="30">
        <f t="array" ref="T56">_xlfn.XLOOKUP(MIN(ABS($AY$7:$AY$27 - MEDIAN(MIN($AY$7:$AY$27), MAX($AY$7:$AY$27), T27))), ABS($AY$7:$AY$27 - MEDIAN(MIN($AY$7:$AY$27), MAX($AY$7:$AY$27), T27)), $AZ$7:$AZ$27, "Not Found", 0)</f>
        <v/>
      </c>
      <c r="U56" s="30">
        <f t="array" ref="U56">_xlfn.XLOOKUP(MIN(ABS($AY$7:$AY$27 - MEDIAN(MIN($AY$7:$AY$27), MAX($AY$7:$AY$27), U27))), ABS($AY$7:$AY$27 - MEDIAN(MIN($AY$7:$AY$27), MAX($AY$7:$AY$27), U27)), $AZ$7:$AZ$27, "Not Found", 0)</f>
        <v/>
      </c>
      <c r="V56" s="30">
        <f t="array" ref="V56">_xlfn.XLOOKUP(MIN(ABS($AY$7:$AY$27 - MEDIAN(MIN($AY$7:$AY$27), MAX($AY$7:$AY$27), V27))), ABS($AY$7:$AY$27 - MEDIAN(MIN($AY$7:$AY$27), MAX($AY$7:$AY$27), V27)), $AZ$7:$AZ$27, "Not Found", 0)</f>
        <v/>
      </c>
      <c r="W56" s="30">
        <f t="array" ref="W56">_xlfn.XLOOKUP(MIN(ABS($AY$7:$AY$27 - MEDIAN(MIN($AY$7:$AY$27), MAX($AY$7:$AY$27), W27))), ABS($AY$7:$AY$27 - MEDIAN(MIN($AY$7:$AY$27), MAX($AY$7:$AY$27), W27)), $AZ$7:$AZ$27, "Not Found", 0)</f>
        <v/>
      </c>
      <c r="X56" s="30">
        <f t="array" ref="X56">_xlfn.XLOOKUP(MIN(ABS($AY$7:$AY$27 - MEDIAN(MIN($AY$7:$AY$27), MAX($AY$7:$AY$27), X27))), ABS($AY$7:$AY$27 - MEDIAN(MIN($AY$7:$AY$27), MAX($AY$7:$AY$27), X27)), $AZ$7:$AZ$27, "Not Found", 0)</f>
        <v/>
      </c>
      <c r="Y56" s="30">
        <f t="array" ref="Y56">_xlfn.XLOOKUP(MIN(ABS($AY$7:$AY$27 - MEDIAN(MIN($AY$7:$AY$27), MAX($AY$7:$AY$27), Y27))), ABS($AY$7:$AY$27 - MEDIAN(MIN($AY$7:$AY$27), MAX($AY$7:$AY$27), Y27)), $AZ$7:$AZ$27, "Not Found", 0)</f>
        <v/>
      </c>
      <c r="Z56" s="30">
        <f t="array" ref="Z56">_xlfn.XLOOKUP(MIN(ABS($AY$7:$AY$27 - MEDIAN(MIN($AY$7:$AY$27), MAX($AY$7:$AY$27), Z27))), ABS($AY$7:$AY$27 - MEDIAN(MIN($AY$7:$AY$27), MAX($AY$7:$AY$27), Z27)), $AZ$7:$AZ$27, "Not Found", 0)</f>
        <v/>
      </c>
      <c r="AA56" s="30">
        <f t="array" ref="AA56">_xlfn.XLOOKUP(MIN(ABS($AY$7:$AY$27 - MEDIAN(MIN($AY$7:$AY$27), MAX($AY$7:$AY$27), AA27))), ABS($AY$7:$AY$27 - MEDIAN(MIN($AY$7:$AY$27), MAX($AY$7:$AY$27), AA27)), $AZ$7:$AZ$27, "Not Found", 0)</f>
        <v/>
      </c>
      <c r="AB56" s="30">
        <f t="array" ref="AB56">_xlfn.XLOOKUP(MIN(ABS($AY$7:$AY$27 - MEDIAN(MIN($AY$7:$AY$27), MAX($AY$7:$AY$27), AB27))), ABS($AY$7:$AY$27 - MEDIAN(MIN($AY$7:$AY$27), MAX($AY$7:$AY$27), AB27)), $AZ$7:$AZ$27, "Not Found", 0)</f>
        <v/>
      </c>
      <c r="AC56" s="30">
        <f t="array" ref="AC56">_xlfn.XLOOKUP(MIN(ABS($AY$7:$AY$27 - MEDIAN(MIN($AY$7:$AY$27), MAX($AY$7:$AY$27), AC27))), ABS($AY$7:$AY$27 - MEDIAN(MIN($AY$7:$AY$27), MAX($AY$7:$AY$27), AC27)), $AZ$7:$AZ$27, "Not Found", 0)</f>
        <v/>
      </c>
      <c r="AD56" s="30">
        <f t="array" ref="AD56">_xlfn.XLOOKUP(MIN(ABS($AY$7:$AY$27 - MEDIAN(MIN($AY$7:$AY$27), MAX($AY$7:$AY$27), AD27))), ABS($AY$7:$AY$27 - MEDIAN(MIN($AY$7:$AY$27), MAX($AY$7:$AY$27), AD27)), $AZ$7:$AZ$27, "Not Found", 0)</f>
        <v/>
      </c>
      <c r="AE56" s="30">
        <f t="array" ref="AE56">_xlfn.XLOOKUP(MIN(ABS($AY$7:$AY$27 - MEDIAN(MIN($AY$7:$AY$27), MAX($AY$7:$AY$27), AE27))), ABS($AY$7:$AY$27 - MEDIAN(MIN($AY$7:$AY$27), MAX($AY$7:$AY$27), AE27)), $AZ$7:$AZ$27, "Not Found", 0)</f>
        <v/>
      </c>
      <c r="AF56" s="30">
        <f t="array" ref="AF56">_xlfn.XLOOKUP(MIN(ABS($AY$7:$AY$27 - MEDIAN(MIN($AY$7:$AY$27), MAX($AY$7:$AY$27), AF27))), ABS($AY$7:$AY$27 - MEDIAN(MIN($AY$7:$AY$27), MAX($AY$7:$AY$27), AF27)), $AZ$7:$AZ$27, "Not Found", 0)</f>
        <v/>
      </c>
      <c r="AG56" s="30">
        <f t="array" ref="AG56">_xlfn.XLOOKUP(MIN(ABS($AY$7:$AY$27 - MEDIAN(MIN($AY$7:$AY$27), MAX($AY$7:$AY$27), AG27))), ABS($AY$7:$AY$27 - MEDIAN(MIN($AY$7:$AY$27), MAX($AY$7:$AY$27), AG27)), $AZ$7:$AZ$27, "Not Found", 0)</f>
        <v/>
      </c>
      <c r="AH56" s="30">
        <f t="array" ref="AH56">_xlfn.XLOOKUP(MIN(ABS($AY$7:$AY$27 - MEDIAN(MIN($AY$7:$AY$27), MAX($AY$7:$AY$27), AH27))), ABS($AY$7:$AY$27 - MEDIAN(MIN($AY$7:$AY$27), MAX($AY$7:$AY$27), AH27)), $AZ$7:$AZ$27, "Not Found", 0)</f>
        <v/>
      </c>
      <c r="AI56" s="30">
        <f t="array" ref="AI56">_xlfn.XLOOKUP(MIN(ABS($AY$7:$AY$27 - MEDIAN(MIN($AY$7:$AY$27), MAX($AY$7:$AY$27), AI27))), ABS($AY$7:$AY$27 - MEDIAN(MIN($AY$7:$AY$27), MAX($AY$7:$AY$27), AI27)), $AZ$7:$AZ$27, "Not Found", 0)</f>
        <v/>
      </c>
      <c r="AJ56" s="30">
        <f t="array" ref="AJ56">_xlfn.XLOOKUP(MIN(ABS($AY$7:$AY$27 - MEDIAN(MIN($AY$7:$AY$27), MAX($AY$7:$AY$27), AJ27))), ABS($AY$7:$AY$27 - MEDIAN(MIN($AY$7:$AY$27), MAX($AY$7:$AY$27), AJ27)), $AZ$7:$AZ$27, "Not Found", 0)</f>
        <v/>
      </c>
      <c r="AK56" s="30">
        <f t="array" ref="AK56">_xlfn.XLOOKUP(MIN(ABS($AY$7:$AY$27 - MEDIAN(MIN($AY$7:$AY$27), MAX($AY$7:$AY$27), AK27))), ABS($AY$7:$AY$27 - MEDIAN(MIN($AY$7:$AY$27), MAX($AY$7:$AY$27), AK27)), $AZ$7:$AZ$27, "Not Found", 0)</f>
        <v/>
      </c>
      <c r="AL56" s="30">
        <f t="array" ref="AL56">_xlfn.XLOOKUP(MIN(ABS($AY$7:$AY$27 - MEDIAN(MIN($AY$7:$AY$27), MAX($AY$7:$AY$27), AL27))), ABS($AY$7:$AY$27 - MEDIAN(MIN($AY$7:$AY$27), MAX($AY$7:$AY$27), AL27)), $AZ$7:$AZ$27, "Not Found", 0)</f>
        <v/>
      </c>
      <c r="AM56" s="30">
        <f t="array" ref="AM56">_xlfn.XLOOKUP(MIN(ABS($AY$7:$AY$27 - MEDIAN(MIN($AY$7:$AY$27), MAX($AY$7:$AY$27), AM27))), ABS($AY$7:$AY$27 - MEDIAN(MIN($AY$7:$AY$27), MAX($AY$7:$AY$27), AM27)), $AZ$7:$AZ$27, "Not Found", 0)</f>
        <v/>
      </c>
      <c r="AN56" s="30">
        <f t="array" ref="AN56">_xlfn.XLOOKUP(MIN(ABS($AY$7:$AY$27 - MEDIAN(MIN($AY$7:$AY$27), MAX($AY$7:$AY$27), AN27))), ABS($AY$7:$AY$27 - MEDIAN(MIN($AY$7:$AY$27), MAX($AY$7:$AY$27), AN27)), $AZ$7:$AZ$27, "Not Found", 0)</f>
        <v/>
      </c>
      <c r="AO56" s="30">
        <f t="array" ref="AO56">_xlfn.XLOOKUP(MIN(ABS($AY$7:$AY$27 - MEDIAN(MIN($AY$7:$AY$27), MAX($AY$7:$AY$27), AO27))), ABS($AY$7:$AY$27 - MEDIAN(MIN($AY$7:$AY$27), MAX($AY$7:$AY$27), AO27)), $AZ$7:$AZ$27, "Not Found", 0)</f>
        <v/>
      </c>
      <c r="AP56" s="30">
        <f t="array" ref="AP56">_xlfn.XLOOKUP(MIN(ABS($AY$7:$AY$27 - MEDIAN(MIN($AY$7:$AY$27), MAX($AY$7:$AY$27), AP27))), ABS($AY$7:$AY$27 - MEDIAN(MIN($AY$7:$AY$27), MAX($AY$7:$AY$27), AP27)), $AZ$7:$AZ$27, "Not Found", 0)</f>
        <v/>
      </c>
      <c r="AQ56" s="30">
        <f t="array" ref="AQ56">_xlfn.XLOOKUP(MIN(ABS($AY$7:$AY$27 - MEDIAN(MIN($AY$7:$AY$27), MAX($AY$7:$AY$27), AQ27))), ABS($AY$7:$AY$27 - MEDIAN(MIN($AY$7:$AY$27), MAX($AY$7:$AY$27), AQ27)), $AZ$7:$AZ$27, "Not Found", 0)</f>
        <v/>
      </c>
      <c r="AR56" s="30">
        <f t="array" ref="AR56">_xlfn.XLOOKUP(MIN(ABS($AY$7:$AY$27 - MEDIAN(MIN($AY$7:$AY$27), MAX($AY$7:$AY$27), AR27))), ABS($AY$7:$AY$27 - MEDIAN(MIN($AY$7:$AY$27), MAX($AY$7:$AY$27), AR27)), $AZ$7:$AZ$27, "Not Found", 0)</f>
        <v/>
      </c>
      <c r="AS56" s="30">
        <f t="array" ref="AS56">_xlfn.XLOOKUP(MIN(ABS($AY$7:$AY$27 - MEDIAN(MIN($AY$7:$AY$27), MAX($AY$7:$AY$27), AS27))), ABS($AY$7:$AY$27 - MEDIAN(MIN($AY$7:$AY$27), MAX($AY$7:$AY$27), AS27)), $AZ$7:$AZ$27, "Not Found", 0)</f>
        <v/>
      </c>
      <c r="AT56" s="30">
        <f t="array" ref="AT56">_xlfn.XLOOKUP(MIN(ABS($AY$7:$AY$27 - MEDIAN(MIN($AY$7:$AY$27), MAX($AY$7:$AY$27), AT27))), ABS($AY$7:$AY$27 - MEDIAN(MIN($AY$7:$AY$27), MAX($AY$7:$AY$27), AT27)), $AZ$7:$AZ$27, "Not Found", 0)</f>
        <v/>
      </c>
      <c r="AU56" s="30">
        <f t="array" ref="AU56">_xlfn.XLOOKUP(MIN(ABS($AY$7:$AY$27 - MEDIAN(MIN($AY$7:$AY$27), MAX($AY$7:$AY$27), AU27))), ABS($AY$7:$AY$27 - MEDIAN(MIN($AY$7:$AY$27), MAX($AY$7:$AY$27), AU27)), $AZ$7:$AZ$27, "Not Found", 0)</f>
        <v/>
      </c>
      <c r="AV56" s="30">
        <f t="array" ref="AV56">_xlfn.XLOOKUP(MIN(ABS($AY$7:$AY$27 - MEDIAN(MIN($AY$7:$AY$27), MAX($AY$7:$AY$27), AV27))), ABS($AY$7:$AY$27 - MEDIAN(MIN($AY$7:$AY$27), MAX($AY$7:$AY$27), AV27)), $AZ$7:$AZ$27, "Not Found", 0)</f>
        <v/>
      </c>
      <c r="AW56" s="30">
        <f t="array" ref="AW56">_xlfn.XLOOKUP(MIN(ABS($AY$7:$AY$27 - MEDIAN(MIN($AY$7:$AY$27), MAX($AY$7:$AY$27), AW27))), ABS($AY$7:$AY$27 - MEDIAN(MIN($AY$7:$AY$27), MAX($AY$7:$AY$27), AW27)), $AZ$7:$AZ$27, "Not Found", 0)</f>
        <v/>
      </c>
    </row>
    <row r="57" ht="25" customHeight="1">
      <c r="A57" s="48" t="inlineStr">
        <is>
          <t>GBP CAD</t>
        </is>
      </c>
      <c r="B57" s="30">
        <f t="array" ref="B57">_xlfn.XLOOKUP(MIN(ABS($AY$7:$AY$27 - MEDIAN(MIN($AY$7:$AY$27), MAX($AY$7:$AY$27), B28))), ABS($AY$7:$AY$27 - MEDIAN(MIN($AY$7:$AY$27), MAX($AY$7:$AY$27), B28)), $AZ$7:$AZ$27, "Not Found", 0)</f>
        <v/>
      </c>
      <c r="C57" s="30">
        <f t="array" ref="C57">_xlfn.XLOOKUP(MIN(ABS($AY$7:$AY$27 - MEDIAN(MIN($AY$7:$AY$27), MAX($AY$7:$AY$27), C28))), ABS($AY$7:$AY$27 - MEDIAN(MIN($AY$7:$AY$27), MAX($AY$7:$AY$27), C28)), $AZ$7:$AZ$27, "Not Found", 0)</f>
        <v/>
      </c>
      <c r="D57" s="30">
        <f t="array" ref="D57">_xlfn.XLOOKUP(MIN(ABS($AY$7:$AY$27 - MEDIAN(MIN($AY$7:$AY$27), MAX($AY$7:$AY$27), D28))), ABS($AY$7:$AY$27 - MEDIAN(MIN($AY$7:$AY$27), MAX($AY$7:$AY$27), D28)), $AZ$7:$AZ$27, "Not Found", 0)</f>
        <v/>
      </c>
      <c r="E57" s="30">
        <f t="array" ref="E57">_xlfn.XLOOKUP(MIN(ABS($AY$7:$AY$27 - MEDIAN(MIN($AY$7:$AY$27), MAX($AY$7:$AY$27), E28))), ABS($AY$7:$AY$27 - MEDIAN(MIN($AY$7:$AY$27), MAX($AY$7:$AY$27), E28)), $AZ$7:$AZ$27, "Not Found", 0)</f>
        <v/>
      </c>
      <c r="F57" s="30">
        <f t="array" ref="F57">_xlfn.XLOOKUP(MIN(ABS($AY$7:$AY$27 - MEDIAN(MIN($AY$7:$AY$27), MAX($AY$7:$AY$27), F28))), ABS($AY$7:$AY$27 - MEDIAN(MIN($AY$7:$AY$27), MAX($AY$7:$AY$27), F28)), $AZ$7:$AZ$27, "Not Found", 0)</f>
        <v/>
      </c>
      <c r="G57" s="30">
        <f t="array" ref="G57">_xlfn.XLOOKUP(MIN(ABS($AY$7:$AY$27 - MEDIAN(MIN($AY$7:$AY$27), MAX($AY$7:$AY$27), G28))), ABS($AY$7:$AY$27 - MEDIAN(MIN($AY$7:$AY$27), MAX($AY$7:$AY$27), G28)), $AZ$7:$AZ$27, "Not Found", 0)</f>
        <v/>
      </c>
      <c r="H57" s="30">
        <f t="array" ref="H57">_xlfn.XLOOKUP(MIN(ABS($AY$7:$AY$27 - MEDIAN(MIN($AY$7:$AY$27), MAX($AY$7:$AY$27), H28))), ABS($AY$7:$AY$27 - MEDIAN(MIN($AY$7:$AY$27), MAX($AY$7:$AY$27), H28)), $AZ$7:$AZ$27, "Not Found", 0)</f>
        <v/>
      </c>
      <c r="I57" s="30">
        <f t="array" ref="I57">_xlfn.XLOOKUP(MIN(ABS($AY$7:$AY$27 - MEDIAN(MIN($AY$7:$AY$27), MAX($AY$7:$AY$27), I28))), ABS($AY$7:$AY$27 - MEDIAN(MIN($AY$7:$AY$27), MAX($AY$7:$AY$27), I28)), $AZ$7:$AZ$27, "Not Found", 0)</f>
        <v/>
      </c>
      <c r="J57" s="30">
        <f t="array" ref="J57">_xlfn.XLOOKUP(MIN(ABS($AY$7:$AY$27 - MEDIAN(MIN($AY$7:$AY$27), MAX($AY$7:$AY$27), J28))), ABS($AY$7:$AY$27 - MEDIAN(MIN($AY$7:$AY$27), MAX($AY$7:$AY$27), J28)), $AZ$7:$AZ$27, "Not Found", 0)</f>
        <v/>
      </c>
      <c r="K57" s="30">
        <f t="array" ref="K57">_xlfn.XLOOKUP(MIN(ABS($AY$7:$AY$27 - MEDIAN(MIN($AY$7:$AY$27), MAX($AY$7:$AY$27), K28))), ABS($AY$7:$AY$27 - MEDIAN(MIN($AY$7:$AY$27), MAX($AY$7:$AY$27), K28)), $AZ$7:$AZ$27, "Not Found", 0)</f>
        <v/>
      </c>
      <c r="L57" s="30">
        <f t="array" ref="L57">_xlfn.XLOOKUP(MIN(ABS($AY$7:$AY$27 - MEDIAN(MIN($AY$7:$AY$27), MAX($AY$7:$AY$27), L28))), ABS($AY$7:$AY$27 - MEDIAN(MIN($AY$7:$AY$27), MAX($AY$7:$AY$27), L28)), $AZ$7:$AZ$27, "Not Found", 0)</f>
        <v/>
      </c>
      <c r="M57" s="30">
        <f t="array" ref="M57">_xlfn.XLOOKUP(MIN(ABS($AY$7:$AY$27 - MEDIAN(MIN($AY$7:$AY$27), MAX($AY$7:$AY$27), M28))), ABS($AY$7:$AY$27 - MEDIAN(MIN($AY$7:$AY$27), MAX($AY$7:$AY$27), M28)), $AZ$7:$AZ$27, "Not Found", 0)</f>
        <v/>
      </c>
      <c r="N57" s="30">
        <f t="array" ref="N57">_xlfn.XLOOKUP(MIN(ABS($AY$7:$AY$27 - MEDIAN(MIN($AY$7:$AY$27), MAX($AY$7:$AY$27), N28))), ABS($AY$7:$AY$27 - MEDIAN(MIN($AY$7:$AY$27), MAX($AY$7:$AY$27), N28)), $AZ$7:$AZ$27, "Not Found", 0)</f>
        <v/>
      </c>
      <c r="O57" s="30">
        <f t="array" ref="O57">_xlfn.XLOOKUP(MIN(ABS($AY$7:$AY$27 - MEDIAN(MIN($AY$7:$AY$27), MAX($AY$7:$AY$27), O28))), ABS($AY$7:$AY$27 - MEDIAN(MIN($AY$7:$AY$27), MAX($AY$7:$AY$27), O28)), $AZ$7:$AZ$27, "Not Found", 0)</f>
        <v/>
      </c>
      <c r="P57" s="30">
        <f t="array" ref="P57">_xlfn.XLOOKUP(MIN(ABS($AY$7:$AY$27 - MEDIAN(MIN($AY$7:$AY$27), MAX($AY$7:$AY$27), P28))), ABS($AY$7:$AY$27 - MEDIAN(MIN($AY$7:$AY$27), MAX($AY$7:$AY$27), P28)), $AZ$7:$AZ$27, "Not Found", 0)</f>
        <v/>
      </c>
      <c r="Q57" s="30">
        <f t="array" ref="Q57">_xlfn.XLOOKUP(MIN(ABS($AY$7:$AY$27 - MEDIAN(MIN($AY$7:$AY$27), MAX($AY$7:$AY$27), Q28))), ABS($AY$7:$AY$27 - MEDIAN(MIN($AY$7:$AY$27), MAX($AY$7:$AY$27), Q28)), $AZ$7:$AZ$27, "Not Found", 0)</f>
        <v/>
      </c>
      <c r="R57" s="30">
        <f t="array" ref="R57">_xlfn.XLOOKUP(MIN(ABS($AY$7:$AY$27 - MEDIAN(MIN($AY$7:$AY$27), MAX($AY$7:$AY$27), R28))), ABS($AY$7:$AY$27 - MEDIAN(MIN($AY$7:$AY$27), MAX($AY$7:$AY$27), R28)), $AZ$7:$AZ$27, "Not Found", 0)</f>
        <v/>
      </c>
      <c r="S57" s="30">
        <f t="array" ref="S57">_xlfn.XLOOKUP(MIN(ABS($AY$7:$AY$27 - MEDIAN(MIN($AY$7:$AY$27), MAX($AY$7:$AY$27), S28))), ABS($AY$7:$AY$27 - MEDIAN(MIN($AY$7:$AY$27), MAX($AY$7:$AY$27), S28)), $AZ$7:$AZ$27, "Not Found", 0)</f>
        <v/>
      </c>
      <c r="T57" s="30">
        <f t="array" ref="T57">_xlfn.XLOOKUP(MIN(ABS($AY$7:$AY$27 - MEDIAN(MIN($AY$7:$AY$27), MAX($AY$7:$AY$27), T28))), ABS($AY$7:$AY$27 - MEDIAN(MIN($AY$7:$AY$27), MAX($AY$7:$AY$27), T28)), $AZ$7:$AZ$27, "Not Found", 0)</f>
        <v/>
      </c>
      <c r="U57" s="30">
        <f t="array" ref="U57">_xlfn.XLOOKUP(MIN(ABS($AY$7:$AY$27 - MEDIAN(MIN($AY$7:$AY$27), MAX($AY$7:$AY$27), U28))), ABS($AY$7:$AY$27 - MEDIAN(MIN($AY$7:$AY$27), MAX($AY$7:$AY$27), U28)), $AZ$7:$AZ$27, "Not Found", 0)</f>
        <v/>
      </c>
      <c r="V57" s="30">
        <f t="array" ref="V57">_xlfn.XLOOKUP(MIN(ABS($AY$7:$AY$27 - MEDIAN(MIN($AY$7:$AY$27), MAX($AY$7:$AY$27), V28))), ABS($AY$7:$AY$27 - MEDIAN(MIN($AY$7:$AY$27), MAX($AY$7:$AY$27), V28)), $AZ$7:$AZ$27, "Not Found", 0)</f>
        <v/>
      </c>
      <c r="W57" s="30">
        <f t="array" ref="W57">_xlfn.XLOOKUP(MIN(ABS($AY$7:$AY$27 - MEDIAN(MIN($AY$7:$AY$27), MAX($AY$7:$AY$27), W28))), ABS($AY$7:$AY$27 - MEDIAN(MIN($AY$7:$AY$27), MAX($AY$7:$AY$27), W28)), $AZ$7:$AZ$27, "Not Found", 0)</f>
        <v/>
      </c>
      <c r="X57" s="30">
        <f t="array" ref="X57">_xlfn.XLOOKUP(MIN(ABS($AY$7:$AY$27 - MEDIAN(MIN($AY$7:$AY$27), MAX($AY$7:$AY$27), X28))), ABS($AY$7:$AY$27 - MEDIAN(MIN($AY$7:$AY$27), MAX($AY$7:$AY$27), X28)), $AZ$7:$AZ$27, "Not Found", 0)</f>
        <v/>
      </c>
      <c r="Y57" s="30">
        <f t="array" ref="Y57">_xlfn.XLOOKUP(MIN(ABS($AY$7:$AY$27 - MEDIAN(MIN($AY$7:$AY$27), MAX($AY$7:$AY$27), Y28))), ABS($AY$7:$AY$27 - MEDIAN(MIN($AY$7:$AY$27), MAX($AY$7:$AY$27), Y28)), $AZ$7:$AZ$27, "Not Found", 0)</f>
        <v/>
      </c>
      <c r="Z57" s="30">
        <f t="array" ref="Z57">_xlfn.XLOOKUP(MIN(ABS($AY$7:$AY$27 - MEDIAN(MIN($AY$7:$AY$27), MAX($AY$7:$AY$27), Z28))), ABS($AY$7:$AY$27 - MEDIAN(MIN($AY$7:$AY$27), MAX($AY$7:$AY$27), Z28)), $AZ$7:$AZ$27, "Not Found", 0)</f>
        <v/>
      </c>
      <c r="AA57" s="30">
        <f t="array" ref="AA57">_xlfn.XLOOKUP(MIN(ABS($AY$7:$AY$27 - MEDIAN(MIN($AY$7:$AY$27), MAX($AY$7:$AY$27), AA28))), ABS($AY$7:$AY$27 - MEDIAN(MIN($AY$7:$AY$27), MAX($AY$7:$AY$27), AA28)), $AZ$7:$AZ$27, "Not Found", 0)</f>
        <v/>
      </c>
      <c r="AB57" s="30">
        <f t="array" ref="AB57">_xlfn.XLOOKUP(MIN(ABS($AY$7:$AY$27 - MEDIAN(MIN($AY$7:$AY$27), MAX($AY$7:$AY$27), AB28))), ABS($AY$7:$AY$27 - MEDIAN(MIN($AY$7:$AY$27), MAX($AY$7:$AY$27), AB28)), $AZ$7:$AZ$27, "Not Found", 0)</f>
        <v/>
      </c>
      <c r="AC57" s="30">
        <f t="array" ref="AC57">_xlfn.XLOOKUP(MIN(ABS($AY$7:$AY$27 - MEDIAN(MIN($AY$7:$AY$27), MAX($AY$7:$AY$27), AC28))), ABS($AY$7:$AY$27 - MEDIAN(MIN($AY$7:$AY$27), MAX($AY$7:$AY$27), AC28)), $AZ$7:$AZ$27, "Not Found", 0)</f>
        <v/>
      </c>
      <c r="AD57" s="30">
        <f t="array" ref="AD57">_xlfn.XLOOKUP(MIN(ABS($AY$7:$AY$27 - MEDIAN(MIN($AY$7:$AY$27), MAX($AY$7:$AY$27), AD28))), ABS($AY$7:$AY$27 - MEDIAN(MIN($AY$7:$AY$27), MAX($AY$7:$AY$27), AD28)), $AZ$7:$AZ$27, "Not Found", 0)</f>
        <v/>
      </c>
      <c r="AE57" s="30">
        <f t="array" ref="AE57">_xlfn.XLOOKUP(MIN(ABS($AY$7:$AY$27 - MEDIAN(MIN($AY$7:$AY$27), MAX($AY$7:$AY$27), AE28))), ABS($AY$7:$AY$27 - MEDIAN(MIN($AY$7:$AY$27), MAX($AY$7:$AY$27), AE28)), $AZ$7:$AZ$27, "Not Found", 0)</f>
        <v/>
      </c>
      <c r="AF57" s="30">
        <f t="array" ref="AF57">_xlfn.XLOOKUP(MIN(ABS($AY$7:$AY$27 - MEDIAN(MIN($AY$7:$AY$27), MAX($AY$7:$AY$27), AF28))), ABS($AY$7:$AY$27 - MEDIAN(MIN($AY$7:$AY$27), MAX($AY$7:$AY$27), AF28)), $AZ$7:$AZ$27, "Not Found", 0)</f>
        <v/>
      </c>
      <c r="AG57" s="30">
        <f t="array" ref="AG57">_xlfn.XLOOKUP(MIN(ABS($AY$7:$AY$27 - MEDIAN(MIN($AY$7:$AY$27), MAX($AY$7:$AY$27), AG28))), ABS($AY$7:$AY$27 - MEDIAN(MIN($AY$7:$AY$27), MAX($AY$7:$AY$27), AG28)), $AZ$7:$AZ$27, "Not Found", 0)</f>
        <v/>
      </c>
      <c r="AH57" s="30">
        <f t="array" ref="AH57">_xlfn.XLOOKUP(MIN(ABS($AY$7:$AY$27 - MEDIAN(MIN($AY$7:$AY$27), MAX($AY$7:$AY$27), AH28))), ABS($AY$7:$AY$27 - MEDIAN(MIN($AY$7:$AY$27), MAX($AY$7:$AY$27), AH28)), $AZ$7:$AZ$27, "Not Found", 0)</f>
        <v/>
      </c>
      <c r="AI57" s="30">
        <f t="array" ref="AI57">_xlfn.XLOOKUP(MIN(ABS($AY$7:$AY$27 - MEDIAN(MIN($AY$7:$AY$27), MAX($AY$7:$AY$27), AI28))), ABS($AY$7:$AY$27 - MEDIAN(MIN($AY$7:$AY$27), MAX($AY$7:$AY$27), AI28)), $AZ$7:$AZ$27, "Not Found", 0)</f>
        <v/>
      </c>
      <c r="AJ57" s="30">
        <f t="array" ref="AJ57">_xlfn.XLOOKUP(MIN(ABS($AY$7:$AY$27 - MEDIAN(MIN($AY$7:$AY$27), MAX($AY$7:$AY$27), AJ28))), ABS($AY$7:$AY$27 - MEDIAN(MIN($AY$7:$AY$27), MAX($AY$7:$AY$27), AJ28)), $AZ$7:$AZ$27, "Not Found", 0)</f>
        <v/>
      </c>
      <c r="AK57" s="30">
        <f t="array" ref="AK57">_xlfn.XLOOKUP(MIN(ABS($AY$7:$AY$27 - MEDIAN(MIN($AY$7:$AY$27), MAX($AY$7:$AY$27), AK28))), ABS($AY$7:$AY$27 - MEDIAN(MIN($AY$7:$AY$27), MAX($AY$7:$AY$27), AK28)), $AZ$7:$AZ$27, "Not Found", 0)</f>
        <v/>
      </c>
      <c r="AL57" s="30">
        <f t="array" ref="AL57">_xlfn.XLOOKUP(MIN(ABS($AY$7:$AY$27 - MEDIAN(MIN($AY$7:$AY$27), MAX($AY$7:$AY$27), AL28))), ABS($AY$7:$AY$27 - MEDIAN(MIN($AY$7:$AY$27), MAX($AY$7:$AY$27), AL28)), $AZ$7:$AZ$27, "Not Found", 0)</f>
        <v/>
      </c>
      <c r="AM57" s="30">
        <f t="array" ref="AM57">_xlfn.XLOOKUP(MIN(ABS($AY$7:$AY$27 - MEDIAN(MIN($AY$7:$AY$27), MAX($AY$7:$AY$27), AM28))), ABS($AY$7:$AY$27 - MEDIAN(MIN($AY$7:$AY$27), MAX($AY$7:$AY$27), AM28)), $AZ$7:$AZ$27, "Not Found", 0)</f>
        <v/>
      </c>
      <c r="AN57" s="30">
        <f t="array" ref="AN57">_xlfn.XLOOKUP(MIN(ABS($AY$7:$AY$27 - MEDIAN(MIN($AY$7:$AY$27), MAX($AY$7:$AY$27), AN28))), ABS($AY$7:$AY$27 - MEDIAN(MIN($AY$7:$AY$27), MAX($AY$7:$AY$27), AN28)), $AZ$7:$AZ$27, "Not Found", 0)</f>
        <v/>
      </c>
      <c r="AO57" s="30">
        <f t="array" ref="AO57">_xlfn.XLOOKUP(MIN(ABS($AY$7:$AY$27 - MEDIAN(MIN($AY$7:$AY$27), MAX($AY$7:$AY$27), AO28))), ABS($AY$7:$AY$27 - MEDIAN(MIN($AY$7:$AY$27), MAX($AY$7:$AY$27), AO28)), $AZ$7:$AZ$27, "Not Found", 0)</f>
        <v/>
      </c>
      <c r="AP57" s="30">
        <f t="array" ref="AP57">_xlfn.XLOOKUP(MIN(ABS($AY$7:$AY$27 - MEDIAN(MIN($AY$7:$AY$27), MAX($AY$7:$AY$27), AP28))), ABS($AY$7:$AY$27 - MEDIAN(MIN($AY$7:$AY$27), MAX($AY$7:$AY$27), AP28)), $AZ$7:$AZ$27, "Not Found", 0)</f>
        <v/>
      </c>
      <c r="AQ57" s="30">
        <f t="array" ref="AQ57">_xlfn.XLOOKUP(MIN(ABS($AY$7:$AY$27 - MEDIAN(MIN($AY$7:$AY$27), MAX($AY$7:$AY$27), AQ28))), ABS($AY$7:$AY$27 - MEDIAN(MIN($AY$7:$AY$27), MAX($AY$7:$AY$27), AQ28)), $AZ$7:$AZ$27, "Not Found", 0)</f>
        <v/>
      </c>
      <c r="AR57" s="30">
        <f t="array" ref="AR57">_xlfn.XLOOKUP(MIN(ABS($AY$7:$AY$27 - MEDIAN(MIN($AY$7:$AY$27), MAX($AY$7:$AY$27), AR28))), ABS($AY$7:$AY$27 - MEDIAN(MIN($AY$7:$AY$27), MAX($AY$7:$AY$27), AR28)), $AZ$7:$AZ$27, "Not Found", 0)</f>
        <v/>
      </c>
      <c r="AS57" s="30">
        <f t="array" ref="AS57">_xlfn.XLOOKUP(MIN(ABS($AY$7:$AY$27 - MEDIAN(MIN($AY$7:$AY$27), MAX($AY$7:$AY$27), AS28))), ABS($AY$7:$AY$27 - MEDIAN(MIN($AY$7:$AY$27), MAX($AY$7:$AY$27), AS28)), $AZ$7:$AZ$27, "Not Found", 0)</f>
        <v/>
      </c>
      <c r="AT57" s="30">
        <f t="array" ref="AT57">_xlfn.XLOOKUP(MIN(ABS($AY$7:$AY$27 - MEDIAN(MIN($AY$7:$AY$27), MAX($AY$7:$AY$27), AT28))), ABS($AY$7:$AY$27 - MEDIAN(MIN($AY$7:$AY$27), MAX($AY$7:$AY$27), AT28)), $AZ$7:$AZ$27, "Not Found", 0)</f>
        <v/>
      </c>
      <c r="AU57" s="30">
        <f t="array" ref="AU57">_xlfn.XLOOKUP(MIN(ABS($AY$7:$AY$27 - MEDIAN(MIN($AY$7:$AY$27), MAX($AY$7:$AY$27), AU28))), ABS($AY$7:$AY$27 - MEDIAN(MIN($AY$7:$AY$27), MAX($AY$7:$AY$27), AU28)), $AZ$7:$AZ$27, "Not Found", 0)</f>
        <v/>
      </c>
      <c r="AV57" s="30">
        <f t="array" ref="AV57">_xlfn.XLOOKUP(MIN(ABS($AY$7:$AY$27 - MEDIAN(MIN($AY$7:$AY$27), MAX($AY$7:$AY$27), AV28))), ABS($AY$7:$AY$27 - MEDIAN(MIN($AY$7:$AY$27), MAX($AY$7:$AY$27), AV28)), $AZ$7:$AZ$27, "Not Found", 0)</f>
        <v/>
      </c>
      <c r="AW57" s="30">
        <f t="array" ref="AW57">_xlfn.XLOOKUP(MIN(ABS($AY$7:$AY$27 - MEDIAN(MIN($AY$7:$AY$27), MAX($AY$7:$AY$27), AW28))), ABS($AY$7:$AY$27 - MEDIAN(MIN($AY$7:$AY$27), MAX($AY$7:$AY$27), AW28)), $AZ$7:$AZ$27, "Not Found", 0)</f>
        <v/>
      </c>
    </row>
    <row r="58" ht="25" customHeight="1">
      <c r="A58" s="48" t="inlineStr">
        <is>
          <t>GBP AUD</t>
        </is>
      </c>
      <c r="B58" s="30">
        <f t="array" ref="B58">_xlfn.XLOOKUP(MIN(ABS($AY$7:$AY$27 - MEDIAN(MIN($AY$7:$AY$27), MAX($AY$7:$AY$27), B29))), ABS($AY$7:$AY$27 - MEDIAN(MIN($AY$7:$AY$27), MAX($AY$7:$AY$27), B29)), $AZ$7:$AZ$27, "Not Found", 0)</f>
        <v/>
      </c>
      <c r="C58" s="30">
        <f t="array" ref="C58">_xlfn.XLOOKUP(MIN(ABS($AY$7:$AY$27 - MEDIAN(MIN($AY$7:$AY$27), MAX($AY$7:$AY$27), C29))), ABS($AY$7:$AY$27 - MEDIAN(MIN($AY$7:$AY$27), MAX($AY$7:$AY$27), C29)), $AZ$7:$AZ$27, "Not Found", 0)</f>
        <v/>
      </c>
      <c r="D58" s="30">
        <f t="array" ref="D58">_xlfn.XLOOKUP(MIN(ABS($AY$7:$AY$27 - MEDIAN(MIN($AY$7:$AY$27), MAX($AY$7:$AY$27), D29))), ABS($AY$7:$AY$27 - MEDIAN(MIN($AY$7:$AY$27), MAX($AY$7:$AY$27), D29)), $AZ$7:$AZ$27, "Not Found", 0)</f>
        <v/>
      </c>
      <c r="E58" s="30">
        <f t="array" ref="E58">_xlfn.XLOOKUP(MIN(ABS($AY$7:$AY$27 - MEDIAN(MIN($AY$7:$AY$27), MAX($AY$7:$AY$27), E29))), ABS($AY$7:$AY$27 - MEDIAN(MIN($AY$7:$AY$27), MAX($AY$7:$AY$27), E29)), $AZ$7:$AZ$27, "Not Found", 0)</f>
        <v/>
      </c>
      <c r="F58" s="30">
        <f t="array" ref="F58">_xlfn.XLOOKUP(MIN(ABS($AY$7:$AY$27 - MEDIAN(MIN($AY$7:$AY$27), MAX($AY$7:$AY$27), F29))), ABS($AY$7:$AY$27 - MEDIAN(MIN($AY$7:$AY$27), MAX($AY$7:$AY$27), F29)), $AZ$7:$AZ$27, "Not Found", 0)</f>
        <v/>
      </c>
      <c r="G58" s="30">
        <f t="array" ref="G58">_xlfn.XLOOKUP(MIN(ABS($AY$7:$AY$27 - MEDIAN(MIN($AY$7:$AY$27), MAX($AY$7:$AY$27), G29))), ABS($AY$7:$AY$27 - MEDIAN(MIN($AY$7:$AY$27), MAX($AY$7:$AY$27), G29)), $AZ$7:$AZ$27, "Not Found", 0)</f>
        <v/>
      </c>
      <c r="H58" s="30">
        <f t="array" ref="H58">_xlfn.XLOOKUP(MIN(ABS($AY$7:$AY$27 - MEDIAN(MIN($AY$7:$AY$27), MAX($AY$7:$AY$27), H29))), ABS($AY$7:$AY$27 - MEDIAN(MIN($AY$7:$AY$27), MAX($AY$7:$AY$27), H29)), $AZ$7:$AZ$27, "Not Found", 0)</f>
        <v/>
      </c>
      <c r="I58" s="30">
        <f t="array" ref="I58">_xlfn.XLOOKUP(MIN(ABS($AY$7:$AY$27 - MEDIAN(MIN($AY$7:$AY$27), MAX($AY$7:$AY$27), I29))), ABS($AY$7:$AY$27 - MEDIAN(MIN($AY$7:$AY$27), MAX($AY$7:$AY$27), I29)), $AZ$7:$AZ$27, "Not Found", 0)</f>
        <v/>
      </c>
      <c r="J58" s="30">
        <f t="array" ref="J58">_xlfn.XLOOKUP(MIN(ABS($AY$7:$AY$27 - MEDIAN(MIN($AY$7:$AY$27), MAX($AY$7:$AY$27), J29))), ABS($AY$7:$AY$27 - MEDIAN(MIN($AY$7:$AY$27), MAX($AY$7:$AY$27), J29)), $AZ$7:$AZ$27, "Not Found", 0)</f>
        <v/>
      </c>
      <c r="K58" s="30">
        <f t="array" ref="K58">_xlfn.XLOOKUP(MIN(ABS($AY$7:$AY$27 - MEDIAN(MIN($AY$7:$AY$27), MAX($AY$7:$AY$27), K29))), ABS($AY$7:$AY$27 - MEDIAN(MIN($AY$7:$AY$27), MAX($AY$7:$AY$27), K29)), $AZ$7:$AZ$27, "Not Found", 0)</f>
        <v/>
      </c>
      <c r="L58" s="30">
        <f t="array" ref="L58">_xlfn.XLOOKUP(MIN(ABS($AY$7:$AY$27 - MEDIAN(MIN($AY$7:$AY$27), MAX($AY$7:$AY$27), L29))), ABS($AY$7:$AY$27 - MEDIAN(MIN($AY$7:$AY$27), MAX($AY$7:$AY$27), L29)), $AZ$7:$AZ$27, "Not Found", 0)</f>
        <v/>
      </c>
      <c r="M58" s="30">
        <f t="array" ref="M58">_xlfn.XLOOKUP(MIN(ABS($AY$7:$AY$27 - MEDIAN(MIN($AY$7:$AY$27), MAX($AY$7:$AY$27), M29))), ABS($AY$7:$AY$27 - MEDIAN(MIN($AY$7:$AY$27), MAX($AY$7:$AY$27), M29)), $AZ$7:$AZ$27, "Not Found", 0)</f>
        <v/>
      </c>
      <c r="N58" s="30">
        <f t="array" ref="N58">_xlfn.XLOOKUP(MIN(ABS($AY$7:$AY$27 - MEDIAN(MIN($AY$7:$AY$27), MAX($AY$7:$AY$27), N29))), ABS($AY$7:$AY$27 - MEDIAN(MIN($AY$7:$AY$27), MAX($AY$7:$AY$27), N29)), $AZ$7:$AZ$27, "Not Found", 0)</f>
        <v/>
      </c>
      <c r="O58" s="30">
        <f t="array" ref="O58">_xlfn.XLOOKUP(MIN(ABS($AY$7:$AY$27 - MEDIAN(MIN($AY$7:$AY$27), MAX($AY$7:$AY$27), O29))), ABS($AY$7:$AY$27 - MEDIAN(MIN($AY$7:$AY$27), MAX($AY$7:$AY$27), O29)), $AZ$7:$AZ$27, "Not Found", 0)</f>
        <v/>
      </c>
      <c r="P58" s="30">
        <f t="array" ref="P58">_xlfn.XLOOKUP(MIN(ABS($AY$7:$AY$27 - MEDIAN(MIN($AY$7:$AY$27), MAX($AY$7:$AY$27), P29))), ABS($AY$7:$AY$27 - MEDIAN(MIN($AY$7:$AY$27), MAX($AY$7:$AY$27), P29)), $AZ$7:$AZ$27, "Not Found", 0)</f>
        <v/>
      </c>
      <c r="Q58" s="30">
        <f t="array" ref="Q58">_xlfn.XLOOKUP(MIN(ABS($AY$7:$AY$27 - MEDIAN(MIN($AY$7:$AY$27), MAX($AY$7:$AY$27), Q29))), ABS($AY$7:$AY$27 - MEDIAN(MIN($AY$7:$AY$27), MAX($AY$7:$AY$27), Q29)), $AZ$7:$AZ$27, "Not Found", 0)</f>
        <v/>
      </c>
      <c r="R58" s="30">
        <f t="array" ref="R58">_xlfn.XLOOKUP(MIN(ABS($AY$7:$AY$27 - MEDIAN(MIN($AY$7:$AY$27), MAX($AY$7:$AY$27), R29))), ABS($AY$7:$AY$27 - MEDIAN(MIN($AY$7:$AY$27), MAX($AY$7:$AY$27), R29)), $AZ$7:$AZ$27, "Not Found", 0)</f>
        <v/>
      </c>
      <c r="S58" s="30">
        <f t="array" ref="S58">_xlfn.XLOOKUP(MIN(ABS($AY$7:$AY$27 - MEDIAN(MIN($AY$7:$AY$27), MAX($AY$7:$AY$27), S29))), ABS($AY$7:$AY$27 - MEDIAN(MIN($AY$7:$AY$27), MAX($AY$7:$AY$27), S29)), $AZ$7:$AZ$27, "Not Found", 0)</f>
        <v/>
      </c>
      <c r="T58" s="30">
        <f t="array" ref="T58">_xlfn.XLOOKUP(MIN(ABS($AY$7:$AY$27 - MEDIAN(MIN($AY$7:$AY$27), MAX($AY$7:$AY$27), T29))), ABS($AY$7:$AY$27 - MEDIAN(MIN($AY$7:$AY$27), MAX($AY$7:$AY$27), T29)), $AZ$7:$AZ$27, "Not Found", 0)</f>
        <v/>
      </c>
      <c r="U58" s="30">
        <f t="array" ref="U58">_xlfn.XLOOKUP(MIN(ABS($AY$7:$AY$27 - MEDIAN(MIN($AY$7:$AY$27), MAX($AY$7:$AY$27), U29))), ABS($AY$7:$AY$27 - MEDIAN(MIN($AY$7:$AY$27), MAX($AY$7:$AY$27), U29)), $AZ$7:$AZ$27, "Not Found", 0)</f>
        <v/>
      </c>
      <c r="V58" s="30">
        <f t="array" ref="V58">_xlfn.XLOOKUP(MIN(ABS($AY$7:$AY$27 - MEDIAN(MIN($AY$7:$AY$27), MAX($AY$7:$AY$27), V29))), ABS($AY$7:$AY$27 - MEDIAN(MIN($AY$7:$AY$27), MAX($AY$7:$AY$27), V29)), $AZ$7:$AZ$27, "Not Found", 0)</f>
        <v/>
      </c>
      <c r="W58" s="30">
        <f t="array" ref="W58">_xlfn.XLOOKUP(MIN(ABS($AY$7:$AY$27 - MEDIAN(MIN($AY$7:$AY$27), MAX($AY$7:$AY$27), W29))), ABS($AY$7:$AY$27 - MEDIAN(MIN($AY$7:$AY$27), MAX($AY$7:$AY$27), W29)), $AZ$7:$AZ$27, "Not Found", 0)</f>
        <v/>
      </c>
      <c r="X58" s="30">
        <f t="array" ref="X58">_xlfn.XLOOKUP(MIN(ABS($AY$7:$AY$27 - MEDIAN(MIN($AY$7:$AY$27), MAX($AY$7:$AY$27), X29))), ABS($AY$7:$AY$27 - MEDIAN(MIN($AY$7:$AY$27), MAX($AY$7:$AY$27), X29)), $AZ$7:$AZ$27, "Not Found", 0)</f>
        <v/>
      </c>
      <c r="Y58" s="30">
        <f t="array" ref="Y58">_xlfn.XLOOKUP(MIN(ABS($AY$7:$AY$27 - MEDIAN(MIN($AY$7:$AY$27), MAX($AY$7:$AY$27), Y29))), ABS($AY$7:$AY$27 - MEDIAN(MIN($AY$7:$AY$27), MAX($AY$7:$AY$27), Y29)), $AZ$7:$AZ$27, "Not Found", 0)</f>
        <v/>
      </c>
      <c r="Z58" s="30">
        <f t="array" ref="Z58">_xlfn.XLOOKUP(MIN(ABS($AY$7:$AY$27 - MEDIAN(MIN($AY$7:$AY$27), MAX($AY$7:$AY$27), Z29))), ABS($AY$7:$AY$27 - MEDIAN(MIN($AY$7:$AY$27), MAX($AY$7:$AY$27), Z29)), $AZ$7:$AZ$27, "Not Found", 0)</f>
        <v/>
      </c>
      <c r="AA58" s="30">
        <f t="array" ref="AA58">_xlfn.XLOOKUP(MIN(ABS($AY$7:$AY$27 - MEDIAN(MIN($AY$7:$AY$27), MAX($AY$7:$AY$27), AA29))), ABS($AY$7:$AY$27 - MEDIAN(MIN($AY$7:$AY$27), MAX($AY$7:$AY$27), AA29)), $AZ$7:$AZ$27, "Not Found", 0)</f>
        <v/>
      </c>
      <c r="AB58" s="30">
        <f t="array" ref="AB58">_xlfn.XLOOKUP(MIN(ABS($AY$7:$AY$27 - MEDIAN(MIN($AY$7:$AY$27), MAX($AY$7:$AY$27), AB29))), ABS($AY$7:$AY$27 - MEDIAN(MIN($AY$7:$AY$27), MAX($AY$7:$AY$27), AB29)), $AZ$7:$AZ$27, "Not Found", 0)</f>
        <v/>
      </c>
      <c r="AC58" s="30">
        <f t="array" ref="AC58">_xlfn.XLOOKUP(MIN(ABS($AY$7:$AY$27 - MEDIAN(MIN($AY$7:$AY$27), MAX($AY$7:$AY$27), AC29))), ABS($AY$7:$AY$27 - MEDIAN(MIN($AY$7:$AY$27), MAX($AY$7:$AY$27), AC29)), $AZ$7:$AZ$27, "Not Found", 0)</f>
        <v/>
      </c>
      <c r="AD58" s="30">
        <f t="array" ref="AD58">_xlfn.XLOOKUP(MIN(ABS($AY$7:$AY$27 - MEDIAN(MIN($AY$7:$AY$27), MAX($AY$7:$AY$27), AD29))), ABS($AY$7:$AY$27 - MEDIAN(MIN($AY$7:$AY$27), MAX($AY$7:$AY$27), AD29)), $AZ$7:$AZ$27, "Not Found", 0)</f>
        <v/>
      </c>
      <c r="AE58" s="30">
        <f t="array" ref="AE58">_xlfn.XLOOKUP(MIN(ABS($AY$7:$AY$27 - MEDIAN(MIN($AY$7:$AY$27), MAX($AY$7:$AY$27), AE29))), ABS($AY$7:$AY$27 - MEDIAN(MIN($AY$7:$AY$27), MAX($AY$7:$AY$27), AE29)), $AZ$7:$AZ$27, "Not Found", 0)</f>
        <v/>
      </c>
      <c r="AF58" s="30">
        <f t="array" ref="AF58">_xlfn.XLOOKUP(MIN(ABS($AY$7:$AY$27 - MEDIAN(MIN($AY$7:$AY$27), MAX($AY$7:$AY$27), AF29))), ABS($AY$7:$AY$27 - MEDIAN(MIN($AY$7:$AY$27), MAX($AY$7:$AY$27), AF29)), $AZ$7:$AZ$27, "Not Found", 0)</f>
        <v/>
      </c>
      <c r="AG58" s="30">
        <f t="array" ref="AG58">_xlfn.XLOOKUP(MIN(ABS($AY$7:$AY$27 - MEDIAN(MIN($AY$7:$AY$27), MAX($AY$7:$AY$27), AG29))), ABS($AY$7:$AY$27 - MEDIAN(MIN($AY$7:$AY$27), MAX($AY$7:$AY$27), AG29)), $AZ$7:$AZ$27, "Not Found", 0)</f>
        <v/>
      </c>
      <c r="AH58" s="30">
        <f t="array" ref="AH58">_xlfn.XLOOKUP(MIN(ABS($AY$7:$AY$27 - MEDIAN(MIN($AY$7:$AY$27), MAX($AY$7:$AY$27), AH29))), ABS($AY$7:$AY$27 - MEDIAN(MIN($AY$7:$AY$27), MAX($AY$7:$AY$27), AH29)), $AZ$7:$AZ$27, "Not Found", 0)</f>
        <v/>
      </c>
      <c r="AI58" s="30">
        <f t="array" ref="AI58">_xlfn.XLOOKUP(MIN(ABS($AY$7:$AY$27 - MEDIAN(MIN($AY$7:$AY$27), MAX($AY$7:$AY$27), AI29))), ABS($AY$7:$AY$27 - MEDIAN(MIN($AY$7:$AY$27), MAX($AY$7:$AY$27), AI29)), $AZ$7:$AZ$27, "Not Found", 0)</f>
        <v/>
      </c>
      <c r="AJ58" s="30">
        <f t="array" ref="AJ58">_xlfn.XLOOKUP(MIN(ABS($AY$7:$AY$27 - MEDIAN(MIN($AY$7:$AY$27), MAX($AY$7:$AY$27), AJ29))), ABS($AY$7:$AY$27 - MEDIAN(MIN($AY$7:$AY$27), MAX($AY$7:$AY$27), AJ29)), $AZ$7:$AZ$27, "Not Found", 0)</f>
        <v/>
      </c>
      <c r="AK58" s="30">
        <f t="array" ref="AK58">_xlfn.XLOOKUP(MIN(ABS($AY$7:$AY$27 - MEDIAN(MIN($AY$7:$AY$27), MAX($AY$7:$AY$27), AK29))), ABS($AY$7:$AY$27 - MEDIAN(MIN($AY$7:$AY$27), MAX($AY$7:$AY$27), AK29)), $AZ$7:$AZ$27, "Not Found", 0)</f>
        <v/>
      </c>
      <c r="AL58" s="30">
        <f t="array" ref="AL58">_xlfn.XLOOKUP(MIN(ABS($AY$7:$AY$27 - MEDIAN(MIN($AY$7:$AY$27), MAX($AY$7:$AY$27), AL29))), ABS($AY$7:$AY$27 - MEDIAN(MIN($AY$7:$AY$27), MAX($AY$7:$AY$27), AL29)), $AZ$7:$AZ$27, "Not Found", 0)</f>
        <v/>
      </c>
      <c r="AM58" s="30">
        <f t="array" ref="AM58">_xlfn.XLOOKUP(MIN(ABS($AY$7:$AY$27 - MEDIAN(MIN($AY$7:$AY$27), MAX($AY$7:$AY$27), AM29))), ABS($AY$7:$AY$27 - MEDIAN(MIN($AY$7:$AY$27), MAX($AY$7:$AY$27), AM29)), $AZ$7:$AZ$27, "Not Found", 0)</f>
        <v/>
      </c>
      <c r="AN58" s="30">
        <f t="array" ref="AN58">_xlfn.XLOOKUP(MIN(ABS($AY$7:$AY$27 - MEDIAN(MIN($AY$7:$AY$27), MAX($AY$7:$AY$27), AN29))), ABS($AY$7:$AY$27 - MEDIAN(MIN($AY$7:$AY$27), MAX($AY$7:$AY$27), AN29)), $AZ$7:$AZ$27, "Not Found", 0)</f>
        <v/>
      </c>
      <c r="AO58" s="30">
        <f t="array" ref="AO58">_xlfn.XLOOKUP(MIN(ABS($AY$7:$AY$27 - MEDIAN(MIN($AY$7:$AY$27), MAX($AY$7:$AY$27), AO29))), ABS($AY$7:$AY$27 - MEDIAN(MIN($AY$7:$AY$27), MAX($AY$7:$AY$27), AO29)), $AZ$7:$AZ$27, "Not Found", 0)</f>
        <v/>
      </c>
      <c r="AP58" s="30">
        <f t="array" ref="AP58">_xlfn.XLOOKUP(MIN(ABS($AY$7:$AY$27 - MEDIAN(MIN($AY$7:$AY$27), MAX($AY$7:$AY$27), AP29))), ABS($AY$7:$AY$27 - MEDIAN(MIN($AY$7:$AY$27), MAX($AY$7:$AY$27), AP29)), $AZ$7:$AZ$27, "Not Found", 0)</f>
        <v/>
      </c>
      <c r="AQ58" s="30">
        <f t="array" ref="AQ58">_xlfn.XLOOKUP(MIN(ABS($AY$7:$AY$27 - MEDIAN(MIN($AY$7:$AY$27), MAX($AY$7:$AY$27), AQ29))), ABS($AY$7:$AY$27 - MEDIAN(MIN($AY$7:$AY$27), MAX($AY$7:$AY$27), AQ29)), $AZ$7:$AZ$27, "Not Found", 0)</f>
        <v/>
      </c>
      <c r="AR58" s="30">
        <f t="array" ref="AR58">_xlfn.XLOOKUP(MIN(ABS($AY$7:$AY$27 - MEDIAN(MIN($AY$7:$AY$27), MAX($AY$7:$AY$27), AR29))), ABS($AY$7:$AY$27 - MEDIAN(MIN($AY$7:$AY$27), MAX($AY$7:$AY$27), AR29)), $AZ$7:$AZ$27, "Not Found", 0)</f>
        <v/>
      </c>
      <c r="AS58" s="30">
        <f t="array" ref="AS58">_xlfn.XLOOKUP(MIN(ABS($AY$7:$AY$27 - MEDIAN(MIN($AY$7:$AY$27), MAX($AY$7:$AY$27), AS29))), ABS($AY$7:$AY$27 - MEDIAN(MIN($AY$7:$AY$27), MAX($AY$7:$AY$27), AS29)), $AZ$7:$AZ$27, "Not Found", 0)</f>
        <v/>
      </c>
      <c r="AT58" s="30">
        <f t="array" ref="AT58">_xlfn.XLOOKUP(MIN(ABS($AY$7:$AY$27 - MEDIAN(MIN($AY$7:$AY$27), MAX($AY$7:$AY$27), AT29))), ABS($AY$7:$AY$27 - MEDIAN(MIN($AY$7:$AY$27), MAX($AY$7:$AY$27), AT29)), $AZ$7:$AZ$27, "Not Found", 0)</f>
        <v/>
      </c>
      <c r="AU58" s="30">
        <f t="array" ref="AU58">_xlfn.XLOOKUP(MIN(ABS($AY$7:$AY$27 - MEDIAN(MIN($AY$7:$AY$27), MAX($AY$7:$AY$27), AU29))), ABS($AY$7:$AY$27 - MEDIAN(MIN($AY$7:$AY$27), MAX($AY$7:$AY$27), AU29)), $AZ$7:$AZ$27, "Not Found", 0)</f>
        <v/>
      </c>
      <c r="AV58" s="30">
        <f t="array" ref="AV58">_xlfn.XLOOKUP(MIN(ABS($AY$7:$AY$27 - MEDIAN(MIN($AY$7:$AY$27), MAX($AY$7:$AY$27), AV29))), ABS($AY$7:$AY$27 - MEDIAN(MIN($AY$7:$AY$27), MAX($AY$7:$AY$27), AV29)), $AZ$7:$AZ$27, "Not Found", 0)</f>
        <v/>
      </c>
      <c r="AW58" s="30">
        <f t="array" ref="AW58">_xlfn.XLOOKUP(MIN(ABS($AY$7:$AY$27 - MEDIAN(MIN($AY$7:$AY$27), MAX($AY$7:$AY$27), AW29))), ABS($AY$7:$AY$27 - MEDIAN(MIN($AY$7:$AY$27), MAX($AY$7:$AY$27), AW29)), $AZ$7:$AZ$27, "Not Found", 0)</f>
        <v/>
      </c>
    </row>
    <row r="59" ht="25" customHeight="1">
      <c r="A59" s="48" t="inlineStr">
        <is>
          <t>GBP NZD</t>
        </is>
      </c>
      <c r="B59" s="30">
        <f t="array" ref="B59">_xlfn.XLOOKUP(MIN(ABS($AY$7:$AY$27 - MEDIAN(MIN($AY$7:$AY$27), MAX($AY$7:$AY$27), B30))), ABS($AY$7:$AY$27 - MEDIAN(MIN($AY$7:$AY$27), MAX($AY$7:$AY$27), B30)), $AZ$7:$AZ$27, "Not Found", 0)</f>
        <v/>
      </c>
      <c r="C59" s="30">
        <f t="array" ref="C59">_xlfn.XLOOKUP(MIN(ABS($AY$7:$AY$27 - MEDIAN(MIN($AY$7:$AY$27), MAX($AY$7:$AY$27), C30))), ABS($AY$7:$AY$27 - MEDIAN(MIN($AY$7:$AY$27), MAX($AY$7:$AY$27), C30)), $AZ$7:$AZ$27, "Not Found", 0)</f>
        <v/>
      </c>
      <c r="D59" s="30">
        <f t="array" ref="D59">_xlfn.XLOOKUP(MIN(ABS($AY$7:$AY$27 - MEDIAN(MIN($AY$7:$AY$27), MAX($AY$7:$AY$27), D30))), ABS($AY$7:$AY$27 - MEDIAN(MIN($AY$7:$AY$27), MAX($AY$7:$AY$27), D30)), $AZ$7:$AZ$27, "Not Found", 0)</f>
        <v/>
      </c>
      <c r="E59" s="30">
        <f t="array" ref="E59">_xlfn.XLOOKUP(MIN(ABS($AY$7:$AY$27 - MEDIAN(MIN($AY$7:$AY$27), MAX($AY$7:$AY$27), E30))), ABS($AY$7:$AY$27 - MEDIAN(MIN($AY$7:$AY$27), MAX($AY$7:$AY$27), E30)), $AZ$7:$AZ$27, "Not Found", 0)</f>
        <v/>
      </c>
      <c r="F59" s="30">
        <f t="array" ref="F59">_xlfn.XLOOKUP(MIN(ABS($AY$7:$AY$27 - MEDIAN(MIN($AY$7:$AY$27), MAX($AY$7:$AY$27), F30))), ABS($AY$7:$AY$27 - MEDIAN(MIN($AY$7:$AY$27), MAX($AY$7:$AY$27), F30)), $AZ$7:$AZ$27, "Not Found", 0)</f>
        <v/>
      </c>
      <c r="G59" s="30">
        <f t="array" ref="G59">_xlfn.XLOOKUP(MIN(ABS($AY$7:$AY$27 - MEDIAN(MIN($AY$7:$AY$27), MAX($AY$7:$AY$27), G30))), ABS($AY$7:$AY$27 - MEDIAN(MIN($AY$7:$AY$27), MAX($AY$7:$AY$27), G30)), $AZ$7:$AZ$27, "Not Found", 0)</f>
        <v/>
      </c>
      <c r="H59" s="30">
        <f t="array" ref="H59">_xlfn.XLOOKUP(MIN(ABS($AY$7:$AY$27 - MEDIAN(MIN($AY$7:$AY$27), MAX($AY$7:$AY$27), H30))), ABS($AY$7:$AY$27 - MEDIAN(MIN($AY$7:$AY$27), MAX($AY$7:$AY$27), H30)), $AZ$7:$AZ$27, "Not Found", 0)</f>
        <v/>
      </c>
      <c r="I59" s="30">
        <f t="array" ref="I59">_xlfn.XLOOKUP(MIN(ABS($AY$7:$AY$27 - MEDIAN(MIN($AY$7:$AY$27), MAX($AY$7:$AY$27), I30))), ABS($AY$7:$AY$27 - MEDIAN(MIN($AY$7:$AY$27), MAX($AY$7:$AY$27), I30)), $AZ$7:$AZ$27, "Not Found", 0)</f>
        <v/>
      </c>
      <c r="J59" s="30">
        <f t="array" ref="J59">_xlfn.XLOOKUP(MIN(ABS($AY$7:$AY$27 - MEDIAN(MIN($AY$7:$AY$27), MAX($AY$7:$AY$27), J30))), ABS($AY$7:$AY$27 - MEDIAN(MIN($AY$7:$AY$27), MAX($AY$7:$AY$27), J30)), $AZ$7:$AZ$27, "Not Found", 0)</f>
        <v/>
      </c>
      <c r="K59" s="30">
        <f t="array" ref="K59">_xlfn.XLOOKUP(MIN(ABS($AY$7:$AY$27 - MEDIAN(MIN($AY$7:$AY$27), MAX($AY$7:$AY$27), K30))), ABS($AY$7:$AY$27 - MEDIAN(MIN($AY$7:$AY$27), MAX($AY$7:$AY$27), K30)), $AZ$7:$AZ$27, "Not Found", 0)</f>
        <v/>
      </c>
      <c r="L59" s="30">
        <f t="array" ref="L59">_xlfn.XLOOKUP(MIN(ABS($AY$7:$AY$27 - MEDIAN(MIN($AY$7:$AY$27), MAX($AY$7:$AY$27), L30))), ABS($AY$7:$AY$27 - MEDIAN(MIN($AY$7:$AY$27), MAX($AY$7:$AY$27), L30)), $AZ$7:$AZ$27, "Not Found", 0)</f>
        <v/>
      </c>
      <c r="M59" s="30">
        <f t="array" ref="M59">_xlfn.XLOOKUP(MIN(ABS($AY$7:$AY$27 - MEDIAN(MIN($AY$7:$AY$27), MAX($AY$7:$AY$27), M30))), ABS($AY$7:$AY$27 - MEDIAN(MIN($AY$7:$AY$27), MAX($AY$7:$AY$27), M30)), $AZ$7:$AZ$27, "Not Found", 0)</f>
        <v/>
      </c>
      <c r="N59" s="30">
        <f t="array" ref="N59">_xlfn.XLOOKUP(MIN(ABS($AY$7:$AY$27 - MEDIAN(MIN($AY$7:$AY$27), MAX($AY$7:$AY$27), N30))), ABS($AY$7:$AY$27 - MEDIAN(MIN($AY$7:$AY$27), MAX($AY$7:$AY$27), N30)), $AZ$7:$AZ$27, "Not Found", 0)</f>
        <v/>
      </c>
      <c r="O59" s="30">
        <f t="array" ref="O59">_xlfn.XLOOKUP(MIN(ABS($AY$7:$AY$27 - MEDIAN(MIN($AY$7:$AY$27), MAX($AY$7:$AY$27), O30))), ABS($AY$7:$AY$27 - MEDIAN(MIN($AY$7:$AY$27), MAX($AY$7:$AY$27), O30)), $AZ$7:$AZ$27, "Not Found", 0)</f>
        <v/>
      </c>
      <c r="P59" s="30">
        <f t="array" ref="P59">_xlfn.XLOOKUP(MIN(ABS($AY$7:$AY$27 - MEDIAN(MIN($AY$7:$AY$27), MAX($AY$7:$AY$27), P30))), ABS($AY$7:$AY$27 - MEDIAN(MIN($AY$7:$AY$27), MAX($AY$7:$AY$27), P30)), $AZ$7:$AZ$27, "Not Found", 0)</f>
        <v/>
      </c>
      <c r="Q59" s="30">
        <f t="array" ref="Q59">_xlfn.XLOOKUP(MIN(ABS($AY$7:$AY$27 - MEDIAN(MIN($AY$7:$AY$27), MAX($AY$7:$AY$27), Q30))), ABS($AY$7:$AY$27 - MEDIAN(MIN($AY$7:$AY$27), MAX($AY$7:$AY$27), Q30)), $AZ$7:$AZ$27, "Not Found", 0)</f>
        <v/>
      </c>
      <c r="R59" s="30">
        <f t="array" ref="R59">_xlfn.XLOOKUP(MIN(ABS($AY$7:$AY$27 - MEDIAN(MIN($AY$7:$AY$27), MAX($AY$7:$AY$27), R30))), ABS($AY$7:$AY$27 - MEDIAN(MIN($AY$7:$AY$27), MAX($AY$7:$AY$27), R30)), $AZ$7:$AZ$27, "Not Found", 0)</f>
        <v/>
      </c>
      <c r="S59" s="30">
        <f t="array" ref="S59">_xlfn.XLOOKUP(MIN(ABS($AY$7:$AY$27 - MEDIAN(MIN($AY$7:$AY$27), MAX($AY$7:$AY$27), S30))), ABS($AY$7:$AY$27 - MEDIAN(MIN($AY$7:$AY$27), MAX($AY$7:$AY$27), S30)), $AZ$7:$AZ$27, "Not Found", 0)</f>
        <v/>
      </c>
      <c r="T59" s="30">
        <f t="array" ref="T59">_xlfn.XLOOKUP(MIN(ABS($AY$7:$AY$27 - MEDIAN(MIN($AY$7:$AY$27), MAX($AY$7:$AY$27), T30))), ABS($AY$7:$AY$27 - MEDIAN(MIN($AY$7:$AY$27), MAX($AY$7:$AY$27), T30)), $AZ$7:$AZ$27, "Not Found", 0)</f>
        <v/>
      </c>
      <c r="U59" s="30">
        <f t="array" ref="U59">_xlfn.XLOOKUP(MIN(ABS($AY$7:$AY$27 - MEDIAN(MIN($AY$7:$AY$27), MAX($AY$7:$AY$27), U30))), ABS($AY$7:$AY$27 - MEDIAN(MIN($AY$7:$AY$27), MAX($AY$7:$AY$27), U30)), $AZ$7:$AZ$27, "Not Found", 0)</f>
        <v/>
      </c>
      <c r="V59" s="30">
        <f t="array" ref="V59">_xlfn.XLOOKUP(MIN(ABS($AY$7:$AY$27 - MEDIAN(MIN($AY$7:$AY$27), MAX($AY$7:$AY$27), V30))), ABS($AY$7:$AY$27 - MEDIAN(MIN($AY$7:$AY$27), MAX($AY$7:$AY$27), V30)), $AZ$7:$AZ$27, "Not Found", 0)</f>
        <v/>
      </c>
      <c r="W59" s="30">
        <f t="array" ref="W59">_xlfn.XLOOKUP(MIN(ABS($AY$7:$AY$27 - MEDIAN(MIN($AY$7:$AY$27), MAX($AY$7:$AY$27), W30))), ABS($AY$7:$AY$27 - MEDIAN(MIN($AY$7:$AY$27), MAX($AY$7:$AY$27), W30)), $AZ$7:$AZ$27, "Not Found", 0)</f>
        <v/>
      </c>
      <c r="X59" s="30">
        <f t="array" ref="X59">_xlfn.XLOOKUP(MIN(ABS($AY$7:$AY$27 - MEDIAN(MIN($AY$7:$AY$27), MAX($AY$7:$AY$27), X30))), ABS($AY$7:$AY$27 - MEDIAN(MIN($AY$7:$AY$27), MAX($AY$7:$AY$27), X30)), $AZ$7:$AZ$27, "Not Found", 0)</f>
        <v/>
      </c>
      <c r="Y59" s="30">
        <f t="array" ref="Y59">_xlfn.XLOOKUP(MIN(ABS($AY$7:$AY$27 - MEDIAN(MIN($AY$7:$AY$27), MAX($AY$7:$AY$27), Y30))), ABS($AY$7:$AY$27 - MEDIAN(MIN($AY$7:$AY$27), MAX($AY$7:$AY$27), Y30)), $AZ$7:$AZ$27, "Not Found", 0)</f>
        <v/>
      </c>
      <c r="Z59" s="30">
        <f t="array" ref="Z59">_xlfn.XLOOKUP(MIN(ABS($AY$7:$AY$27 - MEDIAN(MIN($AY$7:$AY$27), MAX($AY$7:$AY$27), Z30))), ABS($AY$7:$AY$27 - MEDIAN(MIN($AY$7:$AY$27), MAX($AY$7:$AY$27), Z30)), $AZ$7:$AZ$27, "Not Found", 0)</f>
        <v/>
      </c>
      <c r="AA59" s="30">
        <f t="array" ref="AA59">_xlfn.XLOOKUP(MIN(ABS($AY$7:$AY$27 - MEDIAN(MIN($AY$7:$AY$27), MAX($AY$7:$AY$27), AA30))), ABS($AY$7:$AY$27 - MEDIAN(MIN($AY$7:$AY$27), MAX($AY$7:$AY$27), AA30)), $AZ$7:$AZ$27, "Not Found", 0)</f>
        <v/>
      </c>
      <c r="AB59" s="30">
        <f t="array" ref="AB59">_xlfn.XLOOKUP(MIN(ABS($AY$7:$AY$27 - MEDIAN(MIN($AY$7:$AY$27), MAX($AY$7:$AY$27), AB30))), ABS($AY$7:$AY$27 - MEDIAN(MIN($AY$7:$AY$27), MAX($AY$7:$AY$27), AB30)), $AZ$7:$AZ$27, "Not Found", 0)</f>
        <v/>
      </c>
      <c r="AC59" s="30">
        <f t="array" ref="AC59">_xlfn.XLOOKUP(MIN(ABS($AY$7:$AY$27 - MEDIAN(MIN($AY$7:$AY$27), MAX($AY$7:$AY$27), AC30))), ABS($AY$7:$AY$27 - MEDIAN(MIN($AY$7:$AY$27), MAX($AY$7:$AY$27), AC30)), $AZ$7:$AZ$27, "Not Found", 0)</f>
        <v/>
      </c>
      <c r="AD59" s="30">
        <f t="array" ref="AD59">_xlfn.XLOOKUP(MIN(ABS($AY$7:$AY$27 - MEDIAN(MIN($AY$7:$AY$27), MAX($AY$7:$AY$27), AD30))), ABS($AY$7:$AY$27 - MEDIAN(MIN($AY$7:$AY$27), MAX($AY$7:$AY$27), AD30)), $AZ$7:$AZ$27, "Not Found", 0)</f>
        <v/>
      </c>
      <c r="AE59" s="30">
        <f t="array" ref="AE59">_xlfn.XLOOKUP(MIN(ABS($AY$7:$AY$27 - MEDIAN(MIN($AY$7:$AY$27), MAX($AY$7:$AY$27), AE30))), ABS($AY$7:$AY$27 - MEDIAN(MIN($AY$7:$AY$27), MAX($AY$7:$AY$27), AE30)), $AZ$7:$AZ$27, "Not Found", 0)</f>
        <v/>
      </c>
      <c r="AF59" s="30">
        <f t="array" ref="AF59">_xlfn.XLOOKUP(MIN(ABS($AY$7:$AY$27 - MEDIAN(MIN($AY$7:$AY$27), MAX($AY$7:$AY$27), AF30))), ABS($AY$7:$AY$27 - MEDIAN(MIN($AY$7:$AY$27), MAX($AY$7:$AY$27), AF30)), $AZ$7:$AZ$27, "Not Found", 0)</f>
        <v/>
      </c>
      <c r="AG59" s="30">
        <f t="array" ref="AG59">_xlfn.XLOOKUP(MIN(ABS($AY$7:$AY$27 - MEDIAN(MIN($AY$7:$AY$27), MAX($AY$7:$AY$27), AG30))), ABS($AY$7:$AY$27 - MEDIAN(MIN($AY$7:$AY$27), MAX($AY$7:$AY$27), AG30)), $AZ$7:$AZ$27, "Not Found", 0)</f>
        <v/>
      </c>
      <c r="AH59" s="30">
        <f t="array" ref="AH59">_xlfn.XLOOKUP(MIN(ABS($AY$7:$AY$27 - MEDIAN(MIN($AY$7:$AY$27), MAX($AY$7:$AY$27), AH30))), ABS($AY$7:$AY$27 - MEDIAN(MIN($AY$7:$AY$27), MAX($AY$7:$AY$27), AH30)), $AZ$7:$AZ$27, "Not Found", 0)</f>
        <v/>
      </c>
      <c r="AI59" s="30">
        <f t="array" ref="AI59">_xlfn.XLOOKUP(MIN(ABS($AY$7:$AY$27 - MEDIAN(MIN($AY$7:$AY$27), MAX($AY$7:$AY$27), AI30))), ABS($AY$7:$AY$27 - MEDIAN(MIN($AY$7:$AY$27), MAX($AY$7:$AY$27), AI30)), $AZ$7:$AZ$27, "Not Found", 0)</f>
        <v/>
      </c>
      <c r="AJ59" s="30">
        <f t="array" ref="AJ59">_xlfn.XLOOKUP(MIN(ABS($AY$7:$AY$27 - MEDIAN(MIN($AY$7:$AY$27), MAX($AY$7:$AY$27), AJ30))), ABS($AY$7:$AY$27 - MEDIAN(MIN($AY$7:$AY$27), MAX($AY$7:$AY$27), AJ30)), $AZ$7:$AZ$27, "Not Found", 0)</f>
        <v/>
      </c>
      <c r="AK59" s="30">
        <f t="array" ref="AK59">_xlfn.XLOOKUP(MIN(ABS($AY$7:$AY$27 - MEDIAN(MIN($AY$7:$AY$27), MAX($AY$7:$AY$27), AK30))), ABS($AY$7:$AY$27 - MEDIAN(MIN($AY$7:$AY$27), MAX($AY$7:$AY$27), AK30)), $AZ$7:$AZ$27, "Not Found", 0)</f>
        <v/>
      </c>
      <c r="AL59" s="30">
        <f t="array" ref="AL59">_xlfn.XLOOKUP(MIN(ABS($AY$7:$AY$27 - MEDIAN(MIN($AY$7:$AY$27), MAX($AY$7:$AY$27), AL30))), ABS($AY$7:$AY$27 - MEDIAN(MIN($AY$7:$AY$27), MAX($AY$7:$AY$27), AL30)), $AZ$7:$AZ$27, "Not Found", 0)</f>
        <v/>
      </c>
      <c r="AM59" s="30">
        <f t="array" ref="AM59">_xlfn.XLOOKUP(MIN(ABS($AY$7:$AY$27 - MEDIAN(MIN($AY$7:$AY$27), MAX($AY$7:$AY$27), AM30))), ABS($AY$7:$AY$27 - MEDIAN(MIN($AY$7:$AY$27), MAX($AY$7:$AY$27), AM30)), $AZ$7:$AZ$27, "Not Found", 0)</f>
        <v/>
      </c>
      <c r="AN59" s="30">
        <f t="array" ref="AN59">_xlfn.XLOOKUP(MIN(ABS($AY$7:$AY$27 - MEDIAN(MIN($AY$7:$AY$27), MAX($AY$7:$AY$27), AN30))), ABS($AY$7:$AY$27 - MEDIAN(MIN($AY$7:$AY$27), MAX($AY$7:$AY$27), AN30)), $AZ$7:$AZ$27, "Not Found", 0)</f>
        <v/>
      </c>
      <c r="AO59" s="30">
        <f t="array" ref="AO59">_xlfn.XLOOKUP(MIN(ABS($AY$7:$AY$27 - MEDIAN(MIN($AY$7:$AY$27), MAX($AY$7:$AY$27), AO30))), ABS($AY$7:$AY$27 - MEDIAN(MIN($AY$7:$AY$27), MAX($AY$7:$AY$27), AO30)), $AZ$7:$AZ$27, "Not Found", 0)</f>
        <v/>
      </c>
      <c r="AP59" s="30">
        <f t="array" ref="AP59">_xlfn.XLOOKUP(MIN(ABS($AY$7:$AY$27 - MEDIAN(MIN($AY$7:$AY$27), MAX($AY$7:$AY$27), AP30))), ABS($AY$7:$AY$27 - MEDIAN(MIN($AY$7:$AY$27), MAX($AY$7:$AY$27), AP30)), $AZ$7:$AZ$27, "Not Found", 0)</f>
        <v/>
      </c>
      <c r="AQ59" s="30">
        <f t="array" ref="AQ59">_xlfn.XLOOKUP(MIN(ABS($AY$7:$AY$27 - MEDIAN(MIN($AY$7:$AY$27), MAX($AY$7:$AY$27), AQ30))), ABS($AY$7:$AY$27 - MEDIAN(MIN($AY$7:$AY$27), MAX($AY$7:$AY$27), AQ30)), $AZ$7:$AZ$27, "Not Found", 0)</f>
        <v/>
      </c>
      <c r="AR59" s="30">
        <f t="array" ref="AR59">_xlfn.XLOOKUP(MIN(ABS($AY$7:$AY$27 - MEDIAN(MIN($AY$7:$AY$27), MAX($AY$7:$AY$27), AR30))), ABS($AY$7:$AY$27 - MEDIAN(MIN($AY$7:$AY$27), MAX($AY$7:$AY$27), AR30)), $AZ$7:$AZ$27, "Not Found", 0)</f>
        <v/>
      </c>
      <c r="AS59" s="30">
        <f t="array" ref="AS59">_xlfn.XLOOKUP(MIN(ABS($AY$7:$AY$27 - MEDIAN(MIN($AY$7:$AY$27), MAX($AY$7:$AY$27), AS30))), ABS($AY$7:$AY$27 - MEDIAN(MIN($AY$7:$AY$27), MAX($AY$7:$AY$27), AS30)), $AZ$7:$AZ$27, "Not Found", 0)</f>
        <v/>
      </c>
      <c r="AT59" s="30">
        <f t="array" ref="AT59">_xlfn.XLOOKUP(MIN(ABS($AY$7:$AY$27 - MEDIAN(MIN($AY$7:$AY$27), MAX($AY$7:$AY$27), AT30))), ABS($AY$7:$AY$27 - MEDIAN(MIN($AY$7:$AY$27), MAX($AY$7:$AY$27), AT30)), $AZ$7:$AZ$27, "Not Found", 0)</f>
        <v/>
      </c>
      <c r="AU59" s="30">
        <f t="array" ref="AU59">_xlfn.XLOOKUP(MIN(ABS($AY$7:$AY$27 - MEDIAN(MIN($AY$7:$AY$27), MAX($AY$7:$AY$27), AU30))), ABS($AY$7:$AY$27 - MEDIAN(MIN($AY$7:$AY$27), MAX($AY$7:$AY$27), AU30)), $AZ$7:$AZ$27, "Not Found", 0)</f>
        <v/>
      </c>
      <c r="AV59" s="30">
        <f t="array" ref="AV59">_xlfn.XLOOKUP(MIN(ABS($AY$7:$AY$27 - MEDIAN(MIN($AY$7:$AY$27), MAX($AY$7:$AY$27), AV30))), ABS($AY$7:$AY$27 - MEDIAN(MIN($AY$7:$AY$27), MAX($AY$7:$AY$27), AV30)), $AZ$7:$AZ$27, "Not Found", 0)</f>
        <v/>
      </c>
      <c r="AW59" s="30">
        <f t="array" ref="AW59">_xlfn.XLOOKUP(MIN(ABS($AY$7:$AY$27 - MEDIAN(MIN($AY$7:$AY$27), MAX($AY$7:$AY$27), AW30))), ABS($AY$7:$AY$27 - MEDIAN(MIN($AY$7:$AY$27), MAX($AY$7:$AY$27), AW30)), $AZ$7:$AZ$27, "Not Found", 0)</f>
        <v/>
      </c>
    </row>
    <row r="60" ht="25" customHeight="1">
      <c r="A60" s="49" t="inlineStr">
        <is>
          <t xml:space="preserve">CHF JPY </t>
        </is>
      </c>
      <c r="B60" s="30">
        <f t="array" ref="B60">_xlfn.XLOOKUP(MIN(ABS($AY$7:$AY$27 - MEDIAN(MIN($AY$7:$AY$27), MAX($AY$7:$AY$27), B31))), ABS($AY$7:$AY$27 - MEDIAN(MIN($AY$7:$AY$27), MAX($AY$7:$AY$27), B31)), $AZ$7:$AZ$27, "Not Found", 0)</f>
        <v/>
      </c>
      <c r="C60" s="30">
        <f t="array" ref="C60">_xlfn.XLOOKUP(MIN(ABS($AY$7:$AY$27 - MEDIAN(MIN($AY$7:$AY$27), MAX($AY$7:$AY$27), C31))), ABS($AY$7:$AY$27 - MEDIAN(MIN($AY$7:$AY$27), MAX($AY$7:$AY$27), C31)), $AZ$7:$AZ$27, "Not Found", 0)</f>
        <v/>
      </c>
      <c r="D60" s="30">
        <f t="array" ref="D60">_xlfn.XLOOKUP(MIN(ABS($AY$7:$AY$27 - MEDIAN(MIN($AY$7:$AY$27), MAX($AY$7:$AY$27), D31))), ABS($AY$7:$AY$27 - MEDIAN(MIN($AY$7:$AY$27), MAX($AY$7:$AY$27), D31)), $AZ$7:$AZ$27, "Not Found", 0)</f>
        <v/>
      </c>
      <c r="E60" s="30">
        <f t="array" ref="E60">_xlfn.XLOOKUP(MIN(ABS($AY$7:$AY$27 - MEDIAN(MIN($AY$7:$AY$27), MAX($AY$7:$AY$27), E31))), ABS($AY$7:$AY$27 - MEDIAN(MIN($AY$7:$AY$27), MAX($AY$7:$AY$27), E31)), $AZ$7:$AZ$27, "Not Found", 0)</f>
        <v/>
      </c>
      <c r="F60" s="30">
        <f t="array" ref="F60">_xlfn.XLOOKUP(MIN(ABS($AY$7:$AY$27 - MEDIAN(MIN($AY$7:$AY$27), MAX($AY$7:$AY$27), F31))), ABS($AY$7:$AY$27 - MEDIAN(MIN($AY$7:$AY$27), MAX($AY$7:$AY$27), F31)), $AZ$7:$AZ$27, "Not Found", 0)</f>
        <v/>
      </c>
      <c r="G60" s="30">
        <f t="array" ref="G60">_xlfn.XLOOKUP(MIN(ABS($AY$7:$AY$27 - MEDIAN(MIN($AY$7:$AY$27), MAX($AY$7:$AY$27), G31))), ABS($AY$7:$AY$27 - MEDIAN(MIN($AY$7:$AY$27), MAX($AY$7:$AY$27), G31)), $AZ$7:$AZ$27, "Not Found", 0)</f>
        <v/>
      </c>
      <c r="H60" s="30">
        <f t="array" ref="H60">_xlfn.XLOOKUP(MIN(ABS($AY$7:$AY$27 - MEDIAN(MIN($AY$7:$AY$27), MAX($AY$7:$AY$27), H31))), ABS($AY$7:$AY$27 - MEDIAN(MIN($AY$7:$AY$27), MAX($AY$7:$AY$27), H31)), $AZ$7:$AZ$27, "Not Found", 0)</f>
        <v/>
      </c>
      <c r="I60" s="30">
        <f t="array" ref="I60">_xlfn.XLOOKUP(MIN(ABS($AY$7:$AY$27 - MEDIAN(MIN($AY$7:$AY$27), MAX($AY$7:$AY$27), I31))), ABS($AY$7:$AY$27 - MEDIAN(MIN($AY$7:$AY$27), MAX($AY$7:$AY$27), I31)), $AZ$7:$AZ$27, "Not Found", 0)</f>
        <v/>
      </c>
      <c r="J60" s="30">
        <f t="array" ref="J60">_xlfn.XLOOKUP(MIN(ABS($AY$7:$AY$27 - MEDIAN(MIN($AY$7:$AY$27), MAX($AY$7:$AY$27), J31))), ABS($AY$7:$AY$27 - MEDIAN(MIN($AY$7:$AY$27), MAX($AY$7:$AY$27), J31)), $AZ$7:$AZ$27, "Not Found", 0)</f>
        <v/>
      </c>
      <c r="K60" s="30">
        <f t="array" ref="K60">_xlfn.XLOOKUP(MIN(ABS($AY$7:$AY$27 - MEDIAN(MIN($AY$7:$AY$27), MAX($AY$7:$AY$27), K31))), ABS($AY$7:$AY$27 - MEDIAN(MIN($AY$7:$AY$27), MAX($AY$7:$AY$27), K31)), $AZ$7:$AZ$27, "Not Found", 0)</f>
        <v/>
      </c>
      <c r="L60" s="30">
        <f t="array" ref="L60">_xlfn.XLOOKUP(MIN(ABS($AY$7:$AY$27 - MEDIAN(MIN($AY$7:$AY$27), MAX($AY$7:$AY$27), L31))), ABS($AY$7:$AY$27 - MEDIAN(MIN($AY$7:$AY$27), MAX($AY$7:$AY$27), L31)), $AZ$7:$AZ$27, "Not Found", 0)</f>
        <v/>
      </c>
      <c r="M60" s="30">
        <f t="array" ref="M60">_xlfn.XLOOKUP(MIN(ABS($AY$7:$AY$27 - MEDIAN(MIN($AY$7:$AY$27), MAX($AY$7:$AY$27), M31))), ABS($AY$7:$AY$27 - MEDIAN(MIN($AY$7:$AY$27), MAX($AY$7:$AY$27), M31)), $AZ$7:$AZ$27, "Not Found", 0)</f>
        <v/>
      </c>
      <c r="N60" s="30">
        <f t="array" ref="N60">_xlfn.XLOOKUP(MIN(ABS($AY$7:$AY$27 - MEDIAN(MIN($AY$7:$AY$27), MAX($AY$7:$AY$27), N31))), ABS($AY$7:$AY$27 - MEDIAN(MIN($AY$7:$AY$27), MAX($AY$7:$AY$27), N31)), $AZ$7:$AZ$27, "Not Found", 0)</f>
        <v/>
      </c>
      <c r="O60" s="30">
        <f t="array" ref="O60">_xlfn.XLOOKUP(MIN(ABS($AY$7:$AY$27 - MEDIAN(MIN($AY$7:$AY$27), MAX($AY$7:$AY$27), O31))), ABS($AY$7:$AY$27 - MEDIAN(MIN($AY$7:$AY$27), MAX($AY$7:$AY$27), O31)), $AZ$7:$AZ$27, "Not Found", 0)</f>
        <v/>
      </c>
      <c r="P60" s="30">
        <f t="array" ref="P60">_xlfn.XLOOKUP(MIN(ABS($AY$7:$AY$27 - MEDIAN(MIN($AY$7:$AY$27), MAX($AY$7:$AY$27), P31))), ABS($AY$7:$AY$27 - MEDIAN(MIN($AY$7:$AY$27), MAX($AY$7:$AY$27), P31)), $AZ$7:$AZ$27, "Not Found", 0)</f>
        <v/>
      </c>
      <c r="Q60" s="30">
        <f t="array" ref="Q60">_xlfn.XLOOKUP(MIN(ABS($AY$7:$AY$27 - MEDIAN(MIN($AY$7:$AY$27), MAX($AY$7:$AY$27), Q31))), ABS($AY$7:$AY$27 - MEDIAN(MIN($AY$7:$AY$27), MAX($AY$7:$AY$27), Q31)), $AZ$7:$AZ$27, "Not Found", 0)</f>
        <v/>
      </c>
      <c r="R60" s="30">
        <f t="array" ref="R60">_xlfn.XLOOKUP(MIN(ABS($AY$7:$AY$27 - MEDIAN(MIN($AY$7:$AY$27), MAX($AY$7:$AY$27), R31))), ABS($AY$7:$AY$27 - MEDIAN(MIN($AY$7:$AY$27), MAX($AY$7:$AY$27), R31)), $AZ$7:$AZ$27, "Not Found", 0)</f>
        <v/>
      </c>
      <c r="S60" s="30">
        <f t="array" ref="S60">_xlfn.XLOOKUP(MIN(ABS($AY$7:$AY$27 - MEDIAN(MIN($AY$7:$AY$27), MAX($AY$7:$AY$27), S31))), ABS($AY$7:$AY$27 - MEDIAN(MIN($AY$7:$AY$27), MAX($AY$7:$AY$27), S31)), $AZ$7:$AZ$27, "Not Found", 0)</f>
        <v/>
      </c>
      <c r="T60" s="30">
        <f t="array" ref="T60">_xlfn.XLOOKUP(MIN(ABS($AY$7:$AY$27 - MEDIAN(MIN($AY$7:$AY$27), MAX($AY$7:$AY$27), T31))), ABS($AY$7:$AY$27 - MEDIAN(MIN($AY$7:$AY$27), MAX($AY$7:$AY$27), T31)), $AZ$7:$AZ$27, "Not Found", 0)</f>
        <v/>
      </c>
      <c r="U60" s="30">
        <f t="array" ref="U60">_xlfn.XLOOKUP(MIN(ABS($AY$7:$AY$27 - MEDIAN(MIN($AY$7:$AY$27), MAX($AY$7:$AY$27), U31))), ABS($AY$7:$AY$27 - MEDIAN(MIN($AY$7:$AY$27), MAX($AY$7:$AY$27), U31)), $AZ$7:$AZ$27, "Not Found", 0)</f>
        <v/>
      </c>
      <c r="V60" s="30">
        <f t="array" ref="V60">_xlfn.XLOOKUP(MIN(ABS($AY$7:$AY$27 - MEDIAN(MIN($AY$7:$AY$27), MAX($AY$7:$AY$27), V31))), ABS($AY$7:$AY$27 - MEDIAN(MIN($AY$7:$AY$27), MAX($AY$7:$AY$27), V31)), $AZ$7:$AZ$27, "Not Found", 0)</f>
        <v/>
      </c>
      <c r="W60" s="30">
        <f t="array" ref="W60">_xlfn.XLOOKUP(MIN(ABS($AY$7:$AY$27 - MEDIAN(MIN($AY$7:$AY$27), MAX($AY$7:$AY$27), W31))), ABS($AY$7:$AY$27 - MEDIAN(MIN($AY$7:$AY$27), MAX($AY$7:$AY$27), W31)), $AZ$7:$AZ$27, "Not Found", 0)</f>
        <v/>
      </c>
      <c r="X60" s="30">
        <f t="array" ref="X60">_xlfn.XLOOKUP(MIN(ABS($AY$7:$AY$27 - MEDIAN(MIN($AY$7:$AY$27), MAX($AY$7:$AY$27), X31))), ABS($AY$7:$AY$27 - MEDIAN(MIN($AY$7:$AY$27), MAX($AY$7:$AY$27), X31)), $AZ$7:$AZ$27, "Not Found", 0)</f>
        <v/>
      </c>
      <c r="Y60" s="30">
        <f t="array" ref="Y60">_xlfn.XLOOKUP(MIN(ABS($AY$7:$AY$27 - MEDIAN(MIN($AY$7:$AY$27), MAX($AY$7:$AY$27), Y31))), ABS($AY$7:$AY$27 - MEDIAN(MIN($AY$7:$AY$27), MAX($AY$7:$AY$27), Y31)), $AZ$7:$AZ$27, "Not Found", 0)</f>
        <v/>
      </c>
      <c r="Z60" s="30">
        <f t="array" ref="Z60">_xlfn.XLOOKUP(MIN(ABS($AY$7:$AY$27 - MEDIAN(MIN($AY$7:$AY$27), MAX($AY$7:$AY$27), Z31))), ABS($AY$7:$AY$27 - MEDIAN(MIN($AY$7:$AY$27), MAX($AY$7:$AY$27), Z31)), $AZ$7:$AZ$27, "Not Found", 0)</f>
        <v/>
      </c>
      <c r="AA60" s="30">
        <f t="array" ref="AA60">_xlfn.XLOOKUP(MIN(ABS($AY$7:$AY$27 - MEDIAN(MIN($AY$7:$AY$27), MAX($AY$7:$AY$27), AA31))), ABS($AY$7:$AY$27 - MEDIAN(MIN($AY$7:$AY$27), MAX($AY$7:$AY$27), AA31)), $AZ$7:$AZ$27, "Not Found", 0)</f>
        <v/>
      </c>
      <c r="AB60" s="30">
        <f t="array" ref="AB60">_xlfn.XLOOKUP(MIN(ABS($AY$7:$AY$27 - MEDIAN(MIN($AY$7:$AY$27), MAX($AY$7:$AY$27), AB31))), ABS($AY$7:$AY$27 - MEDIAN(MIN($AY$7:$AY$27), MAX($AY$7:$AY$27), AB31)), $AZ$7:$AZ$27, "Not Found", 0)</f>
        <v/>
      </c>
      <c r="AC60" s="30">
        <f t="array" ref="AC60">_xlfn.XLOOKUP(MIN(ABS($AY$7:$AY$27 - MEDIAN(MIN($AY$7:$AY$27), MAX($AY$7:$AY$27), AC31))), ABS($AY$7:$AY$27 - MEDIAN(MIN($AY$7:$AY$27), MAX($AY$7:$AY$27), AC31)), $AZ$7:$AZ$27, "Not Found", 0)</f>
        <v/>
      </c>
      <c r="AD60" s="30">
        <f t="array" ref="AD60">_xlfn.XLOOKUP(MIN(ABS($AY$7:$AY$27 - MEDIAN(MIN($AY$7:$AY$27), MAX($AY$7:$AY$27), AD31))), ABS($AY$7:$AY$27 - MEDIAN(MIN($AY$7:$AY$27), MAX($AY$7:$AY$27), AD31)), $AZ$7:$AZ$27, "Not Found", 0)</f>
        <v/>
      </c>
      <c r="AE60" s="30">
        <f t="array" ref="AE60">_xlfn.XLOOKUP(MIN(ABS($AY$7:$AY$27 - MEDIAN(MIN($AY$7:$AY$27), MAX($AY$7:$AY$27), AE31))), ABS($AY$7:$AY$27 - MEDIAN(MIN($AY$7:$AY$27), MAX($AY$7:$AY$27), AE31)), $AZ$7:$AZ$27, "Not Found", 0)</f>
        <v/>
      </c>
      <c r="AF60" s="30">
        <f t="array" ref="AF60">_xlfn.XLOOKUP(MIN(ABS($AY$7:$AY$27 - MEDIAN(MIN($AY$7:$AY$27), MAX($AY$7:$AY$27), AF31))), ABS($AY$7:$AY$27 - MEDIAN(MIN($AY$7:$AY$27), MAX($AY$7:$AY$27), AF31)), $AZ$7:$AZ$27, "Not Found", 0)</f>
        <v/>
      </c>
      <c r="AG60" s="30">
        <f t="array" ref="AG60">_xlfn.XLOOKUP(MIN(ABS($AY$7:$AY$27 - MEDIAN(MIN($AY$7:$AY$27), MAX($AY$7:$AY$27), AG31))), ABS($AY$7:$AY$27 - MEDIAN(MIN($AY$7:$AY$27), MAX($AY$7:$AY$27), AG31)), $AZ$7:$AZ$27, "Not Found", 0)</f>
        <v/>
      </c>
      <c r="AH60" s="30">
        <f t="array" ref="AH60">_xlfn.XLOOKUP(MIN(ABS($AY$7:$AY$27 - MEDIAN(MIN($AY$7:$AY$27), MAX($AY$7:$AY$27), AH31))), ABS($AY$7:$AY$27 - MEDIAN(MIN($AY$7:$AY$27), MAX($AY$7:$AY$27), AH31)), $AZ$7:$AZ$27, "Not Found", 0)</f>
        <v/>
      </c>
      <c r="AI60" s="30">
        <f t="array" ref="AI60">_xlfn.XLOOKUP(MIN(ABS($AY$7:$AY$27 - MEDIAN(MIN($AY$7:$AY$27), MAX($AY$7:$AY$27), AI31))), ABS($AY$7:$AY$27 - MEDIAN(MIN($AY$7:$AY$27), MAX($AY$7:$AY$27), AI31)), $AZ$7:$AZ$27, "Not Found", 0)</f>
        <v/>
      </c>
      <c r="AJ60" s="30">
        <f t="array" ref="AJ60">_xlfn.XLOOKUP(MIN(ABS($AY$7:$AY$27 - MEDIAN(MIN($AY$7:$AY$27), MAX($AY$7:$AY$27), AJ31))), ABS($AY$7:$AY$27 - MEDIAN(MIN($AY$7:$AY$27), MAX($AY$7:$AY$27), AJ31)), $AZ$7:$AZ$27, "Not Found", 0)</f>
        <v/>
      </c>
      <c r="AK60" s="30">
        <f t="array" ref="AK60">_xlfn.XLOOKUP(MIN(ABS($AY$7:$AY$27 - MEDIAN(MIN($AY$7:$AY$27), MAX($AY$7:$AY$27), AK31))), ABS($AY$7:$AY$27 - MEDIAN(MIN($AY$7:$AY$27), MAX($AY$7:$AY$27), AK31)), $AZ$7:$AZ$27, "Not Found", 0)</f>
        <v/>
      </c>
      <c r="AL60" s="30">
        <f t="array" ref="AL60">_xlfn.XLOOKUP(MIN(ABS($AY$7:$AY$27 - MEDIAN(MIN($AY$7:$AY$27), MAX($AY$7:$AY$27), AL31))), ABS($AY$7:$AY$27 - MEDIAN(MIN($AY$7:$AY$27), MAX($AY$7:$AY$27), AL31)), $AZ$7:$AZ$27, "Not Found", 0)</f>
        <v/>
      </c>
      <c r="AM60" s="30">
        <f t="array" ref="AM60">_xlfn.XLOOKUP(MIN(ABS($AY$7:$AY$27 - MEDIAN(MIN($AY$7:$AY$27), MAX($AY$7:$AY$27), AM31))), ABS($AY$7:$AY$27 - MEDIAN(MIN($AY$7:$AY$27), MAX($AY$7:$AY$27), AM31)), $AZ$7:$AZ$27, "Not Found", 0)</f>
        <v/>
      </c>
      <c r="AN60" s="30">
        <f t="array" ref="AN60">_xlfn.XLOOKUP(MIN(ABS($AY$7:$AY$27 - MEDIAN(MIN($AY$7:$AY$27), MAX($AY$7:$AY$27), AN31))), ABS($AY$7:$AY$27 - MEDIAN(MIN($AY$7:$AY$27), MAX($AY$7:$AY$27), AN31)), $AZ$7:$AZ$27, "Not Found", 0)</f>
        <v/>
      </c>
      <c r="AO60" s="30">
        <f t="array" ref="AO60">_xlfn.XLOOKUP(MIN(ABS($AY$7:$AY$27 - MEDIAN(MIN($AY$7:$AY$27), MAX($AY$7:$AY$27), AO31))), ABS($AY$7:$AY$27 - MEDIAN(MIN($AY$7:$AY$27), MAX($AY$7:$AY$27), AO31)), $AZ$7:$AZ$27, "Not Found", 0)</f>
        <v/>
      </c>
      <c r="AP60" s="30">
        <f t="array" ref="AP60">_xlfn.XLOOKUP(MIN(ABS($AY$7:$AY$27 - MEDIAN(MIN($AY$7:$AY$27), MAX($AY$7:$AY$27), AP31))), ABS($AY$7:$AY$27 - MEDIAN(MIN($AY$7:$AY$27), MAX($AY$7:$AY$27), AP31)), $AZ$7:$AZ$27, "Not Found", 0)</f>
        <v/>
      </c>
      <c r="AQ60" s="30">
        <f t="array" ref="AQ60">_xlfn.XLOOKUP(MIN(ABS($AY$7:$AY$27 - MEDIAN(MIN($AY$7:$AY$27), MAX($AY$7:$AY$27), AQ31))), ABS($AY$7:$AY$27 - MEDIAN(MIN($AY$7:$AY$27), MAX($AY$7:$AY$27), AQ31)), $AZ$7:$AZ$27, "Not Found", 0)</f>
        <v/>
      </c>
      <c r="AR60" s="30">
        <f t="array" ref="AR60">_xlfn.XLOOKUP(MIN(ABS($AY$7:$AY$27 - MEDIAN(MIN($AY$7:$AY$27), MAX($AY$7:$AY$27), AR31))), ABS($AY$7:$AY$27 - MEDIAN(MIN($AY$7:$AY$27), MAX($AY$7:$AY$27), AR31)), $AZ$7:$AZ$27, "Not Found", 0)</f>
        <v/>
      </c>
      <c r="AS60" s="30">
        <f t="array" ref="AS60">_xlfn.XLOOKUP(MIN(ABS($AY$7:$AY$27 - MEDIAN(MIN($AY$7:$AY$27), MAX($AY$7:$AY$27), AS31))), ABS($AY$7:$AY$27 - MEDIAN(MIN($AY$7:$AY$27), MAX($AY$7:$AY$27), AS31)), $AZ$7:$AZ$27, "Not Found", 0)</f>
        <v/>
      </c>
      <c r="AT60" s="30">
        <f t="array" ref="AT60">_xlfn.XLOOKUP(MIN(ABS($AY$7:$AY$27 - MEDIAN(MIN($AY$7:$AY$27), MAX($AY$7:$AY$27), AT31))), ABS($AY$7:$AY$27 - MEDIAN(MIN($AY$7:$AY$27), MAX($AY$7:$AY$27), AT31)), $AZ$7:$AZ$27, "Not Found", 0)</f>
        <v/>
      </c>
      <c r="AU60" s="30">
        <f t="array" ref="AU60">_xlfn.XLOOKUP(MIN(ABS($AY$7:$AY$27 - MEDIAN(MIN($AY$7:$AY$27), MAX($AY$7:$AY$27), AU31))), ABS($AY$7:$AY$27 - MEDIAN(MIN($AY$7:$AY$27), MAX($AY$7:$AY$27), AU31)), $AZ$7:$AZ$27, "Not Found", 0)</f>
        <v/>
      </c>
      <c r="AV60" s="30">
        <f t="array" ref="AV60">_xlfn.XLOOKUP(MIN(ABS($AY$7:$AY$27 - MEDIAN(MIN($AY$7:$AY$27), MAX($AY$7:$AY$27), AV31))), ABS($AY$7:$AY$27 - MEDIAN(MIN($AY$7:$AY$27), MAX($AY$7:$AY$27), AV31)), $AZ$7:$AZ$27, "Not Found", 0)</f>
        <v/>
      </c>
      <c r="AW60" s="30">
        <f t="array" ref="AW60">_xlfn.XLOOKUP(MIN(ABS($AY$7:$AY$27 - MEDIAN(MIN($AY$7:$AY$27), MAX($AY$7:$AY$27), AW31))), ABS($AY$7:$AY$27 - MEDIAN(MIN($AY$7:$AY$27), MAX($AY$7:$AY$27), AW31)), $AZ$7:$AZ$27, "Not Found", 0)</f>
        <v/>
      </c>
    </row>
    <row r="61" ht="25" customHeight="1">
      <c r="A61" s="50" t="inlineStr">
        <is>
          <t>AUD USD</t>
        </is>
      </c>
      <c r="B61" s="30">
        <f t="array" ref="B61">_xlfn.XLOOKUP(MIN(ABS($AY$7:$AY$27 - MEDIAN(MIN($AY$7:$AY$27), MAX($AY$7:$AY$27), B32))), ABS($AY$7:$AY$27 - MEDIAN(MIN($AY$7:$AY$27), MAX($AY$7:$AY$27), B32)), $AZ$7:$AZ$27, "Not Found", 0)</f>
        <v/>
      </c>
      <c r="C61" s="30">
        <f t="array" ref="C61">_xlfn.XLOOKUP(MIN(ABS($AY$7:$AY$27 - MEDIAN(MIN($AY$7:$AY$27), MAX($AY$7:$AY$27), C32))), ABS($AY$7:$AY$27 - MEDIAN(MIN($AY$7:$AY$27), MAX($AY$7:$AY$27), C32)), $AZ$7:$AZ$27, "Not Found", 0)</f>
        <v/>
      </c>
      <c r="D61" s="30">
        <f t="array" ref="D61">_xlfn.XLOOKUP(MIN(ABS($AY$7:$AY$27 - MEDIAN(MIN($AY$7:$AY$27), MAX($AY$7:$AY$27), D32))), ABS($AY$7:$AY$27 - MEDIAN(MIN($AY$7:$AY$27), MAX($AY$7:$AY$27), D32)), $AZ$7:$AZ$27, "Not Found", 0)</f>
        <v/>
      </c>
      <c r="E61" s="30">
        <f t="array" ref="E61">_xlfn.XLOOKUP(MIN(ABS($AY$7:$AY$27 - MEDIAN(MIN($AY$7:$AY$27), MAX($AY$7:$AY$27), E32))), ABS($AY$7:$AY$27 - MEDIAN(MIN($AY$7:$AY$27), MAX($AY$7:$AY$27), E32)), $AZ$7:$AZ$27, "Not Found", 0)</f>
        <v/>
      </c>
      <c r="F61" s="30">
        <f t="array" ref="F61">_xlfn.XLOOKUP(MIN(ABS($AY$7:$AY$27 - MEDIAN(MIN($AY$7:$AY$27), MAX($AY$7:$AY$27), F32))), ABS($AY$7:$AY$27 - MEDIAN(MIN($AY$7:$AY$27), MAX($AY$7:$AY$27), F32)), $AZ$7:$AZ$27, "Not Found", 0)</f>
        <v/>
      </c>
      <c r="G61" s="30">
        <f t="array" ref="G61">_xlfn.XLOOKUP(MIN(ABS($AY$7:$AY$27 - MEDIAN(MIN($AY$7:$AY$27), MAX($AY$7:$AY$27), G32))), ABS($AY$7:$AY$27 - MEDIAN(MIN($AY$7:$AY$27), MAX($AY$7:$AY$27), G32)), $AZ$7:$AZ$27, "Not Found", 0)</f>
        <v/>
      </c>
      <c r="H61" s="30">
        <f t="array" ref="H61">_xlfn.XLOOKUP(MIN(ABS($AY$7:$AY$27 - MEDIAN(MIN($AY$7:$AY$27), MAX($AY$7:$AY$27), H32))), ABS($AY$7:$AY$27 - MEDIAN(MIN($AY$7:$AY$27), MAX($AY$7:$AY$27), H32)), $AZ$7:$AZ$27, "Not Found", 0)</f>
        <v/>
      </c>
      <c r="I61" s="30">
        <f t="array" ref="I61">_xlfn.XLOOKUP(MIN(ABS($AY$7:$AY$27 - MEDIAN(MIN($AY$7:$AY$27), MAX($AY$7:$AY$27), I32))), ABS($AY$7:$AY$27 - MEDIAN(MIN($AY$7:$AY$27), MAX($AY$7:$AY$27), I32)), $AZ$7:$AZ$27, "Not Found", 0)</f>
        <v/>
      </c>
      <c r="J61" s="30">
        <f t="array" ref="J61">_xlfn.XLOOKUP(MIN(ABS($AY$7:$AY$27 - MEDIAN(MIN($AY$7:$AY$27), MAX($AY$7:$AY$27), J32))), ABS($AY$7:$AY$27 - MEDIAN(MIN($AY$7:$AY$27), MAX($AY$7:$AY$27), J32)), $AZ$7:$AZ$27, "Not Found", 0)</f>
        <v/>
      </c>
      <c r="K61" s="30">
        <f t="array" ref="K61">_xlfn.XLOOKUP(MIN(ABS($AY$7:$AY$27 - MEDIAN(MIN($AY$7:$AY$27), MAX($AY$7:$AY$27), K32))), ABS($AY$7:$AY$27 - MEDIAN(MIN($AY$7:$AY$27), MAX($AY$7:$AY$27), K32)), $AZ$7:$AZ$27, "Not Found", 0)</f>
        <v/>
      </c>
      <c r="L61" s="30">
        <f t="array" ref="L61">_xlfn.XLOOKUP(MIN(ABS($AY$7:$AY$27 - MEDIAN(MIN($AY$7:$AY$27), MAX($AY$7:$AY$27), L32))), ABS($AY$7:$AY$27 - MEDIAN(MIN($AY$7:$AY$27), MAX($AY$7:$AY$27), L32)), $AZ$7:$AZ$27, "Not Found", 0)</f>
        <v/>
      </c>
      <c r="M61" s="30">
        <f t="array" ref="M61">_xlfn.XLOOKUP(MIN(ABS($AY$7:$AY$27 - MEDIAN(MIN($AY$7:$AY$27), MAX($AY$7:$AY$27), M32))), ABS($AY$7:$AY$27 - MEDIAN(MIN($AY$7:$AY$27), MAX($AY$7:$AY$27), M32)), $AZ$7:$AZ$27, "Not Found", 0)</f>
        <v/>
      </c>
      <c r="N61" s="30">
        <f t="array" ref="N61">_xlfn.XLOOKUP(MIN(ABS($AY$7:$AY$27 - MEDIAN(MIN($AY$7:$AY$27), MAX($AY$7:$AY$27), N32))), ABS($AY$7:$AY$27 - MEDIAN(MIN($AY$7:$AY$27), MAX($AY$7:$AY$27), N32)), $AZ$7:$AZ$27, "Not Found", 0)</f>
        <v/>
      </c>
      <c r="O61" s="30">
        <f t="array" ref="O61">_xlfn.XLOOKUP(MIN(ABS($AY$7:$AY$27 - MEDIAN(MIN($AY$7:$AY$27), MAX($AY$7:$AY$27), O32))), ABS($AY$7:$AY$27 - MEDIAN(MIN($AY$7:$AY$27), MAX($AY$7:$AY$27), O32)), $AZ$7:$AZ$27, "Not Found", 0)</f>
        <v/>
      </c>
      <c r="P61" s="30">
        <f t="array" ref="P61">_xlfn.XLOOKUP(MIN(ABS($AY$7:$AY$27 - MEDIAN(MIN($AY$7:$AY$27), MAX($AY$7:$AY$27), P32))), ABS($AY$7:$AY$27 - MEDIAN(MIN($AY$7:$AY$27), MAX($AY$7:$AY$27), P32)), $AZ$7:$AZ$27, "Not Found", 0)</f>
        <v/>
      </c>
      <c r="Q61" s="30">
        <f t="array" ref="Q61">_xlfn.XLOOKUP(MIN(ABS($AY$7:$AY$27 - MEDIAN(MIN($AY$7:$AY$27), MAX($AY$7:$AY$27), Q32))), ABS($AY$7:$AY$27 - MEDIAN(MIN($AY$7:$AY$27), MAX($AY$7:$AY$27), Q32)), $AZ$7:$AZ$27, "Not Found", 0)</f>
        <v/>
      </c>
      <c r="R61" s="30">
        <f t="array" ref="R61">_xlfn.XLOOKUP(MIN(ABS($AY$7:$AY$27 - MEDIAN(MIN($AY$7:$AY$27), MAX($AY$7:$AY$27), R32))), ABS($AY$7:$AY$27 - MEDIAN(MIN($AY$7:$AY$27), MAX($AY$7:$AY$27), R32)), $AZ$7:$AZ$27, "Not Found", 0)</f>
        <v/>
      </c>
      <c r="S61" s="30">
        <f t="array" ref="S61">_xlfn.XLOOKUP(MIN(ABS($AY$7:$AY$27 - MEDIAN(MIN($AY$7:$AY$27), MAX($AY$7:$AY$27), S32))), ABS($AY$7:$AY$27 - MEDIAN(MIN($AY$7:$AY$27), MAX($AY$7:$AY$27), S32)), $AZ$7:$AZ$27, "Not Found", 0)</f>
        <v/>
      </c>
      <c r="T61" s="30">
        <f t="array" ref="T61">_xlfn.XLOOKUP(MIN(ABS($AY$7:$AY$27 - MEDIAN(MIN($AY$7:$AY$27), MAX($AY$7:$AY$27), T32))), ABS($AY$7:$AY$27 - MEDIAN(MIN($AY$7:$AY$27), MAX($AY$7:$AY$27), T32)), $AZ$7:$AZ$27, "Not Found", 0)</f>
        <v/>
      </c>
      <c r="U61" s="30">
        <f t="array" ref="U61">_xlfn.XLOOKUP(MIN(ABS($AY$7:$AY$27 - MEDIAN(MIN($AY$7:$AY$27), MAX($AY$7:$AY$27), U32))), ABS($AY$7:$AY$27 - MEDIAN(MIN($AY$7:$AY$27), MAX($AY$7:$AY$27), U32)), $AZ$7:$AZ$27, "Not Found", 0)</f>
        <v/>
      </c>
      <c r="V61" s="30">
        <f t="array" ref="V61">_xlfn.XLOOKUP(MIN(ABS($AY$7:$AY$27 - MEDIAN(MIN($AY$7:$AY$27), MAX($AY$7:$AY$27), V32))), ABS($AY$7:$AY$27 - MEDIAN(MIN($AY$7:$AY$27), MAX($AY$7:$AY$27), V32)), $AZ$7:$AZ$27, "Not Found", 0)</f>
        <v/>
      </c>
      <c r="W61" s="30">
        <f t="array" ref="W61">_xlfn.XLOOKUP(MIN(ABS($AY$7:$AY$27 - MEDIAN(MIN($AY$7:$AY$27), MAX($AY$7:$AY$27), W32))), ABS($AY$7:$AY$27 - MEDIAN(MIN($AY$7:$AY$27), MAX($AY$7:$AY$27), W32)), $AZ$7:$AZ$27, "Not Found", 0)</f>
        <v/>
      </c>
      <c r="X61" s="30">
        <f t="array" ref="X61">_xlfn.XLOOKUP(MIN(ABS($AY$7:$AY$27 - MEDIAN(MIN($AY$7:$AY$27), MAX($AY$7:$AY$27), X32))), ABS($AY$7:$AY$27 - MEDIAN(MIN($AY$7:$AY$27), MAX($AY$7:$AY$27), X32)), $AZ$7:$AZ$27, "Not Found", 0)</f>
        <v/>
      </c>
      <c r="Y61" s="30">
        <f t="array" ref="Y61">_xlfn.XLOOKUP(MIN(ABS($AY$7:$AY$27 - MEDIAN(MIN($AY$7:$AY$27), MAX($AY$7:$AY$27), Y32))), ABS($AY$7:$AY$27 - MEDIAN(MIN($AY$7:$AY$27), MAX($AY$7:$AY$27), Y32)), $AZ$7:$AZ$27, "Not Found", 0)</f>
        <v/>
      </c>
      <c r="Z61" s="30">
        <f t="array" ref="Z61">_xlfn.XLOOKUP(MIN(ABS($AY$7:$AY$27 - MEDIAN(MIN($AY$7:$AY$27), MAX($AY$7:$AY$27), Z32))), ABS($AY$7:$AY$27 - MEDIAN(MIN($AY$7:$AY$27), MAX($AY$7:$AY$27), Z32)), $AZ$7:$AZ$27, "Not Found", 0)</f>
        <v/>
      </c>
      <c r="AA61" s="30">
        <f t="array" ref="AA61">_xlfn.XLOOKUP(MIN(ABS($AY$7:$AY$27 - MEDIAN(MIN($AY$7:$AY$27), MAX($AY$7:$AY$27), AA32))), ABS($AY$7:$AY$27 - MEDIAN(MIN($AY$7:$AY$27), MAX($AY$7:$AY$27), AA32)), $AZ$7:$AZ$27, "Not Found", 0)</f>
        <v/>
      </c>
      <c r="AB61" s="30">
        <f t="array" ref="AB61">_xlfn.XLOOKUP(MIN(ABS($AY$7:$AY$27 - MEDIAN(MIN($AY$7:$AY$27), MAX($AY$7:$AY$27), AB32))), ABS($AY$7:$AY$27 - MEDIAN(MIN($AY$7:$AY$27), MAX($AY$7:$AY$27), AB32)), $AZ$7:$AZ$27, "Not Found", 0)</f>
        <v/>
      </c>
      <c r="AC61" s="30">
        <f t="array" ref="AC61">_xlfn.XLOOKUP(MIN(ABS($AY$7:$AY$27 - MEDIAN(MIN($AY$7:$AY$27), MAX($AY$7:$AY$27), AC32))), ABS($AY$7:$AY$27 - MEDIAN(MIN($AY$7:$AY$27), MAX($AY$7:$AY$27), AC32)), $AZ$7:$AZ$27, "Not Found", 0)</f>
        <v/>
      </c>
      <c r="AD61" s="30">
        <f t="array" ref="AD61">_xlfn.XLOOKUP(MIN(ABS($AY$7:$AY$27 - MEDIAN(MIN($AY$7:$AY$27), MAX($AY$7:$AY$27), AD32))), ABS($AY$7:$AY$27 - MEDIAN(MIN($AY$7:$AY$27), MAX($AY$7:$AY$27), AD32)), $AZ$7:$AZ$27, "Not Found", 0)</f>
        <v/>
      </c>
      <c r="AE61" s="30">
        <f t="array" ref="AE61">_xlfn.XLOOKUP(MIN(ABS($AY$7:$AY$27 - MEDIAN(MIN($AY$7:$AY$27), MAX($AY$7:$AY$27), AE32))), ABS($AY$7:$AY$27 - MEDIAN(MIN($AY$7:$AY$27), MAX($AY$7:$AY$27), AE32)), $AZ$7:$AZ$27, "Not Found", 0)</f>
        <v/>
      </c>
      <c r="AF61" s="30">
        <f t="array" ref="AF61">_xlfn.XLOOKUP(MIN(ABS($AY$7:$AY$27 - MEDIAN(MIN($AY$7:$AY$27), MAX($AY$7:$AY$27), AF32))), ABS($AY$7:$AY$27 - MEDIAN(MIN($AY$7:$AY$27), MAX($AY$7:$AY$27), AF32)), $AZ$7:$AZ$27, "Not Found", 0)</f>
        <v/>
      </c>
      <c r="AG61" s="30">
        <f t="array" ref="AG61">_xlfn.XLOOKUP(MIN(ABS($AY$7:$AY$27 - MEDIAN(MIN($AY$7:$AY$27), MAX($AY$7:$AY$27), AG32))), ABS($AY$7:$AY$27 - MEDIAN(MIN($AY$7:$AY$27), MAX($AY$7:$AY$27), AG32)), $AZ$7:$AZ$27, "Not Found", 0)</f>
        <v/>
      </c>
      <c r="AH61" s="30">
        <f t="array" ref="AH61">_xlfn.XLOOKUP(MIN(ABS($AY$7:$AY$27 - MEDIAN(MIN($AY$7:$AY$27), MAX($AY$7:$AY$27), AH32))), ABS($AY$7:$AY$27 - MEDIAN(MIN($AY$7:$AY$27), MAX($AY$7:$AY$27), AH32)), $AZ$7:$AZ$27, "Not Found", 0)</f>
        <v/>
      </c>
      <c r="AI61" s="30">
        <f t="array" ref="AI61">_xlfn.XLOOKUP(MIN(ABS($AY$7:$AY$27 - MEDIAN(MIN($AY$7:$AY$27), MAX($AY$7:$AY$27), AI32))), ABS($AY$7:$AY$27 - MEDIAN(MIN($AY$7:$AY$27), MAX($AY$7:$AY$27), AI32)), $AZ$7:$AZ$27, "Not Found", 0)</f>
        <v/>
      </c>
      <c r="AJ61" s="30">
        <f t="array" ref="AJ61">_xlfn.XLOOKUP(MIN(ABS($AY$7:$AY$27 - MEDIAN(MIN($AY$7:$AY$27), MAX($AY$7:$AY$27), AJ32))), ABS($AY$7:$AY$27 - MEDIAN(MIN($AY$7:$AY$27), MAX($AY$7:$AY$27), AJ32)), $AZ$7:$AZ$27, "Not Found", 0)</f>
        <v/>
      </c>
      <c r="AK61" s="30">
        <f t="array" ref="AK61">_xlfn.XLOOKUP(MIN(ABS($AY$7:$AY$27 - MEDIAN(MIN($AY$7:$AY$27), MAX($AY$7:$AY$27), AK32))), ABS($AY$7:$AY$27 - MEDIAN(MIN($AY$7:$AY$27), MAX($AY$7:$AY$27), AK32)), $AZ$7:$AZ$27, "Not Found", 0)</f>
        <v/>
      </c>
      <c r="AL61" s="30">
        <f t="array" ref="AL61">_xlfn.XLOOKUP(MIN(ABS($AY$7:$AY$27 - MEDIAN(MIN($AY$7:$AY$27), MAX($AY$7:$AY$27), AL32))), ABS($AY$7:$AY$27 - MEDIAN(MIN($AY$7:$AY$27), MAX($AY$7:$AY$27), AL32)), $AZ$7:$AZ$27, "Not Found", 0)</f>
        <v/>
      </c>
      <c r="AM61" s="30">
        <f t="array" ref="AM61">_xlfn.XLOOKUP(MIN(ABS($AY$7:$AY$27 - MEDIAN(MIN($AY$7:$AY$27), MAX($AY$7:$AY$27), AM32))), ABS($AY$7:$AY$27 - MEDIAN(MIN($AY$7:$AY$27), MAX($AY$7:$AY$27), AM32)), $AZ$7:$AZ$27, "Not Found", 0)</f>
        <v/>
      </c>
      <c r="AN61" s="30">
        <f t="array" ref="AN61">_xlfn.XLOOKUP(MIN(ABS($AY$7:$AY$27 - MEDIAN(MIN($AY$7:$AY$27), MAX($AY$7:$AY$27), AN32))), ABS($AY$7:$AY$27 - MEDIAN(MIN($AY$7:$AY$27), MAX($AY$7:$AY$27), AN32)), $AZ$7:$AZ$27, "Not Found", 0)</f>
        <v/>
      </c>
      <c r="AO61" s="30">
        <f t="array" ref="AO61">_xlfn.XLOOKUP(MIN(ABS($AY$7:$AY$27 - MEDIAN(MIN($AY$7:$AY$27), MAX($AY$7:$AY$27), AO32))), ABS($AY$7:$AY$27 - MEDIAN(MIN($AY$7:$AY$27), MAX($AY$7:$AY$27), AO32)), $AZ$7:$AZ$27, "Not Found", 0)</f>
        <v/>
      </c>
      <c r="AP61" s="30">
        <f t="array" ref="AP61">_xlfn.XLOOKUP(MIN(ABS($AY$7:$AY$27 - MEDIAN(MIN($AY$7:$AY$27), MAX($AY$7:$AY$27), AP32))), ABS($AY$7:$AY$27 - MEDIAN(MIN($AY$7:$AY$27), MAX($AY$7:$AY$27), AP32)), $AZ$7:$AZ$27, "Not Found", 0)</f>
        <v/>
      </c>
      <c r="AQ61" s="30">
        <f t="array" ref="AQ61">_xlfn.XLOOKUP(MIN(ABS($AY$7:$AY$27 - MEDIAN(MIN($AY$7:$AY$27), MAX($AY$7:$AY$27), AQ32))), ABS($AY$7:$AY$27 - MEDIAN(MIN($AY$7:$AY$27), MAX($AY$7:$AY$27), AQ32)), $AZ$7:$AZ$27, "Not Found", 0)</f>
        <v/>
      </c>
      <c r="AR61" s="30">
        <f t="array" ref="AR61">_xlfn.XLOOKUP(MIN(ABS($AY$7:$AY$27 - MEDIAN(MIN($AY$7:$AY$27), MAX($AY$7:$AY$27), AR32))), ABS($AY$7:$AY$27 - MEDIAN(MIN($AY$7:$AY$27), MAX($AY$7:$AY$27), AR32)), $AZ$7:$AZ$27, "Not Found", 0)</f>
        <v/>
      </c>
      <c r="AS61" s="30">
        <f t="array" ref="AS61">_xlfn.XLOOKUP(MIN(ABS($AY$7:$AY$27 - MEDIAN(MIN($AY$7:$AY$27), MAX($AY$7:$AY$27), AS32))), ABS($AY$7:$AY$27 - MEDIAN(MIN($AY$7:$AY$27), MAX($AY$7:$AY$27), AS32)), $AZ$7:$AZ$27, "Not Found", 0)</f>
        <v/>
      </c>
      <c r="AT61" s="30">
        <f t="array" ref="AT61">_xlfn.XLOOKUP(MIN(ABS($AY$7:$AY$27 - MEDIAN(MIN($AY$7:$AY$27), MAX($AY$7:$AY$27), AT32))), ABS($AY$7:$AY$27 - MEDIAN(MIN($AY$7:$AY$27), MAX($AY$7:$AY$27), AT32)), $AZ$7:$AZ$27, "Not Found", 0)</f>
        <v/>
      </c>
      <c r="AU61" s="30">
        <f t="array" ref="AU61">_xlfn.XLOOKUP(MIN(ABS($AY$7:$AY$27 - MEDIAN(MIN($AY$7:$AY$27), MAX($AY$7:$AY$27), AU32))), ABS($AY$7:$AY$27 - MEDIAN(MIN($AY$7:$AY$27), MAX($AY$7:$AY$27), AU32)), $AZ$7:$AZ$27, "Not Found", 0)</f>
        <v/>
      </c>
      <c r="AV61" s="30">
        <f t="array" ref="AV61">_xlfn.XLOOKUP(MIN(ABS($AY$7:$AY$27 - MEDIAN(MIN($AY$7:$AY$27), MAX($AY$7:$AY$27), AV32))), ABS($AY$7:$AY$27 - MEDIAN(MIN($AY$7:$AY$27), MAX($AY$7:$AY$27), AV32)), $AZ$7:$AZ$27, "Not Found", 0)</f>
        <v/>
      </c>
      <c r="AW61" s="30">
        <f t="array" ref="AW61">_xlfn.XLOOKUP(MIN(ABS($AY$7:$AY$27 - MEDIAN(MIN($AY$7:$AY$27), MAX($AY$7:$AY$27), AW32))), ABS($AY$7:$AY$27 - MEDIAN(MIN($AY$7:$AY$27), MAX($AY$7:$AY$27), AW32)), $AZ$7:$AZ$27, "Not Found", 0)</f>
        <v/>
      </c>
    </row>
    <row r="62" ht="25" customHeight="1">
      <c r="A62" s="50" t="inlineStr">
        <is>
          <t>AUD CHF</t>
        </is>
      </c>
      <c r="B62" s="30">
        <f t="array" ref="B62">_xlfn.XLOOKUP(MIN(ABS($AY$7:$AY$27 - MEDIAN(MIN($AY$7:$AY$27), MAX($AY$7:$AY$27), B33))), ABS($AY$7:$AY$27 - MEDIAN(MIN($AY$7:$AY$27), MAX($AY$7:$AY$27), B33)), $AZ$7:$AZ$27, "Not Found", 0)</f>
        <v/>
      </c>
      <c r="C62" s="30">
        <f t="array" ref="C62">_xlfn.XLOOKUP(MIN(ABS($AY$7:$AY$27 - MEDIAN(MIN($AY$7:$AY$27), MAX($AY$7:$AY$27), C33))), ABS($AY$7:$AY$27 - MEDIAN(MIN($AY$7:$AY$27), MAX($AY$7:$AY$27), C33)), $AZ$7:$AZ$27, "Not Found", 0)</f>
        <v/>
      </c>
      <c r="D62" s="30">
        <f t="array" ref="D62">_xlfn.XLOOKUP(MIN(ABS($AY$7:$AY$27 - MEDIAN(MIN($AY$7:$AY$27), MAX($AY$7:$AY$27), D33))), ABS($AY$7:$AY$27 - MEDIAN(MIN($AY$7:$AY$27), MAX($AY$7:$AY$27), D33)), $AZ$7:$AZ$27, "Not Found", 0)</f>
        <v/>
      </c>
      <c r="E62" s="30">
        <f t="array" ref="E62">_xlfn.XLOOKUP(MIN(ABS($AY$7:$AY$27 - MEDIAN(MIN($AY$7:$AY$27), MAX($AY$7:$AY$27), E33))), ABS($AY$7:$AY$27 - MEDIAN(MIN($AY$7:$AY$27), MAX($AY$7:$AY$27), E33)), $AZ$7:$AZ$27, "Not Found", 0)</f>
        <v/>
      </c>
      <c r="F62" s="30">
        <f t="array" ref="F62">_xlfn.XLOOKUP(MIN(ABS($AY$7:$AY$27 - MEDIAN(MIN($AY$7:$AY$27), MAX($AY$7:$AY$27), F33))), ABS($AY$7:$AY$27 - MEDIAN(MIN($AY$7:$AY$27), MAX($AY$7:$AY$27), F33)), $AZ$7:$AZ$27, "Not Found", 0)</f>
        <v/>
      </c>
      <c r="G62" s="30">
        <f t="array" ref="G62">_xlfn.XLOOKUP(MIN(ABS($AY$7:$AY$27 - MEDIAN(MIN($AY$7:$AY$27), MAX($AY$7:$AY$27), G33))), ABS($AY$7:$AY$27 - MEDIAN(MIN($AY$7:$AY$27), MAX($AY$7:$AY$27), G33)), $AZ$7:$AZ$27, "Not Found", 0)</f>
        <v/>
      </c>
      <c r="H62" s="30">
        <f t="array" ref="H62">_xlfn.XLOOKUP(MIN(ABS($AY$7:$AY$27 - MEDIAN(MIN($AY$7:$AY$27), MAX($AY$7:$AY$27), H33))), ABS($AY$7:$AY$27 - MEDIAN(MIN($AY$7:$AY$27), MAX($AY$7:$AY$27), H33)), $AZ$7:$AZ$27, "Not Found", 0)</f>
        <v/>
      </c>
      <c r="I62" s="30">
        <f t="array" ref="I62">_xlfn.XLOOKUP(MIN(ABS($AY$7:$AY$27 - MEDIAN(MIN($AY$7:$AY$27), MAX($AY$7:$AY$27), I33))), ABS($AY$7:$AY$27 - MEDIAN(MIN($AY$7:$AY$27), MAX($AY$7:$AY$27), I33)), $AZ$7:$AZ$27, "Not Found", 0)</f>
        <v/>
      </c>
      <c r="J62" s="30">
        <f t="array" ref="J62">_xlfn.XLOOKUP(MIN(ABS($AY$7:$AY$27 - MEDIAN(MIN($AY$7:$AY$27), MAX($AY$7:$AY$27), J33))), ABS($AY$7:$AY$27 - MEDIAN(MIN($AY$7:$AY$27), MAX($AY$7:$AY$27), J33)), $AZ$7:$AZ$27, "Not Found", 0)</f>
        <v/>
      </c>
      <c r="K62" s="30">
        <f t="array" ref="K62">_xlfn.XLOOKUP(MIN(ABS($AY$7:$AY$27 - MEDIAN(MIN($AY$7:$AY$27), MAX($AY$7:$AY$27), K33))), ABS($AY$7:$AY$27 - MEDIAN(MIN($AY$7:$AY$27), MAX($AY$7:$AY$27), K33)), $AZ$7:$AZ$27, "Not Found", 0)</f>
        <v/>
      </c>
      <c r="L62" s="30">
        <f t="array" ref="L62">_xlfn.XLOOKUP(MIN(ABS($AY$7:$AY$27 - MEDIAN(MIN($AY$7:$AY$27), MAX($AY$7:$AY$27), L33))), ABS($AY$7:$AY$27 - MEDIAN(MIN($AY$7:$AY$27), MAX($AY$7:$AY$27), L33)), $AZ$7:$AZ$27, "Not Found", 0)</f>
        <v/>
      </c>
      <c r="M62" s="30">
        <f t="array" ref="M62">_xlfn.XLOOKUP(MIN(ABS($AY$7:$AY$27 - MEDIAN(MIN($AY$7:$AY$27), MAX($AY$7:$AY$27), M33))), ABS($AY$7:$AY$27 - MEDIAN(MIN($AY$7:$AY$27), MAX($AY$7:$AY$27), M33)), $AZ$7:$AZ$27, "Not Found", 0)</f>
        <v/>
      </c>
      <c r="N62" s="30">
        <f t="array" ref="N62">_xlfn.XLOOKUP(MIN(ABS($AY$7:$AY$27 - MEDIAN(MIN($AY$7:$AY$27), MAX($AY$7:$AY$27), N33))), ABS($AY$7:$AY$27 - MEDIAN(MIN($AY$7:$AY$27), MAX($AY$7:$AY$27), N33)), $AZ$7:$AZ$27, "Not Found", 0)</f>
        <v/>
      </c>
      <c r="O62" s="30">
        <f t="array" ref="O62">_xlfn.XLOOKUP(MIN(ABS($AY$7:$AY$27 - MEDIAN(MIN($AY$7:$AY$27), MAX($AY$7:$AY$27), O33))), ABS($AY$7:$AY$27 - MEDIAN(MIN($AY$7:$AY$27), MAX($AY$7:$AY$27), O33)), $AZ$7:$AZ$27, "Not Found", 0)</f>
        <v/>
      </c>
      <c r="P62" s="30">
        <f t="array" ref="P62">_xlfn.XLOOKUP(MIN(ABS($AY$7:$AY$27 - MEDIAN(MIN($AY$7:$AY$27), MAX($AY$7:$AY$27), P33))), ABS($AY$7:$AY$27 - MEDIAN(MIN($AY$7:$AY$27), MAX($AY$7:$AY$27), P33)), $AZ$7:$AZ$27, "Not Found", 0)</f>
        <v/>
      </c>
      <c r="Q62" s="30">
        <f t="array" ref="Q62">_xlfn.XLOOKUP(MIN(ABS($AY$7:$AY$27 - MEDIAN(MIN($AY$7:$AY$27), MAX($AY$7:$AY$27), Q33))), ABS($AY$7:$AY$27 - MEDIAN(MIN($AY$7:$AY$27), MAX($AY$7:$AY$27), Q33)), $AZ$7:$AZ$27, "Not Found", 0)</f>
        <v/>
      </c>
      <c r="R62" s="30">
        <f t="array" ref="R62">_xlfn.XLOOKUP(MIN(ABS($AY$7:$AY$27 - MEDIAN(MIN($AY$7:$AY$27), MAX($AY$7:$AY$27), R33))), ABS($AY$7:$AY$27 - MEDIAN(MIN($AY$7:$AY$27), MAX($AY$7:$AY$27), R33)), $AZ$7:$AZ$27, "Not Found", 0)</f>
        <v/>
      </c>
      <c r="S62" s="30">
        <f t="array" ref="S62">_xlfn.XLOOKUP(MIN(ABS($AY$7:$AY$27 - MEDIAN(MIN($AY$7:$AY$27), MAX($AY$7:$AY$27), S33))), ABS($AY$7:$AY$27 - MEDIAN(MIN($AY$7:$AY$27), MAX($AY$7:$AY$27), S33)), $AZ$7:$AZ$27, "Not Found", 0)</f>
        <v/>
      </c>
      <c r="T62" s="30">
        <f t="array" ref="T62">_xlfn.XLOOKUP(MIN(ABS($AY$7:$AY$27 - MEDIAN(MIN($AY$7:$AY$27), MAX($AY$7:$AY$27), T33))), ABS($AY$7:$AY$27 - MEDIAN(MIN($AY$7:$AY$27), MAX($AY$7:$AY$27), T33)), $AZ$7:$AZ$27, "Not Found", 0)</f>
        <v/>
      </c>
      <c r="U62" s="30">
        <f t="array" ref="U62">_xlfn.XLOOKUP(MIN(ABS($AY$7:$AY$27 - MEDIAN(MIN($AY$7:$AY$27), MAX($AY$7:$AY$27), U33))), ABS($AY$7:$AY$27 - MEDIAN(MIN($AY$7:$AY$27), MAX($AY$7:$AY$27), U33)), $AZ$7:$AZ$27, "Not Found", 0)</f>
        <v/>
      </c>
      <c r="V62" s="30">
        <f t="array" ref="V62">_xlfn.XLOOKUP(MIN(ABS($AY$7:$AY$27 - MEDIAN(MIN($AY$7:$AY$27), MAX($AY$7:$AY$27), V33))), ABS($AY$7:$AY$27 - MEDIAN(MIN($AY$7:$AY$27), MAX($AY$7:$AY$27), V33)), $AZ$7:$AZ$27, "Not Found", 0)</f>
        <v/>
      </c>
      <c r="W62" s="30">
        <f t="array" ref="W62">_xlfn.XLOOKUP(MIN(ABS($AY$7:$AY$27 - MEDIAN(MIN($AY$7:$AY$27), MAX($AY$7:$AY$27), W33))), ABS($AY$7:$AY$27 - MEDIAN(MIN($AY$7:$AY$27), MAX($AY$7:$AY$27), W33)), $AZ$7:$AZ$27, "Not Found", 0)</f>
        <v/>
      </c>
      <c r="X62" s="30">
        <f t="array" ref="X62">_xlfn.XLOOKUP(MIN(ABS($AY$7:$AY$27 - MEDIAN(MIN($AY$7:$AY$27), MAX($AY$7:$AY$27), X33))), ABS($AY$7:$AY$27 - MEDIAN(MIN($AY$7:$AY$27), MAX($AY$7:$AY$27), X33)), $AZ$7:$AZ$27, "Not Found", 0)</f>
        <v/>
      </c>
      <c r="Y62" s="30">
        <f t="array" ref="Y62">_xlfn.XLOOKUP(MIN(ABS($AY$7:$AY$27 - MEDIAN(MIN($AY$7:$AY$27), MAX($AY$7:$AY$27), Y33))), ABS($AY$7:$AY$27 - MEDIAN(MIN($AY$7:$AY$27), MAX($AY$7:$AY$27), Y33)), $AZ$7:$AZ$27, "Not Found", 0)</f>
        <v/>
      </c>
      <c r="Z62" s="30">
        <f t="array" ref="Z62">_xlfn.XLOOKUP(MIN(ABS($AY$7:$AY$27 - MEDIAN(MIN($AY$7:$AY$27), MAX($AY$7:$AY$27), Z33))), ABS($AY$7:$AY$27 - MEDIAN(MIN($AY$7:$AY$27), MAX($AY$7:$AY$27), Z33)), $AZ$7:$AZ$27, "Not Found", 0)</f>
        <v/>
      </c>
      <c r="AA62" s="30">
        <f t="array" ref="AA62">_xlfn.XLOOKUP(MIN(ABS($AY$7:$AY$27 - MEDIAN(MIN($AY$7:$AY$27), MAX($AY$7:$AY$27), AA33))), ABS($AY$7:$AY$27 - MEDIAN(MIN($AY$7:$AY$27), MAX($AY$7:$AY$27), AA33)), $AZ$7:$AZ$27, "Not Found", 0)</f>
        <v/>
      </c>
      <c r="AB62" s="30">
        <f t="array" ref="AB62">_xlfn.XLOOKUP(MIN(ABS($AY$7:$AY$27 - MEDIAN(MIN($AY$7:$AY$27), MAX($AY$7:$AY$27), AB33))), ABS($AY$7:$AY$27 - MEDIAN(MIN($AY$7:$AY$27), MAX($AY$7:$AY$27), AB33)), $AZ$7:$AZ$27, "Not Found", 0)</f>
        <v/>
      </c>
      <c r="AC62" s="30">
        <f t="array" ref="AC62">_xlfn.XLOOKUP(MIN(ABS($AY$7:$AY$27 - MEDIAN(MIN($AY$7:$AY$27), MAX($AY$7:$AY$27), AC33))), ABS($AY$7:$AY$27 - MEDIAN(MIN($AY$7:$AY$27), MAX($AY$7:$AY$27), AC33)), $AZ$7:$AZ$27, "Not Found", 0)</f>
        <v/>
      </c>
      <c r="AD62" s="30">
        <f t="array" ref="AD62">_xlfn.XLOOKUP(MIN(ABS($AY$7:$AY$27 - MEDIAN(MIN($AY$7:$AY$27), MAX($AY$7:$AY$27), AD33))), ABS($AY$7:$AY$27 - MEDIAN(MIN($AY$7:$AY$27), MAX($AY$7:$AY$27), AD33)), $AZ$7:$AZ$27, "Not Found", 0)</f>
        <v/>
      </c>
      <c r="AE62" s="30">
        <f t="array" ref="AE62">_xlfn.XLOOKUP(MIN(ABS($AY$7:$AY$27 - MEDIAN(MIN($AY$7:$AY$27), MAX($AY$7:$AY$27), AE33))), ABS($AY$7:$AY$27 - MEDIAN(MIN($AY$7:$AY$27), MAX($AY$7:$AY$27), AE33)), $AZ$7:$AZ$27, "Not Found", 0)</f>
        <v/>
      </c>
      <c r="AF62" s="30">
        <f t="array" ref="AF62">_xlfn.XLOOKUP(MIN(ABS($AY$7:$AY$27 - MEDIAN(MIN($AY$7:$AY$27), MAX($AY$7:$AY$27), AF33))), ABS($AY$7:$AY$27 - MEDIAN(MIN($AY$7:$AY$27), MAX($AY$7:$AY$27), AF33)), $AZ$7:$AZ$27, "Not Found", 0)</f>
        <v/>
      </c>
      <c r="AG62" s="30">
        <f t="array" ref="AG62">_xlfn.XLOOKUP(MIN(ABS($AY$7:$AY$27 - MEDIAN(MIN($AY$7:$AY$27), MAX($AY$7:$AY$27), AG33))), ABS($AY$7:$AY$27 - MEDIAN(MIN($AY$7:$AY$27), MAX($AY$7:$AY$27), AG33)), $AZ$7:$AZ$27, "Not Found", 0)</f>
        <v/>
      </c>
      <c r="AH62" s="30">
        <f t="array" ref="AH62">_xlfn.XLOOKUP(MIN(ABS($AY$7:$AY$27 - MEDIAN(MIN($AY$7:$AY$27), MAX($AY$7:$AY$27), AH33))), ABS($AY$7:$AY$27 - MEDIAN(MIN($AY$7:$AY$27), MAX($AY$7:$AY$27), AH33)), $AZ$7:$AZ$27, "Not Found", 0)</f>
        <v/>
      </c>
      <c r="AI62" s="30">
        <f t="array" ref="AI62">_xlfn.XLOOKUP(MIN(ABS($AY$7:$AY$27 - MEDIAN(MIN($AY$7:$AY$27), MAX($AY$7:$AY$27), AI33))), ABS($AY$7:$AY$27 - MEDIAN(MIN($AY$7:$AY$27), MAX($AY$7:$AY$27), AI33)), $AZ$7:$AZ$27, "Not Found", 0)</f>
        <v/>
      </c>
      <c r="AJ62" s="30">
        <f t="array" ref="AJ62">_xlfn.XLOOKUP(MIN(ABS($AY$7:$AY$27 - MEDIAN(MIN($AY$7:$AY$27), MAX($AY$7:$AY$27), AJ33))), ABS($AY$7:$AY$27 - MEDIAN(MIN($AY$7:$AY$27), MAX($AY$7:$AY$27), AJ33)), $AZ$7:$AZ$27, "Not Found", 0)</f>
        <v/>
      </c>
      <c r="AK62" s="30">
        <f t="array" ref="AK62">_xlfn.XLOOKUP(MIN(ABS($AY$7:$AY$27 - MEDIAN(MIN($AY$7:$AY$27), MAX($AY$7:$AY$27), AK33))), ABS($AY$7:$AY$27 - MEDIAN(MIN($AY$7:$AY$27), MAX($AY$7:$AY$27), AK33)), $AZ$7:$AZ$27, "Not Found", 0)</f>
        <v/>
      </c>
      <c r="AL62" s="30">
        <f t="array" ref="AL62">_xlfn.XLOOKUP(MIN(ABS($AY$7:$AY$27 - MEDIAN(MIN($AY$7:$AY$27), MAX($AY$7:$AY$27), AL33))), ABS($AY$7:$AY$27 - MEDIAN(MIN($AY$7:$AY$27), MAX($AY$7:$AY$27), AL33)), $AZ$7:$AZ$27, "Not Found", 0)</f>
        <v/>
      </c>
      <c r="AM62" s="30">
        <f t="array" ref="AM62">_xlfn.XLOOKUP(MIN(ABS($AY$7:$AY$27 - MEDIAN(MIN($AY$7:$AY$27), MAX($AY$7:$AY$27), AM33))), ABS($AY$7:$AY$27 - MEDIAN(MIN($AY$7:$AY$27), MAX($AY$7:$AY$27), AM33)), $AZ$7:$AZ$27, "Not Found", 0)</f>
        <v/>
      </c>
      <c r="AN62" s="30">
        <f t="array" ref="AN62">_xlfn.XLOOKUP(MIN(ABS($AY$7:$AY$27 - MEDIAN(MIN($AY$7:$AY$27), MAX($AY$7:$AY$27), AN33))), ABS($AY$7:$AY$27 - MEDIAN(MIN($AY$7:$AY$27), MAX($AY$7:$AY$27), AN33)), $AZ$7:$AZ$27, "Not Found", 0)</f>
        <v/>
      </c>
      <c r="AO62" s="30">
        <f t="array" ref="AO62">_xlfn.XLOOKUP(MIN(ABS($AY$7:$AY$27 - MEDIAN(MIN($AY$7:$AY$27), MAX($AY$7:$AY$27), AO33))), ABS($AY$7:$AY$27 - MEDIAN(MIN($AY$7:$AY$27), MAX($AY$7:$AY$27), AO33)), $AZ$7:$AZ$27, "Not Found", 0)</f>
        <v/>
      </c>
      <c r="AP62" s="30">
        <f t="array" ref="AP62">_xlfn.XLOOKUP(MIN(ABS($AY$7:$AY$27 - MEDIAN(MIN($AY$7:$AY$27), MAX($AY$7:$AY$27), AP33))), ABS($AY$7:$AY$27 - MEDIAN(MIN($AY$7:$AY$27), MAX($AY$7:$AY$27), AP33)), $AZ$7:$AZ$27, "Not Found", 0)</f>
        <v/>
      </c>
      <c r="AQ62" s="30">
        <f t="array" ref="AQ62">_xlfn.XLOOKUP(MIN(ABS($AY$7:$AY$27 - MEDIAN(MIN($AY$7:$AY$27), MAX($AY$7:$AY$27), AQ33))), ABS($AY$7:$AY$27 - MEDIAN(MIN($AY$7:$AY$27), MAX($AY$7:$AY$27), AQ33)), $AZ$7:$AZ$27, "Not Found", 0)</f>
        <v/>
      </c>
      <c r="AR62" s="30">
        <f t="array" ref="AR62">_xlfn.XLOOKUP(MIN(ABS($AY$7:$AY$27 - MEDIAN(MIN($AY$7:$AY$27), MAX($AY$7:$AY$27), AR33))), ABS($AY$7:$AY$27 - MEDIAN(MIN($AY$7:$AY$27), MAX($AY$7:$AY$27), AR33)), $AZ$7:$AZ$27, "Not Found", 0)</f>
        <v/>
      </c>
      <c r="AS62" s="30">
        <f t="array" ref="AS62">_xlfn.XLOOKUP(MIN(ABS($AY$7:$AY$27 - MEDIAN(MIN($AY$7:$AY$27), MAX($AY$7:$AY$27), AS33))), ABS($AY$7:$AY$27 - MEDIAN(MIN($AY$7:$AY$27), MAX($AY$7:$AY$27), AS33)), $AZ$7:$AZ$27, "Not Found", 0)</f>
        <v/>
      </c>
      <c r="AT62" s="30">
        <f t="array" ref="AT62">_xlfn.XLOOKUP(MIN(ABS($AY$7:$AY$27 - MEDIAN(MIN($AY$7:$AY$27), MAX($AY$7:$AY$27), AT33))), ABS($AY$7:$AY$27 - MEDIAN(MIN($AY$7:$AY$27), MAX($AY$7:$AY$27), AT33)), $AZ$7:$AZ$27, "Not Found", 0)</f>
        <v/>
      </c>
      <c r="AU62" s="30">
        <f t="array" ref="AU62">_xlfn.XLOOKUP(MIN(ABS($AY$7:$AY$27 - MEDIAN(MIN($AY$7:$AY$27), MAX($AY$7:$AY$27), AU33))), ABS($AY$7:$AY$27 - MEDIAN(MIN($AY$7:$AY$27), MAX($AY$7:$AY$27), AU33)), $AZ$7:$AZ$27, "Not Found", 0)</f>
        <v/>
      </c>
      <c r="AV62" s="30">
        <f t="array" ref="AV62">_xlfn.XLOOKUP(MIN(ABS($AY$7:$AY$27 - MEDIAN(MIN($AY$7:$AY$27), MAX($AY$7:$AY$27), AV33))), ABS($AY$7:$AY$27 - MEDIAN(MIN($AY$7:$AY$27), MAX($AY$7:$AY$27), AV33)), $AZ$7:$AZ$27, "Not Found", 0)</f>
        <v/>
      </c>
      <c r="AW62" s="30">
        <f t="array" ref="AW62">_xlfn.XLOOKUP(MIN(ABS($AY$7:$AY$27 - MEDIAN(MIN($AY$7:$AY$27), MAX($AY$7:$AY$27), AW33))), ABS($AY$7:$AY$27 - MEDIAN(MIN($AY$7:$AY$27), MAX($AY$7:$AY$27), AW33)), $AZ$7:$AZ$27, "Not Found", 0)</f>
        <v/>
      </c>
    </row>
    <row r="63" ht="25" customHeight="1">
      <c r="A63" s="50" t="inlineStr">
        <is>
          <t>AUD JPY</t>
        </is>
      </c>
      <c r="B63" s="30">
        <f t="array" ref="B63">_xlfn.XLOOKUP(MIN(ABS($AY$7:$AY$27 - MEDIAN(MIN($AY$7:$AY$27), MAX($AY$7:$AY$27), B34))), ABS($AY$7:$AY$27 - MEDIAN(MIN($AY$7:$AY$27), MAX($AY$7:$AY$27), B34)), $AZ$7:$AZ$27, "Not Found", 0)</f>
        <v/>
      </c>
      <c r="C63" s="30">
        <f t="array" ref="C63">_xlfn.XLOOKUP(MIN(ABS($AY$7:$AY$27 - MEDIAN(MIN($AY$7:$AY$27), MAX($AY$7:$AY$27), C34))), ABS($AY$7:$AY$27 - MEDIAN(MIN($AY$7:$AY$27), MAX($AY$7:$AY$27), C34)), $AZ$7:$AZ$27, "Not Found", 0)</f>
        <v/>
      </c>
      <c r="D63" s="30">
        <f t="array" ref="D63">_xlfn.XLOOKUP(MIN(ABS($AY$7:$AY$27 - MEDIAN(MIN($AY$7:$AY$27), MAX($AY$7:$AY$27), D34))), ABS($AY$7:$AY$27 - MEDIAN(MIN($AY$7:$AY$27), MAX($AY$7:$AY$27), D34)), $AZ$7:$AZ$27, "Not Found", 0)</f>
        <v/>
      </c>
      <c r="E63" s="30">
        <f t="array" ref="E63">_xlfn.XLOOKUP(MIN(ABS($AY$7:$AY$27 - MEDIAN(MIN($AY$7:$AY$27), MAX($AY$7:$AY$27), E34))), ABS($AY$7:$AY$27 - MEDIAN(MIN($AY$7:$AY$27), MAX($AY$7:$AY$27), E34)), $AZ$7:$AZ$27, "Not Found", 0)</f>
        <v/>
      </c>
      <c r="F63" s="30">
        <f t="array" ref="F63">_xlfn.XLOOKUP(MIN(ABS($AY$7:$AY$27 - MEDIAN(MIN($AY$7:$AY$27), MAX($AY$7:$AY$27), F34))), ABS($AY$7:$AY$27 - MEDIAN(MIN($AY$7:$AY$27), MAX($AY$7:$AY$27), F34)), $AZ$7:$AZ$27, "Not Found", 0)</f>
        <v/>
      </c>
      <c r="G63" s="30">
        <f t="array" ref="G63">_xlfn.XLOOKUP(MIN(ABS($AY$7:$AY$27 - MEDIAN(MIN($AY$7:$AY$27), MAX($AY$7:$AY$27), G34))), ABS($AY$7:$AY$27 - MEDIAN(MIN($AY$7:$AY$27), MAX($AY$7:$AY$27), G34)), $AZ$7:$AZ$27, "Not Found", 0)</f>
        <v/>
      </c>
      <c r="H63" s="30">
        <f t="array" ref="H63">_xlfn.XLOOKUP(MIN(ABS($AY$7:$AY$27 - MEDIAN(MIN($AY$7:$AY$27), MAX($AY$7:$AY$27), H34))), ABS($AY$7:$AY$27 - MEDIAN(MIN($AY$7:$AY$27), MAX($AY$7:$AY$27), H34)), $AZ$7:$AZ$27, "Not Found", 0)</f>
        <v/>
      </c>
      <c r="I63" s="30">
        <f t="array" ref="I63">_xlfn.XLOOKUP(MIN(ABS($AY$7:$AY$27 - MEDIAN(MIN($AY$7:$AY$27), MAX($AY$7:$AY$27), I34))), ABS($AY$7:$AY$27 - MEDIAN(MIN($AY$7:$AY$27), MAX($AY$7:$AY$27), I34)), $AZ$7:$AZ$27, "Not Found", 0)</f>
        <v/>
      </c>
      <c r="J63" s="30">
        <f t="array" ref="J63">_xlfn.XLOOKUP(MIN(ABS($AY$7:$AY$27 - MEDIAN(MIN($AY$7:$AY$27), MAX($AY$7:$AY$27), J34))), ABS($AY$7:$AY$27 - MEDIAN(MIN($AY$7:$AY$27), MAX($AY$7:$AY$27), J34)), $AZ$7:$AZ$27, "Not Found", 0)</f>
        <v/>
      </c>
      <c r="K63" s="30">
        <f t="array" ref="K63">_xlfn.XLOOKUP(MIN(ABS($AY$7:$AY$27 - MEDIAN(MIN($AY$7:$AY$27), MAX($AY$7:$AY$27), K34))), ABS($AY$7:$AY$27 - MEDIAN(MIN($AY$7:$AY$27), MAX($AY$7:$AY$27), K34)), $AZ$7:$AZ$27, "Not Found", 0)</f>
        <v/>
      </c>
      <c r="L63" s="30">
        <f t="array" ref="L63">_xlfn.XLOOKUP(MIN(ABS($AY$7:$AY$27 - MEDIAN(MIN($AY$7:$AY$27), MAX($AY$7:$AY$27), L34))), ABS($AY$7:$AY$27 - MEDIAN(MIN($AY$7:$AY$27), MAX($AY$7:$AY$27), L34)), $AZ$7:$AZ$27, "Not Found", 0)</f>
        <v/>
      </c>
      <c r="M63" s="30">
        <f t="array" ref="M63">_xlfn.XLOOKUP(MIN(ABS($AY$7:$AY$27 - MEDIAN(MIN($AY$7:$AY$27), MAX($AY$7:$AY$27), M34))), ABS($AY$7:$AY$27 - MEDIAN(MIN($AY$7:$AY$27), MAX($AY$7:$AY$27), M34)), $AZ$7:$AZ$27, "Not Found", 0)</f>
        <v/>
      </c>
      <c r="N63" s="30">
        <f t="array" ref="N63">_xlfn.XLOOKUP(MIN(ABS($AY$7:$AY$27 - MEDIAN(MIN($AY$7:$AY$27), MAX($AY$7:$AY$27), N34))), ABS($AY$7:$AY$27 - MEDIAN(MIN($AY$7:$AY$27), MAX($AY$7:$AY$27), N34)), $AZ$7:$AZ$27, "Not Found", 0)</f>
        <v/>
      </c>
      <c r="O63" s="30">
        <f t="array" ref="O63">_xlfn.XLOOKUP(MIN(ABS($AY$7:$AY$27 - MEDIAN(MIN($AY$7:$AY$27), MAX($AY$7:$AY$27), O34))), ABS($AY$7:$AY$27 - MEDIAN(MIN($AY$7:$AY$27), MAX($AY$7:$AY$27), O34)), $AZ$7:$AZ$27, "Not Found", 0)</f>
        <v/>
      </c>
      <c r="P63" s="30">
        <f t="array" ref="P63">_xlfn.XLOOKUP(MIN(ABS($AY$7:$AY$27 - MEDIAN(MIN($AY$7:$AY$27), MAX($AY$7:$AY$27), P34))), ABS($AY$7:$AY$27 - MEDIAN(MIN($AY$7:$AY$27), MAX($AY$7:$AY$27), P34)), $AZ$7:$AZ$27, "Not Found", 0)</f>
        <v/>
      </c>
      <c r="Q63" s="30">
        <f t="array" ref="Q63">_xlfn.XLOOKUP(MIN(ABS($AY$7:$AY$27 - MEDIAN(MIN($AY$7:$AY$27), MAX($AY$7:$AY$27), Q34))), ABS($AY$7:$AY$27 - MEDIAN(MIN($AY$7:$AY$27), MAX($AY$7:$AY$27), Q34)), $AZ$7:$AZ$27, "Not Found", 0)</f>
        <v/>
      </c>
      <c r="R63" s="30">
        <f t="array" ref="R63">_xlfn.XLOOKUP(MIN(ABS($AY$7:$AY$27 - MEDIAN(MIN($AY$7:$AY$27), MAX($AY$7:$AY$27), R34))), ABS($AY$7:$AY$27 - MEDIAN(MIN($AY$7:$AY$27), MAX($AY$7:$AY$27), R34)), $AZ$7:$AZ$27, "Not Found", 0)</f>
        <v/>
      </c>
      <c r="S63" s="30">
        <f t="array" ref="S63">_xlfn.XLOOKUP(MIN(ABS($AY$7:$AY$27 - MEDIAN(MIN($AY$7:$AY$27), MAX($AY$7:$AY$27), S34))), ABS($AY$7:$AY$27 - MEDIAN(MIN($AY$7:$AY$27), MAX($AY$7:$AY$27), S34)), $AZ$7:$AZ$27, "Not Found", 0)</f>
        <v/>
      </c>
      <c r="T63" s="30">
        <f t="array" ref="T63">_xlfn.XLOOKUP(MIN(ABS($AY$7:$AY$27 - MEDIAN(MIN($AY$7:$AY$27), MAX($AY$7:$AY$27), T34))), ABS($AY$7:$AY$27 - MEDIAN(MIN($AY$7:$AY$27), MAX($AY$7:$AY$27), T34)), $AZ$7:$AZ$27, "Not Found", 0)</f>
        <v/>
      </c>
      <c r="U63" s="30">
        <f t="array" ref="U63">_xlfn.XLOOKUP(MIN(ABS($AY$7:$AY$27 - MEDIAN(MIN($AY$7:$AY$27), MAX($AY$7:$AY$27), U34))), ABS($AY$7:$AY$27 - MEDIAN(MIN($AY$7:$AY$27), MAX($AY$7:$AY$27), U34)), $AZ$7:$AZ$27, "Not Found", 0)</f>
        <v/>
      </c>
      <c r="V63" s="30">
        <f t="array" ref="V63">_xlfn.XLOOKUP(MIN(ABS($AY$7:$AY$27 - MEDIAN(MIN($AY$7:$AY$27), MAX($AY$7:$AY$27), V34))), ABS($AY$7:$AY$27 - MEDIAN(MIN($AY$7:$AY$27), MAX($AY$7:$AY$27), V34)), $AZ$7:$AZ$27, "Not Found", 0)</f>
        <v/>
      </c>
      <c r="W63" s="30">
        <f t="array" ref="W63">_xlfn.XLOOKUP(MIN(ABS($AY$7:$AY$27 - MEDIAN(MIN($AY$7:$AY$27), MAX($AY$7:$AY$27), W34))), ABS($AY$7:$AY$27 - MEDIAN(MIN($AY$7:$AY$27), MAX($AY$7:$AY$27), W34)), $AZ$7:$AZ$27, "Not Found", 0)</f>
        <v/>
      </c>
      <c r="X63" s="30">
        <f t="array" ref="X63">_xlfn.XLOOKUP(MIN(ABS($AY$7:$AY$27 - MEDIAN(MIN($AY$7:$AY$27), MAX($AY$7:$AY$27), X34))), ABS($AY$7:$AY$27 - MEDIAN(MIN($AY$7:$AY$27), MAX($AY$7:$AY$27), X34)), $AZ$7:$AZ$27, "Not Found", 0)</f>
        <v/>
      </c>
      <c r="Y63" s="30">
        <f t="array" ref="Y63">_xlfn.XLOOKUP(MIN(ABS($AY$7:$AY$27 - MEDIAN(MIN($AY$7:$AY$27), MAX($AY$7:$AY$27), Y34))), ABS($AY$7:$AY$27 - MEDIAN(MIN($AY$7:$AY$27), MAX($AY$7:$AY$27), Y34)), $AZ$7:$AZ$27, "Not Found", 0)</f>
        <v/>
      </c>
      <c r="Z63" s="30">
        <f t="array" ref="Z63">_xlfn.XLOOKUP(MIN(ABS($AY$7:$AY$27 - MEDIAN(MIN($AY$7:$AY$27), MAX($AY$7:$AY$27), Z34))), ABS($AY$7:$AY$27 - MEDIAN(MIN($AY$7:$AY$27), MAX($AY$7:$AY$27), Z34)), $AZ$7:$AZ$27, "Not Found", 0)</f>
        <v/>
      </c>
      <c r="AA63" s="30">
        <f t="array" ref="AA63">_xlfn.XLOOKUP(MIN(ABS($AY$7:$AY$27 - MEDIAN(MIN($AY$7:$AY$27), MAX($AY$7:$AY$27), AA34))), ABS($AY$7:$AY$27 - MEDIAN(MIN($AY$7:$AY$27), MAX($AY$7:$AY$27), AA34)), $AZ$7:$AZ$27, "Not Found", 0)</f>
        <v/>
      </c>
      <c r="AB63" s="30">
        <f t="array" ref="AB63">_xlfn.XLOOKUP(MIN(ABS($AY$7:$AY$27 - MEDIAN(MIN($AY$7:$AY$27), MAX($AY$7:$AY$27), AB34))), ABS($AY$7:$AY$27 - MEDIAN(MIN($AY$7:$AY$27), MAX($AY$7:$AY$27), AB34)), $AZ$7:$AZ$27, "Not Found", 0)</f>
        <v/>
      </c>
      <c r="AC63" s="30">
        <f t="array" ref="AC63">_xlfn.XLOOKUP(MIN(ABS($AY$7:$AY$27 - MEDIAN(MIN($AY$7:$AY$27), MAX($AY$7:$AY$27), AC34))), ABS($AY$7:$AY$27 - MEDIAN(MIN($AY$7:$AY$27), MAX($AY$7:$AY$27), AC34)), $AZ$7:$AZ$27, "Not Found", 0)</f>
        <v/>
      </c>
      <c r="AD63" s="30">
        <f t="array" ref="AD63">_xlfn.XLOOKUP(MIN(ABS($AY$7:$AY$27 - MEDIAN(MIN($AY$7:$AY$27), MAX($AY$7:$AY$27), AD34))), ABS($AY$7:$AY$27 - MEDIAN(MIN($AY$7:$AY$27), MAX($AY$7:$AY$27), AD34)), $AZ$7:$AZ$27, "Not Found", 0)</f>
        <v/>
      </c>
      <c r="AE63" s="30">
        <f t="array" ref="AE63">_xlfn.XLOOKUP(MIN(ABS($AY$7:$AY$27 - MEDIAN(MIN($AY$7:$AY$27), MAX($AY$7:$AY$27), AE34))), ABS($AY$7:$AY$27 - MEDIAN(MIN($AY$7:$AY$27), MAX($AY$7:$AY$27), AE34)), $AZ$7:$AZ$27, "Not Found", 0)</f>
        <v/>
      </c>
      <c r="AF63" s="30">
        <f t="array" ref="AF63">_xlfn.XLOOKUP(MIN(ABS($AY$7:$AY$27 - MEDIAN(MIN($AY$7:$AY$27), MAX($AY$7:$AY$27), AF34))), ABS($AY$7:$AY$27 - MEDIAN(MIN($AY$7:$AY$27), MAX($AY$7:$AY$27), AF34)), $AZ$7:$AZ$27, "Not Found", 0)</f>
        <v/>
      </c>
      <c r="AG63" s="30">
        <f t="array" ref="AG63">_xlfn.XLOOKUP(MIN(ABS($AY$7:$AY$27 - MEDIAN(MIN($AY$7:$AY$27), MAX($AY$7:$AY$27), AG34))), ABS($AY$7:$AY$27 - MEDIAN(MIN($AY$7:$AY$27), MAX($AY$7:$AY$27), AG34)), $AZ$7:$AZ$27, "Not Found", 0)</f>
        <v/>
      </c>
      <c r="AH63" s="30">
        <f t="array" ref="AH63">_xlfn.XLOOKUP(MIN(ABS($AY$7:$AY$27 - MEDIAN(MIN($AY$7:$AY$27), MAX($AY$7:$AY$27), AH34))), ABS($AY$7:$AY$27 - MEDIAN(MIN($AY$7:$AY$27), MAX($AY$7:$AY$27), AH34)), $AZ$7:$AZ$27, "Not Found", 0)</f>
        <v/>
      </c>
      <c r="AI63" s="30">
        <f t="array" ref="AI63">_xlfn.XLOOKUP(MIN(ABS($AY$7:$AY$27 - MEDIAN(MIN($AY$7:$AY$27), MAX($AY$7:$AY$27), AI34))), ABS($AY$7:$AY$27 - MEDIAN(MIN($AY$7:$AY$27), MAX($AY$7:$AY$27), AI34)), $AZ$7:$AZ$27, "Not Found", 0)</f>
        <v/>
      </c>
      <c r="AJ63" s="30">
        <f t="array" ref="AJ63">_xlfn.XLOOKUP(MIN(ABS($AY$7:$AY$27 - MEDIAN(MIN($AY$7:$AY$27), MAX($AY$7:$AY$27), AJ34))), ABS($AY$7:$AY$27 - MEDIAN(MIN($AY$7:$AY$27), MAX($AY$7:$AY$27), AJ34)), $AZ$7:$AZ$27, "Not Found", 0)</f>
        <v/>
      </c>
      <c r="AK63" s="30">
        <f t="array" ref="AK63">_xlfn.XLOOKUP(MIN(ABS($AY$7:$AY$27 - MEDIAN(MIN($AY$7:$AY$27), MAX($AY$7:$AY$27), AK34))), ABS($AY$7:$AY$27 - MEDIAN(MIN($AY$7:$AY$27), MAX($AY$7:$AY$27), AK34)), $AZ$7:$AZ$27, "Not Found", 0)</f>
        <v/>
      </c>
      <c r="AL63" s="30">
        <f t="array" ref="AL63">_xlfn.XLOOKUP(MIN(ABS($AY$7:$AY$27 - MEDIAN(MIN($AY$7:$AY$27), MAX($AY$7:$AY$27), AL34))), ABS($AY$7:$AY$27 - MEDIAN(MIN($AY$7:$AY$27), MAX($AY$7:$AY$27), AL34)), $AZ$7:$AZ$27, "Not Found", 0)</f>
        <v/>
      </c>
      <c r="AM63" s="30">
        <f t="array" ref="AM63">_xlfn.XLOOKUP(MIN(ABS($AY$7:$AY$27 - MEDIAN(MIN($AY$7:$AY$27), MAX($AY$7:$AY$27), AM34))), ABS($AY$7:$AY$27 - MEDIAN(MIN($AY$7:$AY$27), MAX($AY$7:$AY$27), AM34)), $AZ$7:$AZ$27, "Not Found", 0)</f>
        <v/>
      </c>
      <c r="AN63" s="30">
        <f t="array" ref="AN63">_xlfn.XLOOKUP(MIN(ABS($AY$7:$AY$27 - MEDIAN(MIN($AY$7:$AY$27), MAX($AY$7:$AY$27), AN34))), ABS($AY$7:$AY$27 - MEDIAN(MIN($AY$7:$AY$27), MAX($AY$7:$AY$27), AN34)), $AZ$7:$AZ$27, "Not Found", 0)</f>
        <v/>
      </c>
      <c r="AO63" s="30">
        <f t="array" ref="AO63">_xlfn.XLOOKUP(MIN(ABS($AY$7:$AY$27 - MEDIAN(MIN($AY$7:$AY$27), MAX($AY$7:$AY$27), AO34))), ABS($AY$7:$AY$27 - MEDIAN(MIN($AY$7:$AY$27), MAX($AY$7:$AY$27), AO34)), $AZ$7:$AZ$27, "Not Found", 0)</f>
        <v/>
      </c>
      <c r="AP63" s="30">
        <f t="array" ref="AP63">_xlfn.XLOOKUP(MIN(ABS($AY$7:$AY$27 - MEDIAN(MIN($AY$7:$AY$27), MAX($AY$7:$AY$27), AP34))), ABS($AY$7:$AY$27 - MEDIAN(MIN($AY$7:$AY$27), MAX($AY$7:$AY$27), AP34)), $AZ$7:$AZ$27, "Not Found", 0)</f>
        <v/>
      </c>
      <c r="AQ63" s="30">
        <f t="array" ref="AQ63">_xlfn.XLOOKUP(MIN(ABS($AY$7:$AY$27 - MEDIAN(MIN($AY$7:$AY$27), MAX($AY$7:$AY$27), AQ34))), ABS($AY$7:$AY$27 - MEDIAN(MIN($AY$7:$AY$27), MAX($AY$7:$AY$27), AQ34)), $AZ$7:$AZ$27, "Not Found", 0)</f>
        <v/>
      </c>
      <c r="AR63" s="30">
        <f t="array" ref="AR63">_xlfn.XLOOKUP(MIN(ABS($AY$7:$AY$27 - MEDIAN(MIN($AY$7:$AY$27), MAX($AY$7:$AY$27), AR34))), ABS($AY$7:$AY$27 - MEDIAN(MIN($AY$7:$AY$27), MAX($AY$7:$AY$27), AR34)), $AZ$7:$AZ$27, "Not Found", 0)</f>
        <v/>
      </c>
      <c r="AS63" s="30">
        <f t="array" ref="AS63">_xlfn.XLOOKUP(MIN(ABS($AY$7:$AY$27 - MEDIAN(MIN($AY$7:$AY$27), MAX($AY$7:$AY$27), AS34))), ABS($AY$7:$AY$27 - MEDIAN(MIN($AY$7:$AY$27), MAX($AY$7:$AY$27), AS34)), $AZ$7:$AZ$27, "Not Found", 0)</f>
        <v/>
      </c>
      <c r="AT63" s="30">
        <f t="array" ref="AT63">_xlfn.XLOOKUP(MIN(ABS($AY$7:$AY$27 - MEDIAN(MIN($AY$7:$AY$27), MAX($AY$7:$AY$27), AT34))), ABS($AY$7:$AY$27 - MEDIAN(MIN($AY$7:$AY$27), MAX($AY$7:$AY$27), AT34)), $AZ$7:$AZ$27, "Not Found", 0)</f>
        <v/>
      </c>
      <c r="AU63" s="30">
        <f t="array" ref="AU63">_xlfn.XLOOKUP(MIN(ABS($AY$7:$AY$27 - MEDIAN(MIN($AY$7:$AY$27), MAX($AY$7:$AY$27), AU34))), ABS($AY$7:$AY$27 - MEDIAN(MIN($AY$7:$AY$27), MAX($AY$7:$AY$27), AU34)), $AZ$7:$AZ$27, "Not Found", 0)</f>
        <v/>
      </c>
      <c r="AV63" s="30">
        <f t="array" ref="AV63">_xlfn.XLOOKUP(MIN(ABS($AY$7:$AY$27 - MEDIAN(MIN($AY$7:$AY$27), MAX($AY$7:$AY$27), AV34))), ABS($AY$7:$AY$27 - MEDIAN(MIN($AY$7:$AY$27), MAX($AY$7:$AY$27), AV34)), $AZ$7:$AZ$27, "Not Found", 0)</f>
        <v/>
      </c>
      <c r="AW63" s="30">
        <f t="array" ref="AW63">_xlfn.XLOOKUP(MIN(ABS($AY$7:$AY$27 - MEDIAN(MIN($AY$7:$AY$27), MAX($AY$7:$AY$27), AW34))), ABS($AY$7:$AY$27 - MEDIAN(MIN($AY$7:$AY$27), MAX($AY$7:$AY$27), AW34)), $AZ$7:$AZ$27, "Not Found", 0)</f>
        <v/>
      </c>
    </row>
    <row r="64" ht="25" customHeight="1">
      <c r="A64" s="50" t="inlineStr">
        <is>
          <t>AUD NZD</t>
        </is>
      </c>
      <c r="B64" s="30">
        <f t="array" ref="B64">_xlfn.XLOOKUP(MIN(ABS($AY$7:$AY$27 - MEDIAN(MIN($AY$7:$AY$27), MAX($AY$7:$AY$27), B35))), ABS($AY$7:$AY$27 - MEDIAN(MIN($AY$7:$AY$27), MAX($AY$7:$AY$27), B35)), $AZ$7:$AZ$27, "Not Found", 0)</f>
        <v/>
      </c>
      <c r="C64" s="30">
        <f t="array" ref="C64">_xlfn.XLOOKUP(MIN(ABS($AY$7:$AY$27 - MEDIAN(MIN($AY$7:$AY$27), MAX($AY$7:$AY$27), C35))), ABS($AY$7:$AY$27 - MEDIAN(MIN($AY$7:$AY$27), MAX($AY$7:$AY$27), C35)), $AZ$7:$AZ$27, "Not Found", 0)</f>
        <v/>
      </c>
      <c r="D64" s="30">
        <f t="array" ref="D64">_xlfn.XLOOKUP(MIN(ABS($AY$7:$AY$27 - MEDIAN(MIN($AY$7:$AY$27), MAX($AY$7:$AY$27), D35))), ABS($AY$7:$AY$27 - MEDIAN(MIN($AY$7:$AY$27), MAX($AY$7:$AY$27), D35)), $AZ$7:$AZ$27, "Not Found", 0)</f>
        <v/>
      </c>
      <c r="E64" s="30">
        <f t="array" ref="E64">_xlfn.XLOOKUP(MIN(ABS($AY$7:$AY$27 - MEDIAN(MIN($AY$7:$AY$27), MAX($AY$7:$AY$27), E35))), ABS($AY$7:$AY$27 - MEDIAN(MIN($AY$7:$AY$27), MAX($AY$7:$AY$27), E35)), $AZ$7:$AZ$27, "Not Found", 0)</f>
        <v/>
      </c>
      <c r="F64" s="30">
        <f t="array" ref="F64">_xlfn.XLOOKUP(MIN(ABS($AY$7:$AY$27 - MEDIAN(MIN($AY$7:$AY$27), MAX($AY$7:$AY$27), F35))), ABS($AY$7:$AY$27 - MEDIAN(MIN($AY$7:$AY$27), MAX($AY$7:$AY$27), F35)), $AZ$7:$AZ$27, "Not Found", 0)</f>
        <v/>
      </c>
      <c r="G64" s="30">
        <f t="array" ref="G64">_xlfn.XLOOKUP(MIN(ABS($AY$7:$AY$27 - MEDIAN(MIN($AY$7:$AY$27), MAX($AY$7:$AY$27), G35))), ABS($AY$7:$AY$27 - MEDIAN(MIN($AY$7:$AY$27), MAX($AY$7:$AY$27), G35)), $AZ$7:$AZ$27, "Not Found", 0)</f>
        <v/>
      </c>
      <c r="H64" s="30">
        <f t="array" ref="H64">_xlfn.XLOOKUP(MIN(ABS($AY$7:$AY$27 - MEDIAN(MIN($AY$7:$AY$27), MAX($AY$7:$AY$27), H35))), ABS($AY$7:$AY$27 - MEDIAN(MIN($AY$7:$AY$27), MAX($AY$7:$AY$27), H35)), $AZ$7:$AZ$27, "Not Found", 0)</f>
        <v/>
      </c>
      <c r="I64" s="30">
        <f t="array" ref="I64">_xlfn.XLOOKUP(MIN(ABS($AY$7:$AY$27 - MEDIAN(MIN($AY$7:$AY$27), MAX($AY$7:$AY$27), I35))), ABS($AY$7:$AY$27 - MEDIAN(MIN($AY$7:$AY$27), MAX($AY$7:$AY$27), I35)), $AZ$7:$AZ$27, "Not Found", 0)</f>
        <v/>
      </c>
      <c r="J64" s="30">
        <f t="array" ref="J64">_xlfn.XLOOKUP(MIN(ABS($AY$7:$AY$27 - MEDIAN(MIN($AY$7:$AY$27), MAX($AY$7:$AY$27), J35))), ABS($AY$7:$AY$27 - MEDIAN(MIN($AY$7:$AY$27), MAX($AY$7:$AY$27), J35)), $AZ$7:$AZ$27, "Not Found", 0)</f>
        <v/>
      </c>
      <c r="K64" s="30">
        <f t="array" ref="K64">_xlfn.XLOOKUP(MIN(ABS($AY$7:$AY$27 - MEDIAN(MIN($AY$7:$AY$27), MAX($AY$7:$AY$27), K35))), ABS($AY$7:$AY$27 - MEDIAN(MIN($AY$7:$AY$27), MAX($AY$7:$AY$27), K35)), $AZ$7:$AZ$27, "Not Found", 0)</f>
        <v/>
      </c>
      <c r="L64" s="30">
        <f t="array" ref="L64">_xlfn.XLOOKUP(MIN(ABS($AY$7:$AY$27 - MEDIAN(MIN($AY$7:$AY$27), MAX($AY$7:$AY$27), L35))), ABS($AY$7:$AY$27 - MEDIAN(MIN($AY$7:$AY$27), MAX($AY$7:$AY$27), L35)), $AZ$7:$AZ$27, "Not Found", 0)</f>
        <v/>
      </c>
      <c r="M64" s="30">
        <f t="array" ref="M64">_xlfn.XLOOKUP(MIN(ABS($AY$7:$AY$27 - MEDIAN(MIN($AY$7:$AY$27), MAX($AY$7:$AY$27), M35))), ABS($AY$7:$AY$27 - MEDIAN(MIN($AY$7:$AY$27), MAX($AY$7:$AY$27), M35)), $AZ$7:$AZ$27, "Not Found", 0)</f>
        <v/>
      </c>
      <c r="N64" s="30">
        <f t="array" ref="N64">_xlfn.XLOOKUP(MIN(ABS($AY$7:$AY$27 - MEDIAN(MIN($AY$7:$AY$27), MAX($AY$7:$AY$27), N35))), ABS($AY$7:$AY$27 - MEDIAN(MIN($AY$7:$AY$27), MAX($AY$7:$AY$27), N35)), $AZ$7:$AZ$27, "Not Found", 0)</f>
        <v/>
      </c>
      <c r="O64" s="30">
        <f t="array" ref="O64">_xlfn.XLOOKUP(MIN(ABS($AY$7:$AY$27 - MEDIAN(MIN($AY$7:$AY$27), MAX($AY$7:$AY$27), O35))), ABS($AY$7:$AY$27 - MEDIAN(MIN($AY$7:$AY$27), MAX($AY$7:$AY$27), O35)), $AZ$7:$AZ$27, "Not Found", 0)</f>
        <v/>
      </c>
      <c r="P64" s="30">
        <f t="array" ref="P64">_xlfn.XLOOKUP(MIN(ABS($AY$7:$AY$27 - MEDIAN(MIN($AY$7:$AY$27), MAX($AY$7:$AY$27), P35))), ABS($AY$7:$AY$27 - MEDIAN(MIN($AY$7:$AY$27), MAX($AY$7:$AY$27), P35)), $AZ$7:$AZ$27, "Not Found", 0)</f>
        <v/>
      </c>
      <c r="Q64" s="30">
        <f t="array" ref="Q64">_xlfn.XLOOKUP(MIN(ABS($AY$7:$AY$27 - MEDIAN(MIN($AY$7:$AY$27), MAX($AY$7:$AY$27), Q35))), ABS($AY$7:$AY$27 - MEDIAN(MIN($AY$7:$AY$27), MAX($AY$7:$AY$27), Q35)), $AZ$7:$AZ$27, "Not Found", 0)</f>
        <v/>
      </c>
      <c r="R64" s="30">
        <f t="array" ref="R64">_xlfn.XLOOKUP(MIN(ABS($AY$7:$AY$27 - MEDIAN(MIN($AY$7:$AY$27), MAX($AY$7:$AY$27), R35))), ABS($AY$7:$AY$27 - MEDIAN(MIN($AY$7:$AY$27), MAX($AY$7:$AY$27), R35)), $AZ$7:$AZ$27, "Not Found", 0)</f>
        <v/>
      </c>
      <c r="S64" s="30">
        <f t="array" ref="S64">_xlfn.XLOOKUP(MIN(ABS($AY$7:$AY$27 - MEDIAN(MIN($AY$7:$AY$27), MAX($AY$7:$AY$27), S35))), ABS($AY$7:$AY$27 - MEDIAN(MIN($AY$7:$AY$27), MAX($AY$7:$AY$27), S35)), $AZ$7:$AZ$27, "Not Found", 0)</f>
        <v/>
      </c>
      <c r="T64" s="30">
        <f t="array" ref="T64">_xlfn.XLOOKUP(MIN(ABS($AY$7:$AY$27 - MEDIAN(MIN($AY$7:$AY$27), MAX($AY$7:$AY$27), T35))), ABS($AY$7:$AY$27 - MEDIAN(MIN($AY$7:$AY$27), MAX($AY$7:$AY$27), T35)), $AZ$7:$AZ$27, "Not Found", 0)</f>
        <v/>
      </c>
      <c r="U64" s="30">
        <f t="array" ref="U64">_xlfn.XLOOKUP(MIN(ABS($AY$7:$AY$27 - MEDIAN(MIN($AY$7:$AY$27), MAX($AY$7:$AY$27), U35))), ABS($AY$7:$AY$27 - MEDIAN(MIN($AY$7:$AY$27), MAX($AY$7:$AY$27), U35)), $AZ$7:$AZ$27, "Not Found", 0)</f>
        <v/>
      </c>
      <c r="V64" s="30">
        <f t="array" ref="V64">_xlfn.XLOOKUP(MIN(ABS($AY$7:$AY$27 - MEDIAN(MIN($AY$7:$AY$27), MAX($AY$7:$AY$27), V35))), ABS($AY$7:$AY$27 - MEDIAN(MIN($AY$7:$AY$27), MAX($AY$7:$AY$27), V35)), $AZ$7:$AZ$27, "Not Found", 0)</f>
        <v/>
      </c>
      <c r="W64" s="30">
        <f t="array" ref="W64">_xlfn.XLOOKUP(MIN(ABS($AY$7:$AY$27 - MEDIAN(MIN($AY$7:$AY$27), MAX($AY$7:$AY$27), W35))), ABS($AY$7:$AY$27 - MEDIAN(MIN($AY$7:$AY$27), MAX($AY$7:$AY$27), W35)), $AZ$7:$AZ$27, "Not Found", 0)</f>
        <v/>
      </c>
      <c r="X64" s="30">
        <f t="array" ref="X64">_xlfn.XLOOKUP(MIN(ABS($AY$7:$AY$27 - MEDIAN(MIN($AY$7:$AY$27), MAX($AY$7:$AY$27), X35))), ABS($AY$7:$AY$27 - MEDIAN(MIN($AY$7:$AY$27), MAX($AY$7:$AY$27), X35)), $AZ$7:$AZ$27, "Not Found", 0)</f>
        <v/>
      </c>
      <c r="Y64" s="30">
        <f t="array" ref="Y64">_xlfn.XLOOKUP(MIN(ABS($AY$7:$AY$27 - MEDIAN(MIN($AY$7:$AY$27), MAX($AY$7:$AY$27), Y35))), ABS($AY$7:$AY$27 - MEDIAN(MIN($AY$7:$AY$27), MAX($AY$7:$AY$27), Y35)), $AZ$7:$AZ$27, "Not Found", 0)</f>
        <v/>
      </c>
      <c r="Z64" s="30">
        <f t="array" ref="Z64">_xlfn.XLOOKUP(MIN(ABS($AY$7:$AY$27 - MEDIAN(MIN($AY$7:$AY$27), MAX($AY$7:$AY$27), Z35))), ABS($AY$7:$AY$27 - MEDIAN(MIN($AY$7:$AY$27), MAX($AY$7:$AY$27), Z35)), $AZ$7:$AZ$27, "Not Found", 0)</f>
        <v/>
      </c>
      <c r="AA64" s="30">
        <f t="array" ref="AA64">_xlfn.XLOOKUP(MIN(ABS($AY$7:$AY$27 - MEDIAN(MIN($AY$7:$AY$27), MAX($AY$7:$AY$27), AA35))), ABS($AY$7:$AY$27 - MEDIAN(MIN($AY$7:$AY$27), MAX($AY$7:$AY$27), AA35)), $AZ$7:$AZ$27, "Not Found", 0)</f>
        <v/>
      </c>
      <c r="AB64" s="30">
        <f t="array" ref="AB64">_xlfn.XLOOKUP(MIN(ABS($AY$7:$AY$27 - MEDIAN(MIN($AY$7:$AY$27), MAX($AY$7:$AY$27), AB35))), ABS($AY$7:$AY$27 - MEDIAN(MIN($AY$7:$AY$27), MAX($AY$7:$AY$27), AB35)), $AZ$7:$AZ$27, "Not Found", 0)</f>
        <v/>
      </c>
      <c r="AC64" s="30">
        <f t="array" ref="AC64">_xlfn.XLOOKUP(MIN(ABS($AY$7:$AY$27 - MEDIAN(MIN($AY$7:$AY$27), MAX($AY$7:$AY$27), AC35))), ABS($AY$7:$AY$27 - MEDIAN(MIN($AY$7:$AY$27), MAX($AY$7:$AY$27), AC35)), $AZ$7:$AZ$27, "Not Found", 0)</f>
        <v/>
      </c>
      <c r="AD64" s="30">
        <f t="array" ref="AD64">_xlfn.XLOOKUP(MIN(ABS($AY$7:$AY$27 - MEDIAN(MIN($AY$7:$AY$27), MAX($AY$7:$AY$27), AD35))), ABS($AY$7:$AY$27 - MEDIAN(MIN($AY$7:$AY$27), MAX($AY$7:$AY$27), AD35)), $AZ$7:$AZ$27, "Not Found", 0)</f>
        <v/>
      </c>
      <c r="AE64" s="30">
        <f t="array" ref="AE64">_xlfn.XLOOKUP(MIN(ABS($AY$7:$AY$27 - MEDIAN(MIN($AY$7:$AY$27), MAX($AY$7:$AY$27), AE35))), ABS($AY$7:$AY$27 - MEDIAN(MIN($AY$7:$AY$27), MAX($AY$7:$AY$27), AE35)), $AZ$7:$AZ$27, "Not Found", 0)</f>
        <v/>
      </c>
      <c r="AF64" s="30">
        <f t="array" ref="AF64">_xlfn.XLOOKUP(MIN(ABS($AY$7:$AY$27 - MEDIAN(MIN($AY$7:$AY$27), MAX($AY$7:$AY$27), AF35))), ABS($AY$7:$AY$27 - MEDIAN(MIN($AY$7:$AY$27), MAX($AY$7:$AY$27), AF35)), $AZ$7:$AZ$27, "Not Found", 0)</f>
        <v/>
      </c>
      <c r="AG64" s="30">
        <f t="array" ref="AG64">_xlfn.XLOOKUP(MIN(ABS($AY$7:$AY$27 - MEDIAN(MIN($AY$7:$AY$27), MAX($AY$7:$AY$27), AG35))), ABS($AY$7:$AY$27 - MEDIAN(MIN($AY$7:$AY$27), MAX($AY$7:$AY$27), AG35)), $AZ$7:$AZ$27, "Not Found", 0)</f>
        <v/>
      </c>
      <c r="AH64" s="30">
        <f t="array" ref="AH64">_xlfn.XLOOKUP(MIN(ABS($AY$7:$AY$27 - MEDIAN(MIN($AY$7:$AY$27), MAX($AY$7:$AY$27), AH35))), ABS($AY$7:$AY$27 - MEDIAN(MIN($AY$7:$AY$27), MAX($AY$7:$AY$27), AH35)), $AZ$7:$AZ$27, "Not Found", 0)</f>
        <v/>
      </c>
      <c r="AI64" s="30">
        <f t="array" ref="AI64">_xlfn.XLOOKUP(MIN(ABS($AY$7:$AY$27 - MEDIAN(MIN($AY$7:$AY$27), MAX($AY$7:$AY$27), AI35))), ABS($AY$7:$AY$27 - MEDIAN(MIN($AY$7:$AY$27), MAX($AY$7:$AY$27), AI35)), $AZ$7:$AZ$27, "Not Found", 0)</f>
        <v/>
      </c>
      <c r="AJ64" s="30">
        <f t="array" ref="AJ64">_xlfn.XLOOKUP(MIN(ABS($AY$7:$AY$27 - MEDIAN(MIN($AY$7:$AY$27), MAX($AY$7:$AY$27), AJ35))), ABS($AY$7:$AY$27 - MEDIAN(MIN($AY$7:$AY$27), MAX($AY$7:$AY$27), AJ35)), $AZ$7:$AZ$27, "Not Found", 0)</f>
        <v/>
      </c>
      <c r="AK64" s="30">
        <f t="array" ref="AK64">_xlfn.XLOOKUP(MIN(ABS($AY$7:$AY$27 - MEDIAN(MIN($AY$7:$AY$27), MAX($AY$7:$AY$27), AK35))), ABS($AY$7:$AY$27 - MEDIAN(MIN($AY$7:$AY$27), MAX($AY$7:$AY$27), AK35)), $AZ$7:$AZ$27, "Not Found", 0)</f>
        <v/>
      </c>
      <c r="AL64" s="30">
        <f t="array" ref="AL64">_xlfn.XLOOKUP(MIN(ABS($AY$7:$AY$27 - MEDIAN(MIN($AY$7:$AY$27), MAX($AY$7:$AY$27), AL35))), ABS($AY$7:$AY$27 - MEDIAN(MIN($AY$7:$AY$27), MAX($AY$7:$AY$27), AL35)), $AZ$7:$AZ$27, "Not Found", 0)</f>
        <v/>
      </c>
      <c r="AM64" s="30">
        <f t="array" ref="AM64">_xlfn.XLOOKUP(MIN(ABS($AY$7:$AY$27 - MEDIAN(MIN($AY$7:$AY$27), MAX($AY$7:$AY$27), AM35))), ABS($AY$7:$AY$27 - MEDIAN(MIN($AY$7:$AY$27), MAX($AY$7:$AY$27), AM35)), $AZ$7:$AZ$27, "Not Found", 0)</f>
        <v/>
      </c>
      <c r="AN64" s="30">
        <f t="array" ref="AN64">_xlfn.XLOOKUP(MIN(ABS($AY$7:$AY$27 - MEDIAN(MIN($AY$7:$AY$27), MAX($AY$7:$AY$27), AN35))), ABS($AY$7:$AY$27 - MEDIAN(MIN($AY$7:$AY$27), MAX($AY$7:$AY$27), AN35)), $AZ$7:$AZ$27, "Not Found", 0)</f>
        <v/>
      </c>
      <c r="AO64" s="30">
        <f t="array" ref="AO64">_xlfn.XLOOKUP(MIN(ABS($AY$7:$AY$27 - MEDIAN(MIN($AY$7:$AY$27), MAX($AY$7:$AY$27), AO35))), ABS($AY$7:$AY$27 - MEDIAN(MIN($AY$7:$AY$27), MAX($AY$7:$AY$27), AO35)), $AZ$7:$AZ$27, "Not Found", 0)</f>
        <v/>
      </c>
      <c r="AP64" s="30">
        <f t="array" ref="AP64">_xlfn.XLOOKUP(MIN(ABS($AY$7:$AY$27 - MEDIAN(MIN($AY$7:$AY$27), MAX($AY$7:$AY$27), AP35))), ABS($AY$7:$AY$27 - MEDIAN(MIN($AY$7:$AY$27), MAX($AY$7:$AY$27), AP35)), $AZ$7:$AZ$27, "Not Found", 0)</f>
        <v/>
      </c>
      <c r="AQ64" s="30">
        <f t="array" ref="AQ64">_xlfn.XLOOKUP(MIN(ABS($AY$7:$AY$27 - MEDIAN(MIN($AY$7:$AY$27), MAX($AY$7:$AY$27), AQ35))), ABS($AY$7:$AY$27 - MEDIAN(MIN($AY$7:$AY$27), MAX($AY$7:$AY$27), AQ35)), $AZ$7:$AZ$27, "Not Found", 0)</f>
        <v/>
      </c>
      <c r="AR64" s="30">
        <f t="array" ref="AR64">_xlfn.XLOOKUP(MIN(ABS($AY$7:$AY$27 - MEDIAN(MIN($AY$7:$AY$27), MAX($AY$7:$AY$27), AR35))), ABS($AY$7:$AY$27 - MEDIAN(MIN($AY$7:$AY$27), MAX($AY$7:$AY$27), AR35)), $AZ$7:$AZ$27, "Not Found", 0)</f>
        <v/>
      </c>
      <c r="AS64" s="30">
        <f t="array" ref="AS64">_xlfn.XLOOKUP(MIN(ABS($AY$7:$AY$27 - MEDIAN(MIN($AY$7:$AY$27), MAX($AY$7:$AY$27), AS35))), ABS($AY$7:$AY$27 - MEDIAN(MIN($AY$7:$AY$27), MAX($AY$7:$AY$27), AS35)), $AZ$7:$AZ$27, "Not Found", 0)</f>
        <v/>
      </c>
      <c r="AT64" s="30">
        <f t="array" ref="AT64">_xlfn.XLOOKUP(MIN(ABS($AY$7:$AY$27 - MEDIAN(MIN($AY$7:$AY$27), MAX($AY$7:$AY$27), AT35))), ABS($AY$7:$AY$27 - MEDIAN(MIN($AY$7:$AY$27), MAX($AY$7:$AY$27), AT35)), $AZ$7:$AZ$27, "Not Found", 0)</f>
        <v/>
      </c>
      <c r="AU64" s="30">
        <f t="array" ref="AU64">_xlfn.XLOOKUP(MIN(ABS($AY$7:$AY$27 - MEDIAN(MIN($AY$7:$AY$27), MAX($AY$7:$AY$27), AU35))), ABS($AY$7:$AY$27 - MEDIAN(MIN($AY$7:$AY$27), MAX($AY$7:$AY$27), AU35)), $AZ$7:$AZ$27, "Not Found", 0)</f>
        <v/>
      </c>
      <c r="AV64" s="30">
        <f t="array" ref="AV64">_xlfn.XLOOKUP(MIN(ABS($AY$7:$AY$27 - MEDIAN(MIN($AY$7:$AY$27), MAX($AY$7:$AY$27), AV35))), ABS($AY$7:$AY$27 - MEDIAN(MIN($AY$7:$AY$27), MAX($AY$7:$AY$27), AV35)), $AZ$7:$AZ$27, "Not Found", 0)</f>
        <v/>
      </c>
      <c r="AW64" s="30">
        <f t="array" ref="AW64">_xlfn.XLOOKUP(MIN(ABS($AY$7:$AY$27 - MEDIAN(MIN($AY$7:$AY$27), MAX($AY$7:$AY$27), AW35))), ABS($AY$7:$AY$27 - MEDIAN(MIN($AY$7:$AY$27), MAX($AY$7:$AY$27), AW35)), $AZ$7:$AZ$27, "Not Found", 0)</f>
        <v/>
      </c>
    </row>
    <row r="65" ht="25" customHeight="1">
      <c r="A65" s="50" t="inlineStr">
        <is>
          <t>AUD CAD</t>
        </is>
      </c>
      <c r="B65" s="30">
        <f t="array" ref="B65">_xlfn.XLOOKUP(MIN(ABS($AY$7:$AY$27 - MEDIAN(MIN($AY$7:$AY$27), MAX($AY$7:$AY$27), B36))), ABS($AY$7:$AY$27 - MEDIAN(MIN($AY$7:$AY$27), MAX($AY$7:$AY$27), B36)), $AZ$7:$AZ$27, "Not Found", 0)</f>
        <v/>
      </c>
      <c r="C65" s="30">
        <f t="array" ref="C65">_xlfn.XLOOKUP(MIN(ABS($AY$7:$AY$27 - MEDIAN(MIN($AY$7:$AY$27), MAX($AY$7:$AY$27), C36))), ABS($AY$7:$AY$27 - MEDIAN(MIN($AY$7:$AY$27), MAX($AY$7:$AY$27), C36)), $AZ$7:$AZ$27, "Not Found", 0)</f>
        <v/>
      </c>
      <c r="D65" s="30">
        <f t="array" ref="D65">_xlfn.XLOOKUP(MIN(ABS($AY$7:$AY$27 - MEDIAN(MIN($AY$7:$AY$27), MAX($AY$7:$AY$27), D36))), ABS($AY$7:$AY$27 - MEDIAN(MIN($AY$7:$AY$27), MAX($AY$7:$AY$27), D36)), $AZ$7:$AZ$27, "Not Found", 0)</f>
        <v/>
      </c>
      <c r="E65" s="30">
        <f t="array" ref="E65">_xlfn.XLOOKUP(MIN(ABS($AY$7:$AY$27 - MEDIAN(MIN($AY$7:$AY$27), MAX($AY$7:$AY$27), E36))), ABS($AY$7:$AY$27 - MEDIAN(MIN($AY$7:$AY$27), MAX($AY$7:$AY$27), E36)), $AZ$7:$AZ$27, "Not Found", 0)</f>
        <v/>
      </c>
      <c r="F65" s="30">
        <f t="array" ref="F65">_xlfn.XLOOKUP(MIN(ABS($AY$7:$AY$27 - MEDIAN(MIN($AY$7:$AY$27), MAX($AY$7:$AY$27), F36))), ABS($AY$7:$AY$27 - MEDIAN(MIN($AY$7:$AY$27), MAX($AY$7:$AY$27), F36)), $AZ$7:$AZ$27, "Not Found", 0)</f>
        <v/>
      </c>
      <c r="G65" s="30">
        <f t="array" ref="G65">_xlfn.XLOOKUP(MIN(ABS($AY$7:$AY$27 - MEDIAN(MIN($AY$7:$AY$27), MAX($AY$7:$AY$27), G36))), ABS($AY$7:$AY$27 - MEDIAN(MIN($AY$7:$AY$27), MAX($AY$7:$AY$27), G36)), $AZ$7:$AZ$27, "Not Found", 0)</f>
        <v/>
      </c>
      <c r="H65" s="30">
        <f t="array" ref="H65">_xlfn.XLOOKUP(MIN(ABS($AY$7:$AY$27 - MEDIAN(MIN($AY$7:$AY$27), MAX($AY$7:$AY$27), H36))), ABS($AY$7:$AY$27 - MEDIAN(MIN($AY$7:$AY$27), MAX($AY$7:$AY$27), H36)), $AZ$7:$AZ$27, "Not Found", 0)</f>
        <v/>
      </c>
      <c r="I65" s="30">
        <f t="array" ref="I65">_xlfn.XLOOKUP(MIN(ABS($AY$7:$AY$27 - MEDIAN(MIN($AY$7:$AY$27), MAX($AY$7:$AY$27), I36))), ABS($AY$7:$AY$27 - MEDIAN(MIN($AY$7:$AY$27), MAX($AY$7:$AY$27), I36)), $AZ$7:$AZ$27, "Not Found", 0)</f>
        <v/>
      </c>
      <c r="J65" s="30">
        <f t="array" ref="J65">_xlfn.XLOOKUP(MIN(ABS($AY$7:$AY$27 - MEDIAN(MIN($AY$7:$AY$27), MAX($AY$7:$AY$27), J36))), ABS($AY$7:$AY$27 - MEDIAN(MIN($AY$7:$AY$27), MAX($AY$7:$AY$27), J36)), $AZ$7:$AZ$27, "Not Found", 0)</f>
        <v/>
      </c>
      <c r="K65" s="30">
        <f t="array" ref="K65">_xlfn.XLOOKUP(MIN(ABS($AY$7:$AY$27 - MEDIAN(MIN($AY$7:$AY$27), MAX($AY$7:$AY$27), K36))), ABS($AY$7:$AY$27 - MEDIAN(MIN($AY$7:$AY$27), MAX($AY$7:$AY$27), K36)), $AZ$7:$AZ$27, "Not Found", 0)</f>
        <v/>
      </c>
      <c r="L65" s="30">
        <f t="array" ref="L65">_xlfn.XLOOKUP(MIN(ABS($AY$7:$AY$27 - MEDIAN(MIN($AY$7:$AY$27), MAX($AY$7:$AY$27), L36))), ABS($AY$7:$AY$27 - MEDIAN(MIN($AY$7:$AY$27), MAX($AY$7:$AY$27), L36)), $AZ$7:$AZ$27, "Not Found", 0)</f>
        <v/>
      </c>
      <c r="M65" s="30">
        <f t="array" ref="M65">_xlfn.XLOOKUP(MIN(ABS($AY$7:$AY$27 - MEDIAN(MIN($AY$7:$AY$27), MAX($AY$7:$AY$27), M36))), ABS($AY$7:$AY$27 - MEDIAN(MIN($AY$7:$AY$27), MAX($AY$7:$AY$27), M36)), $AZ$7:$AZ$27, "Not Found", 0)</f>
        <v/>
      </c>
      <c r="N65" s="30">
        <f t="array" ref="N65">_xlfn.XLOOKUP(MIN(ABS($AY$7:$AY$27 - MEDIAN(MIN($AY$7:$AY$27), MAX($AY$7:$AY$27), N36))), ABS($AY$7:$AY$27 - MEDIAN(MIN($AY$7:$AY$27), MAX($AY$7:$AY$27), N36)), $AZ$7:$AZ$27, "Not Found", 0)</f>
        <v/>
      </c>
      <c r="O65" s="30">
        <f t="array" ref="O65">_xlfn.XLOOKUP(MIN(ABS($AY$7:$AY$27 - MEDIAN(MIN($AY$7:$AY$27), MAX($AY$7:$AY$27), O36))), ABS($AY$7:$AY$27 - MEDIAN(MIN($AY$7:$AY$27), MAX($AY$7:$AY$27), O36)), $AZ$7:$AZ$27, "Not Found", 0)</f>
        <v/>
      </c>
      <c r="P65" s="30">
        <f t="array" ref="P65">_xlfn.XLOOKUP(MIN(ABS($AY$7:$AY$27 - MEDIAN(MIN($AY$7:$AY$27), MAX($AY$7:$AY$27), P36))), ABS($AY$7:$AY$27 - MEDIAN(MIN($AY$7:$AY$27), MAX($AY$7:$AY$27), P36)), $AZ$7:$AZ$27, "Not Found", 0)</f>
        <v/>
      </c>
      <c r="Q65" s="30">
        <f t="array" ref="Q65">_xlfn.XLOOKUP(MIN(ABS($AY$7:$AY$27 - MEDIAN(MIN($AY$7:$AY$27), MAX($AY$7:$AY$27), Q36))), ABS($AY$7:$AY$27 - MEDIAN(MIN($AY$7:$AY$27), MAX($AY$7:$AY$27), Q36)), $AZ$7:$AZ$27, "Not Found", 0)</f>
        <v/>
      </c>
      <c r="R65" s="30">
        <f t="array" ref="R65">_xlfn.XLOOKUP(MIN(ABS($AY$7:$AY$27 - MEDIAN(MIN($AY$7:$AY$27), MAX($AY$7:$AY$27), R36))), ABS($AY$7:$AY$27 - MEDIAN(MIN($AY$7:$AY$27), MAX($AY$7:$AY$27), R36)), $AZ$7:$AZ$27, "Not Found", 0)</f>
        <v/>
      </c>
      <c r="S65" s="30">
        <f t="array" ref="S65">_xlfn.XLOOKUP(MIN(ABS($AY$7:$AY$27 - MEDIAN(MIN($AY$7:$AY$27), MAX($AY$7:$AY$27), S36))), ABS($AY$7:$AY$27 - MEDIAN(MIN($AY$7:$AY$27), MAX($AY$7:$AY$27), S36)), $AZ$7:$AZ$27, "Not Found", 0)</f>
        <v/>
      </c>
      <c r="T65" s="30">
        <f t="array" ref="T65">_xlfn.XLOOKUP(MIN(ABS($AY$7:$AY$27 - MEDIAN(MIN($AY$7:$AY$27), MAX($AY$7:$AY$27), T36))), ABS($AY$7:$AY$27 - MEDIAN(MIN($AY$7:$AY$27), MAX($AY$7:$AY$27), T36)), $AZ$7:$AZ$27, "Not Found", 0)</f>
        <v/>
      </c>
      <c r="U65" s="30">
        <f t="array" ref="U65">_xlfn.XLOOKUP(MIN(ABS($AY$7:$AY$27 - MEDIAN(MIN($AY$7:$AY$27), MAX($AY$7:$AY$27), U36))), ABS($AY$7:$AY$27 - MEDIAN(MIN($AY$7:$AY$27), MAX($AY$7:$AY$27), U36)), $AZ$7:$AZ$27, "Not Found", 0)</f>
        <v/>
      </c>
      <c r="V65" s="30">
        <f t="array" ref="V65">_xlfn.XLOOKUP(MIN(ABS($AY$7:$AY$27 - MEDIAN(MIN($AY$7:$AY$27), MAX($AY$7:$AY$27), V36))), ABS($AY$7:$AY$27 - MEDIAN(MIN($AY$7:$AY$27), MAX($AY$7:$AY$27), V36)), $AZ$7:$AZ$27, "Not Found", 0)</f>
        <v/>
      </c>
      <c r="W65" s="30">
        <f t="array" ref="W65">_xlfn.XLOOKUP(MIN(ABS($AY$7:$AY$27 - MEDIAN(MIN($AY$7:$AY$27), MAX($AY$7:$AY$27), W36))), ABS($AY$7:$AY$27 - MEDIAN(MIN($AY$7:$AY$27), MAX($AY$7:$AY$27), W36)), $AZ$7:$AZ$27, "Not Found", 0)</f>
        <v/>
      </c>
      <c r="X65" s="30">
        <f t="array" ref="X65">_xlfn.XLOOKUP(MIN(ABS($AY$7:$AY$27 - MEDIAN(MIN($AY$7:$AY$27), MAX($AY$7:$AY$27), X36))), ABS($AY$7:$AY$27 - MEDIAN(MIN($AY$7:$AY$27), MAX($AY$7:$AY$27), X36)), $AZ$7:$AZ$27, "Not Found", 0)</f>
        <v/>
      </c>
      <c r="Y65" s="30">
        <f t="array" ref="Y65">_xlfn.XLOOKUP(MIN(ABS($AY$7:$AY$27 - MEDIAN(MIN($AY$7:$AY$27), MAX($AY$7:$AY$27), Y36))), ABS($AY$7:$AY$27 - MEDIAN(MIN($AY$7:$AY$27), MAX($AY$7:$AY$27), Y36)), $AZ$7:$AZ$27, "Not Found", 0)</f>
        <v/>
      </c>
      <c r="Z65" s="30">
        <f t="array" ref="Z65">_xlfn.XLOOKUP(MIN(ABS($AY$7:$AY$27 - MEDIAN(MIN($AY$7:$AY$27), MAX($AY$7:$AY$27), Z36))), ABS($AY$7:$AY$27 - MEDIAN(MIN($AY$7:$AY$27), MAX($AY$7:$AY$27), Z36)), $AZ$7:$AZ$27, "Not Found", 0)</f>
        <v/>
      </c>
      <c r="AA65" s="30">
        <f t="array" ref="AA65">_xlfn.XLOOKUP(MIN(ABS($AY$7:$AY$27 - MEDIAN(MIN($AY$7:$AY$27), MAX($AY$7:$AY$27), AA36))), ABS($AY$7:$AY$27 - MEDIAN(MIN($AY$7:$AY$27), MAX($AY$7:$AY$27), AA36)), $AZ$7:$AZ$27, "Not Found", 0)</f>
        <v/>
      </c>
      <c r="AB65" s="30">
        <f t="array" ref="AB65">_xlfn.XLOOKUP(MIN(ABS($AY$7:$AY$27 - MEDIAN(MIN($AY$7:$AY$27), MAX($AY$7:$AY$27), AB36))), ABS($AY$7:$AY$27 - MEDIAN(MIN($AY$7:$AY$27), MAX($AY$7:$AY$27), AB36)), $AZ$7:$AZ$27, "Not Found", 0)</f>
        <v/>
      </c>
      <c r="AC65" s="30">
        <f t="array" ref="AC65">_xlfn.XLOOKUP(MIN(ABS($AY$7:$AY$27 - MEDIAN(MIN($AY$7:$AY$27), MAX($AY$7:$AY$27), AC36))), ABS($AY$7:$AY$27 - MEDIAN(MIN($AY$7:$AY$27), MAX($AY$7:$AY$27), AC36)), $AZ$7:$AZ$27, "Not Found", 0)</f>
        <v/>
      </c>
      <c r="AD65" s="30">
        <f t="array" ref="AD65">_xlfn.XLOOKUP(MIN(ABS($AY$7:$AY$27 - MEDIAN(MIN($AY$7:$AY$27), MAX($AY$7:$AY$27), AD36))), ABS($AY$7:$AY$27 - MEDIAN(MIN($AY$7:$AY$27), MAX($AY$7:$AY$27), AD36)), $AZ$7:$AZ$27, "Not Found", 0)</f>
        <v/>
      </c>
      <c r="AE65" s="30">
        <f t="array" ref="AE65">_xlfn.XLOOKUP(MIN(ABS($AY$7:$AY$27 - MEDIAN(MIN($AY$7:$AY$27), MAX($AY$7:$AY$27), AE36))), ABS($AY$7:$AY$27 - MEDIAN(MIN($AY$7:$AY$27), MAX($AY$7:$AY$27), AE36)), $AZ$7:$AZ$27, "Not Found", 0)</f>
        <v/>
      </c>
      <c r="AF65" s="30">
        <f t="array" ref="AF65">_xlfn.XLOOKUP(MIN(ABS($AY$7:$AY$27 - MEDIAN(MIN($AY$7:$AY$27), MAX($AY$7:$AY$27), AF36))), ABS($AY$7:$AY$27 - MEDIAN(MIN($AY$7:$AY$27), MAX($AY$7:$AY$27), AF36)), $AZ$7:$AZ$27, "Not Found", 0)</f>
        <v/>
      </c>
      <c r="AG65" s="30">
        <f t="array" ref="AG65">_xlfn.XLOOKUP(MIN(ABS($AY$7:$AY$27 - MEDIAN(MIN($AY$7:$AY$27), MAX($AY$7:$AY$27), AG36))), ABS($AY$7:$AY$27 - MEDIAN(MIN($AY$7:$AY$27), MAX($AY$7:$AY$27), AG36)), $AZ$7:$AZ$27, "Not Found", 0)</f>
        <v/>
      </c>
      <c r="AH65" s="30">
        <f t="array" ref="AH65">_xlfn.XLOOKUP(MIN(ABS($AY$7:$AY$27 - MEDIAN(MIN($AY$7:$AY$27), MAX($AY$7:$AY$27), AH36))), ABS($AY$7:$AY$27 - MEDIAN(MIN($AY$7:$AY$27), MAX($AY$7:$AY$27), AH36)), $AZ$7:$AZ$27, "Not Found", 0)</f>
        <v/>
      </c>
      <c r="AI65" s="30">
        <f t="array" ref="AI65">_xlfn.XLOOKUP(MIN(ABS($AY$7:$AY$27 - MEDIAN(MIN($AY$7:$AY$27), MAX($AY$7:$AY$27), AI36))), ABS($AY$7:$AY$27 - MEDIAN(MIN($AY$7:$AY$27), MAX($AY$7:$AY$27), AI36)), $AZ$7:$AZ$27, "Not Found", 0)</f>
        <v/>
      </c>
      <c r="AJ65" s="30">
        <f t="array" ref="AJ65">_xlfn.XLOOKUP(MIN(ABS($AY$7:$AY$27 - MEDIAN(MIN($AY$7:$AY$27), MAX($AY$7:$AY$27), AJ36))), ABS($AY$7:$AY$27 - MEDIAN(MIN($AY$7:$AY$27), MAX($AY$7:$AY$27), AJ36)), $AZ$7:$AZ$27, "Not Found", 0)</f>
        <v/>
      </c>
      <c r="AK65" s="30">
        <f t="array" ref="AK65">_xlfn.XLOOKUP(MIN(ABS($AY$7:$AY$27 - MEDIAN(MIN($AY$7:$AY$27), MAX($AY$7:$AY$27), AK36))), ABS($AY$7:$AY$27 - MEDIAN(MIN($AY$7:$AY$27), MAX($AY$7:$AY$27), AK36)), $AZ$7:$AZ$27, "Not Found", 0)</f>
        <v/>
      </c>
      <c r="AL65" s="30">
        <f t="array" ref="AL65">_xlfn.XLOOKUP(MIN(ABS($AY$7:$AY$27 - MEDIAN(MIN($AY$7:$AY$27), MAX($AY$7:$AY$27), AL36))), ABS($AY$7:$AY$27 - MEDIAN(MIN($AY$7:$AY$27), MAX($AY$7:$AY$27), AL36)), $AZ$7:$AZ$27, "Not Found", 0)</f>
        <v/>
      </c>
      <c r="AM65" s="30">
        <f t="array" ref="AM65">_xlfn.XLOOKUP(MIN(ABS($AY$7:$AY$27 - MEDIAN(MIN($AY$7:$AY$27), MAX($AY$7:$AY$27), AM36))), ABS($AY$7:$AY$27 - MEDIAN(MIN($AY$7:$AY$27), MAX($AY$7:$AY$27), AM36)), $AZ$7:$AZ$27, "Not Found", 0)</f>
        <v/>
      </c>
      <c r="AN65" s="30">
        <f t="array" ref="AN65">_xlfn.XLOOKUP(MIN(ABS($AY$7:$AY$27 - MEDIAN(MIN($AY$7:$AY$27), MAX($AY$7:$AY$27), AN36))), ABS($AY$7:$AY$27 - MEDIAN(MIN($AY$7:$AY$27), MAX($AY$7:$AY$27), AN36)), $AZ$7:$AZ$27, "Not Found", 0)</f>
        <v/>
      </c>
      <c r="AO65" s="30">
        <f t="array" ref="AO65">_xlfn.XLOOKUP(MIN(ABS($AY$7:$AY$27 - MEDIAN(MIN($AY$7:$AY$27), MAX($AY$7:$AY$27), AO36))), ABS($AY$7:$AY$27 - MEDIAN(MIN($AY$7:$AY$27), MAX($AY$7:$AY$27), AO36)), $AZ$7:$AZ$27, "Not Found", 0)</f>
        <v/>
      </c>
      <c r="AP65" s="30">
        <f t="array" ref="AP65">_xlfn.XLOOKUP(MIN(ABS($AY$7:$AY$27 - MEDIAN(MIN($AY$7:$AY$27), MAX($AY$7:$AY$27), AP36))), ABS($AY$7:$AY$27 - MEDIAN(MIN($AY$7:$AY$27), MAX($AY$7:$AY$27), AP36)), $AZ$7:$AZ$27, "Not Found", 0)</f>
        <v/>
      </c>
      <c r="AQ65" s="30">
        <f t="array" ref="AQ65">_xlfn.XLOOKUP(MIN(ABS($AY$7:$AY$27 - MEDIAN(MIN($AY$7:$AY$27), MAX($AY$7:$AY$27), AQ36))), ABS($AY$7:$AY$27 - MEDIAN(MIN($AY$7:$AY$27), MAX($AY$7:$AY$27), AQ36)), $AZ$7:$AZ$27, "Not Found", 0)</f>
        <v/>
      </c>
      <c r="AR65" s="30">
        <f t="array" ref="AR65">_xlfn.XLOOKUP(MIN(ABS($AY$7:$AY$27 - MEDIAN(MIN($AY$7:$AY$27), MAX($AY$7:$AY$27), AR36))), ABS($AY$7:$AY$27 - MEDIAN(MIN($AY$7:$AY$27), MAX($AY$7:$AY$27), AR36)), $AZ$7:$AZ$27, "Not Found", 0)</f>
        <v/>
      </c>
      <c r="AS65" s="30">
        <f t="array" ref="AS65">_xlfn.XLOOKUP(MIN(ABS($AY$7:$AY$27 - MEDIAN(MIN($AY$7:$AY$27), MAX($AY$7:$AY$27), AS36))), ABS($AY$7:$AY$27 - MEDIAN(MIN($AY$7:$AY$27), MAX($AY$7:$AY$27), AS36)), $AZ$7:$AZ$27, "Not Found", 0)</f>
        <v/>
      </c>
      <c r="AT65" s="30">
        <f t="array" ref="AT65">_xlfn.XLOOKUP(MIN(ABS($AY$7:$AY$27 - MEDIAN(MIN($AY$7:$AY$27), MAX($AY$7:$AY$27), AT36))), ABS($AY$7:$AY$27 - MEDIAN(MIN($AY$7:$AY$27), MAX($AY$7:$AY$27), AT36)), $AZ$7:$AZ$27, "Not Found", 0)</f>
        <v/>
      </c>
      <c r="AU65" s="30">
        <f t="array" ref="AU65">_xlfn.XLOOKUP(MIN(ABS($AY$7:$AY$27 - MEDIAN(MIN($AY$7:$AY$27), MAX($AY$7:$AY$27), AU36))), ABS($AY$7:$AY$27 - MEDIAN(MIN($AY$7:$AY$27), MAX($AY$7:$AY$27), AU36)), $AZ$7:$AZ$27, "Not Found", 0)</f>
        <v/>
      </c>
      <c r="AV65" s="30">
        <f t="array" ref="AV65">_xlfn.XLOOKUP(MIN(ABS($AY$7:$AY$27 - MEDIAN(MIN($AY$7:$AY$27), MAX($AY$7:$AY$27), AV36))), ABS($AY$7:$AY$27 - MEDIAN(MIN($AY$7:$AY$27), MAX($AY$7:$AY$27), AV36)), $AZ$7:$AZ$27, "Not Found", 0)</f>
        <v/>
      </c>
      <c r="AW65" s="30">
        <f t="array" ref="AW65">_xlfn.XLOOKUP(MIN(ABS($AY$7:$AY$27 - MEDIAN(MIN($AY$7:$AY$27), MAX($AY$7:$AY$27), AW36))), ABS($AY$7:$AY$27 - MEDIAN(MIN($AY$7:$AY$27), MAX($AY$7:$AY$27), AW36)), $AZ$7:$AZ$27, "Not Found", 0)</f>
        <v/>
      </c>
    </row>
    <row r="66" ht="25" customHeight="1">
      <c r="A66" s="51" t="inlineStr">
        <is>
          <t>CAD JPY</t>
        </is>
      </c>
      <c r="B66" s="30">
        <f t="array" ref="B66">_xlfn.XLOOKUP(MIN(ABS($AY$7:$AY$27 - MEDIAN(MIN($AY$7:$AY$27), MAX($AY$7:$AY$27), B37))), ABS($AY$7:$AY$27 - MEDIAN(MIN($AY$7:$AY$27), MAX($AY$7:$AY$27), B37)), $AZ$7:$AZ$27, "Not Found", 0)</f>
        <v/>
      </c>
      <c r="C66" s="30">
        <f t="array" ref="C66">_xlfn.XLOOKUP(MIN(ABS($AY$7:$AY$27 - MEDIAN(MIN($AY$7:$AY$27), MAX($AY$7:$AY$27), C37))), ABS($AY$7:$AY$27 - MEDIAN(MIN($AY$7:$AY$27), MAX($AY$7:$AY$27), C37)), $AZ$7:$AZ$27, "Not Found", 0)</f>
        <v/>
      </c>
      <c r="D66" s="30">
        <f t="array" ref="D66">_xlfn.XLOOKUP(MIN(ABS($AY$7:$AY$27 - MEDIAN(MIN($AY$7:$AY$27), MAX($AY$7:$AY$27), D37))), ABS($AY$7:$AY$27 - MEDIAN(MIN($AY$7:$AY$27), MAX($AY$7:$AY$27), D37)), $AZ$7:$AZ$27, "Not Found", 0)</f>
        <v/>
      </c>
      <c r="E66" s="30">
        <f t="array" ref="E66">_xlfn.XLOOKUP(MIN(ABS($AY$7:$AY$27 - MEDIAN(MIN($AY$7:$AY$27), MAX($AY$7:$AY$27), E37))), ABS($AY$7:$AY$27 - MEDIAN(MIN($AY$7:$AY$27), MAX($AY$7:$AY$27), E37)), $AZ$7:$AZ$27, "Not Found", 0)</f>
        <v/>
      </c>
      <c r="F66" s="30">
        <f t="array" ref="F66">_xlfn.XLOOKUP(MIN(ABS($AY$7:$AY$27 - MEDIAN(MIN($AY$7:$AY$27), MAX($AY$7:$AY$27), F37))), ABS($AY$7:$AY$27 - MEDIAN(MIN($AY$7:$AY$27), MAX($AY$7:$AY$27), F37)), $AZ$7:$AZ$27, "Not Found", 0)</f>
        <v/>
      </c>
      <c r="G66" s="30">
        <f t="array" ref="G66">_xlfn.XLOOKUP(MIN(ABS($AY$7:$AY$27 - MEDIAN(MIN($AY$7:$AY$27), MAX($AY$7:$AY$27), G37))), ABS($AY$7:$AY$27 - MEDIAN(MIN($AY$7:$AY$27), MAX($AY$7:$AY$27), G37)), $AZ$7:$AZ$27, "Not Found", 0)</f>
        <v/>
      </c>
      <c r="H66" s="30">
        <f t="array" ref="H66">_xlfn.XLOOKUP(MIN(ABS($AY$7:$AY$27 - MEDIAN(MIN($AY$7:$AY$27), MAX($AY$7:$AY$27), H37))), ABS($AY$7:$AY$27 - MEDIAN(MIN($AY$7:$AY$27), MAX($AY$7:$AY$27), H37)), $AZ$7:$AZ$27, "Not Found", 0)</f>
        <v/>
      </c>
      <c r="I66" s="30">
        <f t="array" ref="I66">_xlfn.XLOOKUP(MIN(ABS($AY$7:$AY$27 - MEDIAN(MIN($AY$7:$AY$27), MAX($AY$7:$AY$27), I37))), ABS($AY$7:$AY$27 - MEDIAN(MIN($AY$7:$AY$27), MAX($AY$7:$AY$27), I37)), $AZ$7:$AZ$27, "Not Found", 0)</f>
        <v/>
      </c>
      <c r="J66" s="30">
        <f t="array" ref="J66">_xlfn.XLOOKUP(MIN(ABS($AY$7:$AY$27 - MEDIAN(MIN($AY$7:$AY$27), MAX($AY$7:$AY$27), J37))), ABS($AY$7:$AY$27 - MEDIAN(MIN($AY$7:$AY$27), MAX($AY$7:$AY$27), J37)), $AZ$7:$AZ$27, "Not Found", 0)</f>
        <v/>
      </c>
      <c r="K66" s="30">
        <f t="array" ref="K66">_xlfn.XLOOKUP(MIN(ABS($AY$7:$AY$27 - MEDIAN(MIN($AY$7:$AY$27), MAX($AY$7:$AY$27), K37))), ABS($AY$7:$AY$27 - MEDIAN(MIN($AY$7:$AY$27), MAX($AY$7:$AY$27), K37)), $AZ$7:$AZ$27, "Not Found", 0)</f>
        <v/>
      </c>
      <c r="L66" s="30">
        <f t="array" ref="L66">_xlfn.XLOOKUP(MIN(ABS($AY$7:$AY$27 - MEDIAN(MIN($AY$7:$AY$27), MAX($AY$7:$AY$27), L37))), ABS($AY$7:$AY$27 - MEDIAN(MIN($AY$7:$AY$27), MAX($AY$7:$AY$27), L37)), $AZ$7:$AZ$27, "Not Found", 0)</f>
        <v/>
      </c>
      <c r="M66" s="30">
        <f t="array" ref="M66">_xlfn.XLOOKUP(MIN(ABS($AY$7:$AY$27 - MEDIAN(MIN($AY$7:$AY$27), MAX($AY$7:$AY$27), M37))), ABS($AY$7:$AY$27 - MEDIAN(MIN($AY$7:$AY$27), MAX($AY$7:$AY$27), M37)), $AZ$7:$AZ$27, "Not Found", 0)</f>
        <v/>
      </c>
      <c r="N66" s="30">
        <f t="array" ref="N66">_xlfn.XLOOKUP(MIN(ABS($AY$7:$AY$27 - MEDIAN(MIN($AY$7:$AY$27), MAX($AY$7:$AY$27), N37))), ABS($AY$7:$AY$27 - MEDIAN(MIN($AY$7:$AY$27), MAX($AY$7:$AY$27), N37)), $AZ$7:$AZ$27, "Not Found", 0)</f>
        <v/>
      </c>
      <c r="O66" s="30">
        <f t="array" ref="O66">_xlfn.XLOOKUP(MIN(ABS($AY$7:$AY$27 - MEDIAN(MIN($AY$7:$AY$27), MAX($AY$7:$AY$27), O37))), ABS($AY$7:$AY$27 - MEDIAN(MIN($AY$7:$AY$27), MAX($AY$7:$AY$27), O37)), $AZ$7:$AZ$27, "Not Found", 0)</f>
        <v/>
      </c>
      <c r="P66" s="30">
        <f t="array" ref="P66">_xlfn.XLOOKUP(MIN(ABS($AY$7:$AY$27 - MEDIAN(MIN($AY$7:$AY$27), MAX($AY$7:$AY$27), P37))), ABS($AY$7:$AY$27 - MEDIAN(MIN($AY$7:$AY$27), MAX($AY$7:$AY$27), P37)), $AZ$7:$AZ$27, "Not Found", 0)</f>
        <v/>
      </c>
      <c r="Q66" s="30">
        <f t="array" ref="Q66">_xlfn.XLOOKUP(MIN(ABS($AY$7:$AY$27 - MEDIAN(MIN($AY$7:$AY$27), MAX($AY$7:$AY$27), Q37))), ABS($AY$7:$AY$27 - MEDIAN(MIN($AY$7:$AY$27), MAX($AY$7:$AY$27), Q37)), $AZ$7:$AZ$27, "Not Found", 0)</f>
        <v/>
      </c>
      <c r="R66" s="30">
        <f t="array" ref="R66">_xlfn.XLOOKUP(MIN(ABS($AY$7:$AY$27 - MEDIAN(MIN($AY$7:$AY$27), MAX($AY$7:$AY$27), R37))), ABS($AY$7:$AY$27 - MEDIAN(MIN($AY$7:$AY$27), MAX($AY$7:$AY$27), R37)), $AZ$7:$AZ$27, "Not Found", 0)</f>
        <v/>
      </c>
      <c r="S66" s="30">
        <f t="array" ref="S66">_xlfn.XLOOKUP(MIN(ABS($AY$7:$AY$27 - MEDIAN(MIN($AY$7:$AY$27), MAX($AY$7:$AY$27), S37))), ABS($AY$7:$AY$27 - MEDIAN(MIN($AY$7:$AY$27), MAX($AY$7:$AY$27), S37)), $AZ$7:$AZ$27, "Not Found", 0)</f>
        <v/>
      </c>
      <c r="T66" s="30">
        <f t="array" ref="T66">_xlfn.XLOOKUP(MIN(ABS($AY$7:$AY$27 - MEDIAN(MIN($AY$7:$AY$27), MAX($AY$7:$AY$27), T37))), ABS($AY$7:$AY$27 - MEDIAN(MIN($AY$7:$AY$27), MAX($AY$7:$AY$27), T37)), $AZ$7:$AZ$27, "Not Found", 0)</f>
        <v/>
      </c>
      <c r="U66" s="30">
        <f t="array" ref="U66">_xlfn.XLOOKUP(MIN(ABS($AY$7:$AY$27 - MEDIAN(MIN($AY$7:$AY$27), MAX($AY$7:$AY$27), U37))), ABS($AY$7:$AY$27 - MEDIAN(MIN($AY$7:$AY$27), MAX($AY$7:$AY$27), U37)), $AZ$7:$AZ$27, "Not Found", 0)</f>
        <v/>
      </c>
      <c r="V66" s="30">
        <f t="array" ref="V66">_xlfn.XLOOKUP(MIN(ABS($AY$7:$AY$27 - MEDIAN(MIN($AY$7:$AY$27), MAX($AY$7:$AY$27), V37))), ABS($AY$7:$AY$27 - MEDIAN(MIN($AY$7:$AY$27), MAX($AY$7:$AY$27), V37)), $AZ$7:$AZ$27, "Not Found", 0)</f>
        <v/>
      </c>
      <c r="W66" s="30">
        <f t="array" ref="W66">_xlfn.XLOOKUP(MIN(ABS($AY$7:$AY$27 - MEDIAN(MIN($AY$7:$AY$27), MAX($AY$7:$AY$27), W37))), ABS($AY$7:$AY$27 - MEDIAN(MIN($AY$7:$AY$27), MAX($AY$7:$AY$27), W37)), $AZ$7:$AZ$27, "Not Found", 0)</f>
        <v/>
      </c>
      <c r="X66" s="30">
        <f t="array" ref="X66">_xlfn.XLOOKUP(MIN(ABS($AY$7:$AY$27 - MEDIAN(MIN($AY$7:$AY$27), MAX($AY$7:$AY$27), X37))), ABS($AY$7:$AY$27 - MEDIAN(MIN($AY$7:$AY$27), MAX($AY$7:$AY$27), X37)), $AZ$7:$AZ$27, "Not Found", 0)</f>
        <v/>
      </c>
      <c r="Y66" s="30">
        <f t="array" ref="Y66">_xlfn.XLOOKUP(MIN(ABS($AY$7:$AY$27 - MEDIAN(MIN($AY$7:$AY$27), MAX($AY$7:$AY$27), Y37))), ABS($AY$7:$AY$27 - MEDIAN(MIN($AY$7:$AY$27), MAX($AY$7:$AY$27), Y37)), $AZ$7:$AZ$27, "Not Found", 0)</f>
        <v/>
      </c>
      <c r="Z66" s="30">
        <f t="array" ref="Z66">_xlfn.XLOOKUP(MIN(ABS($AY$7:$AY$27 - MEDIAN(MIN($AY$7:$AY$27), MAX($AY$7:$AY$27), Z37))), ABS($AY$7:$AY$27 - MEDIAN(MIN($AY$7:$AY$27), MAX($AY$7:$AY$27), Z37)), $AZ$7:$AZ$27, "Not Found", 0)</f>
        <v/>
      </c>
      <c r="AA66" s="30">
        <f t="array" ref="AA66">_xlfn.XLOOKUP(MIN(ABS($AY$7:$AY$27 - MEDIAN(MIN($AY$7:$AY$27), MAX($AY$7:$AY$27), AA37))), ABS($AY$7:$AY$27 - MEDIAN(MIN($AY$7:$AY$27), MAX($AY$7:$AY$27), AA37)), $AZ$7:$AZ$27, "Not Found", 0)</f>
        <v/>
      </c>
      <c r="AB66" s="30">
        <f t="array" ref="AB66">_xlfn.XLOOKUP(MIN(ABS($AY$7:$AY$27 - MEDIAN(MIN($AY$7:$AY$27), MAX($AY$7:$AY$27), AB37))), ABS($AY$7:$AY$27 - MEDIAN(MIN($AY$7:$AY$27), MAX($AY$7:$AY$27), AB37)), $AZ$7:$AZ$27, "Not Found", 0)</f>
        <v/>
      </c>
      <c r="AC66" s="30">
        <f t="array" ref="AC66">_xlfn.XLOOKUP(MIN(ABS($AY$7:$AY$27 - MEDIAN(MIN($AY$7:$AY$27), MAX($AY$7:$AY$27), AC37))), ABS($AY$7:$AY$27 - MEDIAN(MIN($AY$7:$AY$27), MAX($AY$7:$AY$27), AC37)), $AZ$7:$AZ$27, "Not Found", 0)</f>
        <v/>
      </c>
      <c r="AD66" s="30">
        <f t="array" ref="AD66">_xlfn.XLOOKUP(MIN(ABS($AY$7:$AY$27 - MEDIAN(MIN($AY$7:$AY$27), MAX($AY$7:$AY$27), AD37))), ABS($AY$7:$AY$27 - MEDIAN(MIN($AY$7:$AY$27), MAX($AY$7:$AY$27), AD37)), $AZ$7:$AZ$27, "Not Found", 0)</f>
        <v/>
      </c>
      <c r="AE66" s="30">
        <f t="array" ref="AE66">_xlfn.XLOOKUP(MIN(ABS($AY$7:$AY$27 - MEDIAN(MIN($AY$7:$AY$27), MAX($AY$7:$AY$27), AE37))), ABS($AY$7:$AY$27 - MEDIAN(MIN($AY$7:$AY$27), MAX($AY$7:$AY$27), AE37)), $AZ$7:$AZ$27, "Not Found", 0)</f>
        <v/>
      </c>
      <c r="AF66" s="30">
        <f t="array" ref="AF66">_xlfn.XLOOKUP(MIN(ABS($AY$7:$AY$27 - MEDIAN(MIN($AY$7:$AY$27), MAX($AY$7:$AY$27), AF37))), ABS($AY$7:$AY$27 - MEDIAN(MIN($AY$7:$AY$27), MAX($AY$7:$AY$27), AF37)), $AZ$7:$AZ$27, "Not Found", 0)</f>
        <v/>
      </c>
      <c r="AG66" s="30">
        <f t="array" ref="AG66">_xlfn.XLOOKUP(MIN(ABS($AY$7:$AY$27 - MEDIAN(MIN($AY$7:$AY$27), MAX($AY$7:$AY$27), AG37))), ABS($AY$7:$AY$27 - MEDIAN(MIN($AY$7:$AY$27), MAX($AY$7:$AY$27), AG37)), $AZ$7:$AZ$27, "Not Found", 0)</f>
        <v/>
      </c>
      <c r="AH66" s="30">
        <f t="array" ref="AH66">_xlfn.XLOOKUP(MIN(ABS($AY$7:$AY$27 - MEDIAN(MIN($AY$7:$AY$27), MAX($AY$7:$AY$27), AH37))), ABS($AY$7:$AY$27 - MEDIAN(MIN($AY$7:$AY$27), MAX($AY$7:$AY$27), AH37)), $AZ$7:$AZ$27, "Not Found", 0)</f>
        <v/>
      </c>
      <c r="AI66" s="30">
        <f t="array" ref="AI66">_xlfn.XLOOKUP(MIN(ABS($AY$7:$AY$27 - MEDIAN(MIN($AY$7:$AY$27), MAX($AY$7:$AY$27), AI37))), ABS($AY$7:$AY$27 - MEDIAN(MIN($AY$7:$AY$27), MAX($AY$7:$AY$27), AI37)), $AZ$7:$AZ$27, "Not Found", 0)</f>
        <v/>
      </c>
      <c r="AJ66" s="30">
        <f t="array" ref="AJ66">_xlfn.XLOOKUP(MIN(ABS($AY$7:$AY$27 - MEDIAN(MIN($AY$7:$AY$27), MAX($AY$7:$AY$27), AJ37))), ABS($AY$7:$AY$27 - MEDIAN(MIN($AY$7:$AY$27), MAX($AY$7:$AY$27), AJ37)), $AZ$7:$AZ$27, "Not Found", 0)</f>
        <v/>
      </c>
      <c r="AK66" s="30">
        <f t="array" ref="AK66">_xlfn.XLOOKUP(MIN(ABS($AY$7:$AY$27 - MEDIAN(MIN($AY$7:$AY$27), MAX($AY$7:$AY$27), AK37))), ABS($AY$7:$AY$27 - MEDIAN(MIN($AY$7:$AY$27), MAX($AY$7:$AY$27), AK37)), $AZ$7:$AZ$27, "Not Found", 0)</f>
        <v/>
      </c>
      <c r="AL66" s="30">
        <f t="array" ref="AL66">_xlfn.XLOOKUP(MIN(ABS($AY$7:$AY$27 - MEDIAN(MIN($AY$7:$AY$27), MAX($AY$7:$AY$27), AL37))), ABS($AY$7:$AY$27 - MEDIAN(MIN($AY$7:$AY$27), MAX($AY$7:$AY$27), AL37)), $AZ$7:$AZ$27, "Not Found", 0)</f>
        <v/>
      </c>
      <c r="AM66" s="30">
        <f t="array" ref="AM66">_xlfn.XLOOKUP(MIN(ABS($AY$7:$AY$27 - MEDIAN(MIN($AY$7:$AY$27), MAX($AY$7:$AY$27), AM37))), ABS($AY$7:$AY$27 - MEDIAN(MIN($AY$7:$AY$27), MAX($AY$7:$AY$27), AM37)), $AZ$7:$AZ$27, "Not Found", 0)</f>
        <v/>
      </c>
      <c r="AN66" s="30">
        <f t="array" ref="AN66">_xlfn.XLOOKUP(MIN(ABS($AY$7:$AY$27 - MEDIAN(MIN($AY$7:$AY$27), MAX($AY$7:$AY$27), AN37))), ABS($AY$7:$AY$27 - MEDIAN(MIN($AY$7:$AY$27), MAX($AY$7:$AY$27), AN37)), $AZ$7:$AZ$27, "Not Found", 0)</f>
        <v/>
      </c>
      <c r="AO66" s="30">
        <f t="array" ref="AO66">_xlfn.XLOOKUP(MIN(ABS($AY$7:$AY$27 - MEDIAN(MIN($AY$7:$AY$27), MAX($AY$7:$AY$27), AO37))), ABS($AY$7:$AY$27 - MEDIAN(MIN($AY$7:$AY$27), MAX($AY$7:$AY$27), AO37)), $AZ$7:$AZ$27, "Not Found", 0)</f>
        <v/>
      </c>
      <c r="AP66" s="30">
        <f t="array" ref="AP66">_xlfn.XLOOKUP(MIN(ABS($AY$7:$AY$27 - MEDIAN(MIN($AY$7:$AY$27), MAX($AY$7:$AY$27), AP37))), ABS($AY$7:$AY$27 - MEDIAN(MIN($AY$7:$AY$27), MAX($AY$7:$AY$27), AP37)), $AZ$7:$AZ$27, "Not Found", 0)</f>
        <v/>
      </c>
      <c r="AQ66" s="30">
        <f t="array" ref="AQ66">_xlfn.XLOOKUP(MIN(ABS($AY$7:$AY$27 - MEDIAN(MIN($AY$7:$AY$27), MAX($AY$7:$AY$27), AQ37))), ABS($AY$7:$AY$27 - MEDIAN(MIN($AY$7:$AY$27), MAX($AY$7:$AY$27), AQ37)), $AZ$7:$AZ$27, "Not Found", 0)</f>
        <v/>
      </c>
      <c r="AR66" s="30">
        <f t="array" ref="AR66">_xlfn.XLOOKUP(MIN(ABS($AY$7:$AY$27 - MEDIAN(MIN($AY$7:$AY$27), MAX($AY$7:$AY$27), AR37))), ABS($AY$7:$AY$27 - MEDIAN(MIN($AY$7:$AY$27), MAX($AY$7:$AY$27), AR37)), $AZ$7:$AZ$27, "Not Found", 0)</f>
        <v/>
      </c>
      <c r="AS66" s="30">
        <f t="array" ref="AS66">_xlfn.XLOOKUP(MIN(ABS($AY$7:$AY$27 - MEDIAN(MIN($AY$7:$AY$27), MAX($AY$7:$AY$27), AS37))), ABS($AY$7:$AY$27 - MEDIAN(MIN($AY$7:$AY$27), MAX($AY$7:$AY$27), AS37)), $AZ$7:$AZ$27, "Not Found", 0)</f>
        <v/>
      </c>
      <c r="AT66" s="30">
        <f t="array" ref="AT66">_xlfn.XLOOKUP(MIN(ABS($AY$7:$AY$27 - MEDIAN(MIN($AY$7:$AY$27), MAX($AY$7:$AY$27), AT37))), ABS($AY$7:$AY$27 - MEDIAN(MIN($AY$7:$AY$27), MAX($AY$7:$AY$27), AT37)), $AZ$7:$AZ$27, "Not Found", 0)</f>
        <v/>
      </c>
      <c r="AU66" s="30">
        <f t="array" ref="AU66">_xlfn.XLOOKUP(MIN(ABS($AY$7:$AY$27 - MEDIAN(MIN($AY$7:$AY$27), MAX($AY$7:$AY$27), AU37))), ABS($AY$7:$AY$27 - MEDIAN(MIN($AY$7:$AY$27), MAX($AY$7:$AY$27), AU37)), $AZ$7:$AZ$27, "Not Found", 0)</f>
        <v/>
      </c>
      <c r="AV66" s="30">
        <f t="array" ref="AV66">_xlfn.XLOOKUP(MIN(ABS($AY$7:$AY$27 - MEDIAN(MIN($AY$7:$AY$27), MAX($AY$7:$AY$27), AV37))), ABS($AY$7:$AY$27 - MEDIAN(MIN($AY$7:$AY$27), MAX($AY$7:$AY$27), AV37)), $AZ$7:$AZ$27, "Not Found", 0)</f>
        <v/>
      </c>
      <c r="AW66" s="30">
        <f t="array" ref="AW66">_xlfn.XLOOKUP(MIN(ABS($AY$7:$AY$27 - MEDIAN(MIN($AY$7:$AY$27), MAX($AY$7:$AY$27), AW37))), ABS($AY$7:$AY$27 - MEDIAN(MIN($AY$7:$AY$27), MAX($AY$7:$AY$27), AW37)), $AZ$7:$AZ$27, "Not Found", 0)</f>
        <v/>
      </c>
    </row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</sheetData>
  <autoFilter ref="A2:A66"/>
  <hyperlinks>
    <hyperlink xmlns:r="http://schemas.openxmlformats.org/officeDocument/2006/relationships" ref="A2" display="source : IMF" r:id="rId1"/>
    <hyperlink xmlns:r="http://schemas.openxmlformats.org/officeDocument/2006/relationships" ref="A10" r:id="rId2"/>
  </hyperlinks>
  <pageMargins left="1.18" right="0.79" top="0.79" bottom="0.79" header="0" footer="0"/>
  <pageSetup orientation="portrait" paperSize="9" fitToHeight="0" fitToWidth="0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6"/>
  <sheetViews>
    <sheetView zoomScaleNormal="40"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AW10" sqref="AW10"/>
    </sheetView>
  </sheetViews>
  <sheetFormatPr baseColWidth="10" defaultColWidth="12" defaultRowHeight="15" customHeight="1"/>
  <cols>
    <col width="22" customWidth="1" style="12" min="1" max="1"/>
    <col width="12" customWidth="1" style="12" min="2" max="56"/>
    <col width="16.83203125" customWidth="1" style="12" min="57" max="57"/>
    <col width="12" customWidth="1" style="12" min="58" max="16384"/>
  </cols>
  <sheetData>
    <row r="1" ht="15" customFormat="1" customHeight="1" s="13">
      <c r="A1" s="12" t="n"/>
    </row>
    <row r="2" ht="19.5" customFormat="1" customHeight="1" s="13">
      <c r="A2" s="14" t="inlineStr">
        <is>
          <t>CPI %YoY - source : IMF</t>
        </is>
      </c>
      <c r="B2" s="294" t="n">
        <v>44927</v>
      </c>
      <c r="C2" s="294" t="n">
        <v>44958</v>
      </c>
      <c r="D2" s="294" t="n">
        <v>44986</v>
      </c>
      <c r="E2" s="294" t="n">
        <v>45017</v>
      </c>
      <c r="F2" s="294" t="n">
        <v>45047</v>
      </c>
      <c r="G2" s="294" t="n">
        <v>45078</v>
      </c>
      <c r="H2" s="294" t="n">
        <v>45108</v>
      </c>
      <c r="I2" s="294" t="n">
        <v>45139</v>
      </c>
      <c r="J2" s="294" t="n">
        <v>45170</v>
      </c>
      <c r="K2" s="294" t="n">
        <v>45200</v>
      </c>
      <c r="L2" s="294" t="n">
        <v>45231</v>
      </c>
      <c r="M2" s="294" t="n">
        <v>45261</v>
      </c>
      <c r="N2" s="294" t="n">
        <v>45292</v>
      </c>
      <c r="O2" s="294" t="n">
        <v>45323</v>
      </c>
      <c r="P2" s="294" t="n">
        <v>45352</v>
      </c>
      <c r="Q2" s="294" t="n">
        <v>45383</v>
      </c>
      <c r="R2" s="294" t="n">
        <v>45413</v>
      </c>
      <c r="S2" s="294" t="n">
        <v>45444</v>
      </c>
      <c r="T2" s="294" t="n">
        <v>45474</v>
      </c>
      <c r="U2" s="294" t="n">
        <v>45505</v>
      </c>
      <c r="V2" s="294" t="n">
        <v>45536</v>
      </c>
      <c r="W2" s="294" t="n">
        <v>45566</v>
      </c>
      <c r="X2" s="294" t="n">
        <v>45597</v>
      </c>
      <c r="Y2" s="294" t="n">
        <v>45627</v>
      </c>
      <c r="Z2" s="294" t="n">
        <v>45658</v>
      </c>
      <c r="AA2" s="294" t="n">
        <v>45689</v>
      </c>
      <c r="AB2" s="294" t="n">
        <v>45717</v>
      </c>
      <c r="AC2" s="294" t="n">
        <v>45748</v>
      </c>
      <c r="AD2" s="294" t="n">
        <v>45778</v>
      </c>
      <c r="AE2" s="294" t="n">
        <v>45809</v>
      </c>
      <c r="AF2" s="294" t="n">
        <v>45839</v>
      </c>
      <c r="AG2" s="294" t="n">
        <v>45870</v>
      </c>
      <c r="AH2" s="294" t="n">
        <v>45901</v>
      </c>
      <c r="AI2" s="294" t="n">
        <v>45931</v>
      </c>
      <c r="AJ2" s="294" t="n">
        <v>45962</v>
      </c>
      <c r="AK2" s="294" t="n">
        <v>45992</v>
      </c>
      <c r="AL2" s="294" t="n">
        <v>46023</v>
      </c>
      <c r="AM2" s="294" t="n">
        <v>46054</v>
      </c>
      <c r="AN2" s="294" t="n">
        <v>46082</v>
      </c>
      <c r="AO2" s="294" t="n">
        <v>46113</v>
      </c>
      <c r="AP2" s="294" t="n">
        <v>46143</v>
      </c>
      <c r="AQ2" s="294" t="n">
        <v>46174</v>
      </c>
      <c r="AR2" s="294" t="n">
        <v>46204</v>
      </c>
      <c r="AS2" s="294" t="n">
        <v>46235</v>
      </c>
      <c r="AT2" s="294" t="n">
        <v>46266</v>
      </c>
      <c r="AU2" s="294" t="n">
        <v>46296</v>
      </c>
      <c r="AV2" s="294" t="n">
        <v>46327</v>
      </c>
      <c r="AW2" s="294" t="n">
        <v>46357</v>
      </c>
    </row>
    <row r="3" ht="30" customFormat="1" customHeight="1" s="18">
      <c r="A3" s="16" t="inlineStr">
        <is>
          <t>Australia</t>
        </is>
      </c>
      <c r="B3" s="44" t="n">
        <v>7.5</v>
      </c>
      <c r="C3" s="44" t="n">
        <v>6.8</v>
      </c>
      <c r="D3" s="44" t="n">
        <v>6.3</v>
      </c>
      <c r="E3" s="44" t="n">
        <v>6.7</v>
      </c>
      <c r="F3" s="44" t="n">
        <v>5.5</v>
      </c>
      <c r="G3" s="44" t="n">
        <v>5.4</v>
      </c>
      <c r="H3" s="44" t="n">
        <v>4.9</v>
      </c>
      <c r="I3" s="44" t="n">
        <v>5.2</v>
      </c>
      <c r="J3" s="44" t="n">
        <v>5.6</v>
      </c>
      <c r="K3" s="44" t="n">
        <v>4.9</v>
      </c>
      <c r="L3" s="44" t="n">
        <v>4.3</v>
      </c>
      <c r="M3" s="44" t="n">
        <v>3.4</v>
      </c>
      <c r="N3" s="44" t="n">
        <v>3.4</v>
      </c>
      <c r="O3" s="44" t="n">
        <v>3.4</v>
      </c>
      <c r="P3" s="44" t="n">
        <v>3.5</v>
      </c>
      <c r="Q3" s="44" t="n">
        <v>3.6</v>
      </c>
      <c r="R3" s="44" t="n">
        <v>4</v>
      </c>
      <c r="S3" s="44" t="n">
        <v>3.8</v>
      </c>
      <c r="T3" s="44" t="n">
        <v>3.5</v>
      </c>
      <c r="U3" s="44" t="n">
        <v>2.7</v>
      </c>
      <c r="V3" s="44" t="n">
        <v>2.1</v>
      </c>
      <c r="W3" s="44" t="n">
        <v>2.1</v>
      </c>
      <c r="X3" s="44" t="n">
        <v>2.4</v>
      </c>
      <c r="Y3" s="44" t="n">
        <v>2.4</v>
      </c>
      <c r="Z3" s="44" t="n">
        <v>2.4</v>
      </c>
      <c r="AA3" s="44" t="n">
        <v>2.4</v>
      </c>
      <c r="AB3" s="44" t="n">
        <v>2.4</v>
      </c>
      <c r="AC3" s="44" t="n">
        <v>2.4</v>
      </c>
      <c r="AD3" s="44" t="n">
        <v>2.1</v>
      </c>
      <c r="AE3" s="44" t="n">
        <v>1.9</v>
      </c>
      <c r="AF3" s="44" t="n">
        <v>3</v>
      </c>
      <c r="AG3" s="44" t="n">
        <v>3.2</v>
      </c>
      <c r="AH3" s="44" t="n">
        <v>3.6</v>
      </c>
      <c r="AI3" s="44" t="n">
        <v>3.8</v>
      </c>
      <c r="AJ3" s="44" t="n">
        <v>3.4</v>
      </c>
      <c r="AK3" s="44" t="n">
        <v>3.8</v>
      </c>
      <c r="AL3" s="44" t="n">
        <v>3.8</v>
      </c>
      <c r="AM3" s="189" t="n">
        <v>3.7</v>
      </c>
      <c r="AN3" s="189" t="n">
        <v>4.6</v>
      </c>
      <c r="AO3" s="189" t="n">
        <v>4.2</v>
      </c>
      <c r="AP3" s="189" t="n">
        <v>4</v>
      </c>
      <c r="AQ3" s="189" t="n">
        <v>3.8</v>
      </c>
      <c r="AR3" s="189" t="n">
        <v>3.5</v>
      </c>
      <c r="AS3" s="117" t="n">
        <v>4</v>
      </c>
      <c r="AT3" s="117" t="n">
        <v>4.1</v>
      </c>
      <c r="AU3" s="117" t="n">
        <v>4.2</v>
      </c>
      <c r="AV3" s="117" t="n"/>
      <c r="AW3" s="117" t="n"/>
    </row>
    <row r="4" ht="30" customFormat="1" customHeight="1" s="20">
      <c r="A4" s="19" t="inlineStr">
        <is>
          <t>Canada</t>
        </is>
      </c>
      <c r="B4" s="44" t="n">
        <v>5.9</v>
      </c>
      <c r="C4" s="44" t="n">
        <v>5.2</v>
      </c>
      <c r="D4" s="44" t="n">
        <v>4.3</v>
      </c>
      <c r="E4" s="44" t="n">
        <v>4.4</v>
      </c>
      <c r="F4" s="44" t="n">
        <v>3.4</v>
      </c>
      <c r="G4" s="44" t="n">
        <v>2.8</v>
      </c>
      <c r="H4" s="44" t="n">
        <v>3.3</v>
      </c>
      <c r="I4" s="44" t="n">
        <v>4</v>
      </c>
      <c r="J4" s="44" t="n">
        <v>3.8</v>
      </c>
      <c r="K4" s="44" t="n">
        <v>3.1</v>
      </c>
      <c r="L4" s="44" t="n">
        <v>3.1</v>
      </c>
      <c r="M4" s="44" t="n">
        <v>3.4</v>
      </c>
      <c r="N4" s="44" t="n">
        <v>2.9</v>
      </c>
      <c r="O4" s="44" t="n">
        <v>2.8</v>
      </c>
      <c r="P4" s="44" t="n">
        <v>2.9</v>
      </c>
      <c r="Q4" s="44" t="n">
        <v>2.7</v>
      </c>
      <c r="R4" s="44" t="n">
        <v>2.9</v>
      </c>
      <c r="S4" s="44" t="n">
        <v>2.7</v>
      </c>
      <c r="T4" s="44" t="n">
        <v>2.5</v>
      </c>
      <c r="U4" s="44" t="n">
        <v>2</v>
      </c>
      <c r="V4" s="44" t="n">
        <v>1.6</v>
      </c>
      <c r="W4" s="44" t="n">
        <v>2</v>
      </c>
      <c r="X4" s="44" t="n">
        <v>1.9</v>
      </c>
      <c r="Y4" s="44" t="n">
        <v>1.8</v>
      </c>
      <c r="Z4" s="44" t="n">
        <v>1.9</v>
      </c>
      <c r="AA4" s="44" t="n">
        <v>2.6</v>
      </c>
      <c r="AB4" s="44" t="n">
        <v>2.3</v>
      </c>
      <c r="AC4" s="44" t="n">
        <v>1.7</v>
      </c>
      <c r="AD4" s="44" t="n">
        <v>1.7</v>
      </c>
      <c r="AE4" s="44" t="n">
        <v>1.9</v>
      </c>
      <c r="AF4" s="44" t="n">
        <v>1.7</v>
      </c>
      <c r="AG4" s="44" t="n">
        <v>1.9</v>
      </c>
      <c r="AH4" s="44" t="n">
        <v>2.4</v>
      </c>
      <c r="AI4" s="44" t="n">
        <v>2.2</v>
      </c>
      <c r="AJ4" s="44" t="n">
        <v>2.2</v>
      </c>
      <c r="AK4" s="44" t="n">
        <v>2.4</v>
      </c>
      <c r="AL4" s="44" t="n">
        <v>2.3</v>
      </c>
      <c r="AM4" s="189" t="n">
        <v>1.8</v>
      </c>
      <c r="AN4" s="189" t="n">
        <v>2.4</v>
      </c>
      <c r="AO4" s="189" t="n">
        <v>2.8</v>
      </c>
      <c r="AP4" s="189" t="n">
        <v>3.2</v>
      </c>
      <c r="AQ4" s="189" t="n">
        <v>2.8</v>
      </c>
      <c r="AR4" s="189" t="n">
        <v>3</v>
      </c>
      <c r="AS4" s="117" t="n">
        <v>2.9</v>
      </c>
      <c r="AT4" s="117" t="n">
        <v>2.9</v>
      </c>
      <c r="AU4" s="117" t="n">
        <v>2.6</v>
      </c>
      <c r="AV4" s="117" t="n"/>
      <c r="AW4" s="117" t="n"/>
    </row>
    <row r="5" ht="30" customFormat="1" customHeight="1" s="21">
      <c r="A5" s="19" t="inlineStr">
        <is>
          <t>Japan</t>
        </is>
      </c>
      <c r="B5" s="44" t="n">
        <v>4.3</v>
      </c>
      <c r="C5" s="44" t="n">
        <v>3.3</v>
      </c>
      <c r="D5" s="44" t="n">
        <v>3.2</v>
      </c>
      <c r="E5" s="44" t="n">
        <v>3.5</v>
      </c>
      <c r="F5" s="44" t="n">
        <v>3.2</v>
      </c>
      <c r="G5" s="44" t="n">
        <v>3.3</v>
      </c>
      <c r="H5" s="44" t="n">
        <v>3.3</v>
      </c>
      <c r="I5" s="44" t="n">
        <v>3.2</v>
      </c>
      <c r="J5" s="44" t="n">
        <v>3</v>
      </c>
      <c r="K5" s="44" t="n">
        <v>3.3</v>
      </c>
      <c r="L5" s="44" t="n">
        <v>2.8</v>
      </c>
      <c r="M5" s="44" t="n">
        <v>2.6</v>
      </c>
      <c r="N5" s="44" t="n">
        <v>2.2</v>
      </c>
      <c r="O5" s="44" t="n">
        <v>2.8</v>
      </c>
      <c r="P5" s="44" t="n">
        <v>2.7</v>
      </c>
      <c r="Q5" s="44" t="n">
        <v>2.5</v>
      </c>
      <c r="R5" s="44" t="n">
        <v>2.8</v>
      </c>
      <c r="S5" s="44" t="n">
        <v>2.8</v>
      </c>
      <c r="T5" s="44" t="n">
        <v>2.8</v>
      </c>
      <c r="U5" s="44" t="n">
        <v>3</v>
      </c>
      <c r="V5" s="44" t="n">
        <v>2.5</v>
      </c>
      <c r="W5" s="44" t="n">
        <v>2.3</v>
      </c>
      <c r="X5" s="44" t="n">
        <v>2.9</v>
      </c>
      <c r="Y5" s="44" t="n">
        <v>3.6</v>
      </c>
      <c r="Z5" s="44" t="n">
        <v>4</v>
      </c>
      <c r="AA5" s="44" t="n">
        <v>3.7</v>
      </c>
      <c r="AB5" s="44" t="n">
        <v>3.6</v>
      </c>
      <c r="AC5" s="44" t="n">
        <v>3.6</v>
      </c>
      <c r="AD5" s="44" t="n">
        <v>3.5</v>
      </c>
      <c r="AE5" s="44" t="n">
        <v>3.3</v>
      </c>
      <c r="AF5" s="44" t="n">
        <v>3.1</v>
      </c>
      <c r="AG5" s="44" t="n">
        <v>2.7</v>
      </c>
      <c r="AH5" s="44" t="n">
        <v>2.9</v>
      </c>
      <c r="AI5" s="44" t="n">
        <v>3</v>
      </c>
      <c r="AJ5" s="44" t="n">
        <v>2.9</v>
      </c>
      <c r="AK5" s="44" t="n">
        <v>2.1</v>
      </c>
      <c r="AL5" s="44" t="n">
        <v>1.5</v>
      </c>
      <c r="AM5" s="189" t="n">
        <v>1.3</v>
      </c>
      <c r="AN5" s="189" t="n">
        <v>1.5</v>
      </c>
      <c r="AO5" s="189" t="n">
        <v>1.4</v>
      </c>
      <c r="AP5" s="189" t="n">
        <v>1.5</v>
      </c>
      <c r="AQ5" s="189" t="n">
        <v>1.6</v>
      </c>
      <c r="AR5" s="117" t="n">
        <v>1.9</v>
      </c>
      <c r="AS5" s="117" t="n">
        <v>1.8</v>
      </c>
      <c r="AT5" s="117" t="n">
        <v>1.8</v>
      </c>
      <c r="AU5" s="117" t="n">
        <v>1.8</v>
      </c>
      <c r="AV5" s="117" t="n"/>
      <c r="AW5" s="117" t="n"/>
    </row>
    <row r="6" ht="30" customHeight="1">
      <c r="A6" s="19" t="inlineStr">
        <is>
          <t>Switzerland</t>
        </is>
      </c>
      <c r="B6" s="44" t="n">
        <v>3.3</v>
      </c>
      <c r="C6" s="44" t="n">
        <v>3.4</v>
      </c>
      <c r="D6" s="44" t="n">
        <v>2.9</v>
      </c>
      <c r="E6" s="44" t="n">
        <v>2.6</v>
      </c>
      <c r="F6" s="44" t="n">
        <v>2.2</v>
      </c>
      <c r="G6" s="44" t="n">
        <v>1.7</v>
      </c>
      <c r="H6" s="44" t="n">
        <v>1.6</v>
      </c>
      <c r="I6" s="44" t="n">
        <v>1.6</v>
      </c>
      <c r="J6" s="44" t="n">
        <v>1.7</v>
      </c>
      <c r="K6" s="44" t="n">
        <v>1.7</v>
      </c>
      <c r="L6" s="44" t="n">
        <v>1.4</v>
      </c>
      <c r="M6" s="44" t="n">
        <v>1.7</v>
      </c>
      <c r="N6" s="44" t="n">
        <v>1.3</v>
      </c>
      <c r="O6" s="44" t="n">
        <v>1.2</v>
      </c>
      <c r="P6" s="44" t="n">
        <v>1</v>
      </c>
      <c r="Q6" s="44" t="n">
        <v>1.4</v>
      </c>
      <c r="R6" s="44" t="n">
        <v>1.4</v>
      </c>
      <c r="S6" s="44" t="n">
        <v>1.3</v>
      </c>
      <c r="T6" s="44" t="n">
        <v>1.3</v>
      </c>
      <c r="U6" s="44" t="n">
        <v>1.1</v>
      </c>
      <c r="V6" s="44" t="n">
        <v>0.8</v>
      </c>
      <c r="W6" s="44" t="n">
        <v>0.6</v>
      </c>
      <c r="X6" s="44" t="n">
        <v>0.7</v>
      </c>
      <c r="Y6" s="44" t="n">
        <v>0.6</v>
      </c>
      <c r="Z6" s="44" t="n">
        <v>0.4</v>
      </c>
      <c r="AA6" s="44" t="n">
        <v>0.3</v>
      </c>
      <c r="AB6" s="44" t="n">
        <v>0.3</v>
      </c>
      <c r="AC6" s="44" t="n">
        <v>0</v>
      </c>
      <c r="AD6" s="44" t="n">
        <v>-0.1</v>
      </c>
      <c r="AE6" s="44" t="n">
        <v>0.1</v>
      </c>
      <c r="AF6" s="44" t="n">
        <v>0.2</v>
      </c>
      <c r="AG6" s="44" t="n">
        <v>0.2</v>
      </c>
      <c r="AH6" s="44" t="n">
        <v>0.2</v>
      </c>
      <c r="AI6" s="44" t="n">
        <v>0.1</v>
      </c>
      <c r="AJ6" s="44" t="n">
        <v>0</v>
      </c>
      <c r="AK6" s="44" t="n">
        <v>0.1</v>
      </c>
      <c r="AL6" s="44" t="n">
        <v>0.1</v>
      </c>
      <c r="AM6" s="44" t="n">
        <v>0.1</v>
      </c>
      <c r="AN6" s="189" t="n">
        <v>0.3</v>
      </c>
      <c r="AO6" s="189" t="n">
        <v>0.6</v>
      </c>
      <c r="AP6" s="189" t="n">
        <v>0.6</v>
      </c>
      <c r="AQ6" s="189" t="n">
        <v>0.5</v>
      </c>
      <c r="AR6" s="189" t="n">
        <v>0.4</v>
      </c>
      <c r="AS6" s="117" t="n">
        <v>0.8</v>
      </c>
      <c r="AT6" s="117" t="n">
        <v>0.8</v>
      </c>
      <c r="AU6" s="117" t="n">
        <v>0.7</v>
      </c>
      <c r="AV6" s="117" t="n"/>
      <c r="AW6" s="117" t="n"/>
      <c r="AY6" s="118" t="n">
        <v>-2</v>
      </c>
      <c r="AZ6" s="119" t="inlineStr">
        <is>
          <t>2</t>
        </is>
      </c>
      <c r="BB6" s="120" t="inlineStr">
        <is>
          <t>fx pair</t>
        </is>
      </c>
      <c r="BC6" s="120" t="inlineStr">
        <is>
          <t>data</t>
        </is>
      </c>
      <c r="BD6" s="120" t="inlineStr">
        <is>
          <t>rating</t>
        </is>
      </c>
      <c r="BF6" s="121" t="n">
        <v>-0.02</v>
      </c>
      <c r="BG6" s="119" t="inlineStr">
        <is>
          <t>2</t>
        </is>
      </c>
    </row>
    <row r="7" ht="30" customHeight="1" thickBot="1">
      <c r="A7" s="19" t="inlineStr">
        <is>
          <t>New Zealand</t>
        </is>
      </c>
      <c r="B7" s="44" t="n">
        <v>6.7</v>
      </c>
      <c r="C7" s="44" t="n">
        <v>6.7</v>
      </c>
      <c r="D7" s="44" t="n">
        <v>6.7</v>
      </c>
      <c r="E7" s="44" t="n">
        <v>6</v>
      </c>
      <c r="F7" s="44" t="n">
        <v>6</v>
      </c>
      <c r="G7" s="44" t="n">
        <v>6</v>
      </c>
      <c r="H7" s="44" t="n">
        <v>5.6</v>
      </c>
      <c r="I7" s="44" t="n">
        <v>5.6</v>
      </c>
      <c r="J7" s="44" t="n">
        <v>5.6</v>
      </c>
      <c r="K7" s="44" t="n">
        <v>4.7</v>
      </c>
      <c r="L7" s="44" t="n">
        <v>4.7</v>
      </c>
      <c r="M7" s="44" t="n">
        <v>4.7</v>
      </c>
      <c r="N7" s="44" t="n">
        <v>4</v>
      </c>
      <c r="O7" s="44" t="n">
        <v>4</v>
      </c>
      <c r="P7" s="44" t="n">
        <v>4</v>
      </c>
      <c r="Q7" s="44" t="n">
        <v>3.3</v>
      </c>
      <c r="R7" s="44" t="n">
        <v>3.3</v>
      </c>
      <c r="S7" s="44" t="n">
        <v>3.3</v>
      </c>
      <c r="T7" s="44" t="n">
        <v>2.2</v>
      </c>
      <c r="U7" s="44" t="n">
        <v>2.2</v>
      </c>
      <c r="V7" s="44" t="n">
        <v>2.2</v>
      </c>
      <c r="W7" s="44" t="n">
        <v>2.2</v>
      </c>
      <c r="X7" s="44" t="n">
        <v>2.2</v>
      </c>
      <c r="Y7" s="44" t="n">
        <v>2.2</v>
      </c>
      <c r="Z7" s="44" t="n">
        <v>2.5</v>
      </c>
      <c r="AA7" s="44" t="n">
        <v>2.5</v>
      </c>
      <c r="AB7" s="44" t="n">
        <v>2.5</v>
      </c>
      <c r="AC7" s="44" t="n">
        <v>2.7</v>
      </c>
      <c r="AD7" s="44" t="n">
        <v>2.7</v>
      </c>
      <c r="AE7" s="44" t="n">
        <v>2.7</v>
      </c>
      <c r="AF7" s="44" t="n">
        <v>3</v>
      </c>
      <c r="AG7" s="44" t="n">
        <v>3</v>
      </c>
      <c r="AH7" s="44" t="n">
        <v>3</v>
      </c>
      <c r="AI7" s="44" t="n">
        <v>3.1</v>
      </c>
      <c r="AJ7" s="44" t="n">
        <v>3.1</v>
      </c>
      <c r="AK7" s="44" t="n">
        <v>3.1</v>
      </c>
      <c r="AL7" s="44" t="n">
        <v>3.1</v>
      </c>
      <c r="AM7" s="44" t="n">
        <v>3.1</v>
      </c>
      <c r="AN7" s="44" t="n">
        <v>3.1</v>
      </c>
      <c r="AO7" s="189" t="n">
        <v>4.1</v>
      </c>
      <c r="AP7" s="189" t="n">
        <v>4.1</v>
      </c>
      <c r="AQ7" s="189" t="n">
        <v>4.1</v>
      </c>
      <c r="AR7" s="117" t="n">
        <v>3.7</v>
      </c>
      <c r="AS7" s="117" t="n">
        <v>3.7</v>
      </c>
      <c r="AT7" s="117" t="n">
        <v>3.7</v>
      </c>
      <c r="AU7" s="117" t="n">
        <v>3.5</v>
      </c>
      <c r="AV7" s="117" t="n"/>
      <c r="AW7" s="117" t="n"/>
      <c r="AY7" s="122" t="n">
        <v>-1.75</v>
      </c>
      <c r="AZ7" s="119" t="inlineStr">
        <is>
          <t>3</t>
        </is>
      </c>
      <c r="BB7" s="29" t="inlineStr">
        <is>
          <t>USD JPY</t>
        </is>
      </c>
      <c r="BC7" s="123">
        <f>AL15</f>
        <v/>
      </c>
      <c r="BD7" s="124" t="n">
        <v>-10</v>
      </c>
      <c r="BE7" s="12">
        <f t="array" ref="BE7">_xlfn.XLOOKUP(MIN(ABS($AY$6:$AY$22 - MEDIAN(-2, 2, BC7))), ABS($AY$6:$AY$22 - MEDIAN(-2, 2, BC7)), $AZ$6:$AZ$22, "Error", 0)</f>
        <v/>
      </c>
      <c r="BF7" s="125" t="n">
        <v>-0.0175</v>
      </c>
      <c r="BG7" s="119" t="inlineStr">
        <is>
          <t>3</t>
        </is>
      </c>
      <c r="BH7" s="12">
        <f>BD7-BE7</f>
        <v/>
      </c>
    </row>
    <row r="8" ht="30" customHeight="1">
      <c r="A8" s="19" t="inlineStr">
        <is>
          <t>United Kingdom</t>
        </is>
      </c>
      <c r="B8" s="44" t="n">
        <v>10.1</v>
      </c>
      <c r="C8" s="44" t="n">
        <v>10.4</v>
      </c>
      <c r="D8" s="44" t="n">
        <v>10.1</v>
      </c>
      <c r="E8" s="44" t="n">
        <v>8.699999999999999</v>
      </c>
      <c r="F8" s="44" t="n">
        <v>8.699999999999999</v>
      </c>
      <c r="G8" s="44" t="n">
        <v>7.9</v>
      </c>
      <c r="H8" s="44" t="n">
        <v>6.8</v>
      </c>
      <c r="I8" s="44" t="n">
        <v>6.7</v>
      </c>
      <c r="J8" s="44" t="n">
        <v>6.7</v>
      </c>
      <c r="K8" s="44" t="n">
        <v>4.6</v>
      </c>
      <c r="L8" s="44" t="n">
        <v>3.9</v>
      </c>
      <c r="M8" s="44" t="n">
        <v>4</v>
      </c>
      <c r="N8" s="44" t="n">
        <v>4</v>
      </c>
      <c r="O8" s="44" t="n">
        <v>3.4</v>
      </c>
      <c r="P8" s="44" t="n">
        <v>3.2</v>
      </c>
      <c r="Q8" s="44" t="n">
        <v>2.3</v>
      </c>
      <c r="R8" s="44" t="n">
        <v>2</v>
      </c>
      <c r="S8" s="44" t="n">
        <v>2</v>
      </c>
      <c r="T8" s="44" t="n">
        <v>2.2</v>
      </c>
      <c r="U8" s="44" t="n">
        <v>2.2</v>
      </c>
      <c r="V8" s="44" t="n">
        <v>1.7</v>
      </c>
      <c r="W8" s="44" t="n">
        <v>2.3</v>
      </c>
      <c r="X8" s="44" t="n">
        <v>2.6</v>
      </c>
      <c r="Y8" s="44" t="n">
        <v>2.5</v>
      </c>
      <c r="Z8" s="44" t="n">
        <v>3</v>
      </c>
      <c r="AA8" s="44" t="n">
        <v>2.8</v>
      </c>
      <c r="AB8" s="44" t="n">
        <v>2.6</v>
      </c>
      <c r="AC8" s="44" t="n">
        <v>3.5</v>
      </c>
      <c r="AD8" s="44" t="n">
        <v>3.4</v>
      </c>
      <c r="AE8" s="44" t="n">
        <v>3.6</v>
      </c>
      <c r="AF8" s="44" t="n">
        <v>3.8</v>
      </c>
      <c r="AG8" s="44" t="n">
        <v>3.8</v>
      </c>
      <c r="AH8" s="44" t="n">
        <v>3.8</v>
      </c>
      <c r="AI8" s="44" t="n">
        <v>3.6</v>
      </c>
      <c r="AJ8" s="44" t="n">
        <v>3.2</v>
      </c>
      <c r="AK8" s="44" t="n">
        <v>3.4</v>
      </c>
      <c r="AL8" s="44" t="n">
        <v>3</v>
      </c>
      <c r="AM8" s="189" t="n">
        <v>3</v>
      </c>
      <c r="AN8" s="189" t="n">
        <v>3.3</v>
      </c>
      <c r="AO8" s="189" t="n">
        <v>2.8</v>
      </c>
      <c r="AP8" s="189" t="n">
        <v>2.8</v>
      </c>
      <c r="AQ8" s="189" t="n">
        <v>2.6</v>
      </c>
      <c r="AR8" s="117" t="n">
        <v>2.9</v>
      </c>
      <c r="AS8" s="117" t="n">
        <v>2.9</v>
      </c>
      <c r="AT8" s="117" t="n">
        <v>3.6</v>
      </c>
      <c r="AU8" s="117" t="n">
        <v>3.5</v>
      </c>
      <c r="AV8" s="117" t="n"/>
      <c r="AW8" s="117" t="n"/>
      <c r="AY8" s="118" t="n">
        <v>-1.5</v>
      </c>
      <c r="AZ8" s="119" t="inlineStr">
        <is>
          <t>4</t>
        </is>
      </c>
      <c r="BB8" s="31" t="inlineStr">
        <is>
          <t>USD CHF</t>
        </is>
      </c>
      <c r="BC8" s="123">
        <f>AL16</f>
        <v/>
      </c>
      <c r="BD8" s="124" t="n">
        <v>10</v>
      </c>
      <c r="BE8" s="12">
        <f t="array" ref="BE8">_xlfn.XLOOKUP(MIN(ABS($AY$6:$AY$22 - MEDIAN(-2, 2, BC8))), ABS($AY$6:$AY$22 - MEDIAN(-2, 2, BC8)), $AZ$6:$AZ$22, "Error", 0)</f>
        <v/>
      </c>
      <c r="BF8" s="121" t="n">
        <v>-0.015</v>
      </c>
      <c r="BG8" s="119" t="inlineStr">
        <is>
          <t>4</t>
        </is>
      </c>
      <c r="BH8" s="12">
        <f>BD8-BE8</f>
        <v/>
      </c>
    </row>
    <row r="9" ht="30" customHeight="1" thickBot="1">
      <c r="A9" s="26" t="inlineStr">
        <is>
          <t>United States</t>
        </is>
      </c>
      <c r="B9" s="44" t="n">
        <v>6.4</v>
      </c>
      <c r="C9" s="44" t="n">
        <v>6</v>
      </c>
      <c r="D9" s="44" t="n">
        <v>5</v>
      </c>
      <c r="E9" s="44" t="n">
        <v>4.9</v>
      </c>
      <c r="F9" s="44" t="n">
        <v>4.1</v>
      </c>
      <c r="G9" s="44" t="n">
        <v>3</v>
      </c>
      <c r="H9" s="44" t="n">
        <v>3.2</v>
      </c>
      <c r="I9" s="44" t="n">
        <v>3.7</v>
      </c>
      <c r="J9" s="44" t="n">
        <v>3.7</v>
      </c>
      <c r="K9" s="44" t="n">
        <v>3.2</v>
      </c>
      <c r="L9" s="44" t="n">
        <v>3.1</v>
      </c>
      <c r="M9" s="44" t="n">
        <v>3.4</v>
      </c>
      <c r="N9" s="44" t="n">
        <v>3.1</v>
      </c>
      <c r="O9" s="44" t="n">
        <v>3.2</v>
      </c>
      <c r="P9" s="44" t="n">
        <v>3.5</v>
      </c>
      <c r="Q9" s="44" t="n">
        <v>3.4</v>
      </c>
      <c r="R9" s="44" t="n">
        <v>3.3</v>
      </c>
      <c r="S9" s="44" t="n">
        <v>3</v>
      </c>
      <c r="T9" s="44" t="n">
        <v>2.9</v>
      </c>
      <c r="U9" s="44" t="n">
        <v>2.5</v>
      </c>
      <c r="V9" s="44" t="n">
        <v>2.4</v>
      </c>
      <c r="W9" s="44" t="n">
        <v>2.6</v>
      </c>
      <c r="X9" s="44" t="n">
        <v>2.7</v>
      </c>
      <c r="Y9" s="44" t="n">
        <v>2.9</v>
      </c>
      <c r="Z9" s="44" t="n">
        <v>3</v>
      </c>
      <c r="AA9" s="44" t="n">
        <v>2.8</v>
      </c>
      <c r="AB9" s="44" t="n">
        <v>2.4</v>
      </c>
      <c r="AC9" s="44" t="n">
        <v>2.3</v>
      </c>
      <c r="AD9" s="44" t="n">
        <v>2.4</v>
      </c>
      <c r="AE9" s="44" t="n">
        <v>2.7</v>
      </c>
      <c r="AF9" s="44" t="n">
        <v>2.7</v>
      </c>
      <c r="AG9" s="44" t="n">
        <v>2.9</v>
      </c>
      <c r="AH9" s="44" t="n">
        <v>3</v>
      </c>
      <c r="AI9" s="44" t="n">
        <v>2.7</v>
      </c>
      <c r="AJ9" s="44" t="n">
        <v>2.7</v>
      </c>
      <c r="AK9" s="44" t="n">
        <v>2.7</v>
      </c>
      <c r="AL9" s="44" t="n">
        <v>2.4</v>
      </c>
      <c r="AM9" s="189" t="n">
        <v>2.4</v>
      </c>
      <c r="AN9" s="189" t="n">
        <v>3.3</v>
      </c>
      <c r="AO9" s="189" t="n">
        <v>3.8</v>
      </c>
      <c r="AP9" s="189" t="n">
        <v>4.2</v>
      </c>
      <c r="AQ9" s="189" t="n">
        <v>3.5</v>
      </c>
      <c r="AR9" s="189" t="n">
        <v>3.4</v>
      </c>
      <c r="AS9" s="117" t="n">
        <v>3.7</v>
      </c>
      <c r="AT9" s="117" t="n">
        <v>3.7</v>
      </c>
      <c r="AU9" s="117" t="n">
        <v>3.4</v>
      </c>
      <c r="AV9" s="117" t="n"/>
      <c r="AW9" s="117" t="n"/>
      <c r="AY9" s="122" t="n">
        <v>-1.25</v>
      </c>
      <c r="AZ9" s="119" t="inlineStr">
        <is>
          <t>6</t>
        </is>
      </c>
      <c r="BB9" s="31" t="inlineStr">
        <is>
          <t>USD CAD</t>
        </is>
      </c>
      <c r="BC9" s="123">
        <f>AL17</f>
        <v/>
      </c>
      <c r="BD9" s="124" t="n">
        <v>0</v>
      </c>
      <c r="BE9" s="12">
        <f t="array" ref="BE9">_xlfn.XLOOKUP(MIN(ABS($AY$6:$AY$22 - MEDIAN(-2, 2, BC9))), ABS($AY$6:$AY$22 - MEDIAN(-2, 2, BC9)), $AZ$6:$AZ$22, "Error", 0)</f>
        <v/>
      </c>
      <c r="BF9" s="125" t="n">
        <v>-0.0125</v>
      </c>
      <c r="BG9" s="119" t="inlineStr">
        <is>
          <t>6</t>
        </is>
      </c>
      <c r="BH9" s="12">
        <f>BD9-BE9</f>
        <v/>
      </c>
    </row>
    <row r="10" ht="30" customHeight="1">
      <c r="A10" s="27" t="inlineStr">
        <is>
          <t>EURO AREA</t>
        </is>
      </c>
      <c r="B10" s="44" t="n">
        <v>8.699999999999999</v>
      </c>
      <c r="C10" s="44" t="n">
        <v>8.5</v>
      </c>
      <c r="D10" s="44" t="n">
        <v>6.9</v>
      </c>
      <c r="E10" s="44" t="n">
        <v>7</v>
      </c>
      <c r="F10" s="44" t="n">
        <v>6.1</v>
      </c>
      <c r="G10" s="44" t="n">
        <v>5.5</v>
      </c>
      <c r="H10" s="44" t="n">
        <v>5.3</v>
      </c>
      <c r="I10" s="44" t="n">
        <v>5.2</v>
      </c>
      <c r="J10" s="44" t="n">
        <v>4.3</v>
      </c>
      <c r="K10" s="44" t="n">
        <v>2.9</v>
      </c>
      <c r="L10" s="44" t="n">
        <v>2.4</v>
      </c>
      <c r="M10" s="44" t="n">
        <v>2.9</v>
      </c>
      <c r="N10" s="44" t="n">
        <v>2.8</v>
      </c>
      <c r="O10" s="44" t="n">
        <v>2.6</v>
      </c>
      <c r="P10" s="44" t="n">
        <v>2.4</v>
      </c>
      <c r="Q10" s="44" t="n">
        <v>2.4</v>
      </c>
      <c r="R10" s="44" t="n">
        <v>2.6</v>
      </c>
      <c r="S10" s="44" t="n">
        <v>2.5</v>
      </c>
      <c r="T10" s="44" t="n">
        <v>2.6</v>
      </c>
      <c r="U10" s="44" t="n">
        <v>2.2</v>
      </c>
      <c r="V10" s="44" t="n">
        <v>1.7</v>
      </c>
      <c r="W10" s="44" t="n">
        <v>2</v>
      </c>
      <c r="X10" s="44" t="n">
        <v>2.2</v>
      </c>
      <c r="Y10" s="44" t="n">
        <v>2.4</v>
      </c>
      <c r="Z10" s="44" t="n">
        <v>2.5</v>
      </c>
      <c r="AA10" s="44" t="n">
        <v>2.3</v>
      </c>
      <c r="AB10" s="44" t="n">
        <v>2.2</v>
      </c>
      <c r="AC10" s="44" t="n">
        <v>2.2</v>
      </c>
      <c r="AD10" s="44" t="n">
        <v>1.9</v>
      </c>
      <c r="AE10" s="44" t="n">
        <v>2</v>
      </c>
      <c r="AF10" s="44" t="n">
        <v>2</v>
      </c>
      <c r="AG10" s="44" t="n">
        <v>2</v>
      </c>
      <c r="AH10" s="44" t="n">
        <v>2.2</v>
      </c>
      <c r="AI10" s="44" t="n">
        <v>2.1</v>
      </c>
      <c r="AJ10" s="44" t="n">
        <v>2.1</v>
      </c>
      <c r="AK10" s="44" t="n">
        <v>2</v>
      </c>
      <c r="AL10" s="44" t="n">
        <v>1.7</v>
      </c>
      <c r="AM10" s="44" t="n">
        <v>1.9</v>
      </c>
      <c r="AN10" s="189" t="n">
        <v>2.6</v>
      </c>
      <c r="AO10" s="189" t="n">
        <v>3</v>
      </c>
      <c r="AP10" s="189" t="n">
        <v>3.2</v>
      </c>
      <c r="AQ10" s="189" t="n">
        <v>2.8</v>
      </c>
      <c r="AR10" s="189" t="n">
        <v>2.9</v>
      </c>
      <c r="AS10" s="117" t="n">
        <v>3.3</v>
      </c>
      <c r="AT10" s="117" t="n">
        <v>3.5</v>
      </c>
      <c r="AU10" s="117" t="n">
        <v>3.3</v>
      </c>
      <c r="AV10" s="117" t="n"/>
      <c r="AW10" s="117" t="n"/>
      <c r="AY10" s="118" t="n">
        <v>-1</v>
      </c>
      <c r="AZ10" s="119" t="inlineStr">
        <is>
          <t>10</t>
        </is>
      </c>
      <c r="BB10" s="34" t="inlineStr">
        <is>
          <t>EUR USD</t>
        </is>
      </c>
      <c r="BC10" s="123">
        <f>AL18</f>
        <v/>
      </c>
      <c r="BD10" s="124" t="n">
        <v>8</v>
      </c>
      <c r="BE10" s="12">
        <f t="array" ref="BE10">_xlfn.XLOOKUP(MIN(ABS($AY$6:$AY$22 - MEDIAN(-2, 2, BC10))), ABS($AY$6:$AY$22 - MEDIAN(-2, 2, BC10)), $AZ$6:$AZ$22, "Error", 0)</f>
        <v/>
      </c>
      <c r="BF10" s="121" t="n">
        <v>-0.01</v>
      </c>
      <c r="BG10" s="119" t="inlineStr">
        <is>
          <t>10</t>
        </is>
      </c>
      <c r="BH10" s="12">
        <f>BD10-BE10</f>
        <v/>
      </c>
    </row>
    <row r="11" ht="15" customHeight="1" thickBot="1">
      <c r="AY11" s="122" t="n">
        <v>-0.75</v>
      </c>
      <c r="AZ11" s="119" t="inlineStr">
        <is>
          <t>8</t>
        </is>
      </c>
      <c r="BB11" s="34" t="inlineStr">
        <is>
          <t>EUR JPY</t>
        </is>
      </c>
      <c r="BC11" s="123">
        <f>AL19</f>
        <v/>
      </c>
      <c r="BD11" s="124" t="n">
        <v>-4</v>
      </c>
      <c r="BE11" s="12">
        <f t="array" ref="BE11">_xlfn.XLOOKUP(MIN(ABS($AY$6:$AY$22 - MEDIAN(-2, 2, BC11))), ABS($AY$6:$AY$22 - MEDIAN(-2, 2, BC11)), $AZ$6:$AZ$22, "Error", 0)</f>
        <v/>
      </c>
      <c r="BF11" s="125" t="n">
        <v>-0.0075</v>
      </c>
      <c r="BG11" s="119" t="inlineStr">
        <is>
          <t>8</t>
        </is>
      </c>
      <c r="BH11" s="12">
        <f>BD11-BE11</f>
        <v/>
      </c>
    </row>
    <row r="12" ht="15" customHeight="1">
      <c r="AY12" s="118" t="n">
        <v>-0.5</v>
      </c>
      <c r="AZ12" s="119" t="inlineStr">
        <is>
          <t>6</t>
        </is>
      </c>
      <c r="BB12" s="34" t="inlineStr">
        <is>
          <t>EUR CHF</t>
        </is>
      </c>
      <c r="BC12" s="123">
        <f>AL20</f>
        <v/>
      </c>
      <c r="BD12" s="124" t="n">
        <v>8</v>
      </c>
      <c r="BE12" s="12">
        <f t="array" ref="BE12">_xlfn.XLOOKUP(MIN(ABS($AY$6:$AY$22 - MEDIAN(-2, 2, BC12))), ABS($AY$6:$AY$22 - MEDIAN(-2, 2, BC12)), $AZ$6:$AZ$22, "Error", 0)</f>
        <v/>
      </c>
      <c r="BF12" s="121" t="n">
        <v>-0.005</v>
      </c>
      <c r="BG12" s="119" t="inlineStr">
        <is>
          <t>6</t>
        </is>
      </c>
      <c r="BH12" s="12">
        <f>BD12-BE12</f>
        <v/>
      </c>
      <c r="BK12" s="12" t="n">
        <v>8</v>
      </c>
    </row>
    <row r="13" ht="15" customHeight="1" thickBot="1">
      <c r="AY13" s="122" t="n">
        <v>-0.25</v>
      </c>
      <c r="AZ13" s="119" t="inlineStr">
        <is>
          <t>4</t>
        </is>
      </c>
      <c r="BB13" s="34" t="inlineStr">
        <is>
          <t>EUR GBP</t>
        </is>
      </c>
      <c r="BC13" s="123">
        <f>AL21</f>
        <v/>
      </c>
      <c r="BD13" s="124" t="n">
        <v>6</v>
      </c>
      <c r="BE13" s="12">
        <f t="array" ref="BE13">_xlfn.XLOOKUP(MIN(ABS($AY$6:$AY$22 - MEDIAN(-2, 2, BC13))), ABS($AY$6:$AY$22 - MEDIAN(-2, 2, BC13)), $AZ$6:$AZ$22, "Error", 0)</f>
        <v/>
      </c>
      <c r="BF13" s="125" t="n">
        <v>-0.0025</v>
      </c>
      <c r="BG13" s="119" t="inlineStr">
        <is>
          <t>4</t>
        </is>
      </c>
      <c r="BH13" s="12">
        <f>BD13-BE13</f>
        <v/>
      </c>
    </row>
    <row r="14" ht="25" customHeight="1">
      <c r="A14" s="28" t="inlineStr">
        <is>
          <t>Paire</t>
        </is>
      </c>
      <c r="B14" s="294" t="n">
        <v>44927</v>
      </c>
      <c r="C14" s="294" t="n">
        <v>44958</v>
      </c>
      <c r="D14" s="294" t="n">
        <v>44986</v>
      </c>
      <c r="E14" s="294" t="n">
        <v>45017</v>
      </c>
      <c r="F14" s="294" t="n">
        <v>45047</v>
      </c>
      <c r="G14" s="294" t="n">
        <v>45078</v>
      </c>
      <c r="H14" s="294" t="n">
        <v>45108</v>
      </c>
      <c r="I14" s="294" t="n">
        <v>45139</v>
      </c>
      <c r="J14" s="294" t="n">
        <v>45170</v>
      </c>
      <c r="K14" s="294" t="n">
        <v>45200</v>
      </c>
      <c r="L14" s="294" t="n">
        <v>45231</v>
      </c>
      <c r="M14" s="294" t="n">
        <v>45261</v>
      </c>
      <c r="N14" s="294" t="n">
        <v>45292</v>
      </c>
      <c r="O14" s="294" t="n">
        <v>45323</v>
      </c>
      <c r="P14" s="294" t="n">
        <v>45352</v>
      </c>
      <c r="Q14" s="294" t="n">
        <v>45383</v>
      </c>
      <c r="R14" s="294" t="n">
        <v>45413</v>
      </c>
      <c r="S14" s="294" t="n">
        <v>45444</v>
      </c>
      <c r="T14" s="294" t="n">
        <v>45474</v>
      </c>
      <c r="U14" s="294" t="n">
        <v>45505</v>
      </c>
      <c r="V14" s="294" t="n">
        <v>45536</v>
      </c>
      <c r="W14" s="294" t="n">
        <v>45566</v>
      </c>
      <c r="X14" s="294" t="n">
        <v>45597</v>
      </c>
      <c r="Y14" s="294" t="n">
        <v>45627</v>
      </c>
      <c r="Z14" s="294" t="n">
        <v>45658</v>
      </c>
      <c r="AA14" s="294" t="n">
        <v>45689</v>
      </c>
      <c r="AB14" s="294" t="n">
        <v>45717</v>
      </c>
      <c r="AC14" s="294" t="n">
        <v>45748</v>
      </c>
      <c r="AD14" s="294" t="n">
        <v>45778</v>
      </c>
      <c r="AE14" s="294" t="n">
        <v>45809</v>
      </c>
      <c r="AF14" s="294" t="n">
        <v>45839</v>
      </c>
      <c r="AG14" s="294" t="n">
        <v>45870</v>
      </c>
      <c r="AH14" s="294" t="n">
        <v>45901</v>
      </c>
      <c r="AI14" s="294" t="n">
        <v>45931</v>
      </c>
      <c r="AJ14" s="294" t="n">
        <v>45962</v>
      </c>
      <c r="AK14" s="294" t="n">
        <v>45992</v>
      </c>
      <c r="AL14" s="294" t="n">
        <v>46023</v>
      </c>
      <c r="AM14" s="294" t="n">
        <v>46054</v>
      </c>
      <c r="AN14" s="294" t="n">
        <v>46082</v>
      </c>
      <c r="AO14" s="294" t="n">
        <v>46113</v>
      </c>
      <c r="AP14" s="294" t="n">
        <v>46143</v>
      </c>
      <c r="AQ14" s="294" t="n">
        <v>46174</v>
      </c>
      <c r="AR14" s="294" t="n">
        <v>46204</v>
      </c>
      <c r="AS14" s="294" t="n">
        <v>46235</v>
      </c>
      <c r="AT14" s="294" t="n">
        <v>46266</v>
      </c>
      <c r="AU14" s="294" t="n">
        <v>46296</v>
      </c>
      <c r="AV14" s="294" t="n">
        <v>46327</v>
      </c>
      <c r="AW14" s="294" t="n">
        <v>46357</v>
      </c>
      <c r="AY14" s="118" t="n">
        <v>0</v>
      </c>
      <c r="AZ14" s="126" t="n">
        <v>0</v>
      </c>
      <c r="BB14" s="34" t="inlineStr">
        <is>
          <t>EUR CAD</t>
        </is>
      </c>
      <c r="BC14" s="123">
        <f>AL22</f>
        <v/>
      </c>
      <c r="BD14" s="124" t="n">
        <v>6</v>
      </c>
      <c r="BE14" s="12">
        <f t="array" ref="BE14">_xlfn.XLOOKUP(MIN(ABS($AY$6:$AY$22 - MEDIAN(-2, 2, BC14))), ABS($AY$6:$AY$22 - MEDIAN(-2, 2, BC14)), $AZ$6:$AZ$22, "Error", 0)</f>
        <v/>
      </c>
      <c r="BF14" s="121" t="n">
        <v>0</v>
      </c>
      <c r="BG14" s="126" t="n">
        <v>0</v>
      </c>
      <c r="BH14" s="12">
        <f>BD14-BE14</f>
        <v/>
      </c>
    </row>
    <row r="15" ht="25" customHeight="1" thickBot="1">
      <c r="A15" s="29" t="inlineStr">
        <is>
          <t>USD JPY</t>
        </is>
      </c>
      <c r="B15" s="30">
        <f>B9-B5</f>
        <v/>
      </c>
      <c r="C15" s="30">
        <f>C9-C5</f>
        <v/>
      </c>
      <c r="D15" s="30">
        <f>D9-D5</f>
        <v/>
      </c>
      <c r="E15" s="30">
        <f>E9-E5</f>
        <v/>
      </c>
      <c r="F15" s="30">
        <f>F9-F5</f>
        <v/>
      </c>
      <c r="G15" s="30">
        <f>G9-G5</f>
        <v/>
      </c>
      <c r="H15" s="30">
        <f>H9-H5</f>
        <v/>
      </c>
      <c r="I15" s="30">
        <f>I9-I5</f>
        <v/>
      </c>
      <c r="J15" s="30">
        <f>J9-J5</f>
        <v/>
      </c>
      <c r="K15" s="30">
        <f>K9-K5</f>
        <v/>
      </c>
      <c r="L15" s="30">
        <f>L9-L5</f>
        <v/>
      </c>
      <c r="M15" s="30">
        <f>M9-M5</f>
        <v/>
      </c>
      <c r="N15" s="30">
        <f>N9-N5</f>
        <v/>
      </c>
      <c r="O15" s="30">
        <f>O9-O5</f>
        <v/>
      </c>
      <c r="P15" s="30">
        <f>P9-P5</f>
        <v/>
      </c>
      <c r="Q15" s="30">
        <f>Q9-Q5</f>
        <v/>
      </c>
      <c r="R15" s="30">
        <f>R9-R5</f>
        <v/>
      </c>
      <c r="S15" s="30">
        <f>S9-S5</f>
        <v/>
      </c>
      <c r="T15" s="30">
        <f>T9-T5</f>
        <v/>
      </c>
      <c r="U15" s="30">
        <f>U9-U5</f>
        <v/>
      </c>
      <c r="V15" s="30">
        <f>V9-V5</f>
        <v/>
      </c>
      <c r="W15" s="30">
        <f>W9-W5</f>
        <v/>
      </c>
      <c r="X15" s="30">
        <f>X9-X5</f>
        <v/>
      </c>
      <c r="Y15" s="30">
        <f>Y9-Y5</f>
        <v/>
      </c>
      <c r="Z15" s="30">
        <f>Z9-Z5</f>
        <v/>
      </c>
      <c r="AA15" s="30">
        <f>AA9-AA5</f>
        <v/>
      </c>
      <c r="AB15" s="30">
        <f>AB9-AB5</f>
        <v/>
      </c>
      <c r="AC15" s="30">
        <f>AC9-AC5</f>
        <v/>
      </c>
      <c r="AD15" s="30">
        <f>AD9-AD5</f>
        <v/>
      </c>
      <c r="AE15" s="30">
        <f>AE9-AE5</f>
        <v/>
      </c>
      <c r="AF15" s="30">
        <f>AF9-AF5</f>
        <v/>
      </c>
      <c r="AG15" s="30">
        <f>AG9-AG5</f>
        <v/>
      </c>
      <c r="AH15" s="30">
        <f>AH9-AH5</f>
        <v/>
      </c>
      <c r="AI15" s="30">
        <f>AI9-AI5</f>
        <v/>
      </c>
      <c r="AJ15" s="30">
        <f>AJ9-AJ5</f>
        <v/>
      </c>
      <c r="AK15" s="30">
        <f>AK9-AK5</f>
        <v/>
      </c>
      <c r="AL15" s="30">
        <f>AL9-AL5</f>
        <v/>
      </c>
      <c r="AM15" s="30">
        <f>AM9-AM5</f>
        <v/>
      </c>
      <c r="AN15" s="30">
        <f>AN9-AN5</f>
        <v/>
      </c>
      <c r="AO15" s="30">
        <f>AO9-AO5</f>
        <v/>
      </c>
      <c r="AP15" s="30">
        <f>AP9-AP5</f>
        <v/>
      </c>
      <c r="AQ15" s="30">
        <f>AQ9-AQ5</f>
        <v/>
      </c>
      <c r="AR15" s="30">
        <f>AR9-AR5</f>
        <v/>
      </c>
      <c r="AS15" s="30">
        <f>AS9-AS5</f>
        <v/>
      </c>
      <c r="AT15" s="30">
        <f>AT9-AT5</f>
        <v/>
      </c>
      <c r="AU15" s="30">
        <f>AU9-AU5</f>
        <v/>
      </c>
      <c r="AV15" s="30">
        <f>AV9-AV5</f>
        <v/>
      </c>
      <c r="AW15" s="30">
        <f>AW9-AW5</f>
        <v/>
      </c>
      <c r="AX15" s="127" t="n"/>
      <c r="AY15" s="122" t="n">
        <v>0.25</v>
      </c>
      <c r="AZ15" s="128" t="inlineStr">
        <is>
          <t>-4</t>
        </is>
      </c>
      <c r="BB15" s="34" t="inlineStr">
        <is>
          <t>EUR AUD</t>
        </is>
      </c>
      <c r="BC15" s="123">
        <f>AL23</f>
        <v/>
      </c>
      <c r="BD15" s="124" t="n">
        <v>2</v>
      </c>
      <c r="BE15" s="12">
        <f t="array" ref="BE15">_xlfn.XLOOKUP(MIN(ABS($AY$6:$AY$22 - MEDIAN(-2, 2, BC15))), ABS($AY$6:$AY$22 - MEDIAN(-2, 2, BC15)), $AZ$6:$AZ$22, "Error", 0)</f>
        <v/>
      </c>
      <c r="BF15" s="125" t="n">
        <v>0.0025</v>
      </c>
      <c r="BG15" s="128" t="inlineStr">
        <is>
          <t>-4</t>
        </is>
      </c>
      <c r="BH15" s="12">
        <f>BD15-BE15</f>
        <v/>
      </c>
    </row>
    <row r="16" ht="25" customHeight="1">
      <c r="A16" s="31" t="inlineStr">
        <is>
          <t>USD CHF</t>
        </is>
      </c>
      <c r="B16" s="30">
        <f>B9-B6</f>
        <v/>
      </c>
      <c r="C16" s="30">
        <f>C9-C6</f>
        <v/>
      </c>
      <c r="D16" s="30">
        <f>D9-D6</f>
        <v/>
      </c>
      <c r="E16" s="30">
        <f>E9-E6</f>
        <v/>
      </c>
      <c r="F16" s="30">
        <f>F9-F6</f>
        <v/>
      </c>
      <c r="G16" s="30">
        <f>G9-G6</f>
        <v/>
      </c>
      <c r="H16" s="30">
        <f>H9-H6</f>
        <v/>
      </c>
      <c r="I16" s="30">
        <f>I9-I6</f>
        <v/>
      </c>
      <c r="J16" s="30">
        <f>J9-J6</f>
        <v/>
      </c>
      <c r="K16" s="30">
        <f>K9-K6</f>
        <v/>
      </c>
      <c r="L16" s="30">
        <f>L9-L6</f>
        <v/>
      </c>
      <c r="M16" s="30">
        <f>M9-M6</f>
        <v/>
      </c>
      <c r="N16" s="30">
        <f>N9-N6</f>
        <v/>
      </c>
      <c r="O16" s="30">
        <f>O9-O6</f>
        <v/>
      </c>
      <c r="P16" s="30">
        <f>P9-P6</f>
        <v/>
      </c>
      <c r="Q16" s="30">
        <f>Q9-Q6</f>
        <v/>
      </c>
      <c r="R16" s="30">
        <f>R9-R6</f>
        <v/>
      </c>
      <c r="S16" s="30">
        <f>S9-S6</f>
        <v/>
      </c>
      <c r="T16" s="30">
        <f>T9-T6</f>
        <v/>
      </c>
      <c r="U16" s="30">
        <f>U9-U6</f>
        <v/>
      </c>
      <c r="V16" s="30">
        <f>V9-V6</f>
        <v/>
      </c>
      <c r="W16" s="30">
        <f>W9-W6</f>
        <v/>
      </c>
      <c r="X16" s="30">
        <f>X9-X6</f>
        <v/>
      </c>
      <c r="Y16" s="30">
        <f>Y9-Y6</f>
        <v/>
      </c>
      <c r="Z16" s="30">
        <f>Z9-Z6</f>
        <v/>
      </c>
      <c r="AA16" s="30">
        <f>AA9-AA6</f>
        <v/>
      </c>
      <c r="AB16" s="30">
        <f>AB9-AB6</f>
        <v/>
      </c>
      <c r="AC16" s="30">
        <f>AC9-AC6</f>
        <v/>
      </c>
      <c r="AD16" s="30">
        <f>AD9-AD6</f>
        <v/>
      </c>
      <c r="AE16" s="30">
        <f>AE9-AE6</f>
        <v/>
      </c>
      <c r="AF16" s="30">
        <f>AF9-AF6</f>
        <v/>
      </c>
      <c r="AG16" s="30">
        <f>AG9-AG6</f>
        <v/>
      </c>
      <c r="AH16" s="30">
        <f>AH9-AH6</f>
        <v/>
      </c>
      <c r="AI16" s="30">
        <f>AI9-AI6</f>
        <v/>
      </c>
      <c r="AJ16" s="30">
        <f>AJ9-AJ6</f>
        <v/>
      </c>
      <c r="AK16" s="30">
        <f>AK9-AK6</f>
        <v/>
      </c>
      <c r="AL16" s="30">
        <f>AL9-AL6</f>
        <v/>
      </c>
      <c r="AM16" s="30">
        <f>AM9-AM6</f>
        <v/>
      </c>
      <c r="AN16" s="30">
        <f>AN9-AN6</f>
        <v/>
      </c>
      <c r="AO16" s="30">
        <f>AO9-AO6</f>
        <v/>
      </c>
      <c r="AP16" s="30">
        <f>AP9-AP6</f>
        <v/>
      </c>
      <c r="AQ16" s="30">
        <f>AQ9-AQ6</f>
        <v/>
      </c>
      <c r="AR16" s="30">
        <f>AR9-AR6</f>
        <v/>
      </c>
      <c r="AS16" s="30">
        <f>AS9-AS6</f>
        <v/>
      </c>
      <c r="AT16" s="30">
        <f>AT9-AT6</f>
        <v/>
      </c>
      <c r="AU16" s="30">
        <f>AU9-AU6</f>
        <v/>
      </c>
      <c r="AV16" s="30">
        <f>AV9-AV6</f>
        <v/>
      </c>
      <c r="AW16" s="30">
        <f>AW9-AW6</f>
        <v/>
      </c>
      <c r="AX16" s="127" t="n"/>
      <c r="AY16" s="118" t="n">
        <v>0.5</v>
      </c>
      <c r="AZ16" s="128" t="inlineStr">
        <is>
          <t>-6</t>
        </is>
      </c>
      <c r="BB16" s="129" t="inlineStr">
        <is>
          <t>EUR NZD</t>
        </is>
      </c>
      <c r="BC16" s="123">
        <f>AL24</f>
        <v/>
      </c>
      <c r="BD16" s="124" t="n">
        <v>8</v>
      </c>
      <c r="BE16" s="12">
        <f t="array" ref="BE16">_xlfn.XLOOKUP(MIN(ABS($AY$6:$AY$22 - MEDIAN(-2, 2, BC16))), ABS($AY$6:$AY$22 - MEDIAN(-2, 2, BC16)), $AZ$6:$AZ$22, "Error", 0)</f>
        <v/>
      </c>
      <c r="BF16" s="121" t="n">
        <v>0.005</v>
      </c>
      <c r="BG16" s="128" t="inlineStr">
        <is>
          <t>-6</t>
        </is>
      </c>
      <c r="BH16" s="12">
        <f>BD16-BE16</f>
        <v/>
      </c>
    </row>
    <row r="17" ht="25" customHeight="1" thickBot="1">
      <c r="A17" s="31" t="inlineStr">
        <is>
          <t>USD CAD</t>
        </is>
      </c>
      <c r="B17" s="30">
        <f>B9-B4</f>
        <v/>
      </c>
      <c r="C17" s="30">
        <f>C9-C4</f>
        <v/>
      </c>
      <c r="D17" s="30">
        <f>D9-D4</f>
        <v/>
      </c>
      <c r="E17" s="30">
        <f>E9-E4</f>
        <v/>
      </c>
      <c r="F17" s="30">
        <f>F9-F4</f>
        <v/>
      </c>
      <c r="G17" s="30">
        <f>G9-G4</f>
        <v/>
      </c>
      <c r="H17" s="30">
        <f>H9-H4</f>
        <v/>
      </c>
      <c r="I17" s="30">
        <f>I9-I4</f>
        <v/>
      </c>
      <c r="J17" s="30">
        <f>J9-J4</f>
        <v/>
      </c>
      <c r="K17" s="30">
        <f>K9-K4</f>
        <v/>
      </c>
      <c r="L17" s="30">
        <f>L9-L4</f>
        <v/>
      </c>
      <c r="M17" s="30">
        <f>M9-M4</f>
        <v/>
      </c>
      <c r="N17" s="30">
        <f>N9-N4</f>
        <v/>
      </c>
      <c r="O17" s="30">
        <f>O9-O4</f>
        <v/>
      </c>
      <c r="P17" s="30">
        <f>P9-P4</f>
        <v/>
      </c>
      <c r="Q17" s="30">
        <f>Q9-Q4</f>
        <v/>
      </c>
      <c r="R17" s="30">
        <f>R9-R4</f>
        <v/>
      </c>
      <c r="S17" s="30">
        <f>S9-S4</f>
        <v/>
      </c>
      <c r="T17" s="30">
        <f>T9-T4</f>
        <v/>
      </c>
      <c r="U17" s="30">
        <f>U9-U4</f>
        <v/>
      </c>
      <c r="V17" s="30">
        <f>V9-V4</f>
        <v/>
      </c>
      <c r="W17" s="30">
        <f>W9-W4</f>
        <v/>
      </c>
      <c r="X17" s="30">
        <f>X9-X4</f>
        <v/>
      </c>
      <c r="Y17" s="30">
        <f>Y9-Y4</f>
        <v/>
      </c>
      <c r="Z17" s="30">
        <f>Z9-Z4</f>
        <v/>
      </c>
      <c r="AA17" s="30">
        <f>AA9-AA4</f>
        <v/>
      </c>
      <c r="AB17" s="30">
        <f>AB9-AB4</f>
        <v/>
      </c>
      <c r="AC17" s="30">
        <f>AC9-AC4</f>
        <v/>
      </c>
      <c r="AD17" s="30">
        <f>AD9-AD4</f>
        <v/>
      </c>
      <c r="AE17" s="30">
        <f>AE9-AE4</f>
        <v/>
      </c>
      <c r="AF17" s="30">
        <f>AF9-AF4</f>
        <v/>
      </c>
      <c r="AG17" s="30">
        <f>AG9-AG4</f>
        <v/>
      </c>
      <c r="AH17" s="30">
        <f>AH9-AH4</f>
        <v/>
      </c>
      <c r="AI17" s="30">
        <f>AI9-AI4</f>
        <v/>
      </c>
      <c r="AJ17" s="30">
        <f>AJ9-AJ4</f>
        <v/>
      </c>
      <c r="AK17" s="30">
        <f>AK9-AK4</f>
        <v/>
      </c>
      <c r="AL17" s="30">
        <f>AL9-AL4</f>
        <v/>
      </c>
      <c r="AM17" s="30">
        <f>AM9-AM4</f>
        <v/>
      </c>
      <c r="AN17" s="30">
        <f>AN9-AN4</f>
        <v/>
      </c>
      <c r="AO17" s="30">
        <f>AO9-AO4</f>
        <v/>
      </c>
      <c r="AP17" s="30">
        <f>AP9-AP4</f>
        <v/>
      </c>
      <c r="AQ17" s="30">
        <f>AQ9-AQ4</f>
        <v/>
      </c>
      <c r="AR17" s="30">
        <f>AR9-AR4</f>
        <v/>
      </c>
      <c r="AS17" s="30">
        <f>AS9-AS4</f>
        <v/>
      </c>
      <c r="AT17" s="30">
        <f>AT9-AT4</f>
        <v/>
      </c>
      <c r="AU17" s="30">
        <f>AU9-AU4</f>
        <v/>
      </c>
      <c r="AV17" s="30">
        <f>AV9-AV4</f>
        <v/>
      </c>
      <c r="AW17" s="30">
        <f>AW9-AW4</f>
        <v/>
      </c>
      <c r="AX17" s="127" t="n"/>
      <c r="AY17" s="122" t="n">
        <v>0.75</v>
      </c>
      <c r="AZ17" s="128" t="inlineStr">
        <is>
          <t>-8</t>
        </is>
      </c>
      <c r="BB17" s="37" t="inlineStr">
        <is>
          <t>GBP USD</t>
        </is>
      </c>
      <c r="BC17" s="123">
        <f>AL25</f>
        <v/>
      </c>
      <c r="BD17" s="124" t="n">
        <v>-6</v>
      </c>
      <c r="BE17" s="12">
        <f t="array" ref="BE17">_xlfn.XLOOKUP(MIN(ABS($AY$6:$AY$22 - MEDIAN(-2, 2, BC17))), ABS($AY$6:$AY$22 - MEDIAN(-2, 2, BC17)), $AZ$6:$AZ$22, "Error", 0)</f>
        <v/>
      </c>
      <c r="BF17" s="125" t="n">
        <v>0.0075</v>
      </c>
      <c r="BG17" s="128" t="inlineStr">
        <is>
          <t>-8</t>
        </is>
      </c>
      <c r="BH17" s="12">
        <f>BD17-BE17</f>
        <v/>
      </c>
    </row>
    <row r="18" ht="25" customHeight="1">
      <c r="A18" s="34" t="inlineStr">
        <is>
          <t>EUR USD</t>
        </is>
      </c>
      <c r="B18" s="30">
        <f>B10-B9</f>
        <v/>
      </c>
      <c r="C18" s="30">
        <f>C10-C9</f>
        <v/>
      </c>
      <c r="D18" s="30">
        <f>D10-D9</f>
        <v/>
      </c>
      <c r="E18" s="30">
        <f>E10-E9</f>
        <v/>
      </c>
      <c r="F18" s="30">
        <f>F10-F9</f>
        <v/>
      </c>
      <c r="G18" s="30">
        <f>G10-G9</f>
        <v/>
      </c>
      <c r="H18" s="30">
        <f>H10-H9</f>
        <v/>
      </c>
      <c r="I18" s="30">
        <f>I10-I9</f>
        <v/>
      </c>
      <c r="J18" s="30">
        <f>J10-J9</f>
        <v/>
      </c>
      <c r="K18" s="30">
        <f>K10-K9</f>
        <v/>
      </c>
      <c r="L18" s="30">
        <f>L10-L9</f>
        <v/>
      </c>
      <c r="M18" s="30">
        <f>M10-M9</f>
        <v/>
      </c>
      <c r="N18" s="30">
        <f>N10-N9</f>
        <v/>
      </c>
      <c r="O18" s="30">
        <f>O10-O9</f>
        <v/>
      </c>
      <c r="P18" s="30">
        <f>P10-P9</f>
        <v/>
      </c>
      <c r="Q18" s="30">
        <f>Q10-Q9</f>
        <v/>
      </c>
      <c r="R18" s="30">
        <f>R10-R9</f>
        <v/>
      </c>
      <c r="S18" s="30">
        <f>S10-S9</f>
        <v/>
      </c>
      <c r="T18" s="30">
        <f>T10-T9</f>
        <v/>
      </c>
      <c r="U18" s="30">
        <f>U10-U9</f>
        <v/>
      </c>
      <c r="V18" s="30">
        <f>V10-V9</f>
        <v/>
      </c>
      <c r="W18" s="30">
        <f>W10-W9</f>
        <v/>
      </c>
      <c r="X18" s="30">
        <f>X10-X9</f>
        <v/>
      </c>
      <c r="Y18" s="30">
        <f>Y10-Y9</f>
        <v/>
      </c>
      <c r="Z18" s="30">
        <f>Z10-Z9</f>
        <v/>
      </c>
      <c r="AA18" s="30">
        <f>AA10-AA9</f>
        <v/>
      </c>
      <c r="AB18" s="30">
        <f>AB10-AB9</f>
        <v/>
      </c>
      <c r="AC18" s="30">
        <f>AC10-AC9</f>
        <v/>
      </c>
      <c r="AD18" s="30">
        <f>AD10-AD9</f>
        <v/>
      </c>
      <c r="AE18" s="30">
        <f>AE10-AE9</f>
        <v/>
      </c>
      <c r="AF18" s="30">
        <f>AF10-AF9</f>
        <v/>
      </c>
      <c r="AG18" s="30">
        <f>AG10-AG9</f>
        <v/>
      </c>
      <c r="AH18" s="30">
        <f>AH10-AH9</f>
        <v/>
      </c>
      <c r="AI18" s="30">
        <f>AI10-AI9</f>
        <v/>
      </c>
      <c r="AJ18" s="30">
        <f>AJ10-AJ9</f>
        <v/>
      </c>
      <c r="AK18" s="30">
        <f>AK10-AK9</f>
        <v/>
      </c>
      <c r="AL18" s="30">
        <f>AL10-AL9</f>
        <v/>
      </c>
      <c r="AM18" s="30">
        <f>AM10-AM9</f>
        <v/>
      </c>
      <c r="AN18" s="30">
        <f>AN10-AN9</f>
        <v/>
      </c>
      <c r="AO18" s="30">
        <f>AO10-AO9</f>
        <v/>
      </c>
      <c r="AP18" s="30">
        <f>AP10-AP9</f>
        <v/>
      </c>
      <c r="AQ18" s="30">
        <f>AQ10-AQ9</f>
        <v/>
      </c>
      <c r="AR18" s="30">
        <f>AR10-AR9</f>
        <v/>
      </c>
      <c r="AS18" s="30">
        <f>AS10-AS9</f>
        <v/>
      </c>
      <c r="AT18" s="30">
        <f>AT10-AT9</f>
        <v/>
      </c>
      <c r="AU18" s="30">
        <f>AU10-AU9</f>
        <v/>
      </c>
      <c r="AV18" s="30">
        <f>AV10-AV9</f>
        <v/>
      </c>
      <c r="AW18" s="30">
        <f>AW10-AW9</f>
        <v/>
      </c>
      <c r="AX18" s="127" t="n"/>
      <c r="AY18" s="118" t="n">
        <v>1</v>
      </c>
      <c r="AZ18" s="128" t="inlineStr">
        <is>
          <t>-10</t>
        </is>
      </c>
      <c r="BB18" s="37" t="inlineStr">
        <is>
          <t>GBP JPY</t>
        </is>
      </c>
      <c r="BC18" s="123">
        <f>AL26</f>
        <v/>
      </c>
      <c r="BD18" s="124" t="n">
        <v>8</v>
      </c>
      <c r="BE18" s="12">
        <f t="array" ref="BE18">_xlfn.XLOOKUP(MIN(ABS($AY$6:$AY$22 - MEDIAN(-2, 2, BC18))), ABS($AY$6:$AY$22 - MEDIAN(-2, 2, BC18)), $AZ$6:$AZ$22, "Error", 0)</f>
        <v/>
      </c>
      <c r="BF18" s="121" t="n">
        <v>0.01</v>
      </c>
      <c r="BG18" s="128" t="inlineStr">
        <is>
          <t>-10</t>
        </is>
      </c>
      <c r="BH18" s="12">
        <f>BD18-BE18</f>
        <v/>
      </c>
    </row>
    <row r="19" ht="25" customHeight="1" thickBot="1">
      <c r="A19" s="34" t="inlineStr">
        <is>
          <t>EUR JPY</t>
        </is>
      </c>
      <c r="B19" s="30">
        <f>B10-B5</f>
        <v/>
      </c>
      <c r="C19" s="30">
        <f>C10-C5</f>
        <v/>
      </c>
      <c r="D19" s="30">
        <f>D10-D5</f>
        <v/>
      </c>
      <c r="E19" s="30">
        <f>E10-E5</f>
        <v/>
      </c>
      <c r="F19" s="30">
        <f>F10-F5</f>
        <v/>
      </c>
      <c r="G19" s="30">
        <f>G10-G5</f>
        <v/>
      </c>
      <c r="H19" s="30">
        <f>H10-H5</f>
        <v/>
      </c>
      <c r="I19" s="30">
        <f>I10-I5</f>
        <v/>
      </c>
      <c r="J19" s="30">
        <f>J10-J5</f>
        <v/>
      </c>
      <c r="K19" s="30">
        <f>K10-K5</f>
        <v/>
      </c>
      <c r="L19" s="30">
        <f>L10-L5</f>
        <v/>
      </c>
      <c r="M19" s="30">
        <f>M10-M5</f>
        <v/>
      </c>
      <c r="N19" s="30">
        <f>N10-N5</f>
        <v/>
      </c>
      <c r="O19" s="30">
        <f>O10-O5</f>
        <v/>
      </c>
      <c r="P19" s="30">
        <f>P10-P5</f>
        <v/>
      </c>
      <c r="Q19" s="30">
        <f>Q10-Q5</f>
        <v/>
      </c>
      <c r="R19" s="30">
        <f>R10-R5</f>
        <v/>
      </c>
      <c r="S19" s="30">
        <f>S10-S5</f>
        <v/>
      </c>
      <c r="T19" s="30">
        <f>T10-T5</f>
        <v/>
      </c>
      <c r="U19" s="30">
        <f>U10-U5</f>
        <v/>
      </c>
      <c r="V19" s="30">
        <f>V10-V5</f>
        <v/>
      </c>
      <c r="W19" s="30">
        <f>W10-W5</f>
        <v/>
      </c>
      <c r="X19" s="30">
        <f>X10-X5</f>
        <v/>
      </c>
      <c r="Y19" s="30">
        <f>Y10-Y5</f>
        <v/>
      </c>
      <c r="Z19" s="30">
        <f>Z10-Z5</f>
        <v/>
      </c>
      <c r="AA19" s="30">
        <f>AA10-AA5</f>
        <v/>
      </c>
      <c r="AB19" s="30">
        <f>AB10-AB5</f>
        <v/>
      </c>
      <c r="AC19" s="30">
        <f>AC10-AC5</f>
        <v/>
      </c>
      <c r="AD19" s="30">
        <f>AD10-AD5</f>
        <v/>
      </c>
      <c r="AE19" s="30">
        <f>AE10-AE5</f>
        <v/>
      </c>
      <c r="AF19" s="30">
        <f>AF10-AF5</f>
        <v/>
      </c>
      <c r="AG19" s="30">
        <f>AG10-AG5</f>
        <v/>
      </c>
      <c r="AH19" s="30">
        <f>AH10-AH5</f>
        <v/>
      </c>
      <c r="AI19" s="30">
        <f>AI10-AI5</f>
        <v/>
      </c>
      <c r="AJ19" s="30">
        <f>AJ10-AJ5</f>
        <v/>
      </c>
      <c r="AK19" s="30">
        <f>AK10-AK5</f>
        <v/>
      </c>
      <c r="AL19" s="30">
        <f>AL10-AL5</f>
        <v/>
      </c>
      <c r="AM19" s="30">
        <f>AM10-AM5</f>
        <v/>
      </c>
      <c r="AN19" s="30">
        <f>AN10-AN5</f>
        <v/>
      </c>
      <c r="AO19" s="30">
        <f>AO10-AO5</f>
        <v/>
      </c>
      <c r="AP19" s="30">
        <f>AP10-AP5</f>
        <v/>
      </c>
      <c r="AQ19" s="30">
        <f>AQ10-AQ5</f>
        <v/>
      </c>
      <c r="AR19" s="30">
        <f>AR10-AR5</f>
        <v/>
      </c>
      <c r="AS19" s="30">
        <f>AS10-AS5</f>
        <v/>
      </c>
      <c r="AT19" s="30">
        <f>AT10-AT5</f>
        <v/>
      </c>
      <c r="AU19" s="30">
        <f>AU10-AU5</f>
        <v/>
      </c>
      <c r="AV19" s="30">
        <f>AV10-AV5</f>
        <v/>
      </c>
      <c r="AW19" s="30">
        <f>AW10-AW5</f>
        <v/>
      </c>
      <c r="AX19" s="127" t="n"/>
      <c r="AY19" s="122" t="n">
        <v>1.25</v>
      </c>
      <c r="AZ19" s="119" t="inlineStr">
        <is>
          <t>6</t>
        </is>
      </c>
      <c r="BB19" s="37" t="inlineStr">
        <is>
          <t>GBP CHF</t>
        </is>
      </c>
      <c r="BC19" s="123">
        <f>AL27</f>
        <v/>
      </c>
      <c r="BD19" s="124" t="n">
        <v>10</v>
      </c>
      <c r="BE19" s="12">
        <f t="array" ref="BE19">_xlfn.XLOOKUP(MIN(ABS($AY$6:$AY$22 - MEDIAN(-2, 2, BC19))), ABS($AY$6:$AY$22 - MEDIAN(-2, 2, BC19)), $AZ$6:$AZ$22, "Error", 0)</f>
        <v/>
      </c>
      <c r="BF19" s="125" t="n">
        <v>0.0125</v>
      </c>
      <c r="BG19" s="119" t="inlineStr">
        <is>
          <t>6</t>
        </is>
      </c>
      <c r="BH19" s="12">
        <f>BD19-BE19</f>
        <v/>
      </c>
    </row>
    <row r="20" ht="25" customHeight="1">
      <c r="A20" s="34" t="inlineStr">
        <is>
          <t>EUR CHF</t>
        </is>
      </c>
      <c r="B20" s="30">
        <f>B10-B6</f>
        <v/>
      </c>
      <c r="C20" s="30">
        <f>C10-C6</f>
        <v/>
      </c>
      <c r="D20" s="30">
        <f>D10-D6</f>
        <v/>
      </c>
      <c r="E20" s="30">
        <f>E10-E6</f>
        <v/>
      </c>
      <c r="F20" s="30">
        <f>F10-F6</f>
        <v/>
      </c>
      <c r="G20" s="30">
        <f>G10-G6</f>
        <v/>
      </c>
      <c r="H20" s="30">
        <f>H10-H6</f>
        <v/>
      </c>
      <c r="I20" s="30">
        <f>I10-I6</f>
        <v/>
      </c>
      <c r="J20" s="30">
        <f>J10-J6</f>
        <v/>
      </c>
      <c r="K20" s="30">
        <f>K10-K6</f>
        <v/>
      </c>
      <c r="L20" s="30">
        <f>L10-L6</f>
        <v/>
      </c>
      <c r="M20" s="30">
        <f>M10-M6</f>
        <v/>
      </c>
      <c r="N20" s="30">
        <f>N10-N6</f>
        <v/>
      </c>
      <c r="O20" s="30">
        <f>O10-O6</f>
        <v/>
      </c>
      <c r="P20" s="30">
        <f>P10-P6</f>
        <v/>
      </c>
      <c r="Q20" s="30">
        <f>Q10-Q6</f>
        <v/>
      </c>
      <c r="R20" s="30">
        <f>R10-R6</f>
        <v/>
      </c>
      <c r="S20" s="30">
        <f>S10-S6</f>
        <v/>
      </c>
      <c r="T20" s="30">
        <f>T10-T6</f>
        <v/>
      </c>
      <c r="U20" s="30">
        <f>U10-U6</f>
        <v/>
      </c>
      <c r="V20" s="30">
        <f>V10-V6</f>
        <v/>
      </c>
      <c r="W20" s="30">
        <f>W10-W6</f>
        <v/>
      </c>
      <c r="X20" s="30">
        <f>X10-X6</f>
        <v/>
      </c>
      <c r="Y20" s="30">
        <f>Y10-Y6</f>
        <v/>
      </c>
      <c r="Z20" s="30">
        <f>Z10-Z6</f>
        <v/>
      </c>
      <c r="AA20" s="30">
        <f>AA10-AA6</f>
        <v/>
      </c>
      <c r="AB20" s="30">
        <f>AB10-AB6</f>
        <v/>
      </c>
      <c r="AC20" s="30">
        <f>AC10-AC6</f>
        <v/>
      </c>
      <c r="AD20" s="30">
        <f>AD10-AD6</f>
        <v/>
      </c>
      <c r="AE20" s="30">
        <f>AE10-AE6</f>
        <v/>
      </c>
      <c r="AF20" s="30">
        <f>AF10-AF6</f>
        <v/>
      </c>
      <c r="AG20" s="30">
        <f>AG10-AG6</f>
        <v/>
      </c>
      <c r="AH20" s="30">
        <f>AH10-AH6</f>
        <v/>
      </c>
      <c r="AI20" s="30">
        <f>AI10-AI6</f>
        <v/>
      </c>
      <c r="AJ20" s="30">
        <f>AJ10-AJ6</f>
        <v/>
      </c>
      <c r="AK20" s="30">
        <f>AK10-AK6</f>
        <v/>
      </c>
      <c r="AL20" s="30">
        <f>AL10-AL6</f>
        <v/>
      </c>
      <c r="AM20" s="30">
        <f>AM10-AM6</f>
        <v/>
      </c>
      <c r="AN20" s="30">
        <f>AN10-AN6</f>
        <v/>
      </c>
      <c r="AO20" s="30">
        <f>AO10-AO6</f>
        <v/>
      </c>
      <c r="AP20" s="30">
        <f>AP10-AP6</f>
        <v/>
      </c>
      <c r="AQ20" s="30">
        <f>AQ10-AQ6</f>
        <v/>
      </c>
      <c r="AR20" s="30">
        <f>AR10-AR6</f>
        <v/>
      </c>
      <c r="AS20" s="30">
        <f>AS10-AS6</f>
        <v/>
      </c>
      <c r="AT20" s="30">
        <f>AT10-AT6</f>
        <v/>
      </c>
      <c r="AU20" s="30">
        <f>AU10-AU6</f>
        <v/>
      </c>
      <c r="AV20" s="30">
        <f>AV10-AV6</f>
        <v/>
      </c>
      <c r="AW20" s="30">
        <f>AW10-AW6</f>
        <v/>
      </c>
      <c r="AX20" s="127" t="n"/>
      <c r="AY20" s="118" t="n">
        <v>1.5</v>
      </c>
      <c r="AZ20" s="119" t="inlineStr">
        <is>
          <t>8</t>
        </is>
      </c>
      <c r="BB20" s="37" t="inlineStr">
        <is>
          <t>GBP CAD</t>
        </is>
      </c>
      <c r="BC20" s="123">
        <f>AL28</f>
        <v/>
      </c>
      <c r="BD20" s="124" t="n">
        <v>-8</v>
      </c>
      <c r="BE20" s="12">
        <f t="array" ref="BE20">_xlfn.XLOOKUP(MIN(ABS($AY$6:$AY$22 - MEDIAN(-2, 2, BC20))), ABS($AY$6:$AY$22 - MEDIAN(-2, 2, BC20)), $AZ$6:$AZ$22, "Error", 0)</f>
        <v/>
      </c>
      <c r="BF20" s="121" t="n">
        <v>0.015</v>
      </c>
      <c r="BG20" s="119" t="inlineStr">
        <is>
          <t>8</t>
        </is>
      </c>
      <c r="BH20" s="12">
        <f>BD20-BE20</f>
        <v/>
      </c>
    </row>
    <row r="21" ht="25" customHeight="1" thickBot="1">
      <c r="A21" s="34" t="inlineStr">
        <is>
          <t>EUR GBP</t>
        </is>
      </c>
      <c r="B21" s="30">
        <f>B10-B8</f>
        <v/>
      </c>
      <c r="C21" s="30">
        <f>C10-C8</f>
        <v/>
      </c>
      <c r="D21" s="30">
        <f>D10-D8</f>
        <v/>
      </c>
      <c r="E21" s="30">
        <f>E10-E8</f>
        <v/>
      </c>
      <c r="F21" s="30">
        <f>F10-F8</f>
        <v/>
      </c>
      <c r="G21" s="30">
        <f>G10-G8</f>
        <v/>
      </c>
      <c r="H21" s="30">
        <f>H10-H8</f>
        <v/>
      </c>
      <c r="I21" s="30">
        <f>I10-I8</f>
        <v/>
      </c>
      <c r="J21" s="30">
        <f>J10-J8</f>
        <v/>
      </c>
      <c r="K21" s="30">
        <f>K10-K8</f>
        <v/>
      </c>
      <c r="L21" s="30">
        <f>L10-L8</f>
        <v/>
      </c>
      <c r="M21" s="30">
        <f>M10-M8</f>
        <v/>
      </c>
      <c r="N21" s="30">
        <f>N10-N8</f>
        <v/>
      </c>
      <c r="O21" s="30">
        <f>O10-O8</f>
        <v/>
      </c>
      <c r="P21" s="30">
        <f>P10-P8</f>
        <v/>
      </c>
      <c r="Q21" s="30">
        <f>Q10-Q8</f>
        <v/>
      </c>
      <c r="R21" s="30">
        <f>R10-R8</f>
        <v/>
      </c>
      <c r="S21" s="30">
        <f>S10-S8</f>
        <v/>
      </c>
      <c r="T21" s="30">
        <f>T10-T8</f>
        <v/>
      </c>
      <c r="U21" s="30">
        <f>U10-U8</f>
        <v/>
      </c>
      <c r="V21" s="30">
        <f>V10-V8</f>
        <v/>
      </c>
      <c r="W21" s="30">
        <f>W10-W8</f>
        <v/>
      </c>
      <c r="X21" s="30">
        <f>X10-X8</f>
        <v/>
      </c>
      <c r="Y21" s="30">
        <f>Y10-Y8</f>
        <v/>
      </c>
      <c r="Z21" s="30">
        <f>Z10-Z8</f>
        <v/>
      </c>
      <c r="AA21" s="30">
        <f>AA10-AA8</f>
        <v/>
      </c>
      <c r="AB21" s="30">
        <f>AB10-AB8</f>
        <v/>
      </c>
      <c r="AC21" s="30">
        <f>AC10-AC8</f>
        <v/>
      </c>
      <c r="AD21" s="30">
        <f>AD10-AD8</f>
        <v/>
      </c>
      <c r="AE21" s="30">
        <f>AE10-AE8</f>
        <v/>
      </c>
      <c r="AF21" s="30">
        <f>AF10-AF8</f>
        <v/>
      </c>
      <c r="AG21" s="30">
        <f>AG10-AG8</f>
        <v/>
      </c>
      <c r="AH21" s="30">
        <f>AH10-AH8</f>
        <v/>
      </c>
      <c r="AI21" s="30">
        <f>AI10-AI8</f>
        <v/>
      </c>
      <c r="AJ21" s="30">
        <f>AJ10-AJ8</f>
        <v/>
      </c>
      <c r="AK21" s="30">
        <f>AK10-AK8</f>
        <v/>
      </c>
      <c r="AL21" s="30">
        <f>AL10-AL8</f>
        <v/>
      </c>
      <c r="AM21" s="30">
        <f>AM10-AM8</f>
        <v/>
      </c>
      <c r="AN21" s="30">
        <f>AN10-AN8</f>
        <v/>
      </c>
      <c r="AO21" s="30">
        <f>AO10-AO8</f>
        <v/>
      </c>
      <c r="AP21" s="30">
        <f>AP10-AP8</f>
        <v/>
      </c>
      <c r="AQ21" s="30">
        <f>AQ10-AQ8</f>
        <v/>
      </c>
      <c r="AR21" s="30">
        <f>AR10-AR8</f>
        <v/>
      </c>
      <c r="AS21" s="30">
        <f>AS10-AS8</f>
        <v/>
      </c>
      <c r="AT21" s="30">
        <f>AT10-AT8</f>
        <v/>
      </c>
      <c r="AU21" s="30">
        <f>AU10-AU8</f>
        <v/>
      </c>
      <c r="AV21" s="30">
        <f>AV10-AV8</f>
        <v/>
      </c>
      <c r="AW21" s="30">
        <f>AW10-AW8</f>
        <v/>
      </c>
      <c r="AX21" s="127" t="n"/>
      <c r="AY21" s="122" t="n">
        <v>1.75</v>
      </c>
      <c r="AZ21" s="119" t="inlineStr">
        <is>
          <t>9</t>
        </is>
      </c>
      <c r="BB21" s="37" t="inlineStr">
        <is>
          <t>GBP AUD</t>
        </is>
      </c>
      <c r="BC21" s="123">
        <f>AL29</f>
        <v/>
      </c>
      <c r="BD21" s="124" t="n">
        <v>8</v>
      </c>
      <c r="BE21" s="12">
        <f t="array" ref="BE21">_xlfn.XLOOKUP(MIN(ABS($AY$6:$AY$22 - MEDIAN(-2, 2, BC21))), ABS($AY$6:$AY$22 - MEDIAN(-2, 2, BC21)), $AZ$6:$AZ$22, "Error", 0)</f>
        <v/>
      </c>
      <c r="BF21" s="125" t="n">
        <v>0.0175</v>
      </c>
      <c r="BG21" s="119" t="inlineStr">
        <is>
          <t>9</t>
        </is>
      </c>
      <c r="BH21" s="12">
        <f>BD21-BE21</f>
        <v/>
      </c>
    </row>
    <row r="22" ht="25" customHeight="1">
      <c r="A22" s="34" t="inlineStr">
        <is>
          <t>EUR CAD</t>
        </is>
      </c>
      <c r="B22" s="30">
        <f>B10-B4</f>
        <v/>
      </c>
      <c r="C22" s="30">
        <f>C10-C4</f>
        <v/>
      </c>
      <c r="D22" s="30">
        <f>D10-D4</f>
        <v/>
      </c>
      <c r="E22" s="30">
        <f>E10-E4</f>
        <v/>
      </c>
      <c r="F22" s="30">
        <f>F10-F4</f>
        <v/>
      </c>
      <c r="G22" s="30">
        <f>G10-G4</f>
        <v/>
      </c>
      <c r="H22" s="30">
        <f>H10-H4</f>
        <v/>
      </c>
      <c r="I22" s="30">
        <f>I10-I4</f>
        <v/>
      </c>
      <c r="J22" s="30">
        <f>J10-J4</f>
        <v/>
      </c>
      <c r="K22" s="30">
        <f>K10-K4</f>
        <v/>
      </c>
      <c r="L22" s="30">
        <f>L10-L4</f>
        <v/>
      </c>
      <c r="M22" s="30">
        <f>M10-M4</f>
        <v/>
      </c>
      <c r="N22" s="30">
        <f>N10-N4</f>
        <v/>
      </c>
      <c r="O22" s="30">
        <f>O10-O4</f>
        <v/>
      </c>
      <c r="P22" s="30">
        <f>P10-P4</f>
        <v/>
      </c>
      <c r="Q22" s="30">
        <f>Q10-Q4</f>
        <v/>
      </c>
      <c r="R22" s="30">
        <f>R10-R4</f>
        <v/>
      </c>
      <c r="S22" s="30">
        <f>S10-S4</f>
        <v/>
      </c>
      <c r="T22" s="30">
        <f>T10-T4</f>
        <v/>
      </c>
      <c r="U22" s="30">
        <f>U10-U4</f>
        <v/>
      </c>
      <c r="V22" s="30">
        <f>V10-V4</f>
        <v/>
      </c>
      <c r="W22" s="30">
        <f>W10-W4</f>
        <v/>
      </c>
      <c r="X22" s="30">
        <f>X10-X4</f>
        <v/>
      </c>
      <c r="Y22" s="30">
        <f>Y10-Y4</f>
        <v/>
      </c>
      <c r="Z22" s="30">
        <f>Z10-Z4</f>
        <v/>
      </c>
      <c r="AA22" s="30">
        <f>AA10-AA4</f>
        <v/>
      </c>
      <c r="AB22" s="30">
        <f>AB10-AB4</f>
        <v/>
      </c>
      <c r="AC22" s="30">
        <f>AC10-AC4</f>
        <v/>
      </c>
      <c r="AD22" s="30">
        <f>AD10-AD4</f>
        <v/>
      </c>
      <c r="AE22" s="30">
        <f>AE10-AE4</f>
        <v/>
      </c>
      <c r="AF22" s="30">
        <f>AF10-AF4</f>
        <v/>
      </c>
      <c r="AG22" s="30">
        <f>AG10-AG4</f>
        <v/>
      </c>
      <c r="AH22" s="30">
        <f>AH10-AH4</f>
        <v/>
      </c>
      <c r="AI22" s="30">
        <f>AI10-AI4</f>
        <v/>
      </c>
      <c r="AJ22" s="30">
        <f>AJ10-AJ4</f>
        <v/>
      </c>
      <c r="AK22" s="30">
        <f>AK10-AK4</f>
        <v/>
      </c>
      <c r="AL22" s="30">
        <f>AL10-AL4</f>
        <v/>
      </c>
      <c r="AM22" s="30">
        <f>AM10-AM4</f>
        <v/>
      </c>
      <c r="AN22" s="30">
        <f>AN10-AN4</f>
        <v/>
      </c>
      <c r="AO22" s="30">
        <f>AO10-AO4</f>
        <v/>
      </c>
      <c r="AP22" s="30">
        <f>AP10-AP4</f>
        <v/>
      </c>
      <c r="AQ22" s="30">
        <f>AQ10-AQ4</f>
        <v/>
      </c>
      <c r="AR22" s="30">
        <f>AR10-AR4</f>
        <v/>
      </c>
      <c r="AS22" s="30">
        <f>AS10-AS4</f>
        <v/>
      </c>
      <c r="AT22" s="30">
        <f>AT10-AT4</f>
        <v/>
      </c>
      <c r="AU22" s="30">
        <f>AU10-AU4</f>
        <v/>
      </c>
      <c r="AV22" s="30">
        <f>AV10-AV4</f>
        <v/>
      </c>
      <c r="AW22" s="30">
        <f>AW10-AW4</f>
        <v/>
      </c>
      <c r="AX22" s="127" t="n"/>
      <c r="AY22" s="118" t="n">
        <v>2</v>
      </c>
      <c r="AZ22" s="119" t="inlineStr">
        <is>
          <t>10</t>
        </is>
      </c>
      <c r="BB22" s="129" t="inlineStr">
        <is>
          <t>GBP NZD</t>
        </is>
      </c>
      <c r="BC22" s="123">
        <f>AL30</f>
        <v/>
      </c>
      <c r="BD22" s="124" t="n">
        <v>-6</v>
      </c>
      <c r="BE22" s="12">
        <f t="array" ref="BE22">_xlfn.XLOOKUP(MIN(ABS($AY$6:$AY$22 - MEDIAN(-2, 2, BC22))), ABS($AY$6:$AY$22 - MEDIAN(-2, 2, BC22)), $AZ$6:$AZ$22, "Error", 0)</f>
        <v/>
      </c>
      <c r="BF22" s="121" t="n">
        <v>0.02</v>
      </c>
      <c r="BG22" s="119" t="inlineStr">
        <is>
          <t>10</t>
        </is>
      </c>
      <c r="BH22" s="12">
        <f>BD22-BE22</f>
        <v/>
      </c>
    </row>
    <row r="23" ht="25" customHeight="1">
      <c r="A23" s="34" t="inlineStr">
        <is>
          <t>EUR AUD</t>
        </is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v>0</v>
      </c>
      <c r="G23" s="30" t="n">
        <v>0</v>
      </c>
      <c r="H23" s="30" t="n">
        <v>0</v>
      </c>
      <c r="I23" s="30" t="n">
        <v>0</v>
      </c>
      <c r="J23" s="30" t="n">
        <v>0</v>
      </c>
      <c r="K23" s="30" t="n">
        <v>0</v>
      </c>
      <c r="L23" s="30" t="n">
        <v>0</v>
      </c>
      <c r="M23" s="30" t="n">
        <v>0</v>
      </c>
      <c r="N23" s="30" t="n">
        <v>0</v>
      </c>
      <c r="O23" s="30" t="n">
        <v>0</v>
      </c>
      <c r="P23" s="30" t="n">
        <v>0</v>
      </c>
      <c r="Q23" s="30" t="n">
        <v>0</v>
      </c>
      <c r="R23" s="30" t="n">
        <v>0</v>
      </c>
      <c r="S23" s="30" t="n">
        <v>0</v>
      </c>
      <c r="T23" s="30" t="n">
        <v>0</v>
      </c>
      <c r="U23" s="30" t="n">
        <v>0</v>
      </c>
      <c r="V23" s="30" t="n">
        <v>0</v>
      </c>
      <c r="W23" s="30" t="n">
        <v>0</v>
      </c>
      <c r="X23" s="30" t="n">
        <v>0</v>
      </c>
      <c r="Y23" s="30" t="n">
        <v>0</v>
      </c>
      <c r="Z23" s="30" t="n">
        <v>0</v>
      </c>
      <c r="AA23" s="30" t="n">
        <v>0</v>
      </c>
      <c r="AB23" s="30" t="n">
        <v>0</v>
      </c>
      <c r="AC23" s="30">
        <f>AC10-AC3</f>
        <v/>
      </c>
      <c r="AD23" s="30">
        <f>AD10-AD3</f>
        <v/>
      </c>
      <c r="AE23" s="30">
        <f>AE10-AE3</f>
        <v/>
      </c>
      <c r="AF23" s="30">
        <f>AF10-AF3</f>
        <v/>
      </c>
      <c r="AG23" s="30">
        <f>AG10-AG3</f>
        <v/>
      </c>
      <c r="AH23" s="30">
        <f>AH10-AH3</f>
        <v/>
      </c>
      <c r="AI23" s="30">
        <f>AI10-AI3</f>
        <v/>
      </c>
      <c r="AJ23" s="30">
        <f>AJ10-AJ3</f>
        <v/>
      </c>
      <c r="AK23" s="30">
        <f>AK10-AK3</f>
        <v/>
      </c>
      <c r="AL23" s="30">
        <f>AL10-AL3</f>
        <v/>
      </c>
      <c r="AM23" s="30">
        <f>AM10-AM3</f>
        <v/>
      </c>
      <c r="AN23" s="30">
        <f>AN10-AN3</f>
        <v/>
      </c>
      <c r="AO23" s="30">
        <f>AO10-AO3</f>
        <v/>
      </c>
      <c r="AP23" s="30">
        <f>AP10-AP3</f>
        <v/>
      </c>
      <c r="AQ23" s="30">
        <f>AQ10-AQ3</f>
        <v/>
      </c>
      <c r="AR23" s="30">
        <f>AR10-AR3</f>
        <v/>
      </c>
      <c r="AS23" s="30">
        <f>AS10-AS3</f>
        <v/>
      </c>
      <c r="AT23" s="30">
        <f>AT10-AT3</f>
        <v/>
      </c>
      <c r="AU23" s="30">
        <f>AU10-AU3</f>
        <v/>
      </c>
      <c r="AV23" s="30">
        <f>AV10-AV3</f>
        <v/>
      </c>
      <c r="AW23" s="30">
        <f>AW10-AW3</f>
        <v/>
      </c>
      <c r="AX23" s="127" t="n"/>
      <c r="BB23" s="40" t="inlineStr">
        <is>
          <t xml:space="preserve">CHF JPY </t>
        </is>
      </c>
      <c r="BC23" s="123">
        <f>AL31</f>
        <v/>
      </c>
      <c r="BD23" s="124" t="n">
        <v>4</v>
      </c>
      <c r="BE23" s="12">
        <f t="array" ref="BE23">_xlfn.XLOOKUP(MIN(ABS($AY$6:$AY$22 - MEDIAN(-2, 2, BC23))), ABS($AY$6:$AY$22 - MEDIAN(-2, 2, BC23)), $AZ$6:$AZ$22, "Error", 0)</f>
        <v/>
      </c>
      <c r="BH23" s="12">
        <f>BD23-BE23</f>
        <v/>
      </c>
    </row>
    <row r="24" ht="25" customHeight="1">
      <c r="A24" s="36" t="inlineStr">
        <is>
          <t>EUR NZD</t>
        </is>
      </c>
      <c r="B24" s="30">
        <f>B10-B7</f>
        <v/>
      </c>
      <c r="C24" s="30">
        <f>C10-C7</f>
        <v/>
      </c>
      <c r="D24" s="30">
        <f>D10-D7</f>
        <v/>
      </c>
      <c r="E24" s="30">
        <f>E10-E7</f>
        <v/>
      </c>
      <c r="F24" s="30">
        <f>F10-F7</f>
        <v/>
      </c>
      <c r="G24" s="30">
        <f>G10-G7</f>
        <v/>
      </c>
      <c r="H24" s="30">
        <f>H10-H7</f>
        <v/>
      </c>
      <c r="I24" s="30">
        <f>I10-I7</f>
        <v/>
      </c>
      <c r="J24" s="30">
        <f>J10-J7</f>
        <v/>
      </c>
      <c r="K24" s="30">
        <f>K10-K7</f>
        <v/>
      </c>
      <c r="L24" s="30">
        <f>L10-L7</f>
        <v/>
      </c>
      <c r="M24" s="30">
        <f>M10-M7</f>
        <v/>
      </c>
      <c r="N24" s="30">
        <f>N10-N7</f>
        <v/>
      </c>
      <c r="O24" s="30">
        <f>O10-O7</f>
        <v/>
      </c>
      <c r="P24" s="30">
        <f>P10-P7</f>
        <v/>
      </c>
      <c r="Q24" s="30">
        <f>Q10-Q7</f>
        <v/>
      </c>
      <c r="R24" s="30">
        <f>R10-R7</f>
        <v/>
      </c>
      <c r="S24" s="30">
        <f>S10-S7</f>
        <v/>
      </c>
      <c r="T24" s="30">
        <f>T10-T7</f>
        <v/>
      </c>
      <c r="U24" s="30">
        <f>U10-U7</f>
        <v/>
      </c>
      <c r="V24" s="30">
        <f>V10-V7</f>
        <v/>
      </c>
      <c r="W24" s="30">
        <f>W10-W7</f>
        <v/>
      </c>
      <c r="X24" s="30">
        <f>X10-X7</f>
        <v/>
      </c>
      <c r="Y24" s="30">
        <f>Y10-Y7</f>
        <v/>
      </c>
      <c r="Z24" s="30">
        <f>Z10-Z7</f>
        <v/>
      </c>
      <c r="AA24" s="30">
        <f>AA10-AA7</f>
        <v/>
      </c>
      <c r="AB24" s="30">
        <f>AB10-AB7</f>
        <v/>
      </c>
      <c r="AC24" s="30">
        <f>AC10-AC7</f>
        <v/>
      </c>
      <c r="AD24" s="30">
        <f>AD10-AD7</f>
        <v/>
      </c>
      <c r="AE24" s="30">
        <f>AE10-AE7</f>
        <v/>
      </c>
      <c r="AF24" s="30">
        <f>AF10-AF7</f>
        <v/>
      </c>
      <c r="AG24" s="30">
        <f>AG10-AG7</f>
        <v/>
      </c>
      <c r="AH24" s="30">
        <f>AH10-AH7</f>
        <v/>
      </c>
      <c r="AI24" s="30">
        <f>AI10-AI7</f>
        <v/>
      </c>
      <c r="AJ24" s="30">
        <f>AJ10-AJ7</f>
        <v/>
      </c>
      <c r="AK24" s="30">
        <f>AK10-AK7</f>
        <v/>
      </c>
      <c r="AL24" s="30">
        <f>AL10-AL7</f>
        <v/>
      </c>
      <c r="AM24" s="30">
        <f>AM10-AM7</f>
        <v/>
      </c>
      <c r="AN24" s="30">
        <f>AN10-AN7</f>
        <v/>
      </c>
      <c r="AO24" s="30">
        <f>AO10-AO7</f>
        <v/>
      </c>
      <c r="AP24" s="30">
        <f>AP10-AP7</f>
        <v/>
      </c>
      <c r="AQ24" s="30">
        <f>AQ10-AQ7</f>
        <v/>
      </c>
      <c r="AR24" s="30">
        <f>AR10-AR7</f>
        <v/>
      </c>
      <c r="AS24" s="30">
        <f>AS10-AS7</f>
        <v/>
      </c>
      <c r="AT24" s="30">
        <f>AT10-AT7</f>
        <v/>
      </c>
      <c r="AU24" s="30">
        <f>AU10-AU7</f>
        <v/>
      </c>
      <c r="AV24" s="30">
        <f>AV10-AV7</f>
        <v/>
      </c>
      <c r="AW24" s="30">
        <f>AW10-AW7</f>
        <v/>
      </c>
      <c r="AX24" s="127" t="n"/>
      <c r="BB24" s="130" t="inlineStr">
        <is>
          <t>AUD USD</t>
        </is>
      </c>
      <c r="BC24" s="123">
        <f>AL32</f>
        <v/>
      </c>
      <c r="BD24" s="124" t="n">
        <v>8</v>
      </c>
      <c r="BE24" s="12">
        <f t="array" ref="BE24">_xlfn.XLOOKUP(MIN(ABS($AY$6:$AY$22 - MEDIAN(-2, 2, BC24))), ABS($AY$6:$AY$22 - MEDIAN(-2, 2, BC24)), $AZ$6:$AZ$22, "Error", 0)</f>
        <v/>
      </c>
      <c r="BH24" s="12">
        <f>BD24-BE24</f>
        <v/>
      </c>
    </row>
    <row r="25" ht="25" customHeight="1">
      <c r="A25" s="37" t="inlineStr">
        <is>
          <t>GBP USD</t>
        </is>
      </c>
      <c r="B25" s="30">
        <f>B8-B9</f>
        <v/>
      </c>
      <c r="C25" s="30">
        <f>C8-C9</f>
        <v/>
      </c>
      <c r="D25" s="30">
        <f>D8-D9</f>
        <v/>
      </c>
      <c r="E25" s="30">
        <f>E8-E9</f>
        <v/>
      </c>
      <c r="F25" s="30">
        <f>F8-F9</f>
        <v/>
      </c>
      <c r="G25" s="30">
        <f>G8-G9</f>
        <v/>
      </c>
      <c r="H25" s="30">
        <f>H8-H9</f>
        <v/>
      </c>
      <c r="I25" s="30">
        <f>I8-I9</f>
        <v/>
      </c>
      <c r="J25" s="30">
        <f>J8-J9</f>
        <v/>
      </c>
      <c r="K25" s="30">
        <f>K8-K9</f>
        <v/>
      </c>
      <c r="L25" s="30">
        <f>L8-L9</f>
        <v/>
      </c>
      <c r="M25" s="30">
        <f>M8-M9</f>
        <v/>
      </c>
      <c r="N25" s="30">
        <f>N8-N9</f>
        <v/>
      </c>
      <c r="O25" s="30">
        <f>O8-O9</f>
        <v/>
      </c>
      <c r="P25" s="30">
        <f>P8-P9</f>
        <v/>
      </c>
      <c r="Q25" s="30">
        <f>Q8-Q9</f>
        <v/>
      </c>
      <c r="R25" s="30">
        <f>R8-R9</f>
        <v/>
      </c>
      <c r="S25" s="30">
        <f>S8-S9</f>
        <v/>
      </c>
      <c r="T25" s="30">
        <f>T8-T9</f>
        <v/>
      </c>
      <c r="U25" s="30">
        <f>U8-U9</f>
        <v/>
      </c>
      <c r="V25" s="30">
        <f>V8-V9</f>
        <v/>
      </c>
      <c r="W25" s="30">
        <f>W8-W9</f>
        <v/>
      </c>
      <c r="X25" s="30">
        <f>X8-X9</f>
        <v/>
      </c>
      <c r="Y25" s="30">
        <f>Y8-Y9</f>
        <v/>
      </c>
      <c r="Z25" s="30">
        <f>Z8-Z9</f>
        <v/>
      </c>
      <c r="AA25" s="30">
        <f>AA8-AA9</f>
        <v/>
      </c>
      <c r="AB25" s="30">
        <f>AB8-AB9</f>
        <v/>
      </c>
      <c r="AC25" s="30">
        <f>AC8-AC9</f>
        <v/>
      </c>
      <c r="AD25" s="30">
        <f>AD8-AD9</f>
        <v/>
      </c>
      <c r="AE25" s="30">
        <f>AE8-AE9</f>
        <v/>
      </c>
      <c r="AF25" s="30">
        <f>AF8-AF9</f>
        <v/>
      </c>
      <c r="AG25" s="30">
        <f>AG8-AG9</f>
        <v/>
      </c>
      <c r="AH25" s="30">
        <f>AH8-AH9</f>
        <v/>
      </c>
      <c r="AI25" s="30">
        <f>AI8-AI9</f>
        <v/>
      </c>
      <c r="AJ25" s="30">
        <f>AJ8-AJ9</f>
        <v/>
      </c>
      <c r="AK25" s="30">
        <f>AK8-AK9</f>
        <v/>
      </c>
      <c r="AL25" s="30">
        <f>AL8-AL9</f>
        <v/>
      </c>
      <c r="AM25" s="30">
        <f>AM8-AM9</f>
        <v/>
      </c>
      <c r="AN25" s="30">
        <f>AN8-AN9</f>
        <v/>
      </c>
      <c r="AO25" s="30">
        <f>AO8-AO9</f>
        <v/>
      </c>
      <c r="AP25" s="30">
        <f>AP8-AP9</f>
        <v/>
      </c>
      <c r="AQ25" s="30">
        <f>AQ8-AQ9</f>
        <v/>
      </c>
      <c r="AR25" s="30">
        <f>AR8-AR9</f>
        <v/>
      </c>
      <c r="AS25" s="30">
        <f>AS8-AS9</f>
        <v/>
      </c>
      <c r="AT25" s="30">
        <f>AT8-AT9</f>
        <v/>
      </c>
      <c r="AU25" s="30">
        <f>AU8-AU9</f>
        <v/>
      </c>
      <c r="AV25" s="30">
        <f>AV8-AV9</f>
        <v/>
      </c>
      <c r="AW25" s="30">
        <f>AW8-AW9</f>
        <v/>
      </c>
      <c r="AX25" s="127" t="n"/>
      <c r="BB25" s="41" t="inlineStr">
        <is>
          <t>AUD CHF</t>
        </is>
      </c>
      <c r="BC25" s="123">
        <f>AL33</f>
        <v/>
      </c>
      <c r="BD25" s="124" t="n">
        <v>10</v>
      </c>
      <c r="BE25" s="12">
        <f t="array" ref="BE25">_xlfn.XLOOKUP(MIN(ABS($AY$6:$AY$22 - MEDIAN(-2, 2, BC25))), ABS($AY$6:$AY$22 - MEDIAN(-2, 2, BC25)), $AZ$6:$AZ$22, "Error", 0)</f>
        <v/>
      </c>
      <c r="BH25" s="12">
        <f>BD25-BE25</f>
        <v/>
      </c>
    </row>
    <row r="26" ht="25" customHeight="1">
      <c r="A26" s="37" t="inlineStr">
        <is>
          <t>GBP JPY</t>
        </is>
      </c>
      <c r="B26" s="30">
        <f>B8-B5</f>
        <v/>
      </c>
      <c r="C26" s="30">
        <f>C8-C5</f>
        <v/>
      </c>
      <c r="D26" s="30">
        <f>D8-D5</f>
        <v/>
      </c>
      <c r="E26" s="30">
        <f>E8-E5</f>
        <v/>
      </c>
      <c r="F26" s="30">
        <f>F8-F5</f>
        <v/>
      </c>
      <c r="G26" s="30">
        <f>G8-G5</f>
        <v/>
      </c>
      <c r="H26" s="30">
        <f>H8-H5</f>
        <v/>
      </c>
      <c r="I26" s="30">
        <f>I8-I5</f>
        <v/>
      </c>
      <c r="J26" s="30">
        <f>J8-J5</f>
        <v/>
      </c>
      <c r="K26" s="30">
        <f>K8-K5</f>
        <v/>
      </c>
      <c r="L26" s="30">
        <f>L8-L5</f>
        <v/>
      </c>
      <c r="M26" s="30">
        <f>M8-M5</f>
        <v/>
      </c>
      <c r="N26" s="30">
        <f>N8-N5</f>
        <v/>
      </c>
      <c r="O26" s="30">
        <f>O8-O5</f>
        <v/>
      </c>
      <c r="P26" s="30">
        <f>P8-P5</f>
        <v/>
      </c>
      <c r="Q26" s="30">
        <f>Q8-Q5</f>
        <v/>
      </c>
      <c r="R26" s="30">
        <f>R8-R5</f>
        <v/>
      </c>
      <c r="S26" s="30">
        <f>S8-S5</f>
        <v/>
      </c>
      <c r="T26" s="30">
        <f>T8-T5</f>
        <v/>
      </c>
      <c r="U26" s="30">
        <f>U8-U5</f>
        <v/>
      </c>
      <c r="V26" s="30">
        <f>V8-V5</f>
        <v/>
      </c>
      <c r="W26" s="30">
        <f>W8-W5</f>
        <v/>
      </c>
      <c r="X26" s="30">
        <f>X8-X5</f>
        <v/>
      </c>
      <c r="Y26" s="30">
        <f>Y8-Y5</f>
        <v/>
      </c>
      <c r="Z26" s="30">
        <f>Z8-Z5</f>
        <v/>
      </c>
      <c r="AA26" s="30">
        <f>AA8-AA5</f>
        <v/>
      </c>
      <c r="AB26" s="30">
        <f>AB8-AB5</f>
        <v/>
      </c>
      <c r="AC26" s="30">
        <f>AC8-AC5</f>
        <v/>
      </c>
      <c r="AD26" s="30">
        <f>AD8-AD5</f>
        <v/>
      </c>
      <c r="AE26" s="30">
        <f>AE8-AE5</f>
        <v/>
      </c>
      <c r="AF26" s="30">
        <f>AF8-AF5</f>
        <v/>
      </c>
      <c r="AG26" s="30">
        <f>AG8-AG5</f>
        <v/>
      </c>
      <c r="AH26" s="30">
        <f>AH8-AH5</f>
        <v/>
      </c>
      <c r="AI26" s="30">
        <f>AI8-AI5</f>
        <v/>
      </c>
      <c r="AJ26" s="30">
        <f>AJ8-AJ5</f>
        <v/>
      </c>
      <c r="AK26" s="30">
        <f>AK8-AK5</f>
        <v/>
      </c>
      <c r="AL26" s="30">
        <f>AL8-AL5</f>
        <v/>
      </c>
      <c r="AM26" s="30">
        <f>AM8-AM5</f>
        <v/>
      </c>
      <c r="AN26" s="30">
        <f>AN8-AN5</f>
        <v/>
      </c>
      <c r="AO26" s="30">
        <f>AO8-AO5</f>
        <v/>
      </c>
      <c r="AP26" s="30">
        <f>AP8-AP5</f>
        <v/>
      </c>
      <c r="AQ26" s="30">
        <f>AQ8-AQ5</f>
        <v/>
      </c>
      <c r="AR26" s="30">
        <f>AR8-AR5</f>
        <v/>
      </c>
      <c r="AS26" s="30">
        <f>AS8-AS5</f>
        <v/>
      </c>
      <c r="AT26" s="30">
        <f>AT8-AT5</f>
        <v/>
      </c>
      <c r="AU26" s="30">
        <f>AU8-AU5</f>
        <v/>
      </c>
      <c r="AV26" s="30">
        <f>AV8-AV5</f>
        <v/>
      </c>
      <c r="AW26" s="30">
        <f>AW8-AW5</f>
        <v/>
      </c>
      <c r="AX26" s="127" t="n"/>
      <c r="BB26" s="41" t="inlineStr">
        <is>
          <t>AUD JPY</t>
        </is>
      </c>
      <c r="BC26" s="123">
        <f>AL34</f>
        <v/>
      </c>
      <c r="BD26" s="124" t="n">
        <v>10</v>
      </c>
      <c r="BE26" s="12">
        <f t="array" ref="BE26">_xlfn.XLOOKUP(MIN(ABS($AY$6:$AY$22 - MEDIAN(-2, 2, BC26))), ABS($AY$6:$AY$22 - MEDIAN(-2, 2, BC26)), $AZ$6:$AZ$22, "Error", 0)</f>
        <v/>
      </c>
      <c r="BH26" s="12">
        <f>BD26-BE26</f>
        <v/>
      </c>
    </row>
    <row r="27" ht="25" customHeight="1">
      <c r="A27" s="37" t="inlineStr">
        <is>
          <t>GBP CHF</t>
        </is>
      </c>
      <c r="B27" s="30">
        <f>B8-B6</f>
        <v/>
      </c>
      <c r="C27" s="30">
        <f>C8-C6</f>
        <v/>
      </c>
      <c r="D27" s="30">
        <f>D8-D6</f>
        <v/>
      </c>
      <c r="E27" s="30">
        <f>E8-E6</f>
        <v/>
      </c>
      <c r="F27" s="30">
        <f>F8-F6</f>
        <v/>
      </c>
      <c r="G27" s="30">
        <f>G8-G6</f>
        <v/>
      </c>
      <c r="H27" s="30">
        <f>H8-H6</f>
        <v/>
      </c>
      <c r="I27" s="30">
        <f>I8-I6</f>
        <v/>
      </c>
      <c r="J27" s="30">
        <f>J8-J6</f>
        <v/>
      </c>
      <c r="K27" s="30">
        <f>K8-K6</f>
        <v/>
      </c>
      <c r="L27" s="30">
        <f>L8-L6</f>
        <v/>
      </c>
      <c r="M27" s="30">
        <f>M8-M6</f>
        <v/>
      </c>
      <c r="N27" s="30">
        <f>N8-N6</f>
        <v/>
      </c>
      <c r="O27" s="30">
        <f>O8-O6</f>
        <v/>
      </c>
      <c r="P27" s="30">
        <f>P8-P6</f>
        <v/>
      </c>
      <c r="Q27" s="30">
        <f>Q8-Q6</f>
        <v/>
      </c>
      <c r="R27" s="30">
        <f>R8-R6</f>
        <v/>
      </c>
      <c r="S27" s="30">
        <f>S8-S6</f>
        <v/>
      </c>
      <c r="T27" s="30">
        <f>T8-T6</f>
        <v/>
      </c>
      <c r="U27" s="30">
        <f>U8-U6</f>
        <v/>
      </c>
      <c r="V27" s="30">
        <f>V8-V6</f>
        <v/>
      </c>
      <c r="W27" s="30">
        <f>W8-W6</f>
        <v/>
      </c>
      <c r="X27" s="30">
        <f>X8-X6</f>
        <v/>
      </c>
      <c r="Y27" s="30">
        <f>Y8-Y6</f>
        <v/>
      </c>
      <c r="Z27" s="30">
        <f>Z8-Z6</f>
        <v/>
      </c>
      <c r="AA27" s="30">
        <f>AA8-AA6</f>
        <v/>
      </c>
      <c r="AB27" s="30">
        <f>AB8-AB6</f>
        <v/>
      </c>
      <c r="AC27" s="30">
        <f>AC8-AC6</f>
        <v/>
      </c>
      <c r="AD27" s="30">
        <f>AD8-AD6</f>
        <v/>
      </c>
      <c r="AE27" s="30">
        <f>AE8-AE6</f>
        <v/>
      </c>
      <c r="AF27" s="30">
        <f>AF8-AF6</f>
        <v/>
      </c>
      <c r="AG27" s="30">
        <f>AG8-AG6</f>
        <v/>
      </c>
      <c r="AH27" s="30">
        <f>AH8-AH6</f>
        <v/>
      </c>
      <c r="AI27" s="30">
        <f>AI8-AI6</f>
        <v/>
      </c>
      <c r="AJ27" s="30">
        <f>AJ8-AJ6</f>
        <v/>
      </c>
      <c r="AK27" s="30">
        <f>AK8-AK6</f>
        <v/>
      </c>
      <c r="AL27" s="30">
        <f>AL8-AL6</f>
        <v/>
      </c>
      <c r="AM27" s="30">
        <f>AM8-AM6</f>
        <v/>
      </c>
      <c r="AN27" s="30">
        <f>AN8-AN6</f>
        <v/>
      </c>
      <c r="AO27" s="30">
        <f>AO8-AO6</f>
        <v/>
      </c>
      <c r="AP27" s="30">
        <f>AP8-AP6</f>
        <v/>
      </c>
      <c r="AQ27" s="30">
        <f>AQ8-AQ6</f>
        <v/>
      </c>
      <c r="AR27" s="30">
        <f>AR8-AR6</f>
        <v/>
      </c>
      <c r="AS27" s="30">
        <f>AS8-AS6</f>
        <v/>
      </c>
      <c r="AT27" s="30">
        <f>AT8-AT6</f>
        <v/>
      </c>
      <c r="AU27" s="30">
        <f>AU8-AU6</f>
        <v/>
      </c>
      <c r="AV27" s="30">
        <f>AV8-AV6</f>
        <v/>
      </c>
      <c r="AW27" s="30">
        <f>AW8-AW6</f>
        <v/>
      </c>
      <c r="AX27" s="127" t="n"/>
      <c r="BB27" s="129" t="inlineStr">
        <is>
          <t>AUD NZD</t>
        </is>
      </c>
      <c r="BC27" s="123">
        <f>AL35</f>
        <v/>
      </c>
      <c r="BD27" s="124" t="n">
        <v>6</v>
      </c>
      <c r="BE27" s="12">
        <f t="array" ref="BE27">_xlfn.XLOOKUP(MIN(ABS($AY$6:$AY$22 - MEDIAN(-2, 2, BC27))), ABS($AY$6:$AY$22 - MEDIAN(-2, 2, BC27)), $AZ$6:$AZ$22, "Error", 0)</f>
        <v/>
      </c>
      <c r="BH27" s="12">
        <f>BD27-BE27</f>
        <v/>
      </c>
    </row>
    <row r="28" ht="25" customHeight="1">
      <c r="A28" s="37" t="inlineStr">
        <is>
          <t>GBP CAD</t>
        </is>
      </c>
      <c r="B28" s="30">
        <f>B8-B4</f>
        <v/>
      </c>
      <c r="C28" s="30">
        <f>C8-C4</f>
        <v/>
      </c>
      <c r="D28" s="30">
        <f>D8-D4</f>
        <v/>
      </c>
      <c r="E28" s="30">
        <f>E8-E4</f>
        <v/>
      </c>
      <c r="F28" s="30">
        <f>F8-F4</f>
        <v/>
      </c>
      <c r="G28" s="30">
        <f>G8-G4</f>
        <v/>
      </c>
      <c r="H28" s="30">
        <f>H8-H4</f>
        <v/>
      </c>
      <c r="I28" s="30">
        <f>I8-I4</f>
        <v/>
      </c>
      <c r="J28" s="30">
        <f>J8-J4</f>
        <v/>
      </c>
      <c r="K28" s="30">
        <f>K8-K4</f>
        <v/>
      </c>
      <c r="L28" s="30">
        <f>L8-L4</f>
        <v/>
      </c>
      <c r="M28" s="30">
        <f>M8-M4</f>
        <v/>
      </c>
      <c r="N28" s="30">
        <f>N8-N4</f>
        <v/>
      </c>
      <c r="O28" s="30">
        <f>O8-O4</f>
        <v/>
      </c>
      <c r="P28" s="30">
        <f>P8-P4</f>
        <v/>
      </c>
      <c r="Q28" s="30">
        <f>Q8-Q4</f>
        <v/>
      </c>
      <c r="R28" s="30">
        <f>R8-R4</f>
        <v/>
      </c>
      <c r="S28" s="30">
        <f>S8-S4</f>
        <v/>
      </c>
      <c r="T28" s="30">
        <f>T8-T4</f>
        <v/>
      </c>
      <c r="U28" s="30">
        <f>U8-U4</f>
        <v/>
      </c>
      <c r="V28" s="30">
        <f>V8-V4</f>
        <v/>
      </c>
      <c r="W28" s="30">
        <f>W8-W4</f>
        <v/>
      </c>
      <c r="X28" s="30">
        <f>X8-X4</f>
        <v/>
      </c>
      <c r="Y28" s="30">
        <f>Y8-Y4</f>
        <v/>
      </c>
      <c r="Z28" s="30">
        <f>Z8-Z4</f>
        <v/>
      </c>
      <c r="AA28" s="30">
        <f>AA8-AA4</f>
        <v/>
      </c>
      <c r="AB28" s="30">
        <f>AB8-AB4</f>
        <v/>
      </c>
      <c r="AC28" s="30">
        <f>AC8-AC4</f>
        <v/>
      </c>
      <c r="AD28" s="30">
        <f>AD8-AD4</f>
        <v/>
      </c>
      <c r="AE28" s="30">
        <f>AE8-AE4</f>
        <v/>
      </c>
      <c r="AF28" s="30">
        <f>AF8-AF4</f>
        <v/>
      </c>
      <c r="AG28" s="30">
        <f>AG8-AG4</f>
        <v/>
      </c>
      <c r="AH28" s="30">
        <f>AH8-AH4</f>
        <v/>
      </c>
      <c r="AI28" s="30">
        <f>AI8-AI4</f>
        <v/>
      </c>
      <c r="AJ28" s="30">
        <f>AJ8-AJ4</f>
        <v/>
      </c>
      <c r="AK28" s="30">
        <f>AK8-AK4</f>
        <v/>
      </c>
      <c r="AL28" s="30">
        <f>AL8-AL4</f>
        <v/>
      </c>
      <c r="AM28" s="30">
        <f>AM8-AM4</f>
        <v/>
      </c>
      <c r="AN28" s="30">
        <f>AN8-AN4</f>
        <v/>
      </c>
      <c r="AO28" s="30">
        <f>AO8-AO4</f>
        <v/>
      </c>
      <c r="AP28" s="30">
        <f>AP8-AP4</f>
        <v/>
      </c>
      <c r="AQ28" s="30">
        <f>AQ8-AQ4</f>
        <v/>
      </c>
      <c r="AR28" s="30">
        <f>AR8-AR4</f>
        <v/>
      </c>
      <c r="AS28" s="30">
        <f>AS8-AS4</f>
        <v/>
      </c>
      <c r="AT28" s="30">
        <f>AT8-AT4</f>
        <v/>
      </c>
      <c r="AU28" s="30">
        <f>AU8-AU4</f>
        <v/>
      </c>
      <c r="AV28" s="30">
        <f>AV8-AV4</f>
        <v/>
      </c>
      <c r="AW28" s="30">
        <f>AW8-AW4</f>
        <v/>
      </c>
      <c r="AX28" s="127" t="n"/>
      <c r="BB28" s="41" t="inlineStr">
        <is>
          <t>AUD CAD</t>
        </is>
      </c>
      <c r="BC28" s="123">
        <f>AL36</f>
        <v/>
      </c>
      <c r="BD28" s="124" t="n">
        <v>8</v>
      </c>
      <c r="BE28" s="12">
        <f t="array" ref="BE28">_xlfn.XLOOKUP(MIN(ABS($AY$6:$AY$22 - MEDIAN(-2, 2, BC28))), ABS($AY$6:$AY$22 - MEDIAN(-2, 2, BC28)), $AZ$6:$AZ$22, "Error", 0)</f>
        <v/>
      </c>
      <c r="BH28" s="12">
        <f>BD28-BE28</f>
        <v/>
      </c>
    </row>
    <row r="29" ht="25" customHeight="1">
      <c r="A29" s="37" t="inlineStr">
        <is>
          <t>GBP AUD</t>
        </is>
      </c>
      <c r="B29" s="30">
        <f>B8-B3</f>
        <v/>
      </c>
      <c r="C29" s="30">
        <f>C8-C3</f>
        <v/>
      </c>
      <c r="D29" s="30">
        <f>D8-D3</f>
        <v/>
      </c>
      <c r="E29" s="30">
        <f>E8-E3</f>
        <v/>
      </c>
      <c r="F29" s="30">
        <f>F8-F3</f>
        <v/>
      </c>
      <c r="G29" s="30">
        <f>G8-G3</f>
        <v/>
      </c>
      <c r="H29" s="30">
        <f>H8-H3</f>
        <v/>
      </c>
      <c r="I29" s="30">
        <f>I8-I3</f>
        <v/>
      </c>
      <c r="J29" s="30">
        <f>J8-J3</f>
        <v/>
      </c>
      <c r="K29" s="30">
        <f>K8-K3</f>
        <v/>
      </c>
      <c r="L29" s="30">
        <f>L8-L3</f>
        <v/>
      </c>
      <c r="M29" s="30">
        <f>M8-M3</f>
        <v/>
      </c>
      <c r="N29" s="30">
        <f>N8-N3</f>
        <v/>
      </c>
      <c r="O29" s="30">
        <f>O8-O3</f>
        <v/>
      </c>
      <c r="P29" s="30">
        <f>P8-P3</f>
        <v/>
      </c>
      <c r="Q29" s="30">
        <f>Q8-Q3</f>
        <v/>
      </c>
      <c r="R29" s="30">
        <f>R8-R3</f>
        <v/>
      </c>
      <c r="S29" s="30">
        <f>S8-S3</f>
        <v/>
      </c>
      <c r="T29" s="30">
        <f>T8-T3</f>
        <v/>
      </c>
      <c r="U29" s="30">
        <f>U8-U3</f>
        <v/>
      </c>
      <c r="V29" s="30">
        <f>V8-V3</f>
        <v/>
      </c>
      <c r="W29" s="30">
        <f>W8-W3</f>
        <v/>
      </c>
      <c r="X29" s="30">
        <f>X8-X3</f>
        <v/>
      </c>
      <c r="Y29" s="30">
        <f>Y8-Y3</f>
        <v/>
      </c>
      <c r="Z29" s="30">
        <f>Z8-Z3</f>
        <v/>
      </c>
      <c r="AA29" s="30">
        <f>AA8-AA3</f>
        <v/>
      </c>
      <c r="AB29" s="30">
        <f>AB8-AB3</f>
        <v/>
      </c>
      <c r="AC29" s="30">
        <f>AC8-AC3</f>
        <v/>
      </c>
      <c r="AD29" s="30">
        <f>AD8-AD3</f>
        <v/>
      </c>
      <c r="AE29" s="30">
        <f>AE8-AE3</f>
        <v/>
      </c>
      <c r="AF29" s="30">
        <f>AF8-AF3</f>
        <v/>
      </c>
      <c r="AG29" s="30">
        <f>AG8-AG3</f>
        <v/>
      </c>
      <c r="AH29" s="30">
        <f>AH8-AH3</f>
        <v/>
      </c>
      <c r="AI29" s="30">
        <f>AI8-AI3</f>
        <v/>
      </c>
      <c r="AJ29" s="30">
        <f>AJ8-AJ3</f>
        <v/>
      </c>
      <c r="AK29" s="30">
        <f>AK8-AK3</f>
        <v/>
      </c>
      <c r="AL29" s="30">
        <f>AL8-AL3</f>
        <v/>
      </c>
      <c r="AM29" s="30">
        <f>AM8-AM3</f>
        <v/>
      </c>
      <c r="AN29" s="30">
        <f>AN8-AN3</f>
        <v/>
      </c>
      <c r="AO29" s="30">
        <f>AO8-AO3</f>
        <v/>
      </c>
      <c r="AP29" s="30">
        <f>AP8-AP3</f>
        <v/>
      </c>
      <c r="AQ29" s="30">
        <f>AQ8-AQ3</f>
        <v/>
      </c>
      <c r="AR29" s="30">
        <f>AR8-AR3</f>
        <v/>
      </c>
      <c r="AS29" s="30">
        <f>AS8-AS3</f>
        <v/>
      </c>
      <c r="AT29" s="30">
        <f>AT8-AT3</f>
        <v/>
      </c>
      <c r="AU29" s="30">
        <f>AU8-AU3</f>
        <v/>
      </c>
      <c r="AV29" s="30">
        <f>AV8-AV3</f>
        <v/>
      </c>
      <c r="AW29" s="30">
        <f>AW8-AW3</f>
        <v/>
      </c>
      <c r="AX29" s="127" t="n"/>
      <c r="BB29" s="42" t="inlineStr">
        <is>
          <t>CAD JPY</t>
        </is>
      </c>
      <c r="BC29" s="123">
        <f>AL37</f>
        <v/>
      </c>
      <c r="BD29" s="124" t="n">
        <v>-8</v>
      </c>
      <c r="BE29" s="12">
        <f t="array" ref="BE29">_xlfn.XLOOKUP(MIN(ABS($AY$6:$AY$22 - MEDIAN(-2, 2, BC29))), ABS($AY$6:$AY$22 - MEDIAN(-2, 2, BC29)), $AZ$6:$AZ$22, "Error", 0)</f>
        <v/>
      </c>
      <c r="BH29" s="12">
        <f>BD29-BE29</f>
        <v/>
      </c>
    </row>
    <row r="30" ht="25" customHeight="1">
      <c r="A30" s="37" t="inlineStr">
        <is>
          <t>GBP NZD</t>
        </is>
      </c>
      <c r="B30" s="30">
        <f>B8-B7</f>
        <v/>
      </c>
      <c r="C30" s="30">
        <f>C8-C7</f>
        <v/>
      </c>
      <c r="D30" s="30">
        <f>D8-D7</f>
        <v/>
      </c>
      <c r="E30" s="30">
        <f>E8-E7</f>
        <v/>
      </c>
      <c r="F30" s="30">
        <f>F8-F7</f>
        <v/>
      </c>
      <c r="G30" s="30">
        <f>G8-G7</f>
        <v/>
      </c>
      <c r="H30" s="30">
        <f>H8-H7</f>
        <v/>
      </c>
      <c r="I30" s="30">
        <f>I8-I7</f>
        <v/>
      </c>
      <c r="J30" s="30">
        <f>J8-J7</f>
        <v/>
      </c>
      <c r="K30" s="30">
        <f>K8-K7</f>
        <v/>
      </c>
      <c r="L30" s="30">
        <f>L8-L7</f>
        <v/>
      </c>
      <c r="M30" s="30">
        <f>M8-M7</f>
        <v/>
      </c>
      <c r="N30" s="30">
        <f>N8-N7</f>
        <v/>
      </c>
      <c r="O30" s="30">
        <f>O8-O7</f>
        <v/>
      </c>
      <c r="P30" s="30">
        <f>P8-P7</f>
        <v/>
      </c>
      <c r="Q30" s="30">
        <f>Q8-Q7</f>
        <v/>
      </c>
      <c r="R30" s="30">
        <f>R8-R7</f>
        <v/>
      </c>
      <c r="S30" s="30">
        <f>S8-S7</f>
        <v/>
      </c>
      <c r="T30" s="30">
        <f>T8-T7</f>
        <v/>
      </c>
      <c r="U30" s="30">
        <f>U8-U7</f>
        <v/>
      </c>
      <c r="V30" s="30">
        <f>V8-V7</f>
        <v/>
      </c>
      <c r="W30" s="30">
        <f>W8-W7</f>
        <v/>
      </c>
      <c r="X30" s="30">
        <f>X8-X7</f>
        <v/>
      </c>
      <c r="Y30" s="30">
        <f>Y8-Y7</f>
        <v/>
      </c>
      <c r="Z30" s="30">
        <f>Z8-Z7</f>
        <v/>
      </c>
      <c r="AA30" s="30">
        <f>AA8-AA7</f>
        <v/>
      </c>
      <c r="AB30" s="30">
        <f>AB8-AB7</f>
        <v/>
      </c>
      <c r="AC30" s="30">
        <f>AC8-AC7</f>
        <v/>
      </c>
      <c r="AD30" s="30">
        <f>AD8-AD7</f>
        <v/>
      </c>
      <c r="AE30" s="30">
        <f>AE8-AE7</f>
        <v/>
      </c>
      <c r="AF30" s="30">
        <f>AF8-AF7</f>
        <v/>
      </c>
      <c r="AG30" s="30">
        <f>AG8-AG7</f>
        <v/>
      </c>
      <c r="AH30" s="30">
        <f>AH8-AH7</f>
        <v/>
      </c>
      <c r="AI30" s="30">
        <f>AI8-AI7</f>
        <v/>
      </c>
      <c r="AJ30" s="30">
        <f>AJ8-AJ7</f>
        <v/>
      </c>
      <c r="AK30" s="30">
        <f>AK8-AK7</f>
        <v/>
      </c>
      <c r="AL30" s="30">
        <f>AL8-AL7</f>
        <v/>
      </c>
      <c r="AM30" s="30">
        <f>AM8-AM7</f>
        <v/>
      </c>
      <c r="AN30" s="30">
        <f>AN8-AN7</f>
        <v/>
      </c>
      <c r="AO30" s="30">
        <f>AO8-AO7</f>
        <v/>
      </c>
      <c r="AP30" s="30">
        <f>AP8-AP7</f>
        <v/>
      </c>
      <c r="AQ30" s="30">
        <f>AQ8-AQ7</f>
        <v/>
      </c>
      <c r="AR30" s="30">
        <f>AR8-AR7</f>
        <v/>
      </c>
      <c r="AS30" s="30">
        <f>AS8-AS7</f>
        <v/>
      </c>
      <c r="AT30" s="30">
        <f>AT8-AT7</f>
        <v/>
      </c>
      <c r="AU30" s="30">
        <f>AU8-AU7</f>
        <v/>
      </c>
      <c r="AV30" s="30">
        <f>AV8-AV7</f>
        <v/>
      </c>
      <c r="AW30" s="30">
        <f>AW8-AW7</f>
        <v/>
      </c>
      <c r="AX30" s="127" t="n"/>
      <c r="BC30" s="12" t="n">
        <v>0.7</v>
      </c>
      <c r="BD30" s="12" t="n">
        <v>-8</v>
      </c>
      <c r="BE30" s="12">
        <f t="array" ref="BE30">_xlfn.XLOOKUP(MIN(ABS($AY$6:$AY$22 - MEDIAN(-2, 2, BC30))), ABS($AY$6:$AY$22 - MEDIAN(-2, 2, BC30)), $AZ$6:$AZ$22, "Error", 0)</f>
        <v/>
      </c>
      <c r="BH30" s="12">
        <f>BD30-BE30</f>
        <v/>
      </c>
    </row>
    <row r="31" ht="25" customHeight="1">
      <c r="A31" s="40" t="inlineStr">
        <is>
          <t xml:space="preserve">CHF JPY </t>
        </is>
      </c>
      <c r="B31" s="30">
        <f>B6-B5</f>
        <v/>
      </c>
      <c r="C31" s="30">
        <f>C6-C5</f>
        <v/>
      </c>
      <c r="D31" s="30">
        <f>D6-D5</f>
        <v/>
      </c>
      <c r="E31" s="30">
        <f>E6-E5</f>
        <v/>
      </c>
      <c r="F31" s="30">
        <f>F6-F5</f>
        <v/>
      </c>
      <c r="G31" s="30">
        <f>G6-G5</f>
        <v/>
      </c>
      <c r="H31" s="30">
        <f>H6-H5</f>
        <v/>
      </c>
      <c r="I31" s="30">
        <f>I6-I5</f>
        <v/>
      </c>
      <c r="J31" s="30">
        <f>J6-J5</f>
        <v/>
      </c>
      <c r="K31" s="30">
        <f>K6-K5</f>
        <v/>
      </c>
      <c r="L31" s="30">
        <f>L6-L5</f>
        <v/>
      </c>
      <c r="M31" s="30">
        <f>M6-M5</f>
        <v/>
      </c>
      <c r="N31" s="30">
        <f>N6-N5</f>
        <v/>
      </c>
      <c r="O31" s="30">
        <f>O6-O5</f>
        <v/>
      </c>
      <c r="P31" s="30">
        <f>P6-P5</f>
        <v/>
      </c>
      <c r="Q31" s="30">
        <f>Q6-Q5</f>
        <v/>
      </c>
      <c r="R31" s="30">
        <f>R6-R5</f>
        <v/>
      </c>
      <c r="S31" s="30">
        <f>S6-S5</f>
        <v/>
      </c>
      <c r="T31" s="30">
        <f>T6-T5</f>
        <v/>
      </c>
      <c r="U31" s="30">
        <f>U6-U5</f>
        <v/>
      </c>
      <c r="V31" s="30">
        <f>V6-V5</f>
        <v/>
      </c>
      <c r="W31" s="30">
        <f>W6-W5</f>
        <v/>
      </c>
      <c r="X31" s="30">
        <f>X6-X5</f>
        <v/>
      </c>
      <c r="Y31" s="30">
        <f>Y6-Y5</f>
        <v/>
      </c>
      <c r="Z31" s="30">
        <f>Z6-Z5</f>
        <v/>
      </c>
      <c r="AA31" s="30">
        <f>AA6-AA5</f>
        <v/>
      </c>
      <c r="AB31" s="30">
        <f>AB6-AB5</f>
        <v/>
      </c>
      <c r="AC31" s="30">
        <f>AC6-AC5</f>
        <v/>
      </c>
      <c r="AD31" s="30">
        <f>AD6-AD5</f>
        <v/>
      </c>
      <c r="AE31" s="30">
        <f>AE6-AE5</f>
        <v/>
      </c>
      <c r="AF31" s="30">
        <f>AF6-AF5</f>
        <v/>
      </c>
      <c r="AG31" s="30">
        <f>AG6-AG5</f>
        <v/>
      </c>
      <c r="AH31" s="30">
        <f>AH6-AH5</f>
        <v/>
      </c>
      <c r="AI31" s="30">
        <f>AI6-AI5</f>
        <v/>
      </c>
      <c r="AJ31" s="30">
        <f>AJ6-AJ5</f>
        <v/>
      </c>
      <c r="AK31" s="30">
        <f>AK6-AK5</f>
        <v/>
      </c>
      <c r="AL31" s="30">
        <f>AL6-AL5</f>
        <v/>
      </c>
      <c r="AM31" s="30">
        <f>AM6-AM5</f>
        <v/>
      </c>
      <c r="AN31" s="30">
        <f>AN6-AN5</f>
        <v/>
      </c>
      <c r="AO31" s="30">
        <f>AO6-AO5</f>
        <v/>
      </c>
      <c r="AP31" s="30">
        <f>AP6-AP5</f>
        <v/>
      </c>
      <c r="AQ31" s="30">
        <f>AQ6-AQ5</f>
        <v/>
      </c>
      <c r="AR31" s="30">
        <f>AR6-AR5</f>
        <v/>
      </c>
      <c r="AS31" s="30">
        <f>AS6-AS5</f>
        <v/>
      </c>
      <c r="AT31" s="30">
        <f>AT6-AT5</f>
        <v/>
      </c>
      <c r="AU31" s="30">
        <f>AU6-AU5</f>
        <v/>
      </c>
      <c r="AV31" s="30">
        <f>AV6-AV5</f>
        <v/>
      </c>
      <c r="AW31" s="30">
        <f>AW6-AW5</f>
        <v/>
      </c>
      <c r="AX31" s="127" t="n"/>
      <c r="BC31" s="12" t="n">
        <v>0.6</v>
      </c>
      <c r="BD31" s="12" t="n">
        <v>-6</v>
      </c>
      <c r="BE31" s="12">
        <f t="array" ref="BE31">_xlfn.XLOOKUP(MIN(ABS($AY$6:$AY$22 - MEDIAN(-2, 2, BC31))), ABS($AY$6:$AY$22 - MEDIAN(-2, 2, BC31)), $AZ$6:$AZ$22, "Error", 0)</f>
        <v/>
      </c>
      <c r="BH31" s="12">
        <f>BD31-BE31</f>
        <v/>
      </c>
    </row>
    <row r="32" ht="25" customHeight="1">
      <c r="A32" s="41" t="inlineStr">
        <is>
          <t>AUD USD</t>
        </is>
      </c>
      <c r="B32" s="30">
        <f>B3-B9</f>
        <v/>
      </c>
      <c r="C32" s="30">
        <f>C3-C9</f>
        <v/>
      </c>
      <c r="D32" s="30">
        <f>D3-D9</f>
        <v/>
      </c>
      <c r="E32" s="30">
        <f>E3-E9</f>
        <v/>
      </c>
      <c r="F32" s="30">
        <f>F3-F9</f>
        <v/>
      </c>
      <c r="G32" s="30">
        <f>G3-G9</f>
        <v/>
      </c>
      <c r="H32" s="30">
        <f>H3-H9</f>
        <v/>
      </c>
      <c r="I32" s="30">
        <f>I3-I9</f>
        <v/>
      </c>
      <c r="J32" s="30">
        <f>J3-J9</f>
        <v/>
      </c>
      <c r="K32" s="30">
        <f>K3-K9</f>
        <v/>
      </c>
      <c r="L32" s="30">
        <f>L3-L9</f>
        <v/>
      </c>
      <c r="M32" s="30">
        <f>M3-M9</f>
        <v/>
      </c>
      <c r="N32" s="30">
        <f>N3-N9</f>
        <v/>
      </c>
      <c r="O32" s="30">
        <f>O3-O9</f>
        <v/>
      </c>
      <c r="P32" s="30">
        <f>P3-P9</f>
        <v/>
      </c>
      <c r="Q32" s="30">
        <f>Q3-Q9</f>
        <v/>
      </c>
      <c r="R32" s="30">
        <f>R3-R9</f>
        <v/>
      </c>
      <c r="S32" s="30">
        <f>S3-S9</f>
        <v/>
      </c>
      <c r="T32" s="30">
        <f>T3-T9</f>
        <v/>
      </c>
      <c r="U32" s="30">
        <f>U3-U9</f>
        <v/>
      </c>
      <c r="V32" s="30">
        <f>V3-V9</f>
        <v/>
      </c>
      <c r="W32" s="30">
        <f>W3-W9</f>
        <v/>
      </c>
      <c r="X32" s="30">
        <f>X3-X9</f>
        <v/>
      </c>
      <c r="Y32" s="30">
        <f>Y3-Y9</f>
        <v/>
      </c>
      <c r="Z32" s="30">
        <f>Z3-Z9</f>
        <v/>
      </c>
      <c r="AA32" s="30">
        <f>AA3-AA9</f>
        <v/>
      </c>
      <c r="AB32" s="30">
        <f>AB3-AB9</f>
        <v/>
      </c>
      <c r="AC32" s="30">
        <f>AC3-AC9</f>
        <v/>
      </c>
      <c r="AD32" s="30">
        <f>AD3-AD9</f>
        <v/>
      </c>
      <c r="AE32" s="30">
        <f>AE3-AE9</f>
        <v/>
      </c>
      <c r="AF32" s="30">
        <f>AF3-AF9</f>
        <v/>
      </c>
      <c r="AG32" s="30">
        <f>AG3-AG9</f>
        <v/>
      </c>
      <c r="AH32" s="30">
        <f>AH3-AH9</f>
        <v/>
      </c>
      <c r="AI32" s="30">
        <f>AI3-AI9</f>
        <v/>
      </c>
      <c r="AJ32" s="30">
        <f>AJ3-AJ9</f>
        <v/>
      </c>
      <c r="AK32" s="30">
        <f>AK3-AK9</f>
        <v/>
      </c>
      <c r="AL32" s="30">
        <f>AL3-AL9</f>
        <v/>
      </c>
      <c r="AM32" s="30">
        <f>AM3-AM9</f>
        <v/>
      </c>
      <c r="AN32" s="30">
        <f>AN3-AN9</f>
        <v/>
      </c>
      <c r="AO32" s="30">
        <f>AO3-AO9</f>
        <v/>
      </c>
      <c r="AP32" s="30">
        <f>AP3-AP9</f>
        <v/>
      </c>
      <c r="AQ32" s="30">
        <f>AQ3-AQ9</f>
        <v/>
      </c>
      <c r="AR32" s="30">
        <f>AR3-AR9</f>
        <v/>
      </c>
      <c r="AS32" s="30">
        <f>AS3-AS9</f>
        <v/>
      </c>
      <c r="AT32" s="30">
        <f>AT3-AT9</f>
        <v/>
      </c>
      <c r="AU32" s="30">
        <f>AU3-AU9</f>
        <v/>
      </c>
      <c r="AV32" s="30">
        <f>AV3-AV9</f>
        <v/>
      </c>
      <c r="AW32" s="30">
        <f>AW3-AW9</f>
        <v/>
      </c>
      <c r="AX32" s="127" t="n"/>
    </row>
    <row r="33" ht="25" customHeight="1">
      <c r="A33" s="41" t="inlineStr">
        <is>
          <t>AUD CHF</t>
        </is>
      </c>
      <c r="B33" s="30">
        <f>B3-B6</f>
        <v/>
      </c>
      <c r="C33" s="30">
        <f>C3-C6</f>
        <v/>
      </c>
      <c r="D33" s="30">
        <f>D3-D6</f>
        <v/>
      </c>
      <c r="E33" s="30">
        <f>E3-E6</f>
        <v/>
      </c>
      <c r="F33" s="30">
        <f>F3-F6</f>
        <v/>
      </c>
      <c r="G33" s="30">
        <f>G3-G6</f>
        <v/>
      </c>
      <c r="H33" s="30">
        <f>H3-H6</f>
        <v/>
      </c>
      <c r="I33" s="30">
        <f>I3-I6</f>
        <v/>
      </c>
      <c r="J33" s="30">
        <f>J3-J6</f>
        <v/>
      </c>
      <c r="K33" s="30">
        <f>K3-K6</f>
        <v/>
      </c>
      <c r="L33" s="30">
        <f>L3-L6</f>
        <v/>
      </c>
      <c r="M33" s="30">
        <f>M3-M6</f>
        <v/>
      </c>
      <c r="N33" s="30">
        <f>N3-N6</f>
        <v/>
      </c>
      <c r="O33" s="30">
        <f>O3-O6</f>
        <v/>
      </c>
      <c r="P33" s="30">
        <f>P3-P6</f>
        <v/>
      </c>
      <c r="Q33" s="30">
        <f>Q3-Q6</f>
        <v/>
      </c>
      <c r="R33" s="30">
        <f>R3-R6</f>
        <v/>
      </c>
      <c r="S33" s="30">
        <f>S3-S6</f>
        <v/>
      </c>
      <c r="T33" s="30">
        <f>T3-T6</f>
        <v/>
      </c>
      <c r="U33" s="30">
        <f>U3-U6</f>
        <v/>
      </c>
      <c r="V33" s="30">
        <f>V3-V6</f>
        <v/>
      </c>
      <c r="W33" s="30">
        <f>W3-W6</f>
        <v/>
      </c>
      <c r="X33" s="30">
        <f>X3-X6</f>
        <v/>
      </c>
      <c r="Y33" s="30">
        <f>Y3-Y6</f>
        <v/>
      </c>
      <c r="Z33" s="30">
        <f>Z3-Z6</f>
        <v/>
      </c>
      <c r="AA33" s="30">
        <f>AA3-AA6</f>
        <v/>
      </c>
      <c r="AB33" s="30">
        <f>AB3-AB6</f>
        <v/>
      </c>
      <c r="AC33" s="30">
        <f>AC3-AC6</f>
        <v/>
      </c>
      <c r="AD33" s="30">
        <f>AD3-AD6</f>
        <v/>
      </c>
      <c r="AE33" s="30">
        <f>AE3-AE6</f>
        <v/>
      </c>
      <c r="AF33" s="30">
        <f>AF3-AF6</f>
        <v/>
      </c>
      <c r="AG33" s="30">
        <f>AG3-AG6</f>
        <v/>
      </c>
      <c r="AH33" s="30">
        <f>AH3-AH6</f>
        <v/>
      </c>
      <c r="AI33" s="30">
        <f>AI3-AI6</f>
        <v/>
      </c>
      <c r="AJ33" s="30">
        <f>AJ3-AJ6</f>
        <v/>
      </c>
      <c r="AK33" s="30">
        <f>AK3-AK6</f>
        <v/>
      </c>
      <c r="AL33" s="30">
        <f>AL3-AL6</f>
        <v/>
      </c>
      <c r="AM33" s="30">
        <f>AM3-AM6</f>
        <v/>
      </c>
      <c r="AN33" s="30">
        <f>AN3-AN6</f>
        <v/>
      </c>
      <c r="AO33" s="30">
        <f>AO3-AO6</f>
        <v/>
      </c>
      <c r="AP33" s="30">
        <f>AP3-AP6</f>
        <v/>
      </c>
      <c r="AQ33" s="30">
        <f>AQ3-AQ6</f>
        <v/>
      </c>
      <c r="AR33" s="30">
        <f>AR3-AR6</f>
        <v/>
      </c>
      <c r="AS33" s="30">
        <f>AS3-AS6</f>
        <v/>
      </c>
      <c r="AT33" s="30">
        <f>AT3-AT6</f>
        <v/>
      </c>
      <c r="AU33" s="30">
        <f>AU3-AU6</f>
        <v/>
      </c>
      <c r="AV33" s="30">
        <f>AV3-AV6</f>
        <v/>
      </c>
      <c r="AW33" s="30">
        <f>AW3-AW6</f>
        <v/>
      </c>
      <c r="AX33" s="127" t="n"/>
    </row>
    <row r="34" ht="25" customHeight="1">
      <c r="A34" s="41" t="inlineStr">
        <is>
          <t>AUD JPY</t>
        </is>
      </c>
      <c r="B34" s="30">
        <f>B3-B5</f>
        <v/>
      </c>
      <c r="C34" s="30">
        <f>C3-C5</f>
        <v/>
      </c>
      <c r="D34" s="30">
        <f>D3-D5</f>
        <v/>
      </c>
      <c r="E34" s="30">
        <f>E3-E5</f>
        <v/>
      </c>
      <c r="F34" s="30">
        <f>F3-F5</f>
        <v/>
      </c>
      <c r="G34" s="30">
        <f>G3-G5</f>
        <v/>
      </c>
      <c r="H34" s="30">
        <f>H3-H5</f>
        <v/>
      </c>
      <c r="I34" s="30">
        <f>I3-I5</f>
        <v/>
      </c>
      <c r="J34" s="30">
        <f>J3-J5</f>
        <v/>
      </c>
      <c r="K34" s="30">
        <f>K3-K5</f>
        <v/>
      </c>
      <c r="L34" s="30">
        <f>L3-L5</f>
        <v/>
      </c>
      <c r="M34" s="30">
        <f>M3-M5</f>
        <v/>
      </c>
      <c r="N34" s="30">
        <f>N3-N5</f>
        <v/>
      </c>
      <c r="O34" s="30">
        <f>O3-O5</f>
        <v/>
      </c>
      <c r="P34" s="30">
        <f>P3-P5</f>
        <v/>
      </c>
      <c r="Q34" s="30">
        <f>Q3-Q5</f>
        <v/>
      </c>
      <c r="R34" s="30">
        <f>R3-R5</f>
        <v/>
      </c>
      <c r="S34" s="30">
        <f>S3-S5</f>
        <v/>
      </c>
      <c r="T34" s="30">
        <f>T3-T5</f>
        <v/>
      </c>
      <c r="U34" s="30">
        <f>U3-U5</f>
        <v/>
      </c>
      <c r="V34" s="30">
        <f>V3-V5</f>
        <v/>
      </c>
      <c r="W34" s="30">
        <f>W3-W5</f>
        <v/>
      </c>
      <c r="X34" s="30">
        <f>X3-X5</f>
        <v/>
      </c>
      <c r="Y34" s="30">
        <f>Y3-Y5</f>
        <v/>
      </c>
      <c r="Z34" s="30">
        <f>Z3-Z5</f>
        <v/>
      </c>
      <c r="AA34" s="30">
        <f>AA3-AA5</f>
        <v/>
      </c>
      <c r="AB34" s="30">
        <f>AB3-AB5</f>
        <v/>
      </c>
      <c r="AC34" s="30">
        <f>AC3-AC5</f>
        <v/>
      </c>
      <c r="AD34" s="30">
        <f>AD3-AD5</f>
        <v/>
      </c>
      <c r="AE34" s="30">
        <f>AE3-AE5</f>
        <v/>
      </c>
      <c r="AF34" s="30">
        <f>AF3-AF5</f>
        <v/>
      </c>
      <c r="AG34" s="30">
        <f>AG3-AG5</f>
        <v/>
      </c>
      <c r="AH34" s="30">
        <f>AH3-AH5</f>
        <v/>
      </c>
      <c r="AI34" s="30">
        <f>AI3-AI5</f>
        <v/>
      </c>
      <c r="AJ34" s="30">
        <f>AJ3-AJ5</f>
        <v/>
      </c>
      <c r="AK34" s="30">
        <f>AK3-AK5</f>
        <v/>
      </c>
      <c r="AL34" s="30">
        <f>AL3-AL5</f>
        <v/>
      </c>
      <c r="AM34" s="30">
        <f>AM3-AM5</f>
        <v/>
      </c>
      <c r="AN34" s="30">
        <f>AN3-AN5</f>
        <v/>
      </c>
      <c r="AO34" s="30">
        <f>AO3-AO5</f>
        <v/>
      </c>
      <c r="AP34" s="30">
        <f>AP3-AP5</f>
        <v/>
      </c>
      <c r="AQ34" s="30">
        <f>AQ3-AQ5</f>
        <v/>
      </c>
      <c r="AR34" s="30">
        <f>AR3-AR5</f>
        <v/>
      </c>
      <c r="AS34" s="30">
        <f>AS3-AS5</f>
        <v/>
      </c>
      <c r="AT34" s="30">
        <f>AT3-AT5</f>
        <v/>
      </c>
      <c r="AU34" s="30">
        <f>AU3-AU5</f>
        <v/>
      </c>
      <c r="AV34" s="30">
        <f>AV3-AV5</f>
        <v/>
      </c>
      <c r="AW34" s="30">
        <f>AW3-AW5</f>
        <v/>
      </c>
      <c r="AX34" s="127" t="n"/>
    </row>
    <row r="35" ht="25" customHeight="1">
      <c r="A35" s="41" t="inlineStr">
        <is>
          <t>AUD NZD</t>
        </is>
      </c>
      <c r="B35" s="30">
        <f>B3-B7</f>
        <v/>
      </c>
      <c r="C35" s="30">
        <f>C3-C7</f>
        <v/>
      </c>
      <c r="D35" s="30">
        <f>D3-D7</f>
        <v/>
      </c>
      <c r="E35" s="30">
        <f>E3-E7</f>
        <v/>
      </c>
      <c r="F35" s="30">
        <f>F3-F7</f>
        <v/>
      </c>
      <c r="G35" s="30">
        <f>G3-G7</f>
        <v/>
      </c>
      <c r="H35" s="30">
        <f>H3-H7</f>
        <v/>
      </c>
      <c r="I35" s="30">
        <f>I3-I7</f>
        <v/>
      </c>
      <c r="J35" s="30">
        <f>J3-J7</f>
        <v/>
      </c>
      <c r="K35" s="30">
        <f>K3-K7</f>
        <v/>
      </c>
      <c r="L35" s="30">
        <f>L3-L7</f>
        <v/>
      </c>
      <c r="M35" s="30">
        <f>M3-M7</f>
        <v/>
      </c>
      <c r="N35" s="30">
        <f>N3-N7</f>
        <v/>
      </c>
      <c r="O35" s="30">
        <f>O3-O7</f>
        <v/>
      </c>
      <c r="P35" s="30">
        <f>P3-P7</f>
        <v/>
      </c>
      <c r="Q35" s="30">
        <f>Q3-Q7</f>
        <v/>
      </c>
      <c r="R35" s="30">
        <f>R3-R7</f>
        <v/>
      </c>
      <c r="S35" s="30">
        <f>S3-S7</f>
        <v/>
      </c>
      <c r="T35" s="30">
        <f>T3-T7</f>
        <v/>
      </c>
      <c r="U35" s="30">
        <f>U3-U7</f>
        <v/>
      </c>
      <c r="V35" s="30">
        <f>V3-V7</f>
        <v/>
      </c>
      <c r="W35" s="30">
        <f>W3-W7</f>
        <v/>
      </c>
      <c r="X35" s="30">
        <f>X3-X7</f>
        <v/>
      </c>
      <c r="Y35" s="30">
        <f>Y3-Y7</f>
        <v/>
      </c>
      <c r="Z35" s="30">
        <f>Z3-Z7</f>
        <v/>
      </c>
      <c r="AA35" s="30">
        <f>AA3-AA7</f>
        <v/>
      </c>
      <c r="AB35" s="30">
        <f>AB3-AB7</f>
        <v/>
      </c>
      <c r="AC35" s="30">
        <f>AC3-AC7</f>
        <v/>
      </c>
      <c r="AD35" s="30">
        <f>AD3-AD7</f>
        <v/>
      </c>
      <c r="AE35" s="30">
        <f>AE3-AE7</f>
        <v/>
      </c>
      <c r="AF35" s="30">
        <f>AF3-AF7</f>
        <v/>
      </c>
      <c r="AG35" s="30">
        <f>AG3-AG7</f>
        <v/>
      </c>
      <c r="AH35" s="30">
        <f>AH3-AH7</f>
        <v/>
      </c>
      <c r="AI35" s="30">
        <f>AI3-AI7</f>
        <v/>
      </c>
      <c r="AJ35" s="30">
        <f>AJ3-AJ7</f>
        <v/>
      </c>
      <c r="AK35" s="30">
        <f>AK3-AK7</f>
        <v/>
      </c>
      <c r="AL35" s="30">
        <f>AL3-AL7</f>
        <v/>
      </c>
      <c r="AM35" s="30">
        <f>AM3-AM7</f>
        <v/>
      </c>
      <c r="AN35" s="30">
        <f>AN3-AN7</f>
        <v/>
      </c>
      <c r="AO35" s="30">
        <f>AO3-AO7</f>
        <v/>
      </c>
      <c r="AP35" s="30">
        <f>AP3-AP7</f>
        <v/>
      </c>
      <c r="AQ35" s="30">
        <f>AQ3-AQ7</f>
        <v/>
      </c>
      <c r="AR35" s="30">
        <f>AR3-AR7</f>
        <v/>
      </c>
      <c r="AS35" s="30">
        <f>AS3-AS7</f>
        <v/>
      </c>
      <c r="AT35" s="30">
        <f>AT3-AT7</f>
        <v/>
      </c>
      <c r="AU35" s="30">
        <f>AU3-AU7</f>
        <v/>
      </c>
      <c r="AV35" s="30">
        <f>AV3-AV7</f>
        <v/>
      </c>
      <c r="AW35" s="30">
        <f>AW3-AW7</f>
        <v/>
      </c>
      <c r="AX35" s="127" t="n"/>
    </row>
    <row r="36" ht="25" customHeight="1">
      <c r="A36" s="41" t="inlineStr">
        <is>
          <t>AUD CAD</t>
        </is>
      </c>
      <c r="B36" s="30">
        <f>B3-B4</f>
        <v/>
      </c>
      <c r="C36" s="30">
        <f>C3-C4</f>
        <v/>
      </c>
      <c r="D36" s="30">
        <f>D3-D4</f>
        <v/>
      </c>
      <c r="E36" s="30">
        <f>E3-E4</f>
        <v/>
      </c>
      <c r="F36" s="30">
        <f>F3-F4</f>
        <v/>
      </c>
      <c r="G36" s="30">
        <f>G3-G4</f>
        <v/>
      </c>
      <c r="H36" s="30">
        <f>H3-H4</f>
        <v/>
      </c>
      <c r="I36" s="30">
        <f>I3-I4</f>
        <v/>
      </c>
      <c r="J36" s="30">
        <f>J3-J4</f>
        <v/>
      </c>
      <c r="K36" s="30">
        <f>K3-K4</f>
        <v/>
      </c>
      <c r="L36" s="30">
        <f>L3-L4</f>
        <v/>
      </c>
      <c r="M36" s="30">
        <f>M3-M4</f>
        <v/>
      </c>
      <c r="N36" s="30">
        <f>N3-N4</f>
        <v/>
      </c>
      <c r="O36" s="30">
        <f>O3-O4</f>
        <v/>
      </c>
      <c r="P36" s="30">
        <f>P3-P4</f>
        <v/>
      </c>
      <c r="Q36" s="30">
        <f>Q3-Q4</f>
        <v/>
      </c>
      <c r="R36" s="30">
        <f>R3-R4</f>
        <v/>
      </c>
      <c r="S36" s="30">
        <f>S3-S4</f>
        <v/>
      </c>
      <c r="T36" s="30">
        <f>T3-T4</f>
        <v/>
      </c>
      <c r="U36" s="30">
        <f>U3-U4</f>
        <v/>
      </c>
      <c r="V36" s="30">
        <f>V3-V4</f>
        <v/>
      </c>
      <c r="W36" s="30">
        <f>W3-W4</f>
        <v/>
      </c>
      <c r="X36" s="30">
        <f>X3-X4</f>
        <v/>
      </c>
      <c r="Y36" s="30">
        <f>Y3-Y4</f>
        <v/>
      </c>
      <c r="Z36" s="30">
        <f>Z3-Z4</f>
        <v/>
      </c>
      <c r="AA36" s="30">
        <f>AA3-AA4</f>
        <v/>
      </c>
      <c r="AB36" s="30">
        <f>AB3-AB4</f>
        <v/>
      </c>
      <c r="AC36" s="30">
        <f>AC3-AC4</f>
        <v/>
      </c>
      <c r="AD36" s="30">
        <f>AD3-AD4</f>
        <v/>
      </c>
      <c r="AE36" s="30">
        <f>AE3-AE4</f>
        <v/>
      </c>
      <c r="AF36" s="30">
        <f>AF3-AF4</f>
        <v/>
      </c>
      <c r="AG36" s="30">
        <f>AG3-AG4</f>
        <v/>
      </c>
      <c r="AH36" s="30">
        <f>AH3-AH4</f>
        <v/>
      </c>
      <c r="AI36" s="30">
        <f>AI3-AI4</f>
        <v/>
      </c>
      <c r="AJ36" s="30">
        <f>AJ3-AJ4</f>
        <v/>
      </c>
      <c r="AK36" s="30">
        <f>AK3-AK4</f>
        <v/>
      </c>
      <c r="AL36" s="30">
        <f>AL3-AL4</f>
        <v/>
      </c>
      <c r="AM36" s="30">
        <f>AM3-AM4</f>
        <v/>
      </c>
      <c r="AN36" s="30">
        <f>AN3-AN4</f>
        <v/>
      </c>
      <c r="AO36" s="30">
        <f>AO3-AO4</f>
        <v/>
      </c>
      <c r="AP36" s="30">
        <f>AP3-AP4</f>
        <v/>
      </c>
      <c r="AQ36" s="30">
        <f>AQ3-AQ4</f>
        <v/>
      </c>
      <c r="AR36" s="30">
        <f>AR3-AR4</f>
        <v/>
      </c>
      <c r="AS36" s="30">
        <f>AS3-AS4</f>
        <v/>
      </c>
      <c r="AT36" s="30">
        <f>AT3-AT4</f>
        <v/>
      </c>
      <c r="AU36" s="30">
        <f>AU3-AU4</f>
        <v/>
      </c>
      <c r="AV36" s="30">
        <f>AV3-AV4</f>
        <v/>
      </c>
      <c r="AW36" s="30">
        <f>AW3-AW4</f>
        <v/>
      </c>
      <c r="AX36" s="127" t="n"/>
    </row>
    <row r="37" ht="25" customHeight="1">
      <c r="A37" s="42" t="inlineStr">
        <is>
          <t>CAD JPY</t>
        </is>
      </c>
      <c r="B37" s="30">
        <f>B4-B5</f>
        <v/>
      </c>
      <c r="C37" s="30">
        <f>C4-C5</f>
        <v/>
      </c>
      <c r="D37" s="30">
        <f>D4-D5</f>
        <v/>
      </c>
      <c r="E37" s="30">
        <f>E4-E5</f>
        <v/>
      </c>
      <c r="F37" s="30">
        <f>F4-F5</f>
        <v/>
      </c>
      <c r="G37" s="30">
        <f>G4-G5</f>
        <v/>
      </c>
      <c r="H37" s="30">
        <f>H4-H5</f>
        <v/>
      </c>
      <c r="I37" s="30">
        <f>I4-I5</f>
        <v/>
      </c>
      <c r="J37" s="30">
        <f>J4-J5</f>
        <v/>
      </c>
      <c r="K37" s="30">
        <f>K4-K5</f>
        <v/>
      </c>
      <c r="L37" s="30">
        <f>L4-L5</f>
        <v/>
      </c>
      <c r="M37" s="30">
        <f>M4-M5</f>
        <v/>
      </c>
      <c r="N37" s="30">
        <f>N4-N5</f>
        <v/>
      </c>
      <c r="O37" s="30">
        <f>O4-O5</f>
        <v/>
      </c>
      <c r="P37" s="30">
        <f>P4-P5</f>
        <v/>
      </c>
      <c r="Q37" s="30">
        <f>Q4-Q5</f>
        <v/>
      </c>
      <c r="R37" s="30">
        <f>R4-R5</f>
        <v/>
      </c>
      <c r="S37" s="30">
        <f>S4-S5</f>
        <v/>
      </c>
      <c r="T37" s="30">
        <f>T4-T5</f>
        <v/>
      </c>
      <c r="U37" s="30">
        <f>U4-U5</f>
        <v/>
      </c>
      <c r="V37" s="30">
        <f>V4-V5</f>
        <v/>
      </c>
      <c r="W37" s="30">
        <f>W4-W5</f>
        <v/>
      </c>
      <c r="X37" s="30">
        <f>X4-X5</f>
        <v/>
      </c>
      <c r="Y37" s="30">
        <f>Y4-Y5</f>
        <v/>
      </c>
      <c r="Z37" s="30">
        <f>Z4-Z5</f>
        <v/>
      </c>
      <c r="AA37" s="30">
        <f>AA4-AA5</f>
        <v/>
      </c>
      <c r="AB37" s="30">
        <f>AB4-AB5</f>
        <v/>
      </c>
      <c r="AC37" s="30">
        <f>AC4-AC5</f>
        <v/>
      </c>
      <c r="AD37" s="30">
        <f>AD4-AD5</f>
        <v/>
      </c>
      <c r="AE37" s="30">
        <f>AE4-AE5</f>
        <v/>
      </c>
      <c r="AF37" s="30">
        <f>AF4-AF5</f>
        <v/>
      </c>
      <c r="AG37" s="30">
        <f>AG4-AG5</f>
        <v/>
      </c>
      <c r="AH37" s="30">
        <f>AH4-AH5</f>
        <v/>
      </c>
      <c r="AI37" s="30">
        <f>AI4-AI5</f>
        <v/>
      </c>
      <c r="AJ37" s="30">
        <f>AJ4-AJ5</f>
        <v/>
      </c>
      <c r="AK37" s="30">
        <f>AK4-AK5</f>
        <v/>
      </c>
      <c r="AL37" s="30">
        <f>AL4-AL5</f>
        <v/>
      </c>
      <c r="AM37" s="30">
        <f>AM4-AM5</f>
        <v/>
      </c>
      <c r="AN37" s="30">
        <f>AN4-AN5</f>
        <v/>
      </c>
      <c r="AO37" s="30">
        <f>AO4-AO5</f>
        <v/>
      </c>
      <c r="AP37" s="30">
        <f>AP4-AP5</f>
        <v/>
      </c>
      <c r="AQ37" s="30">
        <f>AQ4-AQ5</f>
        <v/>
      </c>
      <c r="AR37" s="30">
        <f>AR4-AR5</f>
        <v/>
      </c>
      <c r="AS37" s="30">
        <f>AS4-AS5</f>
        <v/>
      </c>
      <c r="AT37" s="30">
        <f>AT4-AT5</f>
        <v/>
      </c>
      <c r="AU37" s="30">
        <f>AU4-AU5</f>
        <v/>
      </c>
      <c r="AV37" s="30">
        <f>AV4-AV5</f>
        <v/>
      </c>
      <c r="AW37" s="30">
        <f>AW4-AW5</f>
        <v/>
      </c>
      <c r="AX37" s="127" t="n"/>
    </row>
    <row r="43" ht="25" customHeight="1">
      <c r="A43" s="28" t="inlineStr">
        <is>
          <t>Paire</t>
        </is>
      </c>
      <c r="B43" s="295" t="n">
        <v>44927</v>
      </c>
      <c r="C43" s="295" t="n">
        <v>44958</v>
      </c>
      <c r="D43" s="295" t="n">
        <v>44986</v>
      </c>
      <c r="E43" s="295" t="n">
        <v>45017</v>
      </c>
      <c r="F43" s="295" t="n">
        <v>45047</v>
      </c>
      <c r="G43" s="295" t="n">
        <v>45078</v>
      </c>
      <c r="H43" s="295" t="n">
        <v>45108</v>
      </c>
      <c r="I43" s="295" t="n">
        <v>45139</v>
      </c>
      <c r="J43" s="295" t="n">
        <v>45170</v>
      </c>
      <c r="K43" s="295" t="n">
        <v>45200</v>
      </c>
      <c r="L43" s="295" t="n">
        <v>45231</v>
      </c>
      <c r="M43" s="295" t="n">
        <v>45261</v>
      </c>
      <c r="N43" s="295" t="n">
        <v>45292</v>
      </c>
      <c r="O43" s="295" t="n">
        <v>45323</v>
      </c>
      <c r="P43" s="295" t="n">
        <v>45352</v>
      </c>
      <c r="Q43" s="295" t="n">
        <v>45383</v>
      </c>
      <c r="R43" s="295" t="n">
        <v>45413</v>
      </c>
      <c r="S43" s="295" t="n">
        <v>45444</v>
      </c>
      <c r="T43" s="295" t="n">
        <v>45474</v>
      </c>
      <c r="U43" s="295" t="n">
        <v>45505</v>
      </c>
      <c r="V43" s="295" t="n">
        <v>45536</v>
      </c>
      <c r="W43" s="295" t="n">
        <v>45566</v>
      </c>
      <c r="X43" s="295" t="n">
        <v>45597</v>
      </c>
      <c r="Y43" s="295" t="n">
        <v>45627</v>
      </c>
      <c r="Z43" s="295" t="n">
        <v>45658</v>
      </c>
      <c r="AA43" s="295" t="n">
        <v>45689</v>
      </c>
      <c r="AB43" s="295" t="n">
        <v>45717</v>
      </c>
      <c r="AC43" s="295" t="n">
        <v>45748</v>
      </c>
      <c r="AD43" s="295" t="n">
        <v>45778</v>
      </c>
      <c r="AE43" s="295" t="n">
        <v>45809</v>
      </c>
      <c r="AF43" s="295" t="n">
        <v>45839</v>
      </c>
      <c r="AG43" s="295" t="n">
        <v>45870</v>
      </c>
      <c r="AH43" s="295" t="n">
        <v>45901</v>
      </c>
      <c r="AI43" s="295" t="n">
        <v>45931</v>
      </c>
      <c r="AJ43" s="295" t="n">
        <v>45962</v>
      </c>
      <c r="AK43" s="295" t="n">
        <v>45992</v>
      </c>
      <c r="AL43" s="295" t="n">
        <v>46023</v>
      </c>
      <c r="AM43" s="295" t="n">
        <v>46054</v>
      </c>
      <c r="AN43" s="295" t="n">
        <v>46082</v>
      </c>
      <c r="AO43" s="295" t="n">
        <v>46113</v>
      </c>
      <c r="AP43" s="295" t="n">
        <v>46143</v>
      </c>
      <c r="AQ43" s="295" t="n">
        <v>46174</v>
      </c>
      <c r="AR43" s="295" t="n">
        <v>46204</v>
      </c>
      <c r="AS43" s="295" t="n">
        <v>46235</v>
      </c>
      <c r="AT43" s="295" t="n">
        <v>46266</v>
      </c>
      <c r="AU43" s="295" t="n">
        <v>46296</v>
      </c>
      <c r="AV43" s="295" t="n">
        <v>46327</v>
      </c>
      <c r="AW43" s="295" t="n">
        <v>46357</v>
      </c>
    </row>
    <row r="44" ht="25" customHeight="1">
      <c r="A44" s="43" t="inlineStr">
        <is>
          <t>USD JPY</t>
        </is>
      </c>
      <c r="B44" s="30">
        <f t="array" ref="B44">_xlfn.XLOOKUP(MIN(ABS($AY$6:$AY$22 - MEDIAN(-2, 2, B15))), ABS($AY$6:$AY$22 - MEDIAN(-2, 2, B15)), $AZ$6:$AZ$22, "Error", 0)</f>
        <v/>
      </c>
      <c r="C44" s="30">
        <f t="array" ref="C44">_xlfn.XLOOKUP(MIN(ABS($AY$6:$AY$22 - MEDIAN(-2, 2, C15))), ABS($AY$6:$AY$22 - MEDIAN(-2, 2, C15)), $AZ$6:$AZ$22, "Error", 0)</f>
        <v/>
      </c>
      <c r="D44" s="30">
        <f t="array" ref="D44">_xlfn.XLOOKUP(MIN(ABS($AY$6:$AY$22 - MEDIAN(-2, 2, D15))), ABS($AY$6:$AY$22 - MEDIAN(-2, 2, D15)), $AZ$6:$AZ$22, "Error", 0)</f>
        <v/>
      </c>
      <c r="E44" s="30">
        <f t="array" ref="E44">_xlfn.XLOOKUP(MIN(ABS($AY$6:$AY$22 - MEDIAN(-2, 2, E15))), ABS($AY$6:$AY$22 - MEDIAN(-2, 2, E15)), $AZ$6:$AZ$22, "Error", 0)</f>
        <v/>
      </c>
      <c r="F44" s="30">
        <f t="array" ref="F44">_xlfn.XLOOKUP(MIN(ABS($AY$6:$AY$22 - MEDIAN(-2, 2, F15))), ABS($AY$6:$AY$22 - MEDIAN(-2, 2, F15)), $AZ$6:$AZ$22, "Error", 0)</f>
        <v/>
      </c>
      <c r="G44" s="30">
        <f t="array" ref="G44">_xlfn.XLOOKUP(MIN(ABS($AY$6:$AY$22 - MEDIAN(-2, 2, G15))), ABS($AY$6:$AY$22 - MEDIAN(-2, 2, G15)), $AZ$6:$AZ$22, "Error", 0)</f>
        <v/>
      </c>
      <c r="H44" s="30">
        <f t="array" ref="H44">_xlfn.XLOOKUP(MIN(ABS($AY$6:$AY$22 - MEDIAN(-2, 2, H15))), ABS($AY$6:$AY$22 - MEDIAN(-2, 2, H15)), $AZ$6:$AZ$22, "Error", 0)</f>
        <v/>
      </c>
      <c r="I44" s="30">
        <f t="array" ref="I44">_xlfn.XLOOKUP(MIN(ABS($AY$6:$AY$22 - MEDIAN(-2, 2, I15))), ABS($AY$6:$AY$22 - MEDIAN(-2, 2, I15)), $AZ$6:$AZ$22, "Error", 0)</f>
        <v/>
      </c>
      <c r="J44" s="30">
        <f t="array" ref="J44">_xlfn.XLOOKUP(MIN(ABS($AY$6:$AY$22 - MEDIAN(-2, 2, J15))), ABS($AY$6:$AY$22 - MEDIAN(-2, 2, J15)), $AZ$6:$AZ$22, "Error", 0)</f>
        <v/>
      </c>
      <c r="K44" s="30">
        <f t="array" ref="K44">_xlfn.XLOOKUP(MIN(ABS($AY$6:$AY$22 - MEDIAN(-2, 2, K15))), ABS($AY$6:$AY$22 - MEDIAN(-2, 2, K15)), $AZ$6:$AZ$22, "Error", 0)</f>
        <v/>
      </c>
      <c r="L44" s="30">
        <f t="array" ref="L44">_xlfn.XLOOKUP(MIN(ABS($AY$6:$AY$22 - MEDIAN(-2, 2, L15))), ABS($AY$6:$AY$22 - MEDIAN(-2, 2, L15)), $AZ$6:$AZ$22, "Error", 0)</f>
        <v/>
      </c>
      <c r="M44" s="30">
        <f t="array" ref="M44">_xlfn.XLOOKUP(MIN(ABS($AY$6:$AY$22 - MEDIAN(-2, 2, M15))), ABS($AY$6:$AY$22 - MEDIAN(-2, 2, M15)), $AZ$6:$AZ$22, "Error", 0)</f>
        <v/>
      </c>
      <c r="N44" s="30">
        <f t="array" ref="N44">_xlfn.XLOOKUP(MIN(ABS($AY$6:$AY$22 - MEDIAN(-2, 2, N15))), ABS($AY$6:$AY$22 - MEDIAN(-2, 2, N15)), $AZ$6:$AZ$22, "Error", 0)</f>
        <v/>
      </c>
      <c r="O44" s="30">
        <f t="array" ref="O44">_xlfn.XLOOKUP(MIN(ABS($AY$6:$AY$22 - MEDIAN(-2, 2, O15))), ABS($AY$6:$AY$22 - MEDIAN(-2, 2, O15)), $AZ$6:$AZ$22, "Error", 0)</f>
        <v/>
      </c>
      <c r="P44" s="30">
        <f t="array" ref="P44">_xlfn.XLOOKUP(MIN(ABS($AY$6:$AY$22 - MEDIAN(-2, 2, P15))), ABS($AY$6:$AY$22 - MEDIAN(-2, 2, P15)), $AZ$6:$AZ$22, "Error", 0)</f>
        <v/>
      </c>
      <c r="Q44" s="30">
        <f t="array" ref="Q44">_xlfn.XLOOKUP(MIN(ABS($AY$6:$AY$22 - MEDIAN(-2, 2, Q15))), ABS($AY$6:$AY$22 - MEDIAN(-2, 2, Q15)), $AZ$6:$AZ$22, "Error", 0)</f>
        <v/>
      </c>
      <c r="R44" s="30">
        <f t="array" ref="R44">_xlfn.XLOOKUP(MIN(ABS($AY$6:$AY$22 - MEDIAN(-2, 2, R15))), ABS($AY$6:$AY$22 - MEDIAN(-2, 2, R15)), $AZ$6:$AZ$22, "Error", 0)</f>
        <v/>
      </c>
      <c r="S44" s="30">
        <f t="array" ref="S44">_xlfn.XLOOKUP(MIN(ABS($AY$6:$AY$22 - MEDIAN(-2, 2, S15))), ABS($AY$6:$AY$22 - MEDIAN(-2, 2, S15)), $AZ$6:$AZ$22, "Error", 0)</f>
        <v/>
      </c>
      <c r="T44" s="30">
        <f t="array" ref="T44">_xlfn.XLOOKUP(MIN(ABS($AY$6:$AY$22 - MEDIAN(-2, 2, T15))), ABS($AY$6:$AY$22 - MEDIAN(-2, 2, T15)), $AZ$6:$AZ$22, "Error", 0)</f>
        <v/>
      </c>
      <c r="U44" s="30">
        <f t="array" ref="U44">_xlfn.XLOOKUP(MIN(ABS($AY$6:$AY$22 - MEDIAN(-2, 2, U15))), ABS($AY$6:$AY$22 - MEDIAN(-2, 2, U15)), $AZ$6:$AZ$22, "Error", 0)</f>
        <v/>
      </c>
      <c r="V44" s="30">
        <f t="array" ref="V44">_xlfn.XLOOKUP(MIN(ABS($AY$6:$AY$22 - MEDIAN(-2, 2, V15))), ABS($AY$6:$AY$22 - MEDIAN(-2, 2, V15)), $AZ$6:$AZ$22, "Error", 0)</f>
        <v/>
      </c>
      <c r="W44" s="30">
        <f t="array" ref="W44">_xlfn.XLOOKUP(MIN(ABS($AY$6:$AY$22 - MEDIAN(-2, 2, W15))), ABS($AY$6:$AY$22 - MEDIAN(-2, 2, W15)), $AZ$6:$AZ$22, "Error", 0)</f>
        <v/>
      </c>
      <c r="X44" s="30">
        <f t="array" ref="X44">_xlfn.XLOOKUP(MIN(ABS($AY$6:$AY$22 - MEDIAN(-2, 2, X15))), ABS($AY$6:$AY$22 - MEDIAN(-2, 2, X15)), $AZ$6:$AZ$22, "Error", 0)</f>
        <v/>
      </c>
      <c r="Y44" s="30">
        <f t="array" ref="Y44">_xlfn.XLOOKUP(MIN(ABS($AY$6:$AY$22 - MEDIAN(-2, 2, Y15))), ABS($AY$6:$AY$22 - MEDIAN(-2, 2, Y15)), $AZ$6:$AZ$22, "Error", 0)</f>
        <v/>
      </c>
      <c r="Z44" s="30">
        <f t="array" ref="Z44">_xlfn.XLOOKUP(MIN(ABS($AY$6:$AY$22 - MEDIAN(-2, 2, Z15))), ABS($AY$6:$AY$22 - MEDIAN(-2, 2, Z15)), $AZ$6:$AZ$22, "Error", 0)</f>
        <v/>
      </c>
      <c r="AA44" s="30">
        <f t="array" ref="AA44">_xlfn.XLOOKUP(MIN(ABS($AY$6:$AY$22 - MEDIAN(-2, 2, AA15))), ABS($AY$6:$AY$22 - MEDIAN(-2, 2, AA15)), $AZ$6:$AZ$22, "Error", 0)</f>
        <v/>
      </c>
      <c r="AB44" s="30">
        <f t="array" ref="AB44">_xlfn.XLOOKUP(MIN(ABS($AY$6:$AY$22 - MEDIAN(-2, 2, AB15))), ABS($AY$6:$AY$22 - MEDIAN(-2, 2, AB15)), $AZ$6:$AZ$22, "Error", 0)</f>
        <v/>
      </c>
      <c r="AC44" s="30">
        <f t="array" ref="AC44">_xlfn.XLOOKUP(MIN(ABS($AY$6:$AY$22 - MEDIAN(-2, 2, AC15))), ABS($AY$6:$AY$22 - MEDIAN(-2, 2, AC15)), $AZ$6:$AZ$22, "Error", 0)</f>
        <v/>
      </c>
      <c r="AD44" s="30">
        <f t="array" ref="AD44">_xlfn.XLOOKUP(MIN(ABS($AY$6:$AY$22 - MEDIAN(-2, 2, AD15))), ABS($AY$6:$AY$22 - MEDIAN(-2, 2, AD15)), $AZ$6:$AZ$22, "Error", 0)</f>
        <v/>
      </c>
      <c r="AE44" s="30">
        <f t="array" ref="AE44">_xlfn.XLOOKUP(MIN(ABS($AY$6:$AY$22 - MEDIAN(-2, 2, AE15))), ABS($AY$6:$AY$22 - MEDIAN(-2, 2, AE15)), $AZ$6:$AZ$22, "Error", 0)</f>
        <v/>
      </c>
      <c r="AF44" s="30">
        <f t="array" ref="AF44">_xlfn.XLOOKUP(MIN(ABS($AY$6:$AY$22 - MEDIAN(-2, 2, AF15))), ABS($AY$6:$AY$22 - MEDIAN(-2, 2, AF15)), $AZ$6:$AZ$22, "Error", 0)</f>
        <v/>
      </c>
      <c r="AG44" s="30">
        <f t="array" ref="AG44">_xlfn.XLOOKUP(MIN(ABS($AY$6:$AY$22 - MEDIAN(-2, 2, AG15))), ABS($AY$6:$AY$22 - MEDIAN(-2, 2, AG15)), $AZ$6:$AZ$22, "Error", 0)</f>
        <v/>
      </c>
      <c r="AH44" s="30">
        <f t="array" ref="AH44">_xlfn.XLOOKUP(MIN(ABS($AY$6:$AY$22 - MEDIAN(-2, 2, AH15))), ABS($AY$6:$AY$22 - MEDIAN(-2, 2, AH15)), $AZ$6:$AZ$22, "Error", 0)</f>
        <v/>
      </c>
      <c r="AI44" s="30">
        <f t="array" ref="AI44">_xlfn.XLOOKUP(MIN(ABS($AY$6:$AY$22 - MEDIAN(-2, 2, AI15))), ABS($AY$6:$AY$22 - MEDIAN(-2, 2, AI15)), $AZ$6:$AZ$22, "Error", 0)</f>
        <v/>
      </c>
      <c r="AJ44" s="30">
        <f t="array" ref="AJ44">_xlfn.XLOOKUP(MIN(ABS($AY$6:$AY$22 - MEDIAN(-2, 2, AJ15))), ABS($AY$6:$AY$22 - MEDIAN(-2, 2, AJ15)), $AZ$6:$AZ$22, "Error", 0)</f>
        <v/>
      </c>
      <c r="AK44" s="30">
        <f t="array" ref="AK44">_xlfn.XLOOKUP(MIN(ABS($AY$6:$AY$22 - MEDIAN(-2, 2, AK15))), ABS($AY$6:$AY$22 - MEDIAN(-2, 2, AK15)), $AZ$6:$AZ$22, "Error", 0)</f>
        <v/>
      </c>
      <c r="AL44" s="30">
        <f t="array" ref="AL44">_xlfn.XLOOKUP(MIN(ABS($AY$6:$AY$22 - MEDIAN(-2, 2, AL15))), ABS($AY$6:$AY$22 - MEDIAN(-2, 2, AL15)), $AZ$6:$AZ$22, "Error", 0)</f>
        <v/>
      </c>
      <c r="AM44" s="30">
        <f t="array" ref="AM44">_xlfn.XLOOKUP(MIN(ABS($AY$6:$AY$22 - MEDIAN(-2, 2, AM15))), ABS($AY$6:$AY$22 - MEDIAN(-2, 2, AM15)), $AZ$6:$AZ$22, "Error", 0)</f>
        <v/>
      </c>
      <c r="AN44" s="30">
        <f t="array" ref="AN44">_xlfn.XLOOKUP(MIN(ABS($AY$6:$AY$22 - MEDIAN(-2, 2, AN15))), ABS($AY$6:$AY$22 - MEDIAN(-2, 2, AN15)), $AZ$6:$AZ$22, "Error", 0)</f>
        <v/>
      </c>
      <c r="AO44" s="30">
        <f t="array" ref="AO44">_xlfn.XLOOKUP(MIN(ABS($AY$6:$AY$22 - MEDIAN(-2, 2, AO15))), ABS($AY$6:$AY$22 - MEDIAN(-2, 2, AO15)), $AZ$6:$AZ$22, "Error", 0)</f>
        <v/>
      </c>
      <c r="AP44" s="30">
        <f t="array" ref="AP44">_xlfn.XLOOKUP(MIN(ABS($AY$6:$AY$22 - MEDIAN(-2, 2, AP15))), ABS($AY$6:$AY$22 - MEDIAN(-2, 2, AP15)), $AZ$6:$AZ$22, "Error", 0)</f>
        <v/>
      </c>
      <c r="AQ44" s="30">
        <f t="array" ref="AQ44">_xlfn.XLOOKUP(MIN(ABS($AY$6:$AY$22 - MEDIAN(-2, 2, AQ15))), ABS($AY$6:$AY$22 - MEDIAN(-2, 2, AQ15)), $AZ$6:$AZ$22, "Error", 0)</f>
        <v/>
      </c>
      <c r="AR44" s="30">
        <f t="array" ref="AR44">_xlfn.XLOOKUP(MIN(ABS($AY$6:$AY$22 - MEDIAN(-2, 2, AR15))), ABS($AY$6:$AY$22 - MEDIAN(-2, 2, AR15)), $AZ$6:$AZ$22, "Error", 0)</f>
        <v/>
      </c>
      <c r="AS44" s="30">
        <f t="array" ref="AS44">_xlfn.XLOOKUP(MIN(ABS($AY$6:$AY$22 - MEDIAN(-2, 2, AS15))), ABS($AY$6:$AY$22 - MEDIAN(-2, 2, AS15)), $AZ$6:$AZ$22, "Error", 0)</f>
        <v/>
      </c>
      <c r="AT44" s="30">
        <f t="array" ref="AT44">_xlfn.XLOOKUP(MIN(ABS($AY$6:$AY$22 - MEDIAN(-2, 2, AT15))), ABS($AY$6:$AY$22 - MEDIAN(-2, 2, AT15)), $AZ$6:$AZ$22, "Error", 0)</f>
        <v/>
      </c>
      <c r="AU44" s="30">
        <f t="array" ref="AU44">_xlfn.XLOOKUP(MIN(ABS($AY$6:$AY$22 - MEDIAN(-2, 2, AU15))), ABS($AY$6:$AY$22 - MEDIAN(-2, 2, AU15)), $AZ$6:$AZ$22, "Error", 0)</f>
        <v/>
      </c>
      <c r="AV44" s="30">
        <f t="array" ref="AV44">_xlfn.XLOOKUP(MIN(ABS($AY$6:$AY$22 - MEDIAN(-2, 2, AV15))), ABS($AY$6:$AY$22 - MEDIAN(-2, 2, AV15)), $AZ$6:$AZ$22, "Error", 0)</f>
        <v/>
      </c>
      <c r="AW44" s="30">
        <f t="array" ref="AW44">_xlfn.XLOOKUP(MIN(ABS($AY$6:$AY$22 - MEDIAN(-2, 2, AW15))), ABS($AY$6:$AY$22 - MEDIAN(-2, 2, AW15)), $AZ$6:$AZ$22, "Error", 0)</f>
        <v/>
      </c>
    </row>
    <row r="45" ht="25" customHeight="1">
      <c r="A45" s="45" t="inlineStr">
        <is>
          <t>USD CHF</t>
        </is>
      </c>
      <c r="B45" s="30">
        <f t="array" ref="B45">_xlfn.XLOOKUP(MIN(ABS($AY$6:$AY$22 - MEDIAN(-2, 2, B16))), ABS($AY$6:$AY$22 - MEDIAN(-2, 2, B16)), $AZ$6:$AZ$22, "Error", 0)</f>
        <v/>
      </c>
      <c r="C45" s="30">
        <f t="array" ref="C45">_xlfn.XLOOKUP(MIN(ABS($AY$6:$AY$22 - MEDIAN(-2, 2, C16))), ABS($AY$6:$AY$22 - MEDIAN(-2, 2, C16)), $AZ$6:$AZ$22, "Error", 0)</f>
        <v/>
      </c>
      <c r="D45" s="30">
        <f t="array" ref="D45">_xlfn.XLOOKUP(MIN(ABS($AY$6:$AY$22 - MEDIAN(-2, 2, D16))), ABS($AY$6:$AY$22 - MEDIAN(-2, 2, D16)), $AZ$6:$AZ$22, "Error", 0)</f>
        <v/>
      </c>
      <c r="E45" s="30">
        <f t="array" ref="E45">_xlfn.XLOOKUP(MIN(ABS($AY$6:$AY$22 - MEDIAN(-2, 2, E16))), ABS($AY$6:$AY$22 - MEDIAN(-2, 2, E16)), $AZ$6:$AZ$22, "Error", 0)</f>
        <v/>
      </c>
      <c r="F45" s="30">
        <f t="array" ref="F45">_xlfn.XLOOKUP(MIN(ABS($AY$6:$AY$22 - MEDIAN(-2, 2, F16))), ABS($AY$6:$AY$22 - MEDIAN(-2, 2, F16)), $AZ$6:$AZ$22, "Error", 0)</f>
        <v/>
      </c>
      <c r="G45" s="30">
        <f t="array" ref="G45">_xlfn.XLOOKUP(MIN(ABS($AY$6:$AY$22 - MEDIAN(-2, 2, G16))), ABS($AY$6:$AY$22 - MEDIAN(-2, 2, G16)), $AZ$6:$AZ$22, "Error", 0)</f>
        <v/>
      </c>
      <c r="H45" s="30">
        <f t="array" ref="H45">_xlfn.XLOOKUP(MIN(ABS($AY$6:$AY$22 - MEDIAN(-2, 2, H16))), ABS($AY$6:$AY$22 - MEDIAN(-2, 2, H16)), $AZ$6:$AZ$22, "Error", 0)</f>
        <v/>
      </c>
      <c r="I45" s="30">
        <f t="array" ref="I45">_xlfn.XLOOKUP(MIN(ABS($AY$6:$AY$22 - MEDIAN(-2, 2, I16))), ABS($AY$6:$AY$22 - MEDIAN(-2, 2, I16)), $AZ$6:$AZ$22, "Error", 0)</f>
        <v/>
      </c>
      <c r="J45" s="30">
        <f t="array" ref="J45">_xlfn.XLOOKUP(MIN(ABS($AY$6:$AY$22 - MEDIAN(-2, 2, J16))), ABS($AY$6:$AY$22 - MEDIAN(-2, 2, J16)), $AZ$6:$AZ$22, "Error", 0)</f>
        <v/>
      </c>
      <c r="K45" s="30">
        <f t="array" ref="K45">_xlfn.XLOOKUP(MIN(ABS($AY$6:$AY$22 - MEDIAN(-2, 2, K16))), ABS($AY$6:$AY$22 - MEDIAN(-2, 2, K16)), $AZ$6:$AZ$22, "Error", 0)</f>
        <v/>
      </c>
      <c r="L45" s="30">
        <f t="array" ref="L45">_xlfn.XLOOKUP(MIN(ABS($AY$6:$AY$22 - MEDIAN(-2, 2, L16))), ABS($AY$6:$AY$22 - MEDIAN(-2, 2, L16)), $AZ$6:$AZ$22, "Error", 0)</f>
        <v/>
      </c>
      <c r="M45" s="30">
        <f t="array" ref="M45">_xlfn.XLOOKUP(MIN(ABS($AY$6:$AY$22 - MEDIAN(-2, 2, M16))), ABS($AY$6:$AY$22 - MEDIAN(-2, 2, M16)), $AZ$6:$AZ$22, "Error", 0)</f>
        <v/>
      </c>
      <c r="N45" s="30">
        <f t="array" ref="N45">_xlfn.XLOOKUP(MIN(ABS($AY$6:$AY$22 - MEDIAN(-2, 2, N16))), ABS($AY$6:$AY$22 - MEDIAN(-2, 2, N16)), $AZ$6:$AZ$22, "Error", 0)</f>
        <v/>
      </c>
      <c r="O45" s="30">
        <f t="array" ref="O45">_xlfn.XLOOKUP(MIN(ABS($AY$6:$AY$22 - MEDIAN(-2, 2, O16))), ABS($AY$6:$AY$22 - MEDIAN(-2, 2, O16)), $AZ$6:$AZ$22, "Error", 0)</f>
        <v/>
      </c>
      <c r="P45" s="30">
        <f t="array" ref="P45">_xlfn.XLOOKUP(MIN(ABS($AY$6:$AY$22 - MEDIAN(-2, 2, P16))), ABS($AY$6:$AY$22 - MEDIAN(-2, 2, P16)), $AZ$6:$AZ$22, "Error", 0)</f>
        <v/>
      </c>
      <c r="Q45" s="30">
        <f t="array" ref="Q45">_xlfn.XLOOKUP(MIN(ABS($AY$6:$AY$22 - MEDIAN(-2, 2, Q16))), ABS($AY$6:$AY$22 - MEDIAN(-2, 2, Q16)), $AZ$6:$AZ$22, "Error", 0)</f>
        <v/>
      </c>
      <c r="R45" s="30">
        <f t="array" ref="R45">_xlfn.XLOOKUP(MIN(ABS($AY$6:$AY$22 - MEDIAN(-2, 2, R16))), ABS($AY$6:$AY$22 - MEDIAN(-2, 2, R16)), $AZ$6:$AZ$22, "Error", 0)</f>
        <v/>
      </c>
      <c r="S45" s="30">
        <f t="array" ref="S45">_xlfn.XLOOKUP(MIN(ABS($AY$6:$AY$22 - MEDIAN(-2, 2, S16))), ABS($AY$6:$AY$22 - MEDIAN(-2, 2, S16)), $AZ$6:$AZ$22, "Error", 0)</f>
        <v/>
      </c>
      <c r="T45" s="30">
        <f t="array" ref="T45">_xlfn.XLOOKUP(MIN(ABS($AY$6:$AY$22 - MEDIAN(-2, 2, T16))), ABS($AY$6:$AY$22 - MEDIAN(-2, 2, T16)), $AZ$6:$AZ$22, "Error", 0)</f>
        <v/>
      </c>
      <c r="U45" s="30">
        <f t="array" ref="U45">_xlfn.XLOOKUP(MIN(ABS($AY$6:$AY$22 - MEDIAN(-2, 2, U16))), ABS($AY$6:$AY$22 - MEDIAN(-2, 2, U16)), $AZ$6:$AZ$22, "Error", 0)</f>
        <v/>
      </c>
      <c r="V45" s="30">
        <f t="array" ref="V45">_xlfn.XLOOKUP(MIN(ABS($AY$6:$AY$22 - MEDIAN(-2, 2, V16))), ABS($AY$6:$AY$22 - MEDIAN(-2, 2, V16)), $AZ$6:$AZ$22, "Error", 0)</f>
        <v/>
      </c>
      <c r="W45" s="30">
        <f t="array" ref="W45">_xlfn.XLOOKUP(MIN(ABS($AY$6:$AY$22 - MEDIAN(-2, 2, W16))), ABS($AY$6:$AY$22 - MEDIAN(-2, 2, W16)), $AZ$6:$AZ$22, "Error", 0)</f>
        <v/>
      </c>
      <c r="X45" s="30">
        <f t="array" ref="X45">_xlfn.XLOOKUP(MIN(ABS($AY$6:$AY$22 - MEDIAN(-2, 2, X16))), ABS($AY$6:$AY$22 - MEDIAN(-2, 2, X16)), $AZ$6:$AZ$22, "Error", 0)</f>
        <v/>
      </c>
      <c r="Y45" s="30">
        <f t="array" ref="Y45">_xlfn.XLOOKUP(MIN(ABS($AY$6:$AY$22 - MEDIAN(-2, 2, Y16))), ABS($AY$6:$AY$22 - MEDIAN(-2, 2, Y16)), $AZ$6:$AZ$22, "Error", 0)</f>
        <v/>
      </c>
      <c r="Z45" s="30">
        <f t="array" ref="Z45">_xlfn.XLOOKUP(MIN(ABS($AY$6:$AY$22 - MEDIAN(-2, 2, Z16))), ABS($AY$6:$AY$22 - MEDIAN(-2, 2, Z16)), $AZ$6:$AZ$22, "Error", 0)</f>
        <v/>
      </c>
      <c r="AA45" s="30">
        <f t="array" ref="AA45">_xlfn.XLOOKUP(MIN(ABS($AY$6:$AY$22 - MEDIAN(-2, 2, AA16))), ABS($AY$6:$AY$22 - MEDIAN(-2, 2, AA16)), $AZ$6:$AZ$22, "Error", 0)</f>
        <v/>
      </c>
      <c r="AB45" s="30">
        <f t="array" ref="AB45">_xlfn.XLOOKUP(MIN(ABS($AY$6:$AY$22 - MEDIAN(-2, 2, AB16))), ABS($AY$6:$AY$22 - MEDIAN(-2, 2, AB16)), $AZ$6:$AZ$22, "Error", 0)</f>
        <v/>
      </c>
      <c r="AC45" s="30">
        <f t="array" ref="AC45">_xlfn.XLOOKUP(MIN(ABS($AY$6:$AY$22 - MEDIAN(-2, 2, AC16))), ABS($AY$6:$AY$22 - MEDIAN(-2, 2, AC16)), $AZ$6:$AZ$22, "Error", 0)</f>
        <v/>
      </c>
      <c r="AD45" s="30">
        <f t="array" ref="AD45">_xlfn.XLOOKUP(MIN(ABS($AY$6:$AY$22 - MEDIAN(-2, 2, AD16))), ABS($AY$6:$AY$22 - MEDIAN(-2, 2, AD16)), $AZ$6:$AZ$22, "Error", 0)</f>
        <v/>
      </c>
      <c r="AE45" s="30">
        <f t="array" ref="AE45">_xlfn.XLOOKUP(MIN(ABS($AY$6:$AY$22 - MEDIAN(-2, 2, AE16))), ABS($AY$6:$AY$22 - MEDIAN(-2, 2, AE16)), $AZ$6:$AZ$22, "Error", 0)</f>
        <v/>
      </c>
      <c r="AF45" s="30">
        <f t="array" ref="AF45">_xlfn.XLOOKUP(MIN(ABS($AY$6:$AY$22 - MEDIAN(-2, 2, AF16))), ABS($AY$6:$AY$22 - MEDIAN(-2, 2, AF16)), $AZ$6:$AZ$22, "Error", 0)</f>
        <v/>
      </c>
      <c r="AG45" s="30">
        <f t="array" ref="AG45">_xlfn.XLOOKUP(MIN(ABS($AY$6:$AY$22 - MEDIAN(-2, 2, AG16))), ABS($AY$6:$AY$22 - MEDIAN(-2, 2, AG16)), $AZ$6:$AZ$22, "Error", 0)</f>
        <v/>
      </c>
      <c r="AH45" s="30">
        <f t="array" ref="AH45">_xlfn.XLOOKUP(MIN(ABS($AY$6:$AY$22 - MEDIAN(-2, 2, AH16))), ABS($AY$6:$AY$22 - MEDIAN(-2, 2, AH16)), $AZ$6:$AZ$22, "Error", 0)</f>
        <v/>
      </c>
      <c r="AI45" s="30">
        <f t="array" ref="AI45">_xlfn.XLOOKUP(MIN(ABS($AY$6:$AY$22 - MEDIAN(-2, 2, AI16))), ABS($AY$6:$AY$22 - MEDIAN(-2, 2, AI16)), $AZ$6:$AZ$22, "Error", 0)</f>
        <v/>
      </c>
      <c r="AJ45" s="30">
        <f t="array" ref="AJ45">_xlfn.XLOOKUP(MIN(ABS($AY$6:$AY$22 - MEDIAN(-2, 2, AJ16))), ABS($AY$6:$AY$22 - MEDIAN(-2, 2, AJ16)), $AZ$6:$AZ$22, "Error", 0)</f>
        <v/>
      </c>
      <c r="AK45" s="30">
        <f t="array" ref="AK45">_xlfn.XLOOKUP(MIN(ABS($AY$6:$AY$22 - MEDIAN(-2, 2, AK16))), ABS($AY$6:$AY$22 - MEDIAN(-2, 2, AK16)), $AZ$6:$AZ$22, "Error", 0)</f>
        <v/>
      </c>
      <c r="AL45" s="30">
        <f t="array" ref="AL45">_xlfn.XLOOKUP(MIN(ABS($AY$6:$AY$22 - MEDIAN(-2, 2, AL16))), ABS($AY$6:$AY$22 - MEDIAN(-2, 2, AL16)), $AZ$6:$AZ$22, "Error", 0)</f>
        <v/>
      </c>
      <c r="AM45" s="30">
        <f t="array" ref="AM45">_xlfn.XLOOKUP(MIN(ABS($AY$6:$AY$22 - MEDIAN(-2, 2, AM16))), ABS($AY$6:$AY$22 - MEDIAN(-2, 2, AM16)), $AZ$6:$AZ$22, "Error", 0)</f>
        <v/>
      </c>
      <c r="AN45" s="30">
        <f t="array" ref="AN45">_xlfn.XLOOKUP(MIN(ABS($AY$6:$AY$22 - MEDIAN(-2, 2, AN16))), ABS($AY$6:$AY$22 - MEDIAN(-2, 2, AN16)), $AZ$6:$AZ$22, "Error", 0)</f>
        <v/>
      </c>
      <c r="AO45" s="30">
        <f t="array" ref="AO45">_xlfn.XLOOKUP(MIN(ABS($AY$6:$AY$22 - MEDIAN(-2, 2, AO16))), ABS($AY$6:$AY$22 - MEDIAN(-2, 2, AO16)), $AZ$6:$AZ$22, "Error", 0)</f>
        <v/>
      </c>
      <c r="AP45" s="30">
        <f t="array" ref="AP45">_xlfn.XLOOKUP(MIN(ABS($AY$6:$AY$22 - MEDIAN(-2, 2, AP16))), ABS($AY$6:$AY$22 - MEDIAN(-2, 2, AP16)), $AZ$6:$AZ$22, "Error", 0)</f>
        <v/>
      </c>
      <c r="AQ45" s="30">
        <f t="array" ref="AQ45">_xlfn.XLOOKUP(MIN(ABS($AY$6:$AY$22 - MEDIAN(-2, 2, AQ16))), ABS($AY$6:$AY$22 - MEDIAN(-2, 2, AQ16)), $AZ$6:$AZ$22, "Error", 0)</f>
        <v/>
      </c>
      <c r="AR45" s="30">
        <f t="array" ref="AR45">_xlfn.XLOOKUP(MIN(ABS($AY$6:$AY$22 - MEDIAN(-2, 2, AR16))), ABS($AY$6:$AY$22 - MEDIAN(-2, 2, AR16)), $AZ$6:$AZ$22, "Error", 0)</f>
        <v/>
      </c>
      <c r="AS45" s="30">
        <f t="array" ref="AS45">_xlfn.XLOOKUP(MIN(ABS($AY$6:$AY$22 - MEDIAN(-2, 2, AS16))), ABS($AY$6:$AY$22 - MEDIAN(-2, 2, AS16)), $AZ$6:$AZ$22, "Error", 0)</f>
        <v/>
      </c>
      <c r="AT45" s="30">
        <f t="array" ref="AT45">_xlfn.XLOOKUP(MIN(ABS($AY$6:$AY$22 - MEDIAN(-2, 2, AT16))), ABS($AY$6:$AY$22 - MEDIAN(-2, 2, AT16)), $AZ$6:$AZ$22, "Error", 0)</f>
        <v/>
      </c>
      <c r="AU45" s="30">
        <f t="array" ref="AU45">_xlfn.XLOOKUP(MIN(ABS($AY$6:$AY$22 - MEDIAN(-2, 2, AU16))), ABS($AY$6:$AY$22 - MEDIAN(-2, 2, AU16)), $AZ$6:$AZ$22, "Error", 0)</f>
        <v/>
      </c>
      <c r="AV45" s="30">
        <f t="array" ref="AV45">_xlfn.XLOOKUP(MIN(ABS($AY$6:$AY$22 - MEDIAN(-2, 2, AV16))), ABS($AY$6:$AY$22 - MEDIAN(-2, 2, AV16)), $AZ$6:$AZ$22, "Error", 0)</f>
        <v/>
      </c>
      <c r="AW45" s="30">
        <f t="array" ref="AW45">_xlfn.XLOOKUP(MIN(ABS($AY$6:$AY$22 - MEDIAN(-2, 2, AW16))), ABS($AY$6:$AY$22 - MEDIAN(-2, 2, AW16)), $AZ$6:$AZ$22, "Error", 0)</f>
        <v/>
      </c>
    </row>
    <row r="46" ht="25" customHeight="1">
      <c r="A46" s="45" t="inlineStr">
        <is>
          <t>USD CAD</t>
        </is>
      </c>
      <c r="B46" s="30">
        <f t="array" ref="B46">_xlfn.XLOOKUP(MIN(ABS($AY$6:$AY$22 - MEDIAN(-2, 2, B17))), ABS($AY$6:$AY$22 - MEDIAN(-2, 2, B17)), $AZ$6:$AZ$22, "Error", 0)</f>
        <v/>
      </c>
      <c r="C46" s="30">
        <f t="array" ref="C46">_xlfn.XLOOKUP(MIN(ABS($AY$6:$AY$22 - MEDIAN(-2, 2, C17))), ABS($AY$6:$AY$22 - MEDIAN(-2, 2, C17)), $AZ$6:$AZ$22, "Error", 0)</f>
        <v/>
      </c>
      <c r="D46" s="30">
        <f t="array" ref="D46">_xlfn.XLOOKUP(MIN(ABS($AY$6:$AY$22 - MEDIAN(-2, 2, D17))), ABS($AY$6:$AY$22 - MEDIAN(-2, 2, D17)), $AZ$6:$AZ$22, "Error", 0)</f>
        <v/>
      </c>
      <c r="E46" s="30">
        <f t="array" ref="E46">_xlfn.XLOOKUP(MIN(ABS($AY$6:$AY$22 - MEDIAN(-2, 2, E17))), ABS($AY$6:$AY$22 - MEDIAN(-2, 2, E17)), $AZ$6:$AZ$22, "Error", 0)</f>
        <v/>
      </c>
      <c r="F46" s="30">
        <f t="array" ref="F46">_xlfn.XLOOKUP(MIN(ABS($AY$6:$AY$22 - MEDIAN(-2, 2, F17))), ABS($AY$6:$AY$22 - MEDIAN(-2, 2, F17)), $AZ$6:$AZ$22, "Error", 0)</f>
        <v/>
      </c>
      <c r="G46" s="30">
        <f t="array" ref="G46">_xlfn.XLOOKUP(MIN(ABS($AY$6:$AY$22 - MEDIAN(-2, 2, G17))), ABS($AY$6:$AY$22 - MEDIAN(-2, 2, G17)), $AZ$6:$AZ$22, "Error", 0)</f>
        <v/>
      </c>
      <c r="H46" s="30">
        <f t="array" ref="H46">_xlfn.XLOOKUP(MIN(ABS($AY$6:$AY$22 - MEDIAN(-2, 2, H17))), ABS($AY$6:$AY$22 - MEDIAN(-2, 2, H17)), $AZ$6:$AZ$22, "Error", 0)</f>
        <v/>
      </c>
      <c r="I46" s="30">
        <f t="array" ref="I46">_xlfn.XLOOKUP(MIN(ABS($AY$6:$AY$22 - MEDIAN(-2, 2, I17))), ABS($AY$6:$AY$22 - MEDIAN(-2, 2, I17)), $AZ$6:$AZ$22, "Error", 0)</f>
        <v/>
      </c>
      <c r="J46" s="30">
        <f t="array" ref="J46">_xlfn.XLOOKUP(MIN(ABS($AY$6:$AY$22 - MEDIAN(-2, 2, J17))), ABS($AY$6:$AY$22 - MEDIAN(-2, 2, J17)), $AZ$6:$AZ$22, "Error", 0)</f>
        <v/>
      </c>
      <c r="K46" s="30">
        <f t="array" ref="K46">_xlfn.XLOOKUP(MIN(ABS($AY$6:$AY$22 - MEDIAN(-2, 2, K17))), ABS($AY$6:$AY$22 - MEDIAN(-2, 2, K17)), $AZ$6:$AZ$22, "Error", 0)</f>
        <v/>
      </c>
      <c r="L46" s="30">
        <f t="array" ref="L46">_xlfn.XLOOKUP(MIN(ABS($AY$6:$AY$22 - MEDIAN(-2, 2, L17))), ABS($AY$6:$AY$22 - MEDIAN(-2, 2, L17)), $AZ$6:$AZ$22, "Error", 0)</f>
        <v/>
      </c>
      <c r="M46" s="30">
        <f t="array" ref="M46">_xlfn.XLOOKUP(MIN(ABS($AY$6:$AY$22 - MEDIAN(-2, 2, M17))), ABS($AY$6:$AY$22 - MEDIAN(-2, 2, M17)), $AZ$6:$AZ$22, "Error", 0)</f>
        <v/>
      </c>
      <c r="N46" s="30">
        <f t="array" ref="N46">_xlfn.XLOOKUP(MIN(ABS($AY$6:$AY$22 - MEDIAN(-2, 2, N17))), ABS($AY$6:$AY$22 - MEDIAN(-2, 2, N17)), $AZ$6:$AZ$22, "Error", 0)</f>
        <v/>
      </c>
      <c r="O46" s="30">
        <f t="array" ref="O46">_xlfn.XLOOKUP(MIN(ABS($AY$6:$AY$22 - MEDIAN(-2, 2, O17))), ABS($AY$6:$AY$22 - MEDIAN(-2, 2, O17)), $AZ$6:$AZ$22, "Error", 0)</f>
        <v/>
      </c>
      <c r="P46" s="30">
        <f t="array" ref="P46">_xlfn.XLOOKUP(MIN(ABS($AY$6:$AY$22 - MEDIAN(-2, 2, P17))), ABS($AY$6:$AY$22 - MEDIAN(-2, 2, P17)), $AZ$6:$AZ$22, "Error", 0)</f>
        <v/>
      </c>
      <c r="Q46" s="30">
        <f t="array" ref="Q46">_xlfn.XLOOKUP(MIN(ABS($AY$6:$AY$22 - MEDIAN(-2, 2, Q17))), ABS($AY$6:$AY$22 - MEDIAN(-2, 2, Q17)), $AZ$6:$AZ$22, "Error", 0)</f>
        <v/>
      </c>
      <c r="R46" s="30">
        <f t="array" ref="R46">_xlfn.XLOOKUP(MIN(ABS($AY$6:$AY$22 - MEDIAN(-2, 2, R17))), ABS($AY$6:$AY$22 - MEDIAN(-2, 2, R17)), $AZ$6:$AZ$22, "Error", 0)</f>
        <v/>
      </c>
      <c r="S46" s="30">
        <f t="array" ref="S46">_xlfn.XLOOKUP(MIN(ABS($AY$6:$AY$22 - MEDIAN(-2, 2, S17))), ABS($AY$6:$AY$22 - MEDIAN(-2, 2, S17)), $AZ$6:$AZ$22, "Error", 0)</f>
        <v/>
      </c>
      <c r="T46" s="30">
        <f t="array" ref="T46">_xlfn.XLOOKUP(MIN(ABS($AY$6:$AY$22 - MEDIAN(-2, 2, T17))), ABS($AY$6:$AY$22 - MEDIAN(-2, 2, T17)), $AZ$6:$AZ$22, "Error", 0)</f>
        <v/>
      </c>
      <c r="U46" s="30">
        <f t="array" ref="U46">_xlfn.XLOOKUP(MIN(ABS($AY$6:$AY$22 - MEDIAN(-2, 2, U17))), ABS($AY$6:$AY$22 - MEDIAN(-2, 2, U17)), $AZ$6:$AZ$22, "Error", 0)</f>
        <v/>
      </c>
      <c r="V46" s="30">
        <f t="array" ref="V46">_xlfn.XLOOKUP(MIN(ABS($AY$6:$AY$22 - MEDIAN(-2, 2, V17))), ABS($AY$6:$AY$22 - MEDIAN(-2, 2, V17)), $AZ$6:$AZ$22, "Error", 0)</f>
        <v/>
      </c>
      <c r="W46" s="30">
        <f t="array" ref="W46">_xlfn.XLOOKUP(MIN(ABS($AY$6:$AY$22 - MEDIAN(-2, 2, W17))), ABS($AY$6:$AY$22 - MEDIAN(-2, 2, W17)), $AZ$6:$AZ$22, "Error", 0)</f>
        <v/>
      </c>
      <c r="X46" s="30">
        <f t="array" ref="X46">_xlfn.XLOOKUP(MIN(ABS($AY$6:$AY$22 - MEDIAN(-2, 2, X17))), ABS($AY$6:$AY$22 - MEDIAN(-2, 2, X17)), $AZ$6:$AZ$22, "Error", 0)</f>
        <v/>
      </c>
      <c r="Y46" s="30">
        <f t="array" ref="Y46">_xlfn.XLOOKUP(MIN(ABS($AY$6:$AY$22 - MEDIAN(-2, 2, Y17))), ABS($AY$6:$AY$22 - MEDIAN(-2, 2, Y17)), $AZ$6:$AZ$22, "Error", 0)</f>
        <v/>
      </c>
      <c r="Z46" s="30">
        <f t="array" ref="Z46">_xlfn.XLOOKUP(MIN(ABS($AY$6:$AY$22 - MEDIAN(-2, 2, Z17))), ABS($AY$6:$AY$22 - MEDIAN(-2, 2, Z17)), $AZ$6:$AZ$22, "Error", 0)</f>
        <v/>
      </c>
      <c r="AA46" s="30">
        <f t="array" ref="AA46">_xlfn.XLOOKUP(MIN(ABS($AY$6:$AY$22 - MEDIAN(-2, 2, AA17))), ABS($AY$6:$AY$22 - MEDIAN(-2, 2, AA17)), $AZ$6:$AZ$22, "Error", 0)</f>
        <v/>
      </c>
      <c r="AB46" s="30">
        <f t="array" ref="AB46">_xlfn.XLOOKUP(MIN(ABS($AY$6:$AY$22 - MEDIAN(-2, 2, AB17))), ABS($AY$6:$AY$22 - MEDIAN(-2, 2, AB17)), $AZ$6:$AZ$22, "Error", 0)</f>
        <v/>
      </c>
      <c r="AC46" s="30">
        <f t="array" ref="AC46">_xlfn.XLOOKUP(MIN(ABS($AY$6:$AY$22 - MEDIAN(-2, 2, AC17))), ABS($AY$6:$AY$22 - MEDIAN(-2, 2, AC17)), $AZ$6:$AZ$22, "Error", 0)</f>
        <v/>
      </c>
      <c r="AD46" s="30">
        <f t="array" ref="AD46">_xlfn.XLOOKUP(MIN(ABS($AY$6:$AY$22 - MEDIAN(-2, 2, AD17))), ABS($AY$6:$AY$22 - MEDIAN(-2, 2, AD17)), $AZ$6:$AZ$22, "Error", 0)</f>
        <v/>
      </c>
      <c r="AE46" s="30">
        <f t="array" ref="AE46">_xlfn.XLOOKUP(MIN(ABS($AY$6:$AY$22 - MEDIAN(-2, 2, AE17))), ABS($AY$6:$AY$22 - MEDIAN(-2, 2, AE17)), $AZ$6:$AZ$22, "Error", 0)</f>
        <v/>
      </c>
      <c r="AF46" s="30">
        <f t="array" ref="AF46">_xlfn.XLOOKUP(MIN(ABS($AY$6:$AY$22 - MEDIAN(-2, 2, AF17))), ABS($AY$6:$AY$22 - MEDIAN(-2, 2, AF17)), $AZ$6:$AZ$22, "Error", 0)</f>
        <v/>
      </c>
      <c r="AG46" s="30">
        <f t="array" ref="AG46">_xlfn.XLOOKUP(MIN(ABS($AY$6:$AY$22 - MEDIAN(-2, 2, AG17))), ABS($AY$6:$AY$22 - MEDIAN(-2, 2, AG17)), $AZ$6:$AZ$22, "Error", 0)</f>
        <v/>
      </c>
      <c r="AH46" s="30">
        <f t="array" ref="AH46">_xlfn.XLOOKUP(MIN(ABS($AY$6:$AY$22 - MEDIAN(-2, 2, AH17))), ABS($AY$6:$AY$22 - MEDIAN(-2, 2, AH17)), $AZ$6:$AZ$22, "Error", 0)</f>
        <v/>
      </c>
      <c r="AI46" s="30">
        <f t="array" ref="AI46">_xlfn.XLOOKUP(MIN(ABS($AY$6:$AY$22 - MEDIAN(-2, 2, AI17))), ABS($AY$6:$AY$22 - MEDIAN(-2, 2, AI17)), $AZ$6:$AZ$22, "Error", 0)</f>
        <v/>
      </c>
      <c r="AJ46" s="30">
        <f t="array" ref="AJ46">_xlfn.XLOOKUP(MIN(ABS($AY$6:$AY$22 - MEDIAN(-2, 2, AJ17))), ABS($AY$6:$AY$22 - MEDIAN(-2, 2, AJ17)), $AZ$6:$AZ$22, "Error", 0)</f>
        <v/>
      </c>
      <c r="AK46" s="30">
        <f t="array" ref="AK46">_xlfn.XLOOKUP(MIN(ABS($AY$6:$AY$22 - MEDIAN(-2, 2, AK17))), ABS($AY$6:$AY$22 - MEDIAN(-2, 2, AK17)), $AZ$6:$AZ$22, "Error", 0)</f>
        <v/>
      </c>
      <c r="AL46" s="30">
        <f t="array" ref="AL46">_xlfn.XLOOKUP(MIN(ABS($AY$6:$AY$22 - MEDIAN(-2, 2, AL17))), ABS($AY$6:$AY$22 - MEDIAN(-2, 2, AL17)), $AZ$6:$AZ$22, "Error", 0)</f>
        <v/>
      </c>
      <c r="AM46" s="30">
        <f t="array" ref="AM46">_xlfn.XLOOKUP(MIN(ABS($AY$6:$AY$22 - MEDIAN(-2, 2, AM17))), ABS($AY$6:$AY$22 - MEDIAN(-2, 2, AM17)), $AZ$6:$AZ$22, "Error", 0)</f>
        <v/>
      </c>
      <c r="AN46" s="30">
        <f t="array" ref="AN46">_xlfn.XLOOKUP(MIN(ABS($AY$6:$AY$22 - MEDIAN(-2, 2, AN17))), ABS($AY$6:$AY$22 - MEDIAN(-2, 2, AN17)), $AZ$6:$AZ$22, "Error", 0)</f>
        <v/>
      </c>
      <c r="AO46" s="30">
        <f t="array" ref="AO46">_xlfn.XLOOKUP(MIN(ABS($AY$6:$AY$22 - MEDIAN(-2, 2, AO17))), ABS($AY$6:$AY$22 - MEDIAN(-2, 2, AO17)), $AZ$6:$AZ$22, "Error", 0)</f>
        <v/>
      </c>
      <c r="AP46" s="30">
        <f t="array" ref="AP46">_xlfn.XLOOKUP(MIN(ABS($AY$6:$AY$22 - MEDIAN(-2, 2, AP17))), ABS($AY$6:$AY$22 - MEDIAN(-2, 2, AP17)), $AZ$6:$AZ$22, "Error", 0)</f>
        <v/>
      </c>
      <c r="AQ46" s="30">
        <f t="array" ref="AQ46">_xlfn.XLOOKUP(MIN(ABS($AY$6:$AY$22 - MEDIAN(-2, 2, AQ17))), ABS($AY$6:$AY$22 - MEDIAN(-2, 2, AQ17)), $AZ$6:$AZ$22, "Error", 0)</f>
        <v/>
      </c>
      <c r="AR46" s="30">
        <f t="array" ref="AR46">_xlfn.XLOOKUP(MIN(ABS($AY$6:$AY$22 - MEDIAN(-2, 2, AR17))), ABS($AY$6:$AY$22 - MEDIAN(-2, 2, AR17)), $AZ$6:$AZ$22, "Error", 0)</f>
        <v/>
      </c>
      <c r="AS46" s="30">
        <f t="array" ref="AS46">_xlfn.XLOOKUP(MIN(ABS($AY$6:$AY$22 - MEDIAN(-2, 2, AS17))), ABS($AY$6:$AY$22 - MEDIAN(-2, 2, AS17)), $AZ$6:$AZ$22, "Error", 0)</f>
        <v/>
      </c>
      <c r="AT46" s="30">
        <f t="array" ref="AT46">_xlfn.XLOOKUP(MIN(ABS($AY$6:$AY$22 - MEDIAN(-2, 2, AT17))), ABS($AY$6:$AY$22 - MEDIAN(-2, 2, AT17)), $AZ$6:$AZ$22, "Error", 0)</f>
        <v/>
      </c>
      <c r="AU46" s="30">
        <f t="array" ref="AU46">_xlfn.XLOOKUP(MIN(ABS($AY$6:$AY$22 - MEDIAN(-2, 2, AU17))), ABS($AY$6:$AY$22 - MEDIAN(-2, 2, AU17)), $AZ$6:$AZ$22, "Error", 0)</f>
        <v/>
      </c>
      <c r="AV46" s="30">
        <f t="array" ref="AV46">_xlfn.XLOOKUP(MIN(ABS($AY$6:$AY$22 - MEDIAN(-2, 2, AV17))), ABS($AY$6:$AY$22 - MEDIAN(-2, 2, AV17)), $AZ$6:$AZ$22, "Error", 0)</f>
        <v/>
      </c>
      <c r="AW46" s="30">
        <f t="array" ref="AW46">_xlfn.XLOOKUP(MIN(ABS($AY$6:$AY$22 - MEDIAN(-2, 2, AW17))), ABS($AY$6:$AY$22 - MEDIAN(-2, 2, AW17)), $AZ$6:$AZ$22, "Error", 0)</f>
        <v/>
      </c>
    </row>
    <row r="47" ht="25" customHeight="1">
      <c r="A47" s="46" t="inlineStr">
        <is>
          <t>EUR USD</t>
        </is>
      </c>
      <c r="B47" s="30">
        <f t="array" ref="B47">_xlfn.XLOOKUP(MIN(ABS($AY$6:$AY$22 - MEDIAN(-2, 2, B18))), ABS($AY$6:$AY$22 - MEDIAN(-2, 2, B18)), $AZ$6:$AZ$22, "Error", 0)</f>
        <v/>
      </c>
      <c r="C47" s="30">
        <f t="array" ref="C47">_xlfn.XLOOKUP(MIN(ABS($AY$6:$AY$22 - MEDIAN(-2, 2, C18))), ABS($AY$6:$AY$22 - MEDIAN(-2, 2, C18)), $AZ$6:$AZ$22, "Error", 0)</f>
        <v/>
      </c>
      <c r="D47" s="30">
        <f t="array" ref="D47">_xlfn.XLOOKUP(MIN(ABS($AY$6:$AY$22 - MEDIAN(-2, 2, D18))), ABS($AY$6:$AY$22 - MEDIAN(-2, 2, D18)), $AZ$6:$AZ$22, "Error", 0)</f>
        <v/>
      </c>
      <c r="E47" s="30">
        <f t="array" ref="E47">_xlfn.XLOOKUP(MIN(ABS($AY$6:$AY$22 - MEDIAN(-2, 2, E18))), ABS($AY$6:$AY$22 - MEDIAN(-2, 2, E18)), $AZ$6:$AZ$22, "Error", 0)</f>
        <v/>
      </c>
      <c r="F47" s="30">
        <f t="array" ref="F47">_xlfn.XLOOKUP(MIN(ABS($AY$6:$AY$22 - MEDIAN(-2, 2, F18))), ABS($AY$6:$AY$22 - MEDIAN(-2, 2, F18)), $AZ$6:$AZ$22, "Error", 0)</f>
        <v/>
      </c>
      <c r="G47" s="30">
        <f t="array" ref="G47">_xlfn.XLOOKUP(MIN(ABS($AY$6:$AY$22 - MEDIAN(-2, 2, G18))), ABS($AY$6:$AY$22 - MEDIAN(-2, 2, G18)), $AZ$6:$AZ$22, "Error", 0)</f>
        <v/>
      </c>
      <c r="H47" s="30">
        <f t="array" ref="H47">_xlfn.XLOOKUP(MIN(ABS($AY$6:$AY$22 - MEDIAN(-2, 2, H18))), ABS($AY$6:$AY$22 - MEDIAN(-2, 2, H18)), $AZ$6:$AZ$22, "Error", 0)</f>
        <v/>
      </c>
      <c r="I47" s="30">
        <f t="array" ref="I47">_xlfn.XLOOKUP(MIN(ABS($AY$6:$AY$22 - MEDIAN(-2, 2, I18))), ABS($AY$6:$AY$22 - MEDIAN(-2, 2, I18)), $AZ$6:$AZ$22, "Error", 0)</f>
        <v/>
      </c>
      <c r="J47" s="30">
        <f t="array" ref="J47">_xlfn.XLOOKUP(MIN(ABS($AY$6:$AY$22 - MEDIAN(-2, 2, J18))), ABS($AY$6:$AY$22 - MEDIAN(-2, 2, J18)), $AZ$6:$AZ$22, "Error", 0)</f>
        <v/>
      </c>
      <c r="K47" s="30">
        <f t="array" ref="K47">_xlfn.XLOOKUP(MIN(ABS($AY$6:$AY$22 - MEDIAN(-2, 2, K18))), ABS($AY$6:$AY$22 - MEDIAN(-2, 2, K18)), $AZ$6:$AZ$22, "Error", 0)</f>
        <v/>
      </c>
      <c r="L47" s="30">
        <f t="array" ref="L47">_xlfn.XLOOKUP(MIN(ABS($AY$6:$AY$22 - MEDIAN(-2, 2, L18))), ABS($AY$6:$AY$22 - MEDIAN(-2, 2, L18)), $AZ$6:$AZ$22, "Error", 0)</f>
        <v/>
      </c>
      <c r="M47" s="30">
        <f t="array" ref="M47">_xlfn.XLOOKUP(MIN(ABS($AY$6:$AY$22 - MEDIAN(-2, 2, M18))), ABS($AY$6:$AY$22 - MEDIAN(-2, 2, M18)), $AZ$6:$AZ$22, "Error", 0)</f>
        <v/>
      </c>
      <c r="N47" s="30">
        <f t="array" ref="N47">_xlfn.XLOOKUP(MIN(ABS($AY$6:$AY$22 - MEDIAN(-2, 2, N18))), ABS($AY$6:$AY$22 - MEDIAN(-2, 2, N18)), $AZ$6:$AZ$22, "Error", 0)</f>
        <v/>
      </c>
      <c r="O47" s="30">
        <f t="array" ref="O47">_xlfn.XLOOKUP(MIN(ABS($AY$6:$AY$22 - MEDIAN(-2, 2, O18))), ABS($AY$6:$AY$22 - MEDIAN(-2, 2, O18)), $AZ$6:$AZ$22, "Error", 0)</f>
        <v/>
      </c>
      <c r="P47" s="30">
        <f t="array" ref="P47">_xlfn.XLOOKUP(MIN(ABS($AY$6:$AY$22 - MEDIAN(-2, 2, P18))), ABS($AY$6:$AY$22 - MEDIAN(-2, 2, P18)), $AZ$6:$AZ$22, "Error", 0)</f>
        <v/>
      </c>
      <c r="Q47" s="30">
        <f t="array" ref="Q47">_xlfn.XLOOKUP(MIN(ABS($AY$6:$AY$22 - MEDIAN(-2, 2, Q18))), ABS($AY$6:$AY$22 - MEDIAN(-2, 2, Q18)), $AZ$6:$AZ$22, "Error", 0)</f>
        <v/>
      </c>
      <c r="R47" s="30">
        <f t="array" ref="R47">_xlfn.XLOOKUP(MIN(ABS($AY$6:$AY$22 - MEDIAN(-2, 2, R18))), ABS($AY$6:$AY$22 - MEDIAN(-2, 2, R18)), $AZ$6:$AZ$22, "Error", 0)</f>
        <v/>
      </c>
      <c r="S47" s="30">
        <f t="array" ref="S47">_xlfn.XLOOKUP(MIN(ABS($AY$6:$AY$22 - MEDIAN(-2, 2, S18))), ABS($AY$6:$AY$22 - MEDIAN(-2, 2, S18)), $AZ$6:$AZ$22, "Error", 0)</f>
        <v/>
      </c>
      <c r="T47" s="30">
        <f t="array" ref="T47">_xlfn.XLOOKUP(MIN(ABS($AY$6:$AY$22 - MEDIAN(-2, 2, T18))), ABS($AY$6:$AY$22 - MEDIAN(-2, 2, T18)), $AZ$6:$AZ$22, "Error", 0)</f>
        <v/>
      </c>
      <c r="U47" s="30">
        <f t="array" ref="U47">_xlfn.XLOOKUP(MIN(ABS($AY$6:$AY$22 - MEDIAN(-2, 2, U18))), ABS($AY$6:$AY$22 - MEDIAN(-2, 2, U18)), $AZ$6:$AZ$22, "Error", 0)</f>
        <v/>
      </c>
      <c r="V47" s="30">
        <f t="array" ref="V47">_xlfn.XLOOKUP(MIN(ABS($AY$6:$AY$22 - MEDIAN(-2, 2, V18))), ABS($AY$6:$AY$22 - MEDIAN(-2, 2, V18)), $AZ$6:$AZ$22, "Error", 0)</f>
        <v/>
      </c>
      <c r="W47" s="30">
        <f t="array" ref="W47">_xlfn.XLOOKUP(MIN(ABS($AY$6:$AY$22 - MEDIAN(-2, 2, W18))), ABS($AY$6:$AY$22 - MEDIAN(-2, 2, W18)), $AZ$6:$AZ$22, "Error", 0)</f>
        <v/>
      </c>
      <c r="X47" s="30">
        <f t="array" ref="X47">_xlfn.XLOOKUP(MIN(ABS($AY$6:$AY$22 - MEDIAN(-2, 2, X18))), ABS($AY$6:$AY$22 - MEDIAN(-2, 2, X18)), $AZ$6:$AZ$22, "Error", 0)</f>
        <v/>
      </c>
      <c r="Y47" s="30">
        <f t="array" ref="Y47">_xlfn.XLOOKUP(MIN(ABS($AY$6:$AY$22 - MEDIAN(-2, 2, Y18))), ABS($AY$6:$AY$22 - MEDIAN(-2, 2, Y18)), $AZ$6:$AZ$22, "Error", 0)</f>
        <v/>
      </c>
      <c r="Z47" s="30">
        <f t="array" ref="Z47">_xlfn.XLOOKUP(MIN(ABS($AY$6:$AY$22 - MEDIAN(-2, 2, Z18))), ABS($AY$6:$AY$22 - MEDIAN(-2, 2, Z18)), $AZ$6:$AZ$22, "Error", 0)</f>
        <v/>
      </c>
      <c r="AA47" s="30">
        <f t="array" ref="AA47">_xlfn.XLOOKUP(MIN(ABS($AY$6:$AY$22 - MEDIAN(-2, 2, AA18))), ABS($AY$6:$AY$22 - MEDIAN(-2, 2, AA18)), $AZ$6:$AZ$22, "Error", 0)</f>
        <v/>
      </c>
      <c r="AB47" s="30">
        <f t="array" ref="AB47">_xlfn.XLOOKUP(MIN(ABS($AY$6:$AY$22 - MEDIAN(-2, 2, AB18))), ABS($AY$6:$AY$22 - MEDIAN(-2, 2, AB18)), $AZ$6:$AZ$22, "Error", 0)</f>
        <v/>
      </c>
      <c r="AC47" s="30">
        <f t="array" ref="AC47">_xlfn.XLOOKUP(MIN(ABS($AY$6:$AY$22 - MEDIAN(-2, 2, AC18))), ABS($AY$6:$AY$22 - MEDIAN(-2, 2, AC18)), $AZ$6:$AZ$22, "Error", 0)</f>
        <v/>
      </c>
      <c r="AD47" s="30">
        <f t="array" ref="AD47">_xlfn.XLOOKUP(MIN(ABS($AY$6:$AY$22 - MEDIAN(-2, 2, AD18))), ABS($AY$6:$AY$22 - MEDIAN(-2, 2, AD18)), $AZ$6:$AZ$22, "Error", 0)</f>
        <v/>
      </c>
      <c r="AE47" s="30">
        <f t="array" ref="AE47">_xlfn.XLOOKUP(MIN(ABS($AY$6:$AY$22 - MEDIAN(-2, 2, AE18))), ABS($AY$6:$AY$22 - MEDIAN(-2, 2, AE18)), $AZ$6:$AZ$22, "Error", 0)</f>
        <v/>
      </c>
      <c r="AF47" s="30">
        <f t="array" ref="AF47">_xlfn.XLOOKUP(MIN(ABS($AY$6:$AY$22 - MEDIAN(-2, 2, AF18))), ABS($AY$6:$AY$22 - MEDIAN(-2, 2, AF18)), $AZ$6:$AZ$22, "Error", 0)</f>
        <v/>
      </c>
      <c r="AG47" s="30">
        <f t="array" ref="AG47">_xlfn.XLOOKUP(MIN(ABS($AY$6:$AY$22 - MEDIAN(-2, 2, AG18))), ABS($AY$6:$AY$22 - MEDIAN(-2, 2, AG18)), $AZ$6:$AZ$22, "Error", 0)</f>
        <v/>
      </c>
      <c r="AH47" s="30">
        <f t="array" ref="AH47">_xlfn.XLOOKUP(MIN(ABS($AY$6:$AY$22 - MEDIAN(-2, 2, AH18))), ABS($AY$6:$AY$22 - MEDIAN(-2, 2, AH18)), $AZ$6:$AZ$22, "Error", 0)</f>
        <v/>
      </c>
      <c r="AI47" s="30">
        <f t="array" ref="AI47">_xlfn.XLOOKUP(MIN(ABS($AY$6:$AY$22 - MEDIAN(-2, 2, AI18))), ABS($AY$6:$AY$22 - MEDIAN(-2, 2, AI18)), $AZ$6:$AZ$22, "Error", 0)</f>
        <v/>
      </c>
      <c r="AJ47" s="30">
        <f t="array" ref="AJ47">_xlfn.XLOOKUP(MIN(ABS($AY$6:$AY$22 - MEDIAN(-2, 2, AJ18))), ABS($AY$6:$AY$22 - MEDIAN(-2, 2, AJ18)), $AZ$6:$AZ$22, "Error", 0)</f>
        <v/>
      </c>
      <c r="AK47" s="30">
        <f t="array" ref="AK47">_xlfn.XLOOKUP(MIN(ABS($AY$6:$AY$22 - MEDIAN(-2, 2, AK18))), ABS($AY$6:$AY$22 - MEDIAN(-2, 2, AK18)), $AZ$6:$AZ$22, "Error", 0)</f>
        <v/>
      </c>
      <c r="AL47" s="30">
        <f t="array" ref="AL47">_xlfn.XLOOKUP(MIN(ABS($AY$6:$AY$22 - MEDIAN(-2, 2, AL18))), ABS($AY$6:$AY$22 - MEDIAN(-2, 2, AL18)), $AZ$6:$AZ$22, "Error", 0)</f>
        <v/>
      </c>
      <c r="AM47" s="30">
        <f t="array" ref="AM47">_xlfn.XLOOKUP(MIN(ABS($AY$6:$AY$22 - MEDIAN(-2, 2, AM18))), ABS($AY$6:$AY$22 - MEDIAN(-2, 2, AM18)), $AZ$6:$AZ$22, "Error", 0)</f>
        <v/>
      </c>
      <c r="AN47" s="30">
        <f t="array" ref="AN47">_xlfn.XLOOKUP(MIN(ABS($AY$6:$AY$22 - MEDIAN(-2, 2, AN18))), ABS($AY$6:$AY$22 - MEDIAN(-2, 2, AN18)), $AZ$6:$AZ$22, "Error", 0)</f>
        <v/>
      </c>
      <c r="AO47" s="30">
        <f t="array" ref="AO47">_xlfn.XLOOKUP(MIN(ABS($AY$6:$AY$22 - MEDIAN(-2, 2, AO18))), ABS($AY$6:$AY$22 - MEDIAN(-2, 2, AO18)), $AZ$6:$AZ$22, "Error", 0)</f>
        <v/>
      </c>
      <c r="AP47" s="30">
        <f t="array" ref="AP47">_xlfn.XLOOKUP(MIN(ABS($AY$6:$AY$22 - MEDIAN(-2, 2, AP18))), ABS($AY$6:$AY$22 - MEDIAN(-2, 2, AP18)), $AZ$6:$AZ$22, "Error", 0)</f>
        <v/>
      </c>
      <c r="AQ47" s="30">
        <f t="array" ref="AQ47">_xlfn.XLOOKUP(MIN(ABS($AY$6:$AY$22 - MEDIAN(-2, 2, AQ18))), ABS($AY$6:$AY$22 - MEDIAN(-2, 2, AQ18)), $AZ$6:$AZ$22, "Error", 0)</f>
        <v/>
      </c>
      <c r="AR47" s="30">
        <f t="array" ref="AR47">_xlfn.XLOOKUP(MIN(ABS($AY$6:$AY$22 - MEDIAN(-2, 2, AR18))), ABS($AY$6:$AY$22 - MEDIAN(-2, 2, AR18)), $AZ$6:$AZ$22, "Error", 0)</f>
        <v/>
      </c>
      <c r="AS47" s="30">
        <f t="array" ref="AS47">_xlfn.XLOOKUP(MIN(ABS($AY$6:$AY$22 - MEDIAN(-2, 2, AS18))), ABS($AY$6:$AY$22 - MEDIAN(-2, 2, AS18)), $AZ$6:$AZ$22, "Error", 0)</f>
        <v/>
      </c>
      <c r="AT47" s="30">
        <f t="array" ref="AT47">_xlfn.XLOOKUP(MIN(ABS($AY$6:$AY$22 - MEDIAN(-2, 2, AT18))), ABS($AY$6:$AY$22 - MEDIAN(-2, 2, AT18)), $AZ$6:$AZ$22, "Error", 0)</f>
        <v/>
      </c>
      <c r="AU47" s="30">
        <f t="array" ref="AU47">_xlfn.XLOOKUP(MIN(ABS($AY$6:$AY$22 - MEDIAN(-2, 2, AU18))), ABS($AY$6:$AY$22 - MEDIAN(-2, 2, AU18)), $AZ$6:$AZ$22, "Error", 0)</f>
        <v/>
      </c>
      <c r="AV47" s="30">
        <f t="array" ref="AV47">_xlfn.XLOOKUP(MIN(ABS($AY$6:$AY$22 - MEDIAN(-2, 2, AV18))), ABS($AY$6:$AY$22 - MEDIAN(-2, 2, AV18)), $AZ$6:$AZ$22, "Error", 0)</f>
        <v/>
      </c>
      <c r="AW47" s="30">
        <f t="array" ref="AW47">_xlfn.XLOOKUP(MIN(ABS($AY$6:$AY$22 - MEDIAN(-2, 2, AW18))), ABS($AY$6:$AY$22 - MEDIAN(-2, 2, AW18)), $AZ$6:$AZ$22, "Error", 0)</f>
        <v/>
      </c>
    </row>
    <row r="48" ht="25" customHeight="1">
      <c r="A48" s="46" t="inlineStr">
        <is>
          <t>EUR JPY</t>
        </is>
      </c>
      <c r="B48" s="30">
        <f t="array" ref="B48">_xlfn.XLOOKUP(MIN(ABS($AY$6:$AY$22 - MEDIAN(-2, 2, B19))), ABS($AY$6:$AY$22 - MEDIAN(-2, 2, B19)), $AZ$6:$AZ$22, "Error", 0)</f>
        <v/>
      </c>
      <c r="C48" s="30">
        <f t="array" ref="C48">_xlfn.XLOOKUP(MIN(ABS($AY$6:$AY$22 - MEDIAN(-2, 2, C19))), ABS($AY$6:$AY$22 - MEDIAN(-2, 2, C19)), $AZ$6:$AZ$22, "Error", 0)</f>
        <v/>
      </c>
      <c r="D48" s="30">
        <f t="array" ref="D48">_xlfn.XLOOKUP(MIN(ABS($AY$6:$AY$22 - MEDIAN(-2, 2, D19))), ABS($AY$6:$AY$22 - MEDIAN(-2, 2, D19)), $AZ$6:$AZ$22, "Error", 0)</f>
        <v/>
      </c>
      <c r="E48" s="30">
        <f t="array" ref="E48">_xlfn.XLOOKUP(MIN(ABS($AY$6:$AY$22 - MEDIAN(-2, 2, E19))), ABS($AY$6:$AY$22 - MEDIAN(-2, 2, E19)), $AZ$6:$AZ$22, "Error", 0)</f>
        <v/>
      </c>
      <c r="F48" s="30">
        <f t="array" ref="F48">_xlfn.XLOOKUP(MIN(ABS($AY$6:$AY$22 - MEDIAN(-2, 2, F19))), ABS($AY$6:$AY$22 - MEDIAN(-2, 2, F19)), $AZ$6:$AZ$22, "Error", 0)</f>
        <v/>
      </c>
      <c r="G48" s="30">
        <f t="array" ref="G48">_xlfn.XLOOKUP(MIN(ABS($AY$6:$AY$22 - MEDIAN(-2, 2, G19))), ABS($AY$6:$AY$22 - MEDIAN(-2, 2, G19)), $AZ$6:$AZ$22, "Error", 0)</f>
        <v/>
      </c>
      <c r="H48" s="30">
        <f t="array" ref="H48">_xlfn.XLOOKUP(MIN(ABS($AY$6:$AY$22 - MEDIAN(-2, 2, H19))), ABS($AY$6:$AY$22 - MEDIAN(-2, 2, H19)), $AZ$6:$AZ$22, "Error", 0)</f>
        <v/>
      </c>
      <c r="I48" s="30">
        <f t="array" ref="I48">_xlfn.XLOOKUP(MIN(ABS($AY$6:$AY$22 - MEDIAN(-2, 2, I19))), ABS($AY$6:$AY$22 - MEDIAN(-2, 2, I19)), $AZ$6:$AZ$22, "Error", 0)</f>
        <v/>
      </c>
      <c r="J48" s="30">
        <f t="array" ref="J48">_xlfn.XLOOKUP(MIN(ABS($AY$6:$AY$22 - MEDIAN(-2, 2, J19))), ABS($AY$6:$AY$22 - MEDIAN(-2, 2, J19)), $AZ$6:$AZ$22, "Error", 0)</f>
        <v/>
      </c>
      <c r="K48" s="30">
        <f t="array" ref="K48">_xlfn.XLOOKUP(MIN(ABS($AY$6:$AY$22 - MEDIAN(-2, 2, K19))), ABS($AY$6:$AY$22 - MEDIAN(-2, 2, K19)), $AZ$6:$AZ$22, "Error", 0)</f>
        <v/>
      </c>
      <c r="L48" s="30">
        <f t="array" ref="L48">_xlfn.XLOOKUP(MIN(ABS($AY$6:$AY$22 - MEDIAN(-2, 2, L19))), ABS($AY$6:$AY$22 - MEDIAN(-2, 2, L19)), $AZ$6:$AZ$22, "Error", 0)</f>
        <v/>
      </c>
      <c r="M48" s="30">
        <f t="array" ref="M48">_xlfn.XLOOKUP(MIN(ABS($AY$6:$AY$22 - MEDIAN(-2, 2, M19))), ABS($AY$6:$AY$22 - MEDIAN(-2, 2, M19)), $AZ$6:$AZ$22, "Error", 0)</f>
        <v/>
      </c>
      <c r="N48" s="30">
        <f t="array" ref="N48">_xlfn.XLOOKUP(MIN(ABS($AY$6:$AY$22 - MEDIAN(-2, 2, N19))), ABS($AY$6:$AY$22 - MEDIAN(-2, 2, N19)), $AZ$6:$AZ$22, "Error", 0)</f>
        <v/>
      </c>
      <c r="O48" s="30">
        <f t="array" ref="O48">_xlfn.XLOOKUP(MIN(ABS($AY$6:$AY$22 - MEDIAN(-2, 2, O19))), ABS($AY$6:$AY$22 - MEDIAN(-2, 2, O19)), $AZ$6:$AZ$22, "Error", 0)</f>
        <v/>
      </c>
      <c r="P48" s="30">
        <f t="array" ref="P48">_xlfn.XLOOKUP(MIN(ABS($AY$6:$AY$22 - MEDIAN(-2, 2, P19))), ABS($AY$6:$AY$22 - MEDIAN(-2, 2, P19)), $AZ$6:$AZ$22, "Error", 0)</f>
        <v/>
      </c>
      <c r="Q48" s="30">
        <f t="array" ref="Q48">_xlfn.XLOOKUP(MIN(ABS($AY$6:$AY$22 - MEDIAN(-2, 2, Q19))), ABS($AY$6:$AY$22 - MEDIAN(-2, 2, Q19)), $AZ$6:$AZ$22, "Error", 0)</f>
        <v/>
      </c>
      <c r="R48" s="30">
        <f t="array" ref="R48">_xlfn.XLOOKUP(MIN(ABS($AY$6:$AY$22 - MEDIAN(-2, 2, R19))), ABS($AY$6:$AY$22 - MEDIAN(-2, 2, R19)), $AZ$6:$AZ$22, "Error", 0)</f>
        <v/>
      </c>
      <c r="S48" s="30">
        <f t="array" ref="S48">_xlfn.XLOOKUP(MIN(ABS($AY$6:$AY$22 - MEDIAN(-2, 2, S19))), ABS($AY$6:$AY$22 - MEDIAN(-2, 2, S19)), $AZ$6:$AZ$22, "Error", 0)</f>
        <v/>
      </c>
      <c r="T48" s="30">
        <f t="array" ref="T48">_xlfn.XLOOKUP(MIN(ABS($AY$6:$AY$22 - MEDIAN(-2, 2, T19))), ABS($AY$6:$AY$22 - MEDIAN(-2, 2, T19)), $AZ$6:$AZ$22, "Error", 0)</f>
        <v/>
      </c>
      <c r="U48" s="30">
        <f t="array" ref="U48">_xlfn.XLOOKUP(MIN(ABS($AY$6:$AY$22 - MEDIAN(-2, 2, U19))), ABS($AY$6:$AY$22 - MEDIAN(-2, 2, U19)), $AZ$6:$AZ$22, "Error", 0)</f>
        <v/>
      </c>
      <c r="V48" s="30">
        <f t="array" ref="V48">_xlfn.XLOOKUP(MIN(ABS($AY$6:$AY$22 - MEDIAN(-2, 2, V19))), ABS($AY$6:$AY$22 - MEDIAN(-2, 2, V19)), $AZ$6:$AZ$22, "Error", 0)</f>
        <v/>
      </c>
      <c r="W48" s="30">
        <f t="array" ref="W48">_xlfn.XLOOKUP(MIN(ABS($AY$6:$AY$22 - MEDIAN(-2, 2, W19))), ABS($AY$6:$AY$22 - MEDIAN(-2, 2, W19)), $AZ$6:$AZ$22, "Error", 0)</f>
        <v/>
      </c>
      <c r="X48" s="30">
        <f t="array" ref="X48">_xlfn.XLOOKUP(MIN(ABS($AY$6:$AY$22 - MEDIAN(-2, 2, X19))), ABS($AY$6:$AY$22 - MEDIAN(-2, 2, X19)), $AZ$6:$AZ$22, "Error", 0)</f>
        <v/>
      </c>
      <c r="Y48" s="30">
        <f t="array" ref="Y48">_xlfn.XLOOKUP(MIN(ABS($AY$6:$AY$22 - MEDIAN(-2, 2, Y19))), ABS($AY$6:$AY$22 - MEDIAN(-2, 2, Y19)), $AZ$6:$AZ$22, "Error", 0)</f>
        <v/>
      </c>
      <c r="Z48" s="30">
        <f t="array" ref="Z48">_xlfn.XLOOKUP(MIN(ABS($AY$6:$AY$22 - MEDIAN(-2, 2, Z19))), ABS($AY$6:$AY$22 - MEDIAN(-2, 2, Z19)), $AZ$6:$AZ$22, "Error", 0)</f>
        <v/>
      </c>
      <c r="AA48" s="30">
        <f t="array" ref="AA48">_xlfn.XLOOKUP(MIN(ABS($AY$6:$AY$22 - MEDIAN(-2, 2, AA19))), ABS($AY$6:$AY$22 - MEDIAN(-2, 2, AA19)), $AZ$6:$AZ$22, "Error", 0)</f>
        <v/>
      </c>
      <c r="AB48" s="30">
        <f t="array" ref="AB48">_xlfn.XLOOKUP(MIN(ABS($AY$6:$AY$22 - MEDIAN(-2, 2, AB19))), ABS($AY$6:$AY$22 - MEDIAN(-2, 2, AB19)), $AZ$6:$AZ$22, "Error", 0)</f>
        <v/>
      </c>
      <c r="AC48" s="30">
        <f t="array" ref="AC48">_xlfn.XLOOKUP(MIN(ABS($AY$6:$AY$22 - MEDIAN(-2, 2, AC19))), ABS($AY$6:$AY$22 - MEDIAN(-2, 2, AC19)), $AZ$6:$AZ$22, "Error", 0)</f>
        <v/>
      </c>
      <c r="AD48" s="30">
        <f t="array" ref="AD48">_xlfn.XLOOKUP(MIN(ABS($AY$6:$AY$22 - MEDIAN(-2, 2, AD19))), ABS($AY$6:$AY$22 - MEDIAN(-2, 2, AD19)), $AZ$6:$AZ$22, "Error", 0)</f>
        <v/>
      </c>
      <c r="AE48" s="30">
        <f t="array" ref="AE48">_xlfn.XLOOKUP(MIN(ABS($AY$6:$AY$22 - MEDIAN(-2, 2, AE19))), ABS($AY$6:$AY$22 - MEDIAN(-2, 2, AE19)), $AZ$6:$AZ$22, "Error", 0)</f>
        <v/>
      </c>
      <c r="AF48" s="30">
        <f t="array" ref="AF48">_xlfn.XLOOKUP(MIN(ABS($AY$6:$AY$22 - MEDIAN(-2, 2, AF19))), ABS($AY$6:$AY$22 - MEDIAN(-2, 2, AF19)), $AZ$6:$AZ$22, "Error", 0)</f>
        <v/>
      </c>
      <c r="AG48" s="30">
        <f t="array" ref="AG48">_xlfn.XLOOKUP(MIN(ABS($AY$6:$AY$22 - MEDIAN(-2, 2, AG19))), ABS($AY$6:$AY$22 - MEDIAN(-2, 2, AG19)), $AZ$6:$AZ$22, "Error", 0)</f>
        <v/>
      </c>
      <c r="AH48" s="30">
        <f t="array" ref="AH48">_xlfn.XLOOKUP(MIN(ABS($AY$6:$AY$22 - MEDIAN(-2, 2, AH19))), ABS($AY$6:$AY$22 - MEDIAN(-2, 2, AH19)), $AZ$6:$AZ$22, "Error", 0)</f>
        <v/>
      </c>
      <c r="AI48" s="30">
        <f t="array" ref="AI48">_xlfn.XLOOKUP(MIN(ABS($AY$6:$AY$22 - MEDIAN(-2, 2, AI19))), ABS($AY$6:$AY$22 - MEDIAN(-2, 2, AI19)), $AZ$6:$AZ$22, "Error", 0)</f>
        <v/>
      </c>
      <c r="AJ48" s="30">
        <f t="array" ref="AJ48">_xlfn.XLOOKUP(MIN(ABS($AY$6:$AY$22 - MEDIAN(-2, 2, AJ19))), ABS($AY$6:$AY$22 - MEDIAN(-2, 2, AJ19)), $AZ$6:$AZ$22, "Error", 0)</f>
        <v/>
      </c>
      <c r="AK48" s="30">
        <f t="array" ref="AK48">_xlfn.XLOOKUP(MIN(ABS($AY$6:$AY$22 - MEDIAN(-2, 2, AK19))), ABS($AY$6:$AY$22 - MEDIAN(-2, 2, AK19)), $AZ$6:$AZ$22, "Error", 0)</f>
        <v/>
      </c>
      <c r="AL48" s="30">
        <f t="array" ref="AL48">_xlfn.XLOOKUP(MIN(ABS($AY$6:$AY$22 - MEDIAN(-2, 2, AL19))), ABS($AY$6:$AY$22 - MEDIAN(-2, 2, AL19)), $AZ$6:$AZ$22, "Error", 0)</f>
        <v/>
      </c>
      <c r="AM48" s="30">
        <f t="array" ref="AM48">_xlfn.XLOOKUP(MIN(ABS($AY$6:$AY$22 - MEDIAN(-2, 2, AM19))), ABS($AY$6:$AY$22 - MEDIAN(-2, 2, AM19)), $AZ$6:$AZ$22, "Error", 0)</f>
        <v/>
      </c>
      <c r="AN48" s="30">
        <f t="array" ref="AN48">_xlfn.XLOOKUP(MIN(ABS($AY$6:$AY$22 - MEDIAN(-2, 2, AN19))), ABS($AY$6:$AY$22 - MEDIAN(-2, 2, AN19)), $AZ$6:$AZ$22, "Error", 0)</f>
        <v/>
      </c>
      <c r="AO48" s="30">
        <f t="array" ref="AO48">_xlfn.XLOOKUP(MIN(ABS($AY$6:$AY$22 - MEDIAN(-2, 2, AO19))), ABS($AY$6:$AY$22 - MEDIAN(-2, 2, AO19)), $AZ$6:$AZ$22, "Error", 0)</f>
        <v/>
      </c>
      <c r="AP48" s="30">
        <f t="array" ref="AP48">_xlfn.XLOOKUP(MIN(ABS($AY$6:$AY$22 - MEDIAN(-2, 2, AP19))), ABS($AY$6:$AY$22 - MEDIAN(-2, 2, AP19)), $AZ$6:$AZ$22, "Error", 0)</f>
        <v/>
      </c>
      <c r="AQ48" s="30">
        <f t="array" ref="AQ48">_xlfn.XLOOKUP(MIN(ABS($AY$6:$AY$22 - MEDIAN(-2, 2, AQ19))), ABS($AY$6:$AY$22 - MEDIAN(-2, 2, AQ19)), $AZ$6:$AZ$22, "Error", 0)</f>
        <v/>
      </c>
      <c r="AR48" s="30">
        <f t="array" ref="AR48">_xlfn.XLOOKUP(MIN(ABS($AY$6:$AY$22 - MEDIAN(-2, 2, AR19))), ABS($AY$6:$AY$22 - MEDIAN(-2, 2, AR19)), $AZ$6:$AZ$22, "Error", 0)</f>
        <v/>
      </c>
      <c r="AS48" s="30">
        <f t="array" ref="AS48">_xlfn.XLOOKUP(MIN(ABS($AY$6:$AY$22 - MEDIAN(-2, 2, AS19))), ABS($AY$6:$AY$22 - MEDIAN(-2, 2, AS19)), $AZ$6:$AZ$22, "Error", 0)</f>
        <v/>
      </c>
      <c r="AT48" s="30">
        <f t="array" ref="AT48">_xlfn.XLOOKUP(MIN(ABS($AY$6:$AY$22 - MEDIAN(-2, 2, AT19))), ABS($AY$6:$AY$22 - MEDIAN(-2, 2, AT19)), $AZ$6:$AZ$22, "Error", 0)</f>
        <v/>
      </c>
      <c r="AU48" s="30">
        <f t="array" ref="AU48">_xlfn.XLOOKUP(MIN(ABS($AY$6:$AY$22 - MEDIAN(-2, 2, AU19))), ABS($AY$6:$AY$22 - MEDIAN(-2, 2, AU19)), $AZ$6:$AZ$22, "Error", 0)</f>
        <v/>
      </c>
      <c r="AV48" s="30">
        <f t="array" ref="AV48">_xlfn.XLOOKUP(MIN(ABS($AY$6:$AY$22 - MEDIAN(-2, 2, AV19))), ABS($AY$6:$AY$22 - MEDIAN(-2, 2, AV19)), $AZ$6:$AZ$22, "Error", 0)</f>
        <v/>
      </c>
      <c r="AW48" s="30">
        <f t="array" ref="AW48">_xlfn.XLOOKUP(MIN(ABS($AY$6:$AY$22 - MEDIAN(-2, 2, AW19))), ABS($AY$6:$AY$22 - MEDIAN(-2, 2, AW19)), $AZ$6:$AZ$22, "Error", 0)</f>
        <v/>
      </c>
    </row>
    <row r="49" ht="25" customHeight="1">
      <c r="A49" s="46" t="inlineStr">
        <is>
          <t>EUR CHF</t>
        </is>
      </c>
      <c r="B49" s="30">
        <f t="array" ref="B49">_xlfn.XLOOKUP(MIN(ABS($AY$6:$AY$22 - MEDIAN(-2, 2, B20))), ABS($AY$6:$AY$22 - MEDIAN(-2, 2, B20)), $AZ$6:$AZ$22, "Error", 0)</f>
        <v/>
      </c>
      <c r="C49" s="30">
        <f t="array" ref="C49">_xlfn.XLOOKUP(MIN(ABS($AY$6:$AY$22 - MEDIAN(-2, 2, C20))), ABS($AY$6:$AY$22 - MEDIAN(-2, 2, C20)), $AZ$6:$AZ$22, "Error", 0)</f>
        <v/>
      </c>
      <c r="D49" s="30">
        <f t="array" ref="D49">_xlfn.XLOOKUP(MIN(ABS($AY$6:$AY$22 - MEDIAN(-2, 2, D20))), ABS($AY$6:$AY$22 - MEDIAN(-2, 2, D20)), $AZ$6:$AZ$22, "Error", 0)</f>
        <v/>
      </c>
      <c r="E49" s="30">
        <f t="array" ref="E49">_xlfn.XLOOKUP(MIN(ABS($AY$6:$AY$22 - MEDIAN(-2, 2, E20))), ABS($AY$6:$AY$22 - MEDIAN(-2, 2, E20)), $AZ$6:$AZ$22, "Error", 0)</f>
        <v/>
      </c>
      <c r="F49" s="30">
        <f t="array" ref="F49">_xlfn.XLOOKUP(MIN(ABS($AY$6:$AY$22 - MEDIAN(-2, 2, F20))), ABS($AY$6:$AY$22 - MEDIAN(-2, 2, F20)), $AZ$6:$AZ$22, "Error", 0)</f>
        <v/>
      </c>
      <c r="G49" s="30">
        <f t="array" ref="G49">_xlfn.XLOOKUP(MIN(ABS($AY$6:$AY$22 - MEDIAN(-2, 2, G20))), ABS($AY$6:$AY$22 - MEDIAN(-2, 2, G20)), $AZ$6:$AZ$22, "Error", 0)</f>
        <v/>
      </c>
      <c r="H49" s="30">
        <f t="array" ref="H49">_xlfn.XLOOKUP(MIN(ABS($AY$6:$AY$22 - MEDIAN(-2, 2, H20))), ABS($AY$6:$AY$22 - MEDIAN(-2, 2, H20)), $AZ$6:$AZ$22, "Error", 0)</f>
        <v/>
      </c>
      <c r="I49" s="30">
        <f t="array" ref="I49">_xlfn.XLOOKUP(MIN(ABS($AY$6:$AY$22 - MEDIAN(-2, 2, I20))), ABS($AY$6:$AY$22 - MEDIAN(-2, 2, I20)), $AZ$6:$AZ$22, "Error", 0)</f>
        <v/>
      </c>
      <c r="J49" s="30">
        <f t="array" ref="J49">_xlfn.XLOOKUP(MIN(ABS($AY$6:$AY$22 - MEDIAN(-2, 2, J20))), ABS($AY$6:$AY$22 - MEDIAN(-2, 2, J20)), $AZ$6:$AZ$22, "Error", 0)</f>
        <v/>
      </c>
      <c r="K49" s="30">
        <f t="array" ref="K49">_xlfn.XLOOKUP(MIN(ABS($AY$6:$AY$22 - MEDIAN(-2, 2, K20))), ABS($AY$6:$AY$22 - MEDIAN(-2, 2, K20)), $AZ$6:$AZ$22, "Error", 0)</f>
        <v/>
      </c>
      <c r="L49" s="30">
        <f t="array" ref="L49">_xlfn.XLOOKUP(MIN(ABS($AY$6:$AY$22 - MEDIAN(-2, 2, L20))), ABS($AY$6:$AY$22 - MEDIAN(-2, 2, L20)), $AZ$6:$AZ$22, "Error", 0)</f>
        <v/>
      </c>
      <c r="M49" s="30">
        <f t="array" ref="M49">_xlfn.XLOOKUP(MIN(ABS($AY$6:$AY$22 - MEDIAN(-2, 2, M20))), ABS($AY$6:$AY$22 - MEDIAN(-2, 2, M20)), $AZ$6:$AZ$22, "Error", 0)</f>
        <v/>
      </c>
      <c r="N49" s="30">
        <f t="array" ref="N49">_xlfn.XLOOKUP(MIN(ABS($AY$6:$AY$22 - MEDIAN(-2, 2, N20))), ABS($AY$6:$AY$22 - MEDIAN(-2, 2, N20)), $AZ$6:$AZ$22, "Error", 0)</f>
        <v/>
      </c>
      <c r="O49" s="30">
        <f t="array" ref="O49">_xlfn.XLOOKUP(MIN(ABS($AY$6:$AY$22 - MEDIAN(-2, 2, O20))), ABS($AY$6:$AY$22 - MEDIAN(-2, 2, O20)), $AZ$6:$AZ$22, "Error", 0)</f>
        <v/>
      </c>
      <c r="P49" s="30">
        <f t="array" ref="P49">_xlfn.XLOOKUP(MIN(ABS($AY$6:$AY$22 - MEDIAN(-2, 2, P20))), ABS($AY$6:$AY$22 - MEDIAN(-2, 2, P20)), $AZ$6:$AZ$22, "Error", 0)</f>
        <v/>
      </c>
      <c r="Q49" s="30">
        <f t="array" ref="Q49">_xlfn.XLOOKUP(MIN(ABS($AY$6:$AY$22 - MEDIAN(-2, 2, Q20))), ABS($AY$6:$AY$22 - MEDIAN(-2, 2, Q20)), $AZ$6:$AZ$22, "Error", 0)</f>
        <v/>
      </c>
      <c r="R49" s="30">
        <f t="array" ref="R49">_xlfn.XLOOKUP(MIN(ABS($AY$6:$AY$22 - MEDIAN(-2, 2, R20))), ABS($AY$6:$AY$22 - MEDIAN(-2, 2, R20)), $AZ$6:$AZ$22, "Error", 0)</f>
        <v/>
      </c>
      <c r="S49" s="30">
        <f t="array" ref="S49">_xlfn.XLOOKUP(MIN(ABS($AY$6:$AY$22 - MEDIAN(-2, 2, S20))), ABS($AY$6:$AY$22 - MEDIAN(-2, 2, S20)), $AZ$6:$AZ$22, "Error", 0)</f>
        <v/>
      </c>
      <c r="T49" s="30">
        <f t="array" ref="T49">_xlfn.XLOOKUP(MIN(ABS($AY$6:$AY$22 - MEDIAN(-2, 2, T20))), ABS($AY$6:$AY$22 - MEDIAN(-2, 2, T20)), $AZ$6:$AZ$22, "Error", 0)</f>
        <v/>
      </c>
      <c r="U49" s="30">
        <f t="array" ref="U49">_xlfn.XLOOKUP(MIN(ABS($AY$6:$AY$22 - MEDIAN(-2, 2, U20))), ABS($AY$6:$AY$22 - MEDIAN(-2, 2, U20)), $AZ$6:$AZ$22, "Error", 0)</f>
        <v/>
      </c>
      <c r="V49" s="30">
        <f t="array" ref="V49">_xlfn.XLOOKUP(MIN(ABS($AY$6:$AY$22 - MEDIAN(-2, 2, V20))), ABS($AY$6:$AY$22 - MEDIAN(-2, 2, V20)), $AZ$6:$AZ$22, "Error", 0)</f>
        <v/>
      </c>
      <c r="W49" s="30">
        <f t="array" ref="W49">_xlfn.XLOOKUP(MIN(ABS($AY$6:$AY$22 - MEDIAN(-2, 2, W20))), ABS($AY$6:$AY$22 - MEDIAN(-2, 2, W20)), $AZ$6:$AZ$22, "Error", 0)</f>
        <v/>
      </c>
      <c r="X49" s="30">
        <f t="array" ref="X49">_xlfn.XLOOKUP(MIN(ABS($AY$6:$AY$22 - MEDIAN(-2, 2, X20))), ABS($AY$6:$AY$22 - MEDIAN(-2, 2, X20)), $AZ$6:$AZ$22, "Error", 0)</f>
        <v/>
      </c>
      <c r="Y49" s="30">
        <f t="array" ref="Y49">_xlfn.XLOOKUP(MIN(ABS($AY$6:$AY$22 - MEDIAN(-2, 2, Y20))), ABS($AY$6:$AY$22 - MEDIAN(-2, 2, Y20)), $AZ$6:$AZ$22, "Error", 0)</f>
        <v/>
      </c>
      <c r="Z49" s="30">
        <f t="array" ref="Z49">_xlfn.XLOOKUP(MIN(ABS($AY$6:$AY$22 - MEDIAN(-2, 2, Z20))), ABS($AY$6:$AY$22 - MEDIAN(-2, 2, Z20)), $AZ$6:$AZ$22, "Error", 0)</f>
        <v/>
      </c>
      <c r="AA49" s="30">
        <f t="array" ref="AA49">_xlfn.XLOOKUP(MIN(ABS($AY$6:$AY$22 - MEDIAN(-2, 2, AA20))), ABS($AY$6:$AY$22 - MEDIAN(-2, 2, AA20)), $AZ$6:$AZ$22, "Error", 0)</f>
        <v/>
      </c>
      <c r="AB49" s="30">
        <f t="array" ref="AB49">_xlfn.XLOOKUP(MIN(ABS($AY$6:$AY$22 - MEDIAN(-2, 2, AB20))), ABS($AY$6:$AY$22 - MEDIAN(-2, 2, AB20)), $AZ$6:$AZ$22, "Error", 0)</f>
        <v/>
      </c>
      <c r="AC49" s="30">
        <f t="array" ref="AC49">_xlfn.XLOOKUP(MIN(ABS($AY$6:$AY$22 - MEDIAN(-2, 2, AC20))), ABS($AY$6:$AY$22 - MEDIAN(-2, 2, AC20)), $AZ$6:$AZ$22, "Error", 0)</f>
        <v/>
      </c>
      <c r="AD49" s="30">
        <f t="array" ref="AD49">_xlfn.XLOOKUP(MIN(ABS($AY$6:$AY$22 - MEDIAN(-2, 2, AD20))), ABS($AY$6:$AY$22 - MEDIAN(-2, 2, AD20)), $AZ$6:$AZ$22, "Error", 0)</f>
        <v/>
      </c>
      <c r="AE49" s="30">
        <f t="array" ref="AE49">_xlfn.XLOOKUP(MIN(ABS($AY$6:$AY$22 - MEDIAN(-2, 2, AE20))), ABS($AY$6:$AY$22 - MEDIAN(-2, 2, AE20)), $AZ$6:$AZ$22, "Error", 0)</f>
        <v/>
      </c>
      <c r="AF49" s="30">
        <f t="array" ref="AF49">_xlfn.XLOOKUP(MIN(ABS($AY$6:$AY$22 - MEDIAN(-2, 2, AF20))), ABS($AY$6:$AY$22 - MEDIAN(-2, 2, AF20)), $AZ$6:$AZ$22, "Error", 0)</f>
        <v/>
      </c>
      <c r="AG49" s="30">
        <f t="array" ref="AG49">_xlfn.XLOOKUP(MIN(ABS($AY$6:$AY$22 - MEDIAN(-2, 2, AG20))), ABS($AY$6:$AY$22 - MEDIAN(-2, 2, AG20)), $AZ$6:$AZ$22, "Error", 0)</f>
        <v/>
      </c>
      <c r="AH49" s="30">
        <f t="array" ref="AH49">_xlfn.XLOOKUP(MIN(ABS($AY$6:$AY$22 - MEDIAN(-2, 2, AH20))), ABS($AY$6:$AY$22 - MEDIAN(-2, 2, AH20)), $AZ$6:$AZ$22, "Error", 0)</f>
        <v/>
      </c>
      <c r="AI49" s="30">
        <f t="array" ref="AI49">_xlfn.XLOOKUP(MIN(ABS($AY$6:$AY$22 - MEDIAN(-2, 2, AI20))), ABS($AY$6:$AY$22 - MEDIAN(-2, 2, AI20)), $AZ$6:$AZ$22, "Error", 0)</f>
        <v/>
      </c>
      <c r="AJ49" s="30">
        <f t="array" ref="AJ49">_xlfn.XLOOKUP(MIN(ABS($AY$6:$AY$22 - MEDIAN(-2, 2, AJ20))), ABS($AY$6:$AY$22 - MEDIAN(-2, 2, AJ20)), $AZ$6:$AZ$22, "Error", 0)</f>
        <v/>
      </c>
      <c r="AK49" s="30">
        <f t="array" ref="AK49">_xlfn.XLOOKUP(MIN(ABS($AY$6:$AY$22 - MEDIAN(-2, 2, AK20))), ABS($AY$6:$AY$22 - MEDIAN(-2, 2, AK20)), $AZ$6:$AZ$22, "Error", 0)</f>
        <v/>
      </c>
      <c r="AL49" s="30">
        <f t="array" ref="AL49">_xlfn.XLOOKUP(MIN(ABS($AY$6:$AY$22 - MEDIAN(-2, 2, AL20))), ABS($AY$6:$AY$22 - MEDIAN(-2, 2, AL20)), $AZ$6:$AZ$22, "Error", 0)</f>
        <v/>
      </c>
      <c r="AM49" s="30">
        <f t="array" ref="AM49">_xlfn.XLOOKUP(MIN(ABS($AY$6:$AY$22 - MEDIAN(-2, 2, AM20))), ABS($AY$6:$AY$22 - MEDIAN(-2, 2, AM20)), $AZ$6:$AZ$22, "Error", 0)</f>
        <v/>
      </c>
      <c r="AN49" s="30">
        <f t="array" ref="AN49">_xlfn.XLOOKUP(MIN(ABS($AY$6:$AY$22 - MEDIAN(-2, 2, AN20))), ABS($AY$6:$AY$22 - MEDIAN(-2, 2, AN20)), $AZ$6:$AZ$22, "Error", 0)</f>
        <v/>
      </c>
      <c r="AO49" s="30">
        <f t="array" ref="AO49">_xlfn.XLOOKUP(MIN(ABS($AY$6:$AY$22 - MEDIAN(-2, 2, AO20))), ABS($AY$6:$AY$22 - MEDIAN(-2, 2, AO20)), $AZ$6:$AZ$22, "Error", 0)</f>
        <v/>
      </c>
      <c r="AP49" s="30">
        <f t="array" ref="AP49">_xlfn.XLOOKUP(MIN(ABS($AY$6:$AY$22 - MEDIAN(-2, 2, AP20))), ABS($AY$6:$AY$22 - MEDIAN(-2, 2, AP20)), $AZ$6:$AZ$22, "Error", 0)</f>
        <v/>
      </c>
      <c r="AQ49" s="30">
        <f t="array" ref="AQ49">_xlfn.XLOOKUP(MIN(ABS($AY$6:$AY$22 - MEDIAN(-2, 2, AQ20))), ABS($AY$6:$AY$22 - MEDIAN(-2, 2, AQ20)), $AZ$6:$AZ$22, "Error", 0)</f>
        <v/>
      </c>
      <c r="AR49" s="30">
        <f t="array" ref="AR49">_xlfn.XLOOKUP(MIN(ABS($AY$6:$AY$22 - MEDIAN(-2, 2, AR20))), ABS($AY$6:$AY$22 - MEDIAN(-2, 2, AR20)), $AZ$6:$AZ$22, "Error", 0)</f>
        <v/>
      </c>
      <c r="AS49" s="30">
        <f t="array" ref="AS49">_xlfn.XLOOKUP(MIN(ABS($AY$6:$AY$22 - MEDIAN(-2, 2, AS20))), ABS($AY$6:$AY$22 - MEDIAN(-2, 2, AS20)), $AZ$6:$AZ$22, "Error", 0)</f>
        <v/>
      </c>
      <c r="AT49" s="30">
        <f t="array" ref="AT49">_xlfn.XLOOKUP(MIN(ABS($AY$6:$AY$22 - MEDIAN(-2, 2, AT20))), ABS($AY$6:$AY$22 - MEDIAN(-2, 2, AT20)), $AZ$6:$AZ$22, "Error", 0)</f>
        <v/>
      </c>
      <c r="AU49" s="30">
        <f t="array" ref="AU49">_xlfn.XLOOKUP(MIN(ABS($AY$6:$AY$22 - MEDIAN(-2, 2, AU20))), ABS($AY$6:$AY$22 - MEDIAN(-2, 2, AU20)), $AZ$6:$AZ$22, "Error", 0)</f>
        <v/>
      </c>
      <c r="AV49" s="30">
        <f t="array" ref="AV49">_xlfn.XLOOKUP(MIN(ABS($AY$6:$AY$22 - MEDIAN(-2, 2, AV20))), ABS($AY$6:$AY$22 - MEDIAN(-2, 2, AV20)), $AZ$6:$AZ$22, "Error", 0)</f>
        <v/>
      </c>
      <c r="AW49" s="30">
        <f t="array" ref="AW49">_xlfn.XLOOKUP(MIN(ABS($AY$6:$AY$22 - MEDIAN(-2, 2, AW20))), ABS($AY$6:$AY$22 - MEDIAN(-2, 2, AW20)), $AZ$6:$AZ$22, "Error", 0)</f>
        <v/>
      </c>
    </row>
    <row r="50" ht="25" customHeight="1">
      <c r="A50" s="46" t="inlineStr">
        <is>
          <t>EUR GBP</t>
        </is>
      </c>
      <c r="B50" s="30">
        <f t="array" ref="B50">_xlfn.XLOOKUP(MIN(ABS($AY$6:$AY$22 - MEDIAN(-2, 2, B21))), ABS($AY$6:$AY$22 - MEDIAN(-2, 2, B21)), $AZ$6:$AZ$22, "Error", 0)</f>
        <v/>
      </c>
      <c r="C50" s="30">
        <f t="array" ref="C50">_xlfn.XLOOKUP(MIN(ABS($AY$6:$AY$22 - MEDIAN(-2, 2, C21))), ABS($AY$6:$AY$22 - MEDIAN(-2, 2, C21)), $AZ$6:$AZ$22, "Error", 0)</f>
        <v/>
      </c>
      <c r="D50" s="30">
        <f t="array" ref="D50">_xlfn.XLOOKUP(MIN(ABS($AY$6:$AY$22 - MEDIAN(-2, 2, D21))), ABS($AY$6:$AY$22 - MEDIAN(-2, 2, D21)), $AZ$6:$AZ$22, "Error", 0)</f>
        <v/>
      </c>
      <c r="E50" s="30">
        <f t="array" ref="E50">_xlfn.XLOOKUP(MIN(ABS($AY$6:$AY$22 - MEDIAN(-2, 2, E21))), ABS($AY$6:$AY$22 - MEDIAN(-2, 2, E21)), $AZ$6:$AZ$22, "Error", 0)</f>
        <v/>
      </c>
      <c r="F50" s="30">
        <f t="array" ref="F50">_xlfn.XLOOKUP(MIN(ABS($AY$6:$AY$22 - MEDIAN(-2, 2, F21))), ABS($AY$6:$AY$22 - MEDIAN(-2, 2, F21)), $AZ$6:$AZ$22, "Error", 0)</f>
        <v/>
      </c>
      <c r="G50" s="30">
        <f t="array" ref="G50">_xlfn.XLOOKUP(MIN(ABS($AY$6:$AY$22 - MEDIAN(-2, 2, G21))), ABS($AY$6:$AY$22 - MEDIAN(-2, 2, G21)), $AZ$6:$AZ$22, "Error", 0)</f>
        <v/>
      </c>
      <c r="H50" s="30">
        <f t="array" ref="H50">_xlfn.XLOOKUP(MIN(ABS($AY$6:$AY$22 - MEDIAN(-2, 2, H21))), ABS($AY$6:$AY$22 - MEDIAN(-2, 2, H21)), $AZ$6:$AZ$22, "Error", 0)</f>
        <v/>
      </c>
      <c r="I50" s="30">
        <f t="array" ref="I50">_xlfn.XLOOKUP(MIN(ABS($AY$6:$AY$22 - MEDIAN(-2, 2, I21))), ABS($AY$6:$AY$22 - MEDIAN(-2, 2, I21)), $AZ$6:$AZ$22, "Error", 0)</f>
        <v/>
      </c>
      <c r="J50" s="30">
        <f t="array" ref="J50">_xlfn.XLOOKUP(MIN(ABS($AY$6:$AY$22 - MEDIAN(-2, 2, J21))), ABS($AY$6:$AY$22 - MEDIAN(-2, 2, J21)), $AZ$6:$AZ$22, "Error", 0)</f>
        <v/>
      </c>
      <c r="K50" s="30">
        <f t="array" ref="K50">_xlfn.XLOOKUP(MIN(ABS($AY$6:$AY$22 - MEDIAN(-2, 2, K21))), ABS($AY$6:$AY$22 - MEDIAN(-2, 2, K21)), $AZ$6:$AZ$22, "Error", 0)</f>
        <v/>
      </c>
      <c r="L50" s="30">
        <f t="array" ref="L50">_xlfn.XLOOKUP(MIN(ABS($AY$6:$AY$22 - MEDIAN(-2, 2, L21))), ABS($AY$6:$AY$22 - MEDIAN(-2, 2, L21)), $AZ$6:$AZ$22, "Error", 0)</f>
        <v/>
      </c>
      <c r="M50" s="30">
        <f t="array" ref="M50">_xlfn.XLOOKUP(MIN(ABS($AY$6:$AY$22 - MEDIAN(-2, 2, M21))), ABS($AY$6:$AY$22 - MEDIAN(-2, 2, M21)), $AZ$6:$AZ$22, "Error", 0)</f>
        <v/>
      </c>
      <c r="N50" s="30">
        <f t="array" ref="N50">_xlfn.XLOOKUP(MIN(ABS($AY$6:$AY$22 - MEDIAN(-2, 2, N21))), ABS($AY$6:$AY$22 - MEDIAN(-2, 2, N21)), $AZ$6:$AZ$22, "Error", 0)</f>
        <v/>
      </c>
      <c r="O50" s="30">
        <f t="array" ref="O50">_xlfn.XLOOKUP(MIN(ABS($AY$6:$AY$22 - MEDIAN(-2, 2, O21))), ABS($AY$6:$AY$22 - MEDIAN(-2, 2, O21)), $AZ$6:$AZ$22, "Error", 0)</f>
        <v/>
      </c>
      <c r="P50" s="30">
        <f t="array" ref="P50">_xlfn.XLOOKUP(MIN(ABS($AY$6:$AY$22 - MEDIAN(-2, 2, P21))), ABS($AY$6:$AY$22 - MEDIAN(-2, 2, P21)), $AZ$6:$AZ$22, "Error", 0)</f>
        <v/>
      </c>
      <c r="Q50" s="30">
        <f t="array" ref="Q50">_xlfn.XLOOKUP(MIN(ABS($AY$6:$AY$22 - MEDIAN(-2, 2, Q21))), ABS($AY$6:$AY$22 - MEDIAN(-2, 2, Q21)), $AZ$6:$AZ$22, "Error", 0)</f>
        <v/>
      </c>
      <c r="R50" s="30">
        <f t="array" ref="R50">_xlfn.XLOOKUP(MIN(ABS($AY$6:$AY$22 - MEDIAN(-2, 2, R21))), ABS($AY$6:$AY$22 - MEDIAN(-2, 2, R21)), $AZ$6:$AZ$22, "Error", 0)</f>
        <v/>
      </c>
      <c r="S50" s="30">
        <f t="array" ref="S50">_xlfn.XLOOKUP(MIN(ABS($AY$6:$AY$22 - MEDIAN(-2, 2, S21))), ABS($AY$6:$AY$22 - MEDIAN(-2, 2, S21)), $AZ$6:$AZ$22, "Error", 0)</f>
        <v/>
      </c>
      <c r="T50" s="30">
        <f t="array" ref="T50">_xlfn.XLOOKUP(MIN(ABS($AY$6:$AY$22 - MEDIAN(-2, 2, T21))), ABS($AY$6:$AY$22 - MEDIAN(-2, 2, T21)), $AZ$6:$AZ$22, "Error", 0)</f>
        <v/>
      </c>
      <c r="U50" s="30">
        <f t="array" ref="U50">_xlfn.XLOOKUP(MIN(ABS($AY$6:$AY$22 - MEDIAN(-2, 2, U21))), ABS($AY$6:$AY$22 - MEDIAN(-2, 2, U21)), $AZ$6:$AZ$22, "Error", 0)</f>
        <v/>
      </c>
      <c r="V50" s="30">
        <f t="array" ref="V50">_xlfn.XLOOKUP(MIN(ABS($AY$6:$AY$22 - MEDIAN(-2, 2, V21))), ABS($AY$6:$AY$22 - MEDIAN(-2, 2, V21)), $AZ$6:$AZ$22, "Error", 0)</f>
        <v/>
      </c>
      <c r="W50" s="30">
        <f t="array" ref="W50">_xlfn.XLOOKUP(MIN(ABS($AY$6:$AY$22 - MEDIAN(-2, 2, W21))), ABS($AY$6:$AY$22 - MEDIAN(-2, 2, W21)), $AZ$6:$AZ$22, "Error", 0)</f>
        <v/>
      </c>
      <c r="X50" s="30">
        <f t="array" ref="X50">_xlfn.XLOOKUP(MIN(ABS($AY$6:$AY$22 - MEDIAN(-2, 2, X21))), ABS($AY$6:$AY$22 - MEDIAN(-2, 2, X21)), $AZ$6:$AZ$22, "Error", 0)</f>
        <v/>
      </c>
      <c r="Y50" s="30">
        <f t="array" ref="Y50">_xlfn.XLOOKUP(MIN(ABS($AY$6:$AY$22 - MEDIAN(-2, 2, Y21))), ABS($AY$6:$AY$22 - MEDIAN(-2, 2, Y21)), $AZ$6:$AZ$22, "Error", 0)</f>
        <v/>
      </c>
      <c r="Z50" s="30">
        <f t="array" ref="Z50">_xlfn.XLOOKUP(MIN(ABS($AY$6:$AY$22 - MEDIAN(-2, 2, Z21))), ABS($AY$6:$AY$22 - MEDIAN(-2, 2, Z21)), $AZ$6:$AZ$22, "Error", 0)</f>
        <v/>
      </c>
      <c r="AA50" s="30">
        <f t="array" ref="AA50">_xlfn.XLOOKUP(MIN(ABS($AY$6:$AY$22 - MEDIAN(-2, 2, AA21))), ABS($AY$6:$AY$22 - MEDIAN(-2, 2, AA21)), $AZ$6:$AZ$22, "Error", 0)</f>
        <v/>
      </c>
      <c r="AB50" s="30">
        <f t="array" ref="AB50">_xlfn.XLOOKUP(MIN(ABS($AY$6:$AY$22 - MEDIAN(-2, 2, AB21))), ABS($AY$6:$AY$22 - MEDIAN(-2, 2, AB21)), $AZ$6:$AZ$22, "Error", 0)</f>
        <v/>
      </c>
      <c r="AC50" s="30">
        <f t="array" ref="AC50">_xlfn.XLOOKUP(MIN(ABS($AY$6:$AY$22 - MEDIAN(-2, 2, AC21))), ABS($AY$6:$AY$22 - MEDIAN(-2, 2, AC21)), $AZ$6:$AZ$22, "Error", 0)</f>
        <v/>
      </c>
      <c r="AD50" s="30">
        <f t="array" ref="AD50">_xlfn.XLOOKUP(MIN(ABS($AY$6:$AY$22 - MEDIAN(-2, 2, AD21))), ABS($AY$6:$AY$22 - MEDIAN(-2, 2, AD21)), $AZ$6:$AZ$22, "Error", 0)</f>
        <v/>
      </c>
      <c r="AE50" s="30">
        <f t="array" ref="AE50">_xlfn.XLOOKUP(MIN(ABS($AY$6:$AY$22 - MEDIAN(-2, 2, AE21))), ABS($AY$6:$AY$22 - MEDIAN(-2, 2, AE21)), $AZ$6:$AZ$22, "Error", 0)</f>
        <v/>
      </c>
      <c r="AF50" s="30">
        <f t="array" ref="AF50">_xlfn.XLOOKUP(MIN(ABS($AY$6:$AY$22 - MEDIAN(-2, 2, AF21))), ABS($AY$6:$AY$22 - MEDIAN(-2, 2, AF21)), $AZ$6:$AZ$22, "Error", 0)</f>
        <v/>
      </c>
      <c r="AG50" s="30">
        <f t="array" ref="AG50">_xlfn.XLOOKUP(MIN(ABS($AY$6:$AY$22 - MEDIAN(-2, 2, AG21))), ABS($AY$6:$AY$22 - MEDIAN(-2, 2, AG21)), $AZ$6:$AZ$22, "Error", 0)</f>
        <v/>
      </c>
      <c r="AH50" s="30">
        <f t="array" ref="AH50">_xlfn.XLOOKUP(MIN(ABS($AY$6:$AY$22 - MEDIAN(-2, 2, AH21))), ABS($AY$6:$AY$22 - MEDIAN(-2, 2, AH21)), $AZ$6:$AZ$22, "Error", 0)</f>
        <v/>
      </c>
      <c r="AI50" s="30">
        <f t="array" ref="AI50">_xlfn.XLOOKUP(MIN(ABS($AY$6:$AY$22 - MEDIAN(-2, 2, AI21))), ABS($AY$6:$AY$22 - MEDIAN(-2, 2, AI21)), $AZ$6:$AZ$22, "Error", 0)</f>
        <v/>
      </c>
      <c r="AJ50" s="30">
        <f t="array" ref="AJ50">_xlfn.XLOOKUP(MIN(ABS($AY$6:$AY$22 - MEDIAN(-2, 2, AJ21))), ABS($AY$6:$AY$22 - MEDIAN(-2, 2, AJ21)), $AZ$6:$AZ$22, "Error", 0)</f>
        <v/>
      </c>
      <c r="AK50" s="30">
        <f t="array" ref="AK50">_xlfn.XLOOKUP(MIN(ABS($AY$6:$AY$22 - MEDIAN(-2, 2, AK21))), ABS($AY$6:$AY$22 - MEDIAN(-2, 2, AK21)), $AZ$6:$AZ$22, "Error", 0)</f>
        <v/>
      </c>
      <c r="AL50" s="30">
        <f t="array" ref="AL50">_xlfn.XLOOKUP(MIN(ABS($AY$6:$AY$22 - MEDIAN(-2, 2, AL21))), ABS($AY$6:$AY$22 - MEDIAN(-2, 2, AL21)), $AZ$6:$AZ$22, "Error", 0)</f>
        <v/>
      </c>
      <c r="AM50" s="30">
        <f t="array" ref="AM50">_xlfn.XLOOKUP(MIN(ABS($AY$6:$AY$22 - MEDIAN(-2, 2, AM21))), ABS($AY$6:$AY$22 - MEDIAN(-2, 2, AM21)), $AZ$6:$AZ$22, "Error", 0)</f>
        <v/>
      </c>
      <c r="AN50" s="30">
        <f t="array" ref="AN50">_xlfn.XLOOKUP(MIN(ABS($AY$6:$AY$22 - MEDIAN(-2, 2, AN21))), ABS($AY$6:$AY$22 - MEDIAN(-2, 2, AN21)), $AZ$6:$AZ$22, "Error", 0)</f>
        <v/>
      </c>
      <c r="AO50" s="30">
        <f t="array" ref="AO50">_xlfn.XLOOKUP(MIN(ABS($AY$6:$AY$22 - MEDIAN(-2, 2, AO21))), ABS($AY$6:$AY$22 - MEDIAN(-2, 2, AO21)), $AZ$6:$AZ$22, "Error", 0)</f>
        <v/>
      </c>
      <c r="AP50" s="30">
        <f t="array" ref="AP50">_xlfn.XLOOKUP(MIN(ABS($AY$6:$AY$22 - MEDIAN(-2, 2, AP21))), ABS($AY$6:$AY$22 - MEDIAN(-2, 2, AP21)), $AZ$6:$AZ$22, "Error", 0)</f>
        <v/>
      </c>
      <c r="AQ50" s="30">
        <f t="array" ref="AQ50">_xlfn.XLOOKUP(MIN(ABS($AY$6:$AY$22 - MEDIAN(-2, 2, AQ21))), ABS($AY$6:$AY$22 - MEDIAN(-2, 2, AQ21)), $AZ$6:$AZ$22, "Error", 0)</f>
        <v/>
      </c>
      <c r="AR50" s="30">
        <f t="array" ref="AR50">_xlfn.XLOOKUP(MIN(ABS($AY$6:$AY$22 - MEDIAN(-2, 2, AR21))), ABS($AY$6:$AY$22 - MEDIAN(-2, 2, AR21)), $AZ$6:$AZ$22, "Error", 0)</f>
        <v/>
      </c>
      <c r="AS50" s="30">
        <f t="array" ref="AS50">_xlfn.XLOOKUP(MIN(ABS($AY$6:$AY$22 - MEDIAN(-2, 2, AS21))), ABS($AY$6:$AY$22 - MEDIAN(-2, 2, AS21)), $AZ$6:$AZ$22, "Error", 0)</f>
        <v/>
      </c>
      <c r="AT50" s="30">
        <f t="array" ref="AT50">_xlfn.XLOOKUP(MIN(ABS($AY$6:$AY$22 - MEDIAN(-2, 2, AT21))), ABS($AY$6:$AY$22 - MEDIAN(-2, 2, AT21)), $AZ$6:$AZ$22, "Error", 0)</f>
        <v/>
      </c>
      <c r="AU50" s="30">
        <f t="array" ref="AU50">_xlfn.XLOOKUP(MIN(ABS($AY$6:$AY$22 - MEDIAN(-2, 2, AU21))), ABS($AY$6:$AY$22 - MEDIAN(-2, 2, AU21)), $AZ$6:$AZ$22, "Error", 0)</f>
        <v/>
      </c>
      <c r="AV50" s="30">
        <f t="array" ref="AV50">_xlfn.XLOOKUP(MIN(ABS($AY$6:$AY$22 - MEDIAN(-2, 2, AV21))), ABS($AY$6:$AY$22 - MEDIAN(-2, 2, AV21)), $AZ$6:$AZ$22, "Error", 0)</f>
        <v/>
      </c>
      <c r="AW50" s="30">
        <f t="array" ref="AW50">_xlfn.XLOOKUP(MIN(ABS($AY$6:$AY$22 - MEDIAN(-2, 2, AW21))), ABS($AY$6:$AY$22 - MEDIAN(-2, 2, AW21)), $AZ$6:$AZ$22, "Error", 0)</f>
        <v/>
      </c>
    </row>
    <row r="51" ht="25" customHeight="1">
      <c r="A51" s="46" t="inlineStr">
        <is>
          <t>EUR CAD</t>
        </is>
      </c>
      <c r="B51" s="30">
        <f t="array" ref="B51">_xlfn.XLOOKUP(MIN(ABS($AY$6:$AY$22 - MEDIAN(-2, 2, B22))), ABS($AY$6:$AY$22 - MEDIAN(-2, 2, B22)), $AZ$6:$AZ$22, "Error", 0)</f>
        <v/>
      </c>
      <c r="C51" s="30">
        <f t="array" ref="C51">_xlfn.XLOOKUP(MIN(ABS($AY$6:$AY$22 - MEDIAN(-2, 2, C22))), ABS($AY$6:$AY$22 - MEDIAN(-2, 2, C22)), $AZ$6:$AZ$22, "Error", 0)</f>
        <v/>
      </c>
      <c r="D51" s="30">
        <f t="array" ref="D51">_xlfn.XLOOKUP(MIN(ABS($AY$6:$AY$22 - MEDIAN(-2, 2, D22))), ABS($AY$6:$AY$22 - MEDIAN(-2, 2, D22)), $AZ$6:$AZ$22, "Error", 0)</f>
        <v/>
      </c>
      <c r="E51" s="30">
        <f t="array" ref="E51">_xlfn.XLOOKUP(MIN(ABS($AY$6:$AY$22 - MEDIAN(-2, 2, E22))), ABS($AY$6:$AY$22 - MEDIAN(-2, 2, E22)), $AZ$6:$AZ$22, "Error", 0)</f>
        <v/>
      </c>
      <c r="F51" s="30">
        <f t="array" ref="F51">_xlfn.XLOOKUP(MIN(ABS($AY$6:$AY$22 - MEDIAN(-2, 2, F22))), ABS($AY$6:$AY$22 - MEDIAN(-2, 2, F22)), $AZ$6:$AZ$22, "Error", 0)</f>
        <v/>
      </c>
      <c r="G51" s="30">
        <f t="array" ref="G51">_xlfn.XLOOKUP(MIN(ABS($AY$6:$AY$22 - MEDIAN(-2, 2, G22))), ABS($AY$6:$AY$22 - MEDIAN(-2, 2, G22)), $AZ$6:$AZ$22, "Error", 0)</f>
        <v/>
      </c>
      <c r="H51" s="30">
        <f t="array" ref="H51">_xlfn.XLOOKUP(MIN(ABS($AY$6:$AY$22 - MEDIAN(-2, 2, H22))), ABS($AY$6:$AY$22 - MEDIAN(-2, 2, H22)), $AZ$6:$AZ$22, "Error", 0)</f>
        <v/>
      </c>
      <c r="I51" s="30">
        <f t="array" ref="I51">_xlfn.XLOOKUP(MIN(ABS($AY$6:$AY$22 - MEDIAN(-2, 2, I22))), ABS($AY$6:$AY$22 - MEDIAN(-2, 2, I22)), $AZ$6:$AZ$22, "Error", 0)</f>
        <v/>
      </c>
      <c r="J51" s="30">
        <f t="array" ref="J51">_xlfn.XLOOKUP(MIN(ABS($AY$6:$AY$22 - MEDIAN(-2, 2, J22))), ABS($AY$6:$AY$22 - MEDIAN(-2, 2, J22)), $AZ$6:$AZ$22, "Error", 0)</f>
        <v/>
      </c>
      <c r="K51" s="30">
        <f t="array" ref="K51">_xlfn.XLOOKUP(MIN(ABS($AY$6:$AY$22 - MEDIAN(-2, 2, K22))), ABS($AY$6:$AY$22 - MEDIAN(-2, 2, K22)), $AZ$6:$AZ$22, "Error", 0)</f>
        <v/>
      </c>
      <c r="L51" s="30">
        <f t="array" ref="L51">_xlfn.XLOOKUP(MIN(ABS($AY$6:$AY$22 - MEDIAN(-2, 2, L22))), ABS($AY$6:$AY$22 - MEDIAN(-2, 2, L22)), $AZ$6:$AZ$22, "Error", 0)</f>
        <v/>
      </c>
      <c r="M51" s="30">
        <f t="array" ref="M51">_xlfn.XLOOKUP(MIN(ABS($AY$6:$AY$22 - MEDIAN(-2, 2, M22))), ABS($AY$6:$AY$22 - MEDIAN(-2, 2, M22)), $AZ$6:$AZ$22, "Error", 0)</f>
        <v/>
      </c>
      <c r="N51" s="30">
        <f t="array" ref="N51">_xlfn.XLOOKUP(MIN(ABS($AY$6:$AY$22 - MEDIAN(-2, 2, N22))), ABS($AY$6:$AY$22 - MEDIAN(-2, 2, N22)), $AZ$6:$AZ$22, "Error", 0)</f>
        <v/>
      </c>
      <c r="O51" s="30">
        <f t="array" ref="O51">_xlfn.XLOOKUP(MIN(ABS($AY$6:$AY$22 - MEDIAN(-2, 2, O22))), ABS($AY$6:$AY$22 - MEDIAN(-2, 2, O22)), $AZ$6:$AZ$22, "Error", 0)</f>
        <v/>
      </c>
      <c r="P51" s="30">
        <f t="array" ref="P51">_xlfn.XLOOKUP(MIN(ABS($AY$6:$AY$22 - MEDIAN(-2, 2, P22))), ABS($AY$6:$AY$22 - MEDIAN(-2, 2, P22)), $AZ$6:$AZ$22, "Error", 0)</f>
        <v/>
      </c>
      <c r="Q51" s="30">
        <f t="array" ref="Q51">_xlfn.XLOOKUP(MIN(ABS($AY$6:$AY$22 - MEDIAN(-2, 2, Q22))), ABS($AY$6:$AY$22 - MEDIAN(-2, 2, Q22)), $AZ$6:$AZ$22, "Error", 0)</f>
        <v/>
      </c>
      <c r="R51" s="30">
        <f t="array" ref="R51">_xlfn.XLOOKUP(MIN(ABS($AY$6:$AY$22 - MEDIAN(-2, 2, R22))), ABS($AY$6:$AY$22 - MEDIAN(-2, 2, R22)), $AZ$6:$AZ$22, "Error", 0)</f>
        <v/>
      </c>
      <c r="S51" s="30">
        <f t="array" ref="S51">_xlfn.XLOOKUP(MIN(ABS($AY$6:$AY$22 - MEDIAN(-2, 2, S22))), ABS($AY$6:$AY$22 - MEDIAN(-2, 2, S22)), $AZ$6:$AZ$22, "Error", 0)</f>
        <v/>
      </c>
      <c r="T51" s="30">
        <f t="array" ref="T51">_xlfn.XLOOKUP(MIN(ABS($AY$6:$AY$22 - MEDIAN(-2, 2, T22))), ABS($AY$6:$AY$22 - MEDIAN(-2, 2, T22)), $AZ$6:$AZ$22, "Error", 0)</f>
        <v/>
      </c>
      <c r="U51" s="30">
        <f t="array" ref="U51">_xlfn.XLOOKUP(MIN(ABS($AY$6:$AY$22 - MEDIAN(-2, 2, U22))), ABS($AY$6:$AY$22 - MEDIAN(-2, 2, U22)), $AZ$6:$AZ$22, "Error", 0)</f>
        <v/>
      </c>
      <c r="V51" s="30">
        <f t="array" ref="V51">_xlfn.XLOOKUP(MIN(ABS($AY$6:$AY$22 - MEDIAN(-2, 2, V22))), ABS($AY$6:$AY$22 - MEDIAN(-2, 2, V22)), $AZ$6:$AZ$22, "Error", 0)</f>
        <v/>
      </c>
      <c r="W51" s="30">
        <f t="array" ref="W51">_xlfn.XLOOKUP(MIN(ABS($AY$6:$AY$22 - MEDIAN(-2, 2, W22))), ABS($AY$6:$AY$22 - MEDIAN(-2, 2, W22)), $AZ$6:$AZ$22, "Error", 0)</f>
        <v/>
      </c>
      <c r="X51" s="30">
        <f t="array" ref="X51">_xlfn.XLOOKUP(MIN(ABS($AY$6:$AY$22 - MEDIAN(-2, 2, X22))), ABS($AY$6:$AY$22 - MEDIAN(-2, 2, X22)), $AZ$6:$AZ$22, "Error", 0)</f>
        <v/>
      </c>
      <c r="Y51" s="30">
        <f t="array" ref="Y51">_xlfn.XLOOKUP(MIN(ABS($AY$6:$AY$22 - MEDIAN(-2, 2, Y22))), ABS($AY$6:$AY$22 - MEDIAN(-2, 2, Y22)), $AZ$6:$AZ$22, "Error", 0)</f>
        <v/>
      </c>
      <c r="Z51" s="30">
        <f t="array" ref="Z51">_xlfn.XLOOKUP(MIN(ABS($AY$6:$AY$22 - MEDIAN(-2, 2, Z22))), ABS($AY$6:$AY$22 - MEDIAN(-2, 2, Z22)), $AZ$6:$AZ$22, "Error", 0)</f>
        <v/>
      </c>
      <c r="AA51" s="30">
        <f t="array" ref="AA51">_xlfn.XLOOKUP(MIN(ABS($AY$6:$AY$22 - MEDIAN(-2, 2, AA22))), ABS($AY$6:$AY$22 - MEDIAN(-2, 2, AA22)), $AZ$6:$AZ$22, "Error", 0)</f>
        <v/>
      </c>
      <c r="AB51" s="30">
        <f t="array" ref="AB51">_xlfn.XLOOKUP(MIN(ABS($AY$6:$AY$22 - MEDIAN(-2, 2, AB22))), ABS($AY$6:$AY$22 - MEDIAN(-2, 2, AB22)), $AZ$6:$AZ$22, "Error", 0)</f>
        <v/>
      </c>
      <c r="AC51" s="30">
        <f t="array" ref="AC51">_xlfn.XLOOKUP(MIN(ABS($AY$6:$AY$22 - MEDIAN(-2, 2, AC22))), ABS($AY$6:$AY$22 - MEDIAN(-2, 2, AC22)), $AZ$6:$AZ$22, "Error", 0)</f>
        <v/>
      </c>
      <c r="AD51" s="30">
        <f t="array" ref="AD51">_xlfn.XLOOKUP(MIN(ABS($AY$6:$AY$22 - MEDIAN(-2, 2, AD22))), ABS($AY$6:$AY$22 - MEDIAN(-2, 2, AD22)), $AZ$6:$AZ$22, "Error", 0)</f>
        <v/>
      </c>
      <c r="AE51" s="30">
        <f t="array" ref="AE51">_xlfn.XLOOKUP(MIN(ABS($AY$6:$AY$22 - MEDIAN(-2, 2, AE22))), ABS($AY$6:$AY$22 - MEDIAN(-2, 2, AE22)), $AZ$6:$AZ$22, "Error", 0)</f>
        <v/>
      </c>
      <c r="AF51" s="30">
        <f t="array" ref="AF51">_xlfn.XLOOKUP(MIN(ABS($AY$6:$AY$22 - MEDIAN(-2, 2, AF22))), ABS($AY$6:$AY$22 - MEDIAN(-2, 2, AF22)), $AZ$6:$AZ$22, "Error", 0)</f>
        <v/>
      </c>
      <c r="AG51" s="30">
        <f t="array" ref="AG51">_xlfn.XLOOKUP(MIN(ABS($AY$6:$AY$22 - MEDIAN(-2, 2, AG22))), ABS($AY$6:$AY$22 - MEDIAN(-2, 2, AG22)), $AZ$6:$AZ$22, "Error", 0)</f>
        <v/>
      </c>
      <c r="AH51" s="30">
        <f t="array" ref="AH51">_xlfn.XLOOKUP(MIN(ABS($AY$6:$AY$22 - MEDIAN(-2, 2, AH22))), ABS($AY$6:$AY$22 - MEDIAN(-2, 2, AH22)), $AZ$6:$AZ$22, "Error", 0)</f>
        <v/>
      </c>
      <c r="AI51" s="30">
        <f t="array" ref="AI51">_xlfn.XLOOKUP(MIN(ABS($AY$6:$AY$22 - MEDIAN(-2, 2, AI22))), ABS($AY$6:$AY$22 - MEDIAN(-2, 2, AI22)), $AZ$6:$AZ$22, "Error", 0)</f>
        <v/>
      </c>
      <c r="AJ51" s="30">
        <f t="array" ref="AJ51">_xlfn.XLOOKUP(MIN(ABS($AY$6:$AY$22 - MEDIAN(-2, 2, AJ22))), ABS($AY$6:$AY$22 - MEDIAN(-2, 2, AJ22)), $AZ$6:$AZ$22, "Error", 0)</f>
        <v/>
      </c>
      <c r="AK51" s="30">
        <f t="array" ref="AK51">_xlfn.XLOOKUP(MIN(ABS($AY$6:$AY$22 - MEDIAN(-2, 2, AK22))), ABS($AY$6:$AY$22 - MEDIAN(-2, 2, AK22)), $AZ$6:$AZ$22, "Error", 0)</f>
        <v/>
      </c>
      <c r="AL51" s="30">
        <f t="array" ref="AL51">_xlfn.XLOOKUP(MIN(ABS($AY$6:$AY$22 - MEDIAN(-2, 2, AL22))), ABS($AY$6:$AY$22 - MEDIAN(-2, 2, AL22)), $AZ$6:$AZ$22, "Error", 0)</f>
        <v/>
      </c>
      <c r="AM51" s="30">
        <f t="array" ref="AM51">_xlfn.XLOOKUP(MIN(ABS($AY$6:$AY$22 - MEDIAN(-2, 2, AM22))), ABS($AY$6:$AY$22 - MEDIAN(-2, 2, AM22)), $AZ$6:$AZ$22, "Error", 0)</f>
        <v/>
      </c>
      <c r="AN51" s="30">
        <f t="array" ref="AN51">_xlfn.XLOOKUP(MIN(ABS($AY$6:$AY$22 - MEDIAN(-2, 2, AN22))), ABS($AY$6:$AY$22 - MEDIAN(-2, 2, AN22)), $AZ$6:$AZ$22, "Error", 0)</f>
        <v/>
      </c>
      <c r="AO51" s="30">
        <f t="array" ref="AO51">_xlfn.XLOOKUP(MIN(ABS($AY$6:$AY$22 - MEDIAN(-2, 2, AO22))), ABS($AY$6:$AY$22 - MEDIAN(-2, 2, AO22)), $AZ$6:$AZ$22, "Error", 0)</f>
        <v/>
      </c>
      <c r="AP51" s="30">
        <f t="array" ref="AP51">_xlfn.XLOOKUP(MIN(ABS($AY$6:$AY$22 - MEDIAN(-2, 2, AP22))), ABS($AY$6:$AY$22 - MEDIAN(-2, 2, AP22)), $AZ$6:$AZ$22, "Error", 0)</f>
        <v/>
      </c>
      <c r="AQ51" s="30">
        <f t="array" ref="AQ51">_xlfn.XLOOKUP(MIN(ABS($AY$6:$AY$22 - MEDIAN(-2, 2, AQ22))), ABS($AY$6:$AY$22 - MEDIAN(-2, 2, AQ22)), $AZ$6:$AZ$22, "Error", 0)</f>
        <v/>
      </c>
      <c r="AR51" s="30">
        <f t="array" ref="AR51">_xlfn.XLOOKUP(MIN(ABS($AY$6:$AY$22 - MEDIAN(-2, 2, AR22))), ABS($AY$6:$AY$22 - MEDIAN(-2, 2, AR22)), $AZ$6:$AZ$22, "Error", 0)</f>
        <v/>
      </c>
      <c r="AS51" s="30">
        <f t="array" ref="AS51">_xlfn.XLOOKUP(MIN(ABS($AY$6:$AY$22 - MEDIAN(-2, 2, AS22))), ABS($AY$6:$AY$22 - MEDIAN(-2, 2, AS22)), $AZ$6:$AZ$22, "Error", 0)</f>
        <v/>
      </c>
      <c r="AT51" s="30">
        <f t="array" ref="AT51">_xlfn.XLOOKUP(MIN(ABS($AY$6:$AY$22 - MEDIAN(-2, 2, AT22))), ABS($AY$6:$AY$22 - MEDIAN(-2, 2, AT22)), $AZ$6:$AZ$22, "Error", 0)</f>
        <v/>
      </c>
      <c r="AU51" s="30">
        <f t="array" ref="AU51">_xlfn.XLOOKUP(MIN(ABS($AY$6:$AY$22 - MEDIAN(-2, 2, AU22))), ABS($AY$6:$AY$22 - MEDIAN(-2, 2, AU22)), $AZ$6:$AZ$22, "Error", 0)</f>
        <v/>
      </c>
      <c r="AV51" s="30">
        <f t="array" ref="AV51">_xlfn.XLOOKUP(MIN(ABS($AY$6:$AY$22 - MEDIAN(-2, 2, AV22))), ABS($AY$6:$AY$22 - MEDIAN(-2, 2, AV22)), $AZ$6:$AZ$22, "Error", 0)</f>
        <v/>
      </c>
      <c r="AW51" s="30">
        <f t="array" ref="AW51">_xlfn.XLOOKUP(MIN(ABS($AY$6:$AY$22 - MEDIAN(-2, 2, AW22))), ABS($AY$6:$AY$22 - MEDIAN(-2, 2, AW22)), $AZ$6:$AZ$22, "Error", 0)</f>
        <v/>
      </c>
    </row>
    <row r="52" ht="25" customHeight="1">
      <c r="A52" s="46" t="inlineStr">
        <is>
          <t>EUR AUD</t>
        </is>
      </c>
      <c r="B52" s="30">
        <f t="array" ref="B52">_xlfn.XLOOKUP(MIN(ABS($AY$6:$AY$22 - MEDIAN(-2, 2, B23))), ABS($AY$6:$AY$22 - MEDIAN(-2, 2, B23)), $AZ$6:$AZ$22, "Error", 0)</f>
        <v/>
      </c>
      <c r="C52" s="30">
        <f t="array" ref="C52">_xlfn.XLOOKUP(MIN(ABS($AY$6:$AY$22 - MEDIAN(-2, 2, C23))), ABS($AY$6:$AY$22 - MEDIAN(-2, 2, C23)), $AZ$6:$AZ$22, "Error", 0)</f>
        <v/>
      </c>
      <c r="D52" s="30">
        <f t="array" ref="D52">_xlfn.XLOOKUP(MIN(ABS($AY$6:$AY$22 - MEDIAN(-2, 2, D23))), ABS($AY$6:$AY$22 - MEDIAN(-2, 2, D23)), $AZ$6:$AZ$22, "Error", 0)</f>
        <v/>
      </c>
      <c r="E52" s="30">
        <f t="array" ref="E52">_xlfn.XLOOKUP(MIN(ABS($AY$6:$AY$22 - MEDIAN(-2, 2, E23))), ABS($AY$6:$AY$22 - MEDIAN(-2, 2, E23)), $AZ$6:$AZ$22, "Error", 0)</f>
        <v/>
      </c>
      <c r="F52" s="30">
        <f t="array" ref="F52">_xlfn.XLOOKUP(MIN(ABS($AY$6:$AY$22 - MEDIAN(-2, 2, F23))), ABS($AY$6:$AY$22 - MEDIAN(-2, 2, F23)), $AZ$6:$AZ$22, "Error", 0)</f>
        <v/>
      </c>
      <c r="G52" s="30">
        <f t="array" ref="G52">_xlfn.XLOOKUP(MIN(ABS($AY$6:$AY$22 - MEDIAN(-2, 2, G23))), ABS($AY$6:$AY$22 - MEDIAN(-2, 2, G23)), $AZ$6:$AZ$22, "Error", 0)</f>
        <v/>
      </c>
      <c r="H52" s="30">
        <f t="array" ref="H52">_xlfn.XLOOKUP(MIN(ABS($AY$6:$AY$22 - MEDIAN(-2, 2, H23))), ABS($AY$6:$AY$22 - MEDIAN(-2, 2, H23)), $AZ$6:$AZ$22, "Error", 0)</f>
        <v/>
      </c>
      <c r="I52" s="30">
        <f t="array" ref="I52">_xlfn.XLOOKUP(MIN(ABS($AY$6:$AY$22 - MEDIAN(-2, 2, I23))), ABS($AY$6:$AY$22 - MEDIAN(-2, 2, I23)), $AZ$6:$AZ$22, "Error", 0)</f>
        <v/>
      </c>
      <c r="J52" s="30">
        <f t="array" ref="J52">_xlfn.XLOOKUP(MIN(ABS($AY$6:$AY$22 - MEDIAN(-2, 2, J23))), ABS($AY$6:$AY$22 - MEDIAN(-2, 2, J23)), $AZ$6:$AZ$22, "Error", 0)</f>
        <v/>
      </c>
      <c r="K52" s="30">
        <f t="array" ref="K52">_xlfn.XLOOKUP(MIN(ABS($AY$6:$AY$22 - MEDIAN(-2, 2, K23))), ABS($AY$6:$AY$22 - MEDIAN(-2, 2, K23)), $AZ$6:$AZ$22, "Error", 0)</f>
        <v/>
      </c>
      <c r="L52" s="30">
        <f t="array" ref="L52">_xlfn.XLOOKUP(MIN(ABS($AY$6:$AY$22 - MEDIAN(-2, 2, L23))), ABS($AY$6:$AY$22 - MEDIAN(-2, 2, L23)), $AZ$6:$AZ$22, "Error", 0)</f>
        <v/>
      </c>
      <c r="M52" s="30">
        <f t="array" ref="M52">_xlfn.XLOOKUP(MIN(ABS($AY$6:$AY$22 - MEDIAN(-2, 2, M23))), ABS($AY$6:$AY$22 - MEDIAN(-2, 2, M23)), $AZ$6:$AZ$22, "Error", 0)</f>
        <v/>
      </c>
      <c r="N52" s="30">
        <f t="array" ref="N52">_xlfn.XLOOKUP(MIN(ABS($AY$6:$AY$22 - MEDIAN(-2, 2, N23))), ABS($AY$6:$AY$22 - MEDIAN(-2, 2, N23)), $AZ$6:$AZ$22, "Error", 0)</f>
        <v/>
      </c>
      <c r="O52" s="30">
        <f t="array" ref="O52">_xlfn.XLOOKUP(MIN(ABS($AY$6:$AY$22 - MEDIAN(-2, 2, O23))), ABS($AY$6:$AY$22 - MEDIAN(-2, 2, O23)), $AZ$6:$AZ$22, "Error", 0)</f>
        <v/>
      </c>
      <c r="P52" s="30">
        <f t="array" ref="P52">_xlfn.XLOOKUP(MIN(ABS($AY$6:$AY$22 - MEDIAN(-2, 2, P23))), ABS($AY$6:$AY$22 - MEDIAN(-2, 2, P23)), $AZ$6:$AZ$22, "Error", 0)</f>
        <v/>
      </c>
      <c r="Q52" s="30">
        <f t="array" ref="Q52">_xlfn.XLOOKUP(MIN(ABS($AY$6:$AY$22 - MEDIAN(-2, 2, Q23))), ABS($AY$6:$AY$22 - MEDIAN(-2, 2, Q23)), $AZ$6:$AZ$22, "Error", 0)</f>
        <v/>
      </c>
      <c r="R52" s="30">
        <f t="array" ref="R52">_xlfn.XLOOKUP(MIN(ABS($AY$6:$AY$22 - MEDIAN(-2, 2, R23))), ABS($AY$6:$AY$22 - MEDIAN(-2, 2, R23)), $AZ$6:$AZ$22, "Error", 0)</f>
        <v/>
      </c>
      <c r="S52" s="30">
        <f t="array" ref="S52">_xlfn.XLOOKUP(MIN(ABS($AY$6:$AY$22 - MEDIAN(-2, 2, S23))), ABS($AY$6:$AY$22 - MEDIAN(-2, 2, S23)), $AZ$6:$AZ$22, "Error", 0)</f>
        <v/>
      </c>
      <c r="T52" s="30">
        <f t="array" ref="T52">_xlfn.XLOOKUP(MIN(ABS($AY$6:$AY$22 - MEDIAN(-2, 2, T23))), ABS($AY$6:$AY$22 - MEDIAN(-2, 2, T23)), $AZ$6:$AZ$22, "Error", 0)</f>
        <v/>
      </c>
      <c r="U52" s="30">
        <f t="array" ref="U52">_xlfn.XLOOKUP(MIN(ABS($AY$6:$AY$22 - MEDIAN(-2, 2, U23))), ABS($AY$6:$AY$22 - MEDIAN(-2, 2, U23)), $AZ$6:$AZ$22, "Error", 0)</f>
        <v/>
      </c>
      <c r="V52" s="30">
        <f t="array" ref="V52">_xlfn.XLOOKUP(MIN(ABS($AY$6:$AY$22 - MEDIAN(-2, 2, V23))), ABS($AY$6:$AY$22 - MEDIAN(-2, 2, V23)), $AZ$6:$AZ$22, "Error", 0)</f>
        <v/>
      </c>
      <c r="W52" s="30">
        <f t="array" ref="W52">_xlfn.XLOOKUP(MIN(ABS($AY$6:$AY$22 - MEDIAN(-2, 2, W23))), ABS($AY$6:$AY$22 - MEDIAN(-2, 2, W23)), $AZ$6:$AZ$22, "Error", 0)</f>
        <v/>
      </c>
      <c r="X52" s="30">
        <f t="array" ref="X52">_xlfn.XLOOKUP(MIN(ABS($AY$6:$AY$22 - MEDIAN(-2, 2, X23))), ABS($AY$6:$AY$22 - MEDIAN(-2, 2, X23)), $AZ$6:$AZ$22, "Error", 0)</f>
        <v/>
      </c>
      <c r="Y52" s="30">
        <f t="array" ref="Y52">_xlfn.XLOOKUP(MIN(ABS($AY$6:$AY$22 - MEDIAN(-2, 2, Y23))), ABS($AY$6:$AY$22 - MEDIAN(-2, 2, Y23)), $AZ$6:$AZ$22, "Error", 0)</f>
        <v/>
      </c>
      <c r="Z52" s="30">
        <f t="array" ref="Z52">_xlfn.XLOOKUP(MIN(ABS($AY$6:$AY$22 - MEDIAN(-2, 2, Z23))), ABS($AY$6:$AY$22 - MEDIAN(-2, 2, Z23)), $AZ$6:$AZ$22, "Error", 0)</f>
        <v/>
      </c>
      <c r="AA52" s="30">
        <f t="array" ref="AA52">_xlfn.XLOOKUP(MIN(ABS($AY$6:$AY$22 - MEDIAN(-2, 2, AA23))), ABS($AY$6:$AY$22 - MEDIAN(-2, 2, AA23)), $AZ$6:$AZ$22, "Error", 0)</f>
        <v/>
      </c>
      <c r="AB52" s="30">
        <f t="array" ref="AB52">_xlfn.XLOOKUP(MIN(ABS($AY$6:$AY$22 - MEDIAN(-2, 2, AB23))), ABS($AY$6:$AY$22 - MEDIAN(-2, 2, AB23)), $AZ$6:$AZ$22, "Error", 0)</f>
        <v/>
      </c>
      <c r="AC52" s="30">
        <f t="array" ref="AC52">_xlfn.XLOOKUP(MIN(ABS($AY$6:$AY$22 - MEDIAN(-2, 2, AC23))), ABS($AY$6:$AY$22 - MEDIAN(-2, 2, AC23)), $AZ$6:$AZ$22, "Error", 0)</f>
        <v/>
      </c>
      <c r="AD52" s="30">
        <f t="array" ref="AD52">_xlfn.XLOOKUP(MIN(ABS($AY$6:$AY$22 - MEDIAN(-2, 2, AD23))), ABS($AY$6:$AY$22 - MEDIAN(-2, 2, AD23)), $AZ$6:$AZ$22, "Error", 0)</f>
        <v/>
      </c>
      <c r="AE52" s="30">
        <f t="array" ref="AE52">_xlfn.XLOOKUP(MIN(ABS($AY$6:$AY$22 - MEDIAN(-2, 2, AE23))), ABS($AY$6:$AY$22 - MEDIAN(-2, 2, AE23)), $AZ$6:$AZ$22, "Error", 0)</f>
        <v/>
      </c>
      <c r="AF52" s="30">
        <f t="array" ref="AF52">_xlfn.XLOOKUP(MIN(ABS($AY$6:$AY$22 - MEDIAN(-2, 2, AF23))), ABS($AY$6:$AY$22 - MEDIAN(-2, 2, AF23)), $AZ$6:$AZ$22, "Error", 0)</f>
        <v/>
      </c>
      <c r="AG52" s="30">
        <f t="array" ref="AG52">_xlfn.XLOOKUP(MIN(ABS($AY$6:$AY$22 - MEDIAN(-2, 2, AG23))), ABS($AY$6:$AY$22 - MEDIAN(-2, 2, AG23)), $AZ$6:$AZ$22, "Error", 0)</f>
        <v/>
      </c>
      <c r="AH52" s="30">
        <f t="array" ref="AH52">_xlfn.XLOOKUP(MIN(ABS($AY$6:$AY$22 - MEDIAN(-2, 2, AH23))), ABS($AY$6:$AY$22 - MEDIAN(-2, 2, AH23)), $AZ$6:$AZ$22, "Error", 0)</f>
        <v/>
      </c>
      <c r="AI52" s="30">
        <f t="array" ref="AI52">_xlfn.XLOOKUP(MIN(ABS($AY$6:$AY$22 - MEDIAN(-2, 2, AI23))), ABS($AY$6:$AY$22 - MEDIAN(-2, 2, AI23)), $AZ$6:$AZ$22, "Error", 0)</f>
        <v/>
      </c>
      <c r="AJ52" s="30">
        <f t="array" ref="AJ52">_xlfn.XLOOKUP(MIN(ABS($AY$6:$AY$22 - MEDIAN(-2, 2, AJ23))), ABS($AY$6:$AY$22 - MEDIAN(-2, 2, AJ23)), $AZ$6:$AZ$22, "Error", 0)</f>
        <v/>
      </c>
      <c r="AK52" s="30">
        <f t="array" ref="AK52">_xlfn.XLOOKUP(MIN(ABS($AY$6:$AY$22 - MEDIAN(-2, 2, AK23))), ABS($AY$6:$AY$22 - MEDIAN(-2, 2, AK23)), $AZ$6:$AZ$22, "Error", 0)</f>
        <v/>
      </c>
      <c r="AL52" s="30">
        <f t="array" ref="AL52">_xlfn.XLOOKUP(MIN(ABS($AY$6:$AY$22 - MEDIAN(-2, 2, AL23))), ABS($AY$6:$AY$22 - MEDIAN(-2, 2, AL23)), $AZ$6:$AZ$22, "Error", 0)</f>
        <v/>
      </c>
      <c r="AM52" s="30">
        <f t="array" ref="AM52">_xlfn.XLOOKUP(MIN(ABS($AY$6:$AY$22 - MEDIAN(-2, 2, AM23))), ABS($AY$6:$AY$22 - MEDIAN(-2, 2, AM23)), $AZ$6:$AZ$22, "Error", 0)</f>
        <v/>
      </c>
      <c r="AN52" s="30">
        <f t="array" ref="AN52">_xlfn.XLOOKUP(MIN(ABS($AY$6:$AY$22 - MEDIAN(-2, 2, AN23))), ABS($AY$6:$AY$22 - MEDIAN(-2, 2, AN23)), $AZ$6:$AZ$22, "Error", 0)</f>
        <v/>
      </c>
      <c r="AO52" s="30">
        <f t="array" ref="AO52">_xlfn.XLOOKUP(MIN(ABS($AY$6:$AY$22 - MEDIAN(-2, 2, AO23))), ABS($AY$6:$AY$22 - MEDIAN(-2, 2, AO23)), $AZ$6:$AZ$22, "Error", 0)</f>
        <v/>
      </c>
      <c r="AP52" s="30">
        <f t="array" ref="AP52">_xlfn.XLOOKUP(MIN(ABS($AY$6:$AY$22 - MEDIAN(-2, 2, AP23))), ABS($AY$6:$AY$22 - MEDIAN(-2, 2, AP23)), $AZ$6:$AZ$22, "Error", 0)</f>
        <v/>
      </c>
      <c r="AQ52" s="30">
        <f t="array" ref="AQ52">_xlfn.XLOOKUP(MIN(ABS($AY$6:$AY$22 - MEDIAN(-2, 2, AQ23))), ABS($AY$6:$AY$22 - MEDIAN(-2, 2, AQ23)), $AZ$6:$AZ$22, "Error", 0)</f>
        <v/>
      </c>
      <c r="AR52" s="30">
        <f t="array" ref="AR52">_xlfn.XLOOKUP(MIN(ABS($AY$6:$AY$22 - MEDIAN(-2, 2, AR23))), ABS($AY$6:$AY$22 - MEDIAN(-2, 2, AR23)), $AZ$6:$AZ$22, "Error", 0)</f>
        <v/>
      </c>
      <c r="AS52" s="30">
        <f t="array" ref="AS52">_xlfn.XLOOKUP(MIN(ABS($AY$6:$AY$22 - MEDIAN(-2, 2, AS23))), ABS($AY$6:$AY$22 - MEDIAN(-2, 2, AS23)), $AZ$6:$AZ$22, "Error", 0)</f>
        <v/>
      </c>
      <c r="AT52" s="30">
        <f t="array" ref="AT52">_xlfn.XLOOKUP(MIN(ABS($AY$6:$AY$22 - MEDIAN(-2, 2, AT23))), ABS($AY$6:$AY$22 - MEDIAN(-2, 2, AT23)), $AZ$6:$AZ$22, "Error", 0)</f>
        <v/>
      </c>
      <c r="AU52" s="30">
        <f t="array" ref="AU52">_xlfn.XLOOKUP(MIN(ABS($AY$6:$AY$22 - MEDIAN(-2, 2, AU23))), ABS($AY$6:$AY$22 - MEDIAN(-2, 2, AU23)), $AZ$6:$AZ$22, "Error", 0)</f>
        <v/>
      </c>
      <c r="AV52" s="30">
        <f t="array" ref="AV52">_xlfn.XLOOKUP(MIN(ABS($AY$6:$AY$22 - MEDIAN(-2, 2, AV23))), ABS($AY$6:$AY$22 - MEDIAN(-2, 2, AV23)), $AZ$6:$AZ$22, "Error", 0)</f>
        <v/>
      </c>
      <c r="AW52" s="30">
        <f t="array" ref="AW52">_xlfn.XLOOKUP(MIN(ABS($AY$6:$AY$22 - MEDIAN(-2, 2, AW23))), ABS($AY$6:$AY$22 - MEDIAN(-2, 2, AW23)), $AZ$6:$AZ$22, "Error", 0)</f>
        <v/>
      </c>
    </row>
    <row r="53" ht="25" customHeight="1">
      <c r="A53" s="47" t="inlineStr">
        <is>
          <t>EUR NZD</t>
        </is>
      </c>
      <c r="B53" s="30">
        <f t="array" ref="B53">_xlfn.XLOOKUP(MIN(ABS($AY$6:$AY$22 - MEDIAN(-2, 2, B24))), ABS($AY$6:$AY$22 - MEDIAN(-2, 2, B24)), $AZ$6:$AZ$22, "Error", 0)</f>
        <v/>
      </c>
      <c r="C53" s="30">
        <f t="array" ref="C53">_xlfn.XLOOKUP(MIN(ABS($AY$6:$AY$22 - MEDIAN(-2, 2, C24))), ABS($AY$6:$AY$22 - MEDIAN(-2, 2, C24)), $AZ$6:$AZ$22, "Error", 0)</f>
        <v/>
      </c>
      <c r="D53" s="30">
        <f t="array" ref="D53">_xlfn.XLOOKUP(MIN(ABS($AY$6:$AY$22 - MEDIAN(-2, 2, D24))), ABS($AY$6:$AY$22 - MEDIAN(-2, 2, D24)), $AZ$6:$AZ$22, "Error", 0)</f>
        <v/>
      </c>
      <c r="E53" s="30">
        <f t="array" ref="E53">_xlfn.XLOOKUP(MIN(ABS($AY$6:$AY$22 - MEDIAN(-2, 2, E24))), ABS($AY$6:$AY$22 - MEDIAN(-2, 2, E24)), $AZ$6:$AZ$22, "Error", 0)</f>
        <v/>
      </c>
      <c r="F53" s="30">
        <f t="array" ref="F53">_xlfn.XLOOKUP(MIN(ABS($AY$6:$AY$22 - MEDIAN(-2, 2, F24))), ABS($AY$6:$AY$22 - MEDIAN(-2, 2, F24)), $AZ$6:$AZ$22, "Error", 0)</f>
        <v/>
      </c>
      <c r="G53" s="30">
        <f t="array" ref="G53">_xlfn.XLOOKUP(MIN(ABS($AY$6:$AY$22 - MEDIAN(-2, 2, G24))), ABS($AY$6:$AY$22 - MEDIAN(-2, 2, G24)), $AZ$6:$AZ$22, "Error", 0)</f>
        <v/>
      </c>
      <c r="H53" s="30">
        <f t="array" ref="H53">_xlfn.XLOOKUP(MIN(ABS($AY$6:$AY$22 - MEDIAN(-2, 2, H24))), ABS($AY$6:$AY$22 - MEDIAN(-2, 2, H24)), $AZ$6:$AZ$22, "Error", 0)</f>
        <v/>
      </c>
      <c r="I53" s="30">
        <f t="array" ref="I53">_xlfn.XLOOKUP(MIN(ABS($AY$6:$AY$22 - MEDIAN(-2, 2, I24))), ABS($AY$6:$AY$22 - MEDIAN(-2, 2, I24)), $AZ$6:$AZ$22, "Error", 0)</f>
        <v/>
      </c>
      <c r="J53" s="30">
        <f t="array" ref="J53">_xlfn.XLOOKUP(MIN(ABS($AY$6:$AY$22 - MEDIAN(-2, 2, J24))), ABS($AY$6:$AY$22 - MEDIAN(-2, 2, J24)), $AZ$6:$AZ$22, "Error", 0)</f>
        <v/>
      </c>
      <c r="K53" s="30">
        <f t="array" ref="K53">_xlfn.XLOOKUP(MIN(ABS($AY$6:$AY$22 - MEDIAN(-2, 2, K24))), ABS($AY$6:$AY$22 - MEDIAN(-2, 2, K24)), $AZ$6:$AZ$22, "Error", 0)</f>
        <v/>
      </c>
      <c r="L53" s="30">
        <f t="array" ref="L53">_xlfn.XLOOKUP(MIN(ABS($AY$6:$AY$22 - MEDIAN(-2, 2, L24))), ABS($AY$6:$AY$22 - MEDIAN(-2, 2, L24)), $AZ$6:$AZ$22, "Error", 0)</f>
        <v/>
      </c>
      <c r="M53" s="30">
        <f t="array" ref="M53">_xlfn.XLOOKUP(MIN(ABS($AY$6:$AY$22 - MEDIAN(-2, 2, M24))), ABS($AY$6:$AY$22 - MEDIAN(-2, 2, M24)), $AZ$6:$AZ$22, "Error", 0)</f>
        <v/>
      </c>
      <c r="N53" s="30">
        <f t="array" ref="N53">_xlfn.XLOOKUP(MIN(ABS($AY$6:$AY$22 - MEDIAN(-2, 2, N24))), ABS($AY$6:$AY$22 - MEDIAN(-2, 2, N24)), $AZ$6:$AZ$22, "Error", 0)</f>
        <v/>
      </c>
      <c r="O53" s="30">
        <f t="array" ref="O53">_xlfn.XLOOKUP(MIN(ABS($AY$6:$AY$22 - MEDIAN(-2, 2, O24))), ABS($AY$6:$AY$22 - MEDIAN(-2, 2, O24)), $AZ$6:$AZ$22, "Error", 0)</f>
        <v/>
      </c>
      <c r="P53" s="30">
        <f t="array" ref="P53">_xlfn.XLOOKUP(MIN(ABS($AY$6:$AY$22 - MEDIAN(-2, 2, P24))), ABS($AY$6:$AY$22 - MEDIAN(-2, 2, P24)), $AZ$6:$AZ$22, "Error", 0)</f>
        <v/>
      </c>
      <c r="Q53" s="30">
        <f t="array" ref="Q53">_xlfn.XLOOKUP(MIN(ABS($AY$6:$AY$22 - MEDIAN(-2, 2, Q24))), ABS($AY$6:$AY$22 - MEDIAN(-2, 2, Q24)), $AZ$6:$AZ$22, "Error", 0)</f>
        <v/>
      </c>
      <c r="R53" s="30">
        <f t="array" ref="R53">_xlfn.XLOOKUP(MIN(ABS($AY$6:$AY$22 - MEDIAN(-2, 2, R24))), ABS($AY$6:$AY$22 - MEDIAN(-2, 2, R24)), $AZ$6:$AZ$22, "Error", 0)</f>
        <v/>
      </c>
      <c r="S53" s="30">
        <f t="array" ref="S53">_xlfn.XLOOKUP(MIN(ABS($AY$6:$AY$22 - MEDIAN(-2, 2, S24))), ABS($AY$6:$AY$22 - MEDIAN(-2, 2, S24)), $AZ$6:$AZ$22, "Error", 0)</f>
        <v/>
      </c>
      <c r="T53" s="30">
        <f t="array" ref="T53">_xlfn.XLOOKUP(MIN(ABS($AY$6:$AY$22 - MEDIAN(-2, 2, T24))), ABS($AY$6:$AY$22 - MEDIAN(-2, 2, T24)), $AZ$6:$AZ$22, "Error", 0)</f>
        <v/>
      </c>
      <c r="U53" s="30">
        <f t="array" ref="U53">_xlfn.XLOOKUP(MIN(ABS($AY$6:$AY$22 - MEDIAN(-2, 2, U24))), ABS($AY$6:$AY$22 - MEDIAN(-2, 2, U24)), $AZ$6:$AZ$22, "Error", 0)</f>
        <v/>
      </c>
      <c r="V53" s="30">
        <f t="array" ref="V53">_xlfn.XLOOKUP(MIN(ABS($AY$6:$AY$22 - MEDIAN(-2, 2, V24))), ABS($AY$6:$AY$22 - MEDIAN(-2, 2, V24)), $AZ$6:$AZ$22, "Error", 0)</f>
        <v/>
      </c>
      <c r="W53" s="30">
        <f t="array" ref="W53">_xlfn.XLOOKUP(MIN(ABS($AY$6:$AY$22 - MEDIAN(-2, 2, W24))), ABS($AY$6:$AY$22 - MEDIAN(-2, 2, W24)), $AZ$6:$AZ$22, "Error", 0)</f>
        <v/>
      </c>
      <c r="X53" s="30">
        <f t="array" ref="X53">_xlfn.XLOOKUP(MIN(ABS($AY$6:$AY$22 - MEDIAN(-2, 2, X24))), ABS($AY$6:$AY$22 - MEDIAN(-2, 2, X24)), $AZ$6:$AZ$22, "Error", 0)</f>
        <v/>
      </c>
      <c r="Y53" s="30">
        <f t="array" ref="Y53">_xlfn.XLOOKUP(MIN(ABS($AY$6:$AY$22 - MEDIAN(-2, 2, Y24))), ABS($AY$6:$AY$22 - MEDIAN(-2, 2, Y24)), $AZ$6:$AZ$22, "Error", 0)</f>
        <v/>
      </c>
      <c r="Z53" s="30">
        <f t="array" ref="Z53">_xlfn.XLOOKUP(MIN(ABS($AY$6:$AY$22 - MEDIAN(-2, 2, Z24))), ABS($AY$6:$AY$22 - MEDIAN(-2, 2, Z24)), $AZ$6:$AZ$22, "Error", 0)</f>
        <v/>
      </c>
      <c r="AA53" s="30">
        <f t="array" ref="AA53">_xlfn.XLOOKUP(MIN(ABS($AY$6:$AY$22 - MEDIAN(-2, 2, AA24))), ABS($AY$6:$AY$22 - MEDIAN(-2, 2, AA24)), $AZ$6:$AZ$22, "Error", 0)</f>
        <v/>
      </c>
      <c r="AB53" s="30">
        <f t="array" ref="AB53">_xlfn.XLOOKUP(MIN(ABS($AY$6:$AY$22 - MEDIAN(-2, 2, AB24))), ABS($AY$6:$AY$22 - MEDIAN(-2, 2, AB24)), $AZ$6:$AZ$22, "Error", 0)</f>
        <v/>
      </c>
      <c r="AC53" s="30">
        <f t="array" ref="AC53">_xlfn.XLOOKUP(MIN(ABS($AY$6:$AY$22 - MEDIAN(-2, 2, AC24))), ABS($AY$6:$AY$22 - MEDIAN(-2, 2, AC24)), $AZ$6:$AZ$22, "Error", 0)</f>
        <v/>
      </c>
      <c r="AD53" s="30">
        <f t="array" ref="AD53">_xlfn.XLOOKUP(MIN(ABS($AY$6:$AY$22 - MEDIAN(-2, 2, AD24))), ABS($AY$6:$AY$22 - MEDIAN(-2, 2, AD24)), $AZ$6:$AZ$22, "Error", 0)</f>
        <v/>
      </c>
      <c r="AE53" s="30">
        <f t="array" ref="AE53">_xlfn.XLOOKUP(MIN(ABS($AY$6:$AY$22 - MEDIAN(-2, 2, AE24))), ABS($AY$6:$AY$22 - MEDIAN(-2, 2, AE24)), $AZ$6:$AZ$22, "Error", 0)</f>
        <v/>
      </c>
      <c r="AF53" s="30">
        <f t="array" ref="AF53">_xlfn.XLOOKUP(MIN(ABS($AY$6:$AY$22 - MEDIAN(-2, 2, AF24))), ABS($AY$6:$AY$22 - MEDIAN(-2, 2, AF24)), $AZ$6:$AZ$22, "Error", 0)</f>
        <v/>
      </c>
      <c r="AG53" s="30">
        <f t="array" ref="AG53">_xlfn.XLOOKUP(MIN(ABS($AY$6:$AY$22 - MEDIAN(-2, 2, AG24))), ABS($AY$6:$AY$22 - MEDIAN(-2, 2, AG24)), $AZ$6:$AZ$22, "Error", 0)</f>
        <v/>
      </c>
      <c r="AH53" s="30">
        <f t="array" ref="AH53">_xlfn.XLOOKUP(MIN(ABS($AY$6:$AY$22 - MEDIAN(-2, 2, AH24))), ABS($AY$6:$AY$22 - MEDIAN(-2, 2, AH24)), $AZ$6:$AZ$22, "Error", 0)</f>
        <v/>
      </c>
      <c r="AI53" s="30">
        <f t="array" ref="AI53">_xlfn.XLOOKUP(MIN(ABS($AY$6:$AY$22 - MEDIAN(-2, 2, AI24))), ABS($AY$6:$AY$22 - MEDIAN(-2, 2, AI24)), $AZ$6:$AZ$22, "Error", 0)</f>
        <v/>
      </c>
      <c r="AJ53" s="30">
        <f t="array" ref="AJ53">_xlfn.XLOOKUP(MIN(ABS($AY$6:$AY$22 - MEDIAN(-2, 2, AJ24))), ABS($AY$6:$AY$22 - MEDIAN(-2, 2, AJ24)), $AZ$6:$AZ$22, "Error", 0)</f>
        <v/>
      </c>
      <c r="AK53" s="30">
        <f t="array" ref="AK53">_xlfn.XLOOKUP(MIN(ABS($AY$6:$AY$22 - MEDIAN(-2, 2, AK24))), ABS($AY$6:$AY$22 - MEDIAN(-2, 2, AK24)), $AZ$6:$AZ$22, "Error", 0)</f>
        <v/>
      </c>
      <c r="AL53" s="30">
        <f t="array" ref="AL53">_xlfn.XLOOKUP(MIN(ABS($AY$6:$AY$22 - MEDIAN(-2, 2, AL24))), ABS($AY$6:$AY$22 - MEDIAN(-2, 2, AL24)), $AZ$6:$AZ$22, "Error", 0)</f>
        <v/>
      </c>
      <c r="AM53" s="30">
        <f t="array" ref="AM53">_xlfn.XLOOKUP(MIN(ABS($AY$6:$AY$22 - MEDIAN(-2, 2, AM24))), ABS($AY$6:$AY$22 - MEDIAN(-2, 2, AM24)), $AZ$6:$AZ$22, "Error", 0)</f>
        <v/>
      </c>
      <c r="AN53" s="30">
        <f t="array" ref="AN53">_xlfn.XLOOKUP(MIN(ABS($AY$6:$AY$22 - MEDIAN(-2, 2, AN24))), ABS($AY$6:$AY$22 - MEDIAN(-2, 2, AN24)), $AZ$6:$AZ$22, "Error", 0)</f>
        <v/>
      </c>
      <c r="AO53" s="30">
        <f t="array" ref="AO53">_xlfn.XLOOKUP(MIN(ABS($AY$6:$AY$22 - MEDIAN(-2, 2, AO24))), ABS($AY$6:$AY$22 - MEDIAN(-2, 2, AO24)), $AZ$6:$AZ$22, "Error", 0)</f>
        <v/>
      </c>
      <c r="AP53" s="30">
        <f t="array" ref="AP53">_xlfn.XLOOKUP(MIN(ABS($AY$6:$AY$22 - MEDIAN(-2, 2, AP24))), ABS($AY$6:$AY$22 - MEDIAN(-2, 2, AP24)), $AZ$6:$AZ$22, "Error", 0)</f>
        <v/>
      </c>
      <c r="AQ53" s="30">
        <f t="array" ref="AQ53">_xlfn.XLOOKUP(MIN(ABS($AY$6:$AY$22 - MEDIAN(-2, 2, AQ24))), ABS($AY$6:$AY$22 - MEDIAN(-2, 2, AQ24)), $AZ$6:$AZ$22, "Error", 0)</f>
        <v/>
      </c>
      <c r="AR53" s="30">
        <f t="array" ref="AR53">_xlfn.XLOOKUP(MIN(ABS($AY$6:$AY$22 - MEDIAN(-2, 2, AR24))), ABS($AY$6:$AY$22 - MEDIAN(-2, 2, AR24)), $AZ$6:$AZ$22, "Error", 0)</f>
        <v/>
      </c>
      <c r="AS53" s="30">
        <f t="array" ref="AS53">_xlfn.XLOOKUP(MIN(ABS($AY$6:$AY$22 - MEDIAN(-2, 2, AS24))), ABS($AY$6:$AY$22 - MEDIAN(-2, 2, AS24)), $AZ$6:$AZ$22, "Error", 0)</f>
        <v/>
      </c>
      <c r="AT53" s="30">
        <f t="array" ref="AT53">_xlfn.XLOOKUP(MIN(ABS($AY$6:$AY$22 - MEDIAN(-2, 2, AT24))), ABS($AY$6:$AY$22 - MEDIAN(-2, 2, AT24)), $AZ$6:$AZ$22, "Error", 0)</f>
        <v/>
      </c>
      <c r="AU53" s="30">
        <f t="array" ref="AU53">_xlfn.XLOOKUP(MIN(ABS($AY$6:$AY$22 - MEDIAN(-2, 2, AU24))), ABS($AY$6:$AY$22 - MEDIAN(-2, 2, AU24)), $AZ$6:$AZ$22, "Error", 0)</f>
        <v/>
      </c>
      <c r="AV53" s="30">
        <f t="array" ref="AV53">_xlfn.XLOOKUP(MIN(ABS($AY$6:$AY$22 - MEDIAN(-2, 2, AV24))), ABS($AY$6:$AY$22 - MEDIAN(-2, 2, AV24)), $AZ$6:$AZ$22, "Error", 0)</f>
        <v/>
      </c>
      <c r="AW53" s="30">
        <f t="array" ref="AW53">_xlfn.XLOOKUP(MIN(ABS($AY$6:$AY$22 - MEDIAN(-2, 2, AW24))), ABS($AY$6:$AY$22 - MEDIAN(-2, 2, AW24)), $AZ$6:$AZ$22, "Error", 0)</f>
        <v/>
      </c>
    </row>
    <row r="54" ht="25" customHeight="1">
      <c r="A54" s="48" t="inlineStr">
        <is>
          <t>GBP USD</t>
        </is>
      </c>
      <c r="B54" s="30">
        <f t="array" ref="B54">_xlfn.XLOOKUP(MIN(ABS($AY$6:$AY$22 - MEDIAN(-2, 2, B25))), ABS($AY$6:$AY$22 - MEDIAN(-2, 2, B25)), $AZ$6:$AZ$22, "Error", 0)</f>
        <v/>
      </c>
      <c r="C54" s="30">
        <f t="array" ref="C54">_xlfn.XLOOKUP(MIN(ABS($AY$6:$AY$22 - MEDIAN(-2, 2, C25))), ABS($AY$6:$AY$22 - MEDIAN(-2, 2, C25)), $AZ$6:$AZ$22, "Error", 0)</f>
        <v/>
      </c>
      <c r="D54" s="30">
        <f t="array" ref="D54">_xlfn.XLOOKUP(MIN(ABS($AY$6:$AY$22 - MEDIAN(-2, 2, D25))), ABS($AY$6:$AY$22 - MEDIAN(-2, 2, D25)), $AZ$6:$AZ$22, "Error", 0)</f>
        <v/>
      </c>
      <c r="E54" s="30">
        <f t="array" ref="E54">_xlfn.XLOOKUP(MIN(ABS($AY$6:$AY$22 - MEDIAN(-2, 2, E25))), ABS($AY$6:$AY$22 - MEDIAN(-2, 2, E25)), $AZ$6:$AZ$22, "Error", 0)</f>
        <v/>
      </c>
      <c r="F54" s="30">
        <f t="array" ref="F54">_xlfn.XLOOKUP(MIN(ABS($AY$6:$AY$22 - MEDIAN(-2, 2, F25))), ABS($AY$6:$AY$22 - MEDIAN(-2, 2, F25)), $AZ$6:$AZ$22, "Error", 0)</f>
        <v/>
      </c>
      <c r="G54" s="30">
        <f t="array" ref="G54">_xlfn.XLOOKUP(MIN(ABS($AY$6:$AY$22 - MEDIAN(-2, 2, G25))), ABS($AY$6:$AY$22 - MEDIAN(-2, 2, G25)), $AZ$6:$AZ$22, "Error", 0)</f>
        <v/>
      </c>
      <c r="H54" s="30">
        <f t="array" ref="H54">_xlfn.XLOOKUP(MIN(ABS($AY$6:$AY$22 - MEDIAN(-2, 2, H25))), ABS($AY$6:$AY$22 - MEDIAN(-2, 2, H25)), $AZ$6:$AZ$22, "Error", 0)</f>
        <v/>
      </c>
      <c r="I54" s="30">
        <f t="array" ref="I54">_xlfn.XLOOKUP(MIN(ABS($AY$6:$AY$22 - MEDIAN(-2, 2, I25))), ABS($AY$6:$AY$22 - MEDIAN(-2, 2, I25)), $AZ$6:$AZ$22, "Error", 0)</f>
        <v/>
      </c>
      <c r="J54" s="30">
        <f t="array" ref="J54">_xlfn.XLOOKUP(MIN(ABS($AY$6:$AY$22 - MEDIAN(-2, 2, J25))), ABS($AY$6:$AY$22 - MEDIAN(-2, 2, J25)), $AZ$6:$AZ$22, "Error", 0)</f>
        <v/>
      </c>
      <c r="K54" s="30">
        <f t="array" ref="K54">_xlfn.XLOOKUP(MIN(ABS($AY$6:$AY$22 - MEDIAN(-2, 2, K25))), ABS($AY$6:$AY$22 - MEDIAN(-2, 2, K25)), $AZ$6:$AZ$22, "Error", 0)</f>
        <v/>
      </c>
      <c r="L54" s="30">
        <f t="array" ref="L54">_xlfn.XLOOKUP(MIN(ABS($AY$6:$AY$22 - MEDIAN(-2, 2, L25))), ABS($AY$6:$AY$22 - MEDIAN(-2, 2, L25)), $AZ$6:$AZ$22, "Error", 0)</f>
        <v/>
      </c>
      <c r="M54" s="30">
        <f t="array" ref="M54">_xlfn.XLOOKUP(MIN(ABS($AY$6:$AY$22 - MEDIAN(-2, 2, M25))), ABS($AY$6:$AY$22 - MEDIAN(-2, 2, M25)), $AZ$6:$AZ$22, "Error", 0)</f>
        <v/>
      </c>
      <c r="N54" s="30">
        <f t="array" ref="N54">_xlfn.XLOOKUP(MIN(ABS($AY$6:$AY$22 - MEDIAN(-2, 2, N25))), ABS($AY$6:$AY$22 - MEDIAN(-2, 2, N25)), $AZ$6:$AZ$22, "Error", 0)</f>
        <v/>
      </c>
      <c r="O54" s="30">
        <f t="array" ref="O54">_xlfn.XLOOKUP(MIN(ABS($AY$6:$AY$22 - MEDIAN(-2, 2, O25))), ABS($AY$6:$AY$22 - MEDIAN(-2, 2, O25)), $AZ$6:$AZ$22, "Error", 0)</f>
        <v/>
      </c>
      <c r="P54" s="30">
        <f t="array" ref="P54">_xlfn.XLOOKUP(MIN(ABS($AY$6:$AY$22 - MEDIAN(-2, 2, P25))), ABS($AY$6:$AY$22 - MEDIAN(-2, 2, P25)), $AZ$6:$AZ$22, "Error", 0)</f>
        <v/>
      </c>
      <c r="Q54" s="30">
        <f t="array" ref="Q54">_xlfn.XLOOKUP(MIN(ABS($AY$6:$AY$22 - MEDIAN(-2, 2, Q25))), ABS($AY$6:$AY$22 - MEDIAN(-2, 2, Q25)), $AZ$6:$AZ$22, "Error", 0)</f>
        <v/>
      </c>
      <c r="R54" s="30">
        <f t="array" ref="R54">_xlfn.XLOOKUP(MIN(ABS($AY$6:$AY$22 - MEDIAN(-2, 2, R25))), ABS($AY$6:$AY$22 - MEDIAN(-2, 2, R25)), $AZ$6:$AZ$22, "Error", 0)</f>
        <v/>
      </c>
      <c r="S54" s="30">
        <f t="array" ref="S54">_xlfn.XLOOKUP(MIN(ABS($AY$6:$AY$22 - MEDIAN(-2, 2, S25))), ABS($AY$6:$AY$22 - MEDIAN(-2, 2, S25)), $AZ$6:$AZ$22, "Error", 0)</f>
        <v/>
      </c>
      <c r="T54" s="30">
        <f t="array" ref="T54">_xlfn.XLOOKUP(MIN(ABS($AY$6:$AY$22 - MEDIAN(-2, 2, T25))), ABS($AY$6:$AY$22 - MEDIAN(-2, 2, T25)), $AZ$6:$AZ$22, "Error", 0)</f>
        <v/>
      </c>
      <c r="U54" s="30">
        <f t="array" ref="U54">_xlfn.XLOOKUP(MIN(ABS($AY$6:$AY$22 - MEDIAN(-2, 2, U25))), ABS($AY$6:$AY$22 - MEDIAN(-2, 2, U25)), $AZ$6:$AZ$22, "Error", 0)</f>
        <v/>
      </c>
      <c r="V54" s="30">
        <f t="array" ref="V54">_xlfn.XLOOKUP(MIN(ABS($AY$6:$AY$22 - MEDIAN(-2, 2, V25))), ABS($AY$6:$AY$22 - MEDIAN(-2, 2, V25)), $AZ$6:$AZ$22, "Error", 0)</f>
        <v/>
      </c>
      <c r="W54" s="30">
        <f t="array" ref="W54">_xlfn.XLOOKUP(MIN(ABS($AY$6:$AY$22 - MEDIAN(-2, 2, W25))), ABS($AY$6:$AY$22 - MEDIAN(-2, 2, W25)), $AZ$6:$AZ$22, "Error", 0)</f>
        <v/>
      </c>
      <c r="X54" s="30">
        <f t="array" ref="X54">_xlfn.XLOOKUP(MIN(ABS($AY$6:$AY$22 - MEDIAN(-2, 2, X25))), ABS($AY$6:$AY$22 - MEDIAN(-2, 2, X25)), $AZ$6:$AZ$22, "Error", 0)</f>
        <v/>
      </c>
      <c r="Y54" s="30">
        <f t="array" ref="Y54">_xlfn.XLOOKUP(MIN(ABS($AY$6:$AY$22 - MEDIAN(-2, 2, Y25))), ABS($AY$6:$AY$22 - MEDIAN(-2, 2, Y25)), $AZ$6:$AZ$22, "Error", 0)</f>
        <v/>
      </c>
      <c r="Z54" s="30">
        <f t="array" ref="Z54">_xlfn.XLOOKUP(MIN(ABS($AY$6:$AY$22 - MEDIAN(-2, 2, Z25))), ABS($AY$6:$AY$22 - MEDIAN(-2, 2, Z25)), $AZ$6:$AZ$22, "Error", 0)</f>
        <v/>
      </c>
      <c r="AA54" s="30">
        <f t="array" ref="AA54">_xlfn.XLOOKUP(MIN(ABS($AY$6:$AY$22 - MEDIAN(-2, 2, AA25))), ABS($AY$6:$AY$22 - MEDIAN(-2, 2, AA25)), $AZ$6:$AZ$22, "Error", 0)</f>
        <v/>
      </c>
      <c r="AB54" s="30">
        <f t="array" ref="AB54">_xlfn.XLOOKUP(MIN(ABS($AY$6:$AY$22 - MEDIAN(-2, 2, AB25))), ABS($AY$6:$AY$22 - MEDIAN(-2, 2, AB25)), $AZ$6:$AZ$22, "Error", 0)</f>
        <v/>
      </c>
      <c r="AC54" s="30">
        <f t="array" ref="AC54">_xlfn.XLOOKUP(MIN(ABS($AY$6:$AY$22 - MEDIAN(-2, 2, AC25))), ABS($AY$6:$AY$22 - MEDIAN(-2, 2, AC25)), $AZ$6:$AZ$22, "Error", 0)</f>
        <v/>
      </c>
      <c r="AD54" s="30">
        <f t="array" ref="AD54">_xlfn.XLOOKUP(MIN(ABS($AY$6:$AY$22 - MEDIAN(-2, 2, AD25))), ABS($AY$6:$AY$22 - MEDIAN(-2, 2, AD25)), $AZ$6:$AZ$22, "Error", 0)</f>
        <v/>
      </c>
      <c r="AE54" s="30">
        <f t="array" ref="AE54">_xlfn.XLOOKUP(MIN(ABS($AY$6:$AY$22 - MEDIAN(-2, 2, AE25))), ABS($AY$6:$AY$22 - MEDIAN(-2, 2, AE25)), $AZ$6:$AZ$22, "Error", 0)</f>
        <v/>
      </c>
      <c r="AF54" s="30">
        <f t="array" ref="AF54">_xlfn.XLOOKUP(MIN(ABS($AY$6:$AY$22 - MEDIAN(-2, 2, AF25))), ABS($AY$6:$AY$22 - MEDIAN(-2, 2, AF25)), $AZ$6:$AZ$22, "Error", 0)</f>
        <v/>
      </c>
      <c r="AG54" s="30">
        <f t="array" ref="AG54">_xlfn.XLOOKUP(MIN(ABS($AY$6:$AY$22 - MEDIAN(-2, 2, AG25))), ABS($AY$6:$AY$22 - MEDIAN(-2, 2, AG25)), $AZ$6:$AZ$22, "Error", 0)</f>
        <v/>
      </c>
      <c r="AH54" s="30">
        <f t="array" ref="AH54">_xlfn.XLOOKUP(MIN(ABS($AY$6:$AY$22 - MEDIAN(-2, 2, AH25))), ABS($AY$6:$AY$22 - MEDIAN(-2, 2, AH25)), $AZ$6:$AZ$22, "Error", 0)</f>
        <v/>
      </c>
      <c r="AI54" s="30">
        <f t="array" ref="AI54">_xlfn.XLOOKUP(MIN(ABS($AY$6:$AY$22 - MEDIAN(-2, 2, AI25))), ABS($AY$6:$AY$22 - MEDIAN(-2, 2, AI25)), $AZ$6:$AZ$22, "Error", 0)</f>
        <v/>
      </c>
      <c r="AJ54" s="30">
        <f t="array" ref="AJ54">_xlfn.XLOOKUP(MIN(ABS($AY$6:$AY$22 - MEDIAN(-2, 2, AJ25))), ABS($AY$6:$AY$22 - MEDIAN(-2, 2, AJ25)), $AZ$6:$AZ$22, "Error", 0)</f>
        <v/>
      </c>
      <c r="AK54" s="30">
        <f t="array" ref="AK54">_xlfn.XLOOKUP(MIN(ABS($AY$6:$AY$22 - MEDIAN(-2, 2, AK25))), ABS($AY$6:$AY$22 - MEDIAN(-2, 2, AK25)), $AZ$6:$AZ$22, "Error", 0)</f>
        <v/>
      </c>
      <c r="AL54" s="30">
        <f t="array" ref="AL54">_xlfn.XLOOKUP(MIN(ABS($AY$6:$AY$22 - MEDIAN(-2, 2, AL25))), ABS($AY$6:$AY$22 - MEDIAN(-2, 2, AL25)), $AZ$6:$AZ$22, "Error", 0)</f>
        <v/>
      </c>
      <c r="AM54" s="30">
        <f t="array" ref="AM54">_xlfn.XLOOKUP(MIN(ABS($AY$6:$AY$22 - MEDIAN(-2, 2, AM25))), ABS($AY$6:$AY$22 - MEDIAN(-2, 2, AM25)), $AZ$6:$AZ$22, "Error", 0)</f>
        <v/>
      </c>
      <c r="AN54" s="30">
        <f t="array" ref="AN54">_xlfn.XLOOKUP(MIN(ABS($AY$6:$AY$22 - MEDIAN(-2, 2, AN25))), ABS($AY$6:$AY$22 - MEDIAN(-2, 2, AN25)), $AZ$6:$AZ$22, "Error", 0)</f>
        <v/>
      </c>
      <c r="AO54" s="30">
        <f t="array" ref="AO54">_xlfn.XLOOKUP(MIN(ABS($AY$6:$AY$22 - MEDIAN(-2, 2, AO25))), ABS($AY$6:$AY$22 - MEDIAN(-2, 2, AO25)), $AZ$6:$AZ$22, "Error", 0)</f>
        <v/>
      </c>
      <c r="AP54" s="30">
        <f t="array" ref="AP54">_xlfn.XLOOKUP(MIN(ABS($AY$6:$AY$22 - MEDIAN(-2, 2, AP25))), ABS($AY$6:$AY$22 - MEDIAN(-2, 2, AP25)), $AZ$6:$AZ$22, "Error", 0)</f>
        <v/>
      </c>
      <c r="AQ54" s="30">
        <f t="array" ref="AQ54">_xlfn.XLOOKUP(MIN(ABS($AY$6:$AY$22 - MEDIAN(-2, 2, AQ25))), ABS($AY$6:$AY$22 - MEDIAN(-2, 2, AQ25)), $AZ$6:$AZ$22, "Error", 0)</f>
        <v/>
      </c>
      <c r="AR54" s="30">
        <f t="array" ref="AR54">_xlfn.XLOOKUP(MIN(ABS($AY$6:$AY$22 - MEDIAN(-2, 2, AR25))), ABS($AY$6:$AY$22 - MEDIAN(-2, 2, AR25)), $AZ$6:$AZ$22, "Error", 0)</f>
        <v/>
      </c>
      <c r="AS54" s="30">
        <f t="array" ref="AS54">_xlfn.XLOOKUP(MIN(ABS($AY$6:$AY$22 - MEDIAN(-2, 2, AS25))), ABS($AY$6:$AY$22 - MEDIAN(-2, 2, AS25)), $AZ$6:$AZ$22, "Error", 0)</f>
        <v/>
      </c>
      <c r="AT54" s="30">
        <f t="array" ref="AT54">_xlfn.XLOOKUP(MIN(ABS($AY$6:$AY$22 - MEDIAN(-2, 2, AT25))), ABS($AY$6:$AY$22 - MEDIAN(-2, 2, AT25)), $AZ$6:$AZ$22, "Error", 0)</f>
        <v/>
      </c>
      <c r="AU54" s="30">
        <f t="array" ref="AU54">_xlfn.XLOOKUP(MIN(ABS($AY$6:$AY$22 - MEDIAN(-2, 2, AU25))), ABS($AY$6:$AY$22 - MEDIAN(-2, 2, AU25)), $AZ$6:$AZ$22, "Error", 0)</f>
        <v/>
      </c>
      <c r="AV54" s="30">
        <f t="array" ref="AV54">_xlfn.XLOOKUP(MIN(ABS($AY$6:$AY$22 - MEDIAN(-2, 2, AV25))), ABS($AY$6:$AY$22 - MEDIAN(-2, 2, AV25)), $AZ$6:$AZ$22, "Error", 0)</f>
        <v/>
      </c>
      <c r="AW54" s="30">
        <f t="array" ref="AW54">_xlfn.XLOOKUP(MIN(ABS($AY$6:$AY$22 - MEDIAN(-2, 2, AW25))), ABS($AY$6:$AY$22 - MEDIAN(-2, 2, AW25)), $AZ$6:$AZ$22, "Error", 0)</f>
        <v/>
      </c>
    </row>
    <row r="55" ht="25" customHeight="1">
      <c r="A55" s="48" t="inlineStr">
        <is>
          <t>GBP JPY</t>
        </is>
      </c>
      <c r="B55" s="30">
        <f t="array" ref="B55">_xlfn.XLOOKUP(MIN(ABS($AY$6:$AY$22 - MEDIAN(-2, 2, B26))), ABS($AY$6:$AY$22 - MEDIAN(-2, 2, B26)), $AZ$6:$AZ$22, "Error", 0)</f>
        <v/>
      </c>
      <c r="C55" s="30">
        <f t="array" ref="C55">_xlfn.XLOOKUP(MIN(ABS($AY$6:$AY$22 - MEDIAN(-2, 2, C26))), ABS($AY$6:$AY$22 - MEDIAN(-2, 2, C26)), $AZ$6:$AZ$22, "Error", 0)</f>
        <v/>
      </c>
      <c r="D55" s="30">
        <f t="array" ref="D55">_xlfn.XLOOKUP(MIN(ABS($AY$6:$AY$22 - MEDIAN(-2, 2, D26))), ABS($AY$6:$AY$22 - MEDIAN(-2, 2, D26)), $AZ$6:$AZ$22, "Error", 0)</f>
        <v/>
      </c>
      <c r="E55" s="30">
        <f t="array" ref="E55">_xlfn.XLOOKUP(MIN(ABS($AY$6:$AY$22 - MEDIAN(-2, 2, E26))), ABS($AY$6:$AY$22 - MEDIAN(-2, 2, E26)), $AZ$6:$AZ$22, "Error", 0)</f>
        <v/>
      </c>
      <c r="F55" s="30">
        <f t="array" ref="F55">_xlfn.XLOOKUP(MIN(ABS($AY$6:$AY$22 - MEDIAN(-2, 2, F26))), ABS($AY$6:$AY$22 - MEDIAN(-2, 2, F26)), $AZ$6:$AZ$22, "Error", 0)</f>
        <v/>
      </c>
      <c r="G55" s="30">
        <f t="array" ref="G55">_xlfn.XLOOKUP(MIN(ABS($AY$6:$AY$22 - MEDIAN(-2, 2, G26))), ABS($AY$6:$AY$22 - MEDIAN(-2, 2, G26)), $AZ$6:$AZ$22, "Error", 0)</f>
        <v/>
      </c>
      <c r="H55" s="30">
        <f t="array" ref="H55">_xlfn.XLOOKUP(MIN(ABS($AY$6:$AY$22 - MEDIAN(-2, 2, H26))), ABS($AY$6:$AY$22 - MEDIAN(-2, 2, H26)), $AZ$6:$AZ$22, "Error", 0)</f>
        <v/>
      </c>
      <c r="I55" s="30">
        <f t="array" ref="I55">_xlfn.XLOOKUP(MIN(ABS($AY$6:$AY$22 - MEDIAN(-2, 2, I26))), ABS($AY$6:$AY$22 - MEDIAN(-2, 2, I26)), $AZ$6:$AZ$22, "Error", 0)</f>
        <v/>
      </c>
      <c r="J55" s="30">
        <f t="array" ref="J55">_xlfn.XLOOKUP(MIN(ABS($AY$6:$AY$22 - MEDIAN(-2, 2, J26))), ABS($AY$6:$AY$22 - MEDIAN(-2, 2, J26)), $AZ$6:$AZ$22, "Error", 0)</f>
        <v/>
      </c>
      <c r="K55" s="30">
        <f t="array" ref="K55">_xlfn.XLOOKUP(MIN(ABS($AY$6:$AY$22 - MEDIAN(-2, 2, K26))), ABS($AY$6:$AY$22 - MEDIAN(-2, 2, K26)), $AZ$6:$AZ$22, "Error", 0)</f>
        <v/>
      </c>
      <c r="L55" s="30">
        <f t="array" ref="L55">_xlfn.XLOOKUP(MIN(ABS($AY$6:$AY$22 - MEDIAN(-2, 2, L26))), ABS($AY$6:$AY$22 - MEDIAN(-2, 2, L26)), $AZ$6:$AZ$22, "Error", 0)</f>
        <v/>
      </c>
      <c r="M55" s="30">
        <f t="array" ref="M55">_xlfn.XLOOKUP(MIN(ABS($AY$6:$AY$22 - MEDIAN(-2, 2, M26))), ABS($AY$6:$AY$22 - MEDIAN(-2, 2, M26)), $AZ$6:$AZ$22, "Error", 0)</f>
        <v/>
      </c>
      <c r="N55" s="30">
        <f t="array" ref="N55">_xlfn.XLOOKUP(MIN(ABS($AY$6:$AY$22 - MEDIAN(-2, 2, N26))), ABS($AY$6:$AY$22 - MEDIAN(-2, 2, N26)), $AZ$6:$AZ$22, "Error", 0)</f>
        <v/>
      </c>
      <c r="O55" s="30">
        <f t="array" ref="O55">_xlfn.XLOOKUP(MIN(ABS($AY$6:$AY$22 - MEDIAN(-2, 2, O26))), ABS($AY$6:$AY$22 - MEDIAN(-2, 2, O26)), $AZ$6:$AZ$22, "Error", 0)</f>
        <v/>
      </c>
      <c r="P55" s="30">
        <f t="array" ref="P55">_xlfn.XLOOKUP(MIN(ABS($AY$6:$AY$22 - MEDIAN(-2, 2, P26))), ABS($AY$6:$AY$22 - MEDIAN(-2, 2, P26)), $AZ$6:$AZ$22, "Error", 0)</f>
        <v/>
      </c>
      <c r="Q55" s="30">
        <f t="array" ref="Q55">_xlfn.XLOOKUP(MIN(ABS($AY$6:$AY$22 - MEDIAN(-2, 2, Q26))), ABS($AY$6:$AY$22 - MEDIAN(-2, 2, Q26)), $AZ$6:$AZ$22, "Error", 0)</f>
        <v/>
      </c>
      <c r="R55" s="30">
        <f t="array" ref="R55">_xlfn.XLOOKUP(MIN(ABS($AY$6:$AY$22 - MEDIAN(-2, 2, R26))), ABS($AY$6:$AY$22 - MEDIAN(-2, 2, R26)), $AZ$6:$AZ$22, "Error", 0)</f>
        <v/>
      </c>
      <c r="S55" s="30">
        <f t="array" ref="S55">_xlfn.XLOOKUP(MIN(ABS($AY$6:$AY$22 - MEDIAN(-2, 2, S26))), ABS($AY$6:$AY$22 - MEDIAN(-2, 2, S26)), $AZ$6:$AZ$22, "Error", 0)</f>
        <v/>
      </c>
      <c r="T55" s="30">
        <f t="array" ref="T55">_xlfn.XLOOKUP(MIN(ABS($AY$6:$AY$22 - MEDIAN(-2, 2, T26))), ABS($AY$6:$AY$22 - MEDIAN(-2, 2, T26)), $AZ$6:$AZ$22, "Error", 0)</f>
        <v/>
      </c>
      <c r="U55" s="30">
        <f t="array" ref="U55">_xlfn.XLOOKUP(MIN(ABS($AY$6:$AY$22 - MEDIAN(-2, 2, U26))), ABS($AY$6:$AY$22 - MEDIAN(-2, 2, U26)), $AZ$6:$AZ$22, "Error", 0)</f>
        <v/>
      </c>
      <c r="V55" s="30">
        <f t="array" ref="V55">_xlfn.XLOOKUP(MIN(ABS($AY$6:$AY$22 - MEDIAN(-2, 2, V26))), ABS($AY$6:$AY$22 - MEDIAN(-2, 2, V26)), $AZ$6:$AZ$22, "Error", 0)</f>
        <v/>
      </c>
      <c r="W55" s="30">
        <f t="array" ref="W55">_xlfn.XLOOKUP(MIN(ABS($AY$6:$AY$22 - MEDIAN(-2, 2, W26))), ABS($AY$6:$AY$22 - MEDIAN(-2, 2, W26)), $AZ$6:$AZ$22, "Error", 0)</f>
        <v/>
      </c>
      <c r="X55" s="30">
        <f t="array" ref="X55">_xlfn.XLOOKUP(MIN(ABS($AY$6:$AY$22 - MEDIAN(-2, 2, X26))), ABS($AY$6:$AY$22 - MEDIAN(-2, 2, X26)), $AZ$6:$AZ$22, "Error", 0)</f>
        <v/>
      </c>
      <c r="Y55" s="30">
        <f t="array" ref="Y55">_xlfn.XLOOKUP(MIN(ABS($AY$6:$AY$22 - MEDIAN(-2, 2, Y26))), ABS($AY$6:$AY$22 - MEDIAN(-2, 2, Y26)), $AZ$6:$AZ$22, "Error", 0)</f>
        <v/>
      </c>
      <c r="Z55" s="30">
        <f t="array" ref="Z55">_xlfn.XLOOKUP(MIN(ABS($AY$6:$AY$22 - MEDIAN(-2, 2, Z26))), ABS($AY$6:$AY$22 - MEDIAN(-2, 2, Z26)), $AZ$6:$AZ$22, "Error", 0)</f>
        <v/>
      </c>
      <c r="AA55" s="30">
        <f t="array" ref="AA55">_xlfn.XLOOKUP(MIN(ABS($AY$6:$AY$22 - MEDIAN(-2, 2, AA26))), ABS($AY$6:$AY$22 - MEDIAN(-2, 2, AA26)), $AZ$6:$AZ$22, "Error", 0)</f>
        <v/>
      </c>
      <c r="AB55" s="30">
        <f t="array" ref="AB55">_xlfn.XLOOKUP(MIN(ABS($AY$6:$AY$22 - MEDIAN(-2, 2, AB26))), ABS($AY$6:$AY$22 - MEDIAN(-2, 2, AB26)), $AZ$6:$AZ$22, "Error", 0)</f>
        <v/>
      </c>
      <c r="AC55" s="30">
        <f t="array" ref="AC55">_xlfn.XLOOKUP(MIN(ABS($AY$6:$AY$22 - MEDIAN(-2, 2, AC26))), ABS($AY$6:$AY$22 - MEDIAN(-2, 2, AC26)), $AZ$6:$AZ$22, "Error", 0)</f>
        <v/>
      </c>
      <c r="AD55" s="30">
        <f t="array" ref="AD55">_xlfn.XLOOKUP(MIN(ABS($AY$6:$AY$22 - MEDIAN(-2, 2, AD26))), ABS($AY$6:$AY$22 - MEDIAN(-2, 2, AD26)), $AZ$6:$AZ$22, "Error", 0)</f>
        <v/>
      </c>
      <c r="AE55" s="30">
        <f t="array" ref="AE55">_xlfn.XLOOKUP(MIN(ABS($AY$6:$AY$22 - MEDIAN(-2, 2, AE26))), ABS($AY$6:$AY$22 - MEDIAN(-2, 2, AE26)), $AZ$6:$AZ$22, "Error", 0)</f>
        <v/>
      </c>
      <c r="AF55" s="30">
        <f t="array" ref="AF55">_xlfn.XLOOKUP(MIN(ABS($AY$6:$AY$22 - MEDIAN(-2, 2, AF26))), ABS($AY$6:$AY$22 - MEDIAN(-2, 2, AF26)), $AZ$6:$AZ$22, "Error", 0)</f>
        <v/>
      </c>
      <c r="AG55" s="30">
        <f t="array" ref="AG55">_xlfn.XLOOKUP(MIN(ABS($AY$6:$AY$22 - MEDIAN(-2, 2, AG26))), ABS($AY$6:$AY$22 - MEDIAN(-2, 2, AG26)), $AZ$6:$AZ$22, "Error", 0)</f>
        <v/>
      </c>
      <c r="AH55" s="30">
        <f t="array" ref="AH55">_xlfn.XLOOKUP(MIN(ABS($AY$6:$AY$22 - MEDIAN(-2, 2, AH26))), ABS($AY$6:$AY$22 - MEDIAN(-2, 2, AH26)), $AZ$6:$AZ$22, "Error", 0)</f>
        <v/>
      </c>
      <c r="AI55" s="30">
        <f t="array" ref="AI55">_xlfn.XLOOKUP(MIN(ABS($AY$6:$AY$22 - MEDIAN(-2, 2, AI26))), ABS($AY$6:$AY$22 - MEDIAN(-2, 2, AI26)), $AZ$6:$AZ$22, "Error", 0)</f>
        <v/>
      </c>
      <c r="AJ55" s="30">
        <f t="array" ref="AJ55">_xlfn.XLOOKUP(MIN(ABS($AY$6:$AY$22 - MEDIAN(-2, 2, AJ26))), ABS($AY$6:$AY$22 - MEDIAN(-2, 2, AJ26)), $AZ$6:$AZ$22, "Error", 0)</f>
        <v/>
      </c>
      <c r="AK55" s="30">
        <f t="array" ref="AK55">_xlfn.XLOOKUP(MIN(ABS($AY$6:$AY$22 - MEDIAN(-2, 2, AK26))), ABS($AY$6:$AY$22 - MEDIAN(-2, 2, AK26)), $AZ$6:$AZ$22, "Error", 0)</f>
        <v/>
      </c>
      <c r="AL55" s="30">
        <f t="array" ref="AL55">_xlfn.XLOOKUP(MIN(ABS($AY$6:$AY$22 - MEDIAN(-2, 2, AL26))), ABS($AY$6:$AY$22 - MEDIAN(-2, 2, AL26)), $AZ$6:$AZ$22, "Error", 0)</f>
        <v/>
      </c>
      <c r="AM55" s="30">
        <f t="array" ref="AM55">_xlfn.XLOOKUP(MIN(ABS($AY$6:$AY$22 - MEDIAN(-2, 2, AM26))), ABS($AY$6:$AY$22 - MEDIAN(-2, 2, AM26)), $AZ$6:$AZ$22, "Error", 0)</f>
        <v/>
      </c>
      <c r="AN55" s="30">
        <f t="array" ref="AN55">_xlfn.XLOOKUP(MIN(ABS($AY$6:$AY$22 - MEDIAN(-2, 2, AN26))), ABS($AY$6:$AY$22 - MEDIAN(-2, 2, AN26)), $AZ$6:$AZ$22, "Error", 0)</f>
        <v/>
      </c>
      <c r="AO55" s="30">
        <f t="array" ref="AO55">_xlfn.XLOOKUP(MIN(ABS($AY$6:$AY$22 - MEDIAN(-2, 2, AO26))), ABS($AY$6:$AY$22 - MEDIAN(-2, 2, AO26)), $AZ$6:$AZ$22, "Error", 0)</f>
        <v/>
      </c>
      <c r="AP55" s="30">
        <f t="array" ref="AP55">_xlfn.XLOOKUP(MIN(ABS($AY$6:$AY$22 - MEDIAN(-2, 2, AP26))), ABS($AY$6:$AY$22 - MEDIAN(-2, 2, AP26)), $AZ$6:$AZ$22, "Error", 0)</f>
        <v/>
      </c>
      <c r="AQ55" s="30">
        <f t="array" ref="AQ55">_xlfn.XLOOKUP(MIN(ABS($AY$6:$AY$22 - MEDIAN(-2, 2, AQ26))), ABS($AY$6:$AY$22 - MEDIAN(-2, 2, AQ26)), $AZ$6:$AZ$22, "Error", 0)</f>
        <v/>
      </c>
      <c r="AR55" s="30">
        <f t="array" ref="AR55">_xlfn.XLOOKUP(MIN(ABS($AY$6:$AY$22 - MEDIAN(-2, 2, AR26))), ABS($AY$6:$AY$22 - MEDIAN(-2, 2, AR26)), $AZ$6:$AZ$22, "Error", 0)</f>
        <v/>
      </c>
      <c r="AS55" s="30">
        <f t="array" ref="AS55">_xlfn.XLOOKUP(MIN(ABS($AY$6:$AY$22 - MEDIAN(-2, 2, AS26))), ABS($AY$6:$AY$22 - MEDIAN(-2, 2, AS26)), $AZ$6:$AZ$22, "Error", 0)</f>
        <v/>
      </c>
      <c r="AT55" s="30">
        <f t="array" ref="AT55">_xlfn.XLOOKUP(MIN(ABS($AY$6:$AY$22 - MEDIAN(-2, 2, AT26))), ABS($AY$6:$AY$22 - MEDIAN(-2, 2, AT26)), $AZ$6:$AZ$22, "Error", 0)</f>
        <v/>
      </c>
      <c r="AU55" s="30">
        <f t="array" ref="AU55">_xlfn.XLOOKUP(MIN(ABS($AY$6:$AY$22 - MEDIAN(-2, 2, AU26))), ABS($AY$6:$AY$22 - MEDIAN(-2, 2, AU26)), $AZ$6:$AZ$22, "Error", 0)</f>
        <v/>
      </c>
      <c r="AV55" s="30">
        <f t="array" ref="AV55">_xlfn.XLOOKUP(MIN(ABS($AY$6:$AY$22 - MEDIAN(-2, 2, AV26))), ABS($AY$6:$AY$22 - MEDIAN(-2, 2, AV26)), $AZ$6:$AZ$22, "Error", 0)</f>
        <v/>
      </c>
      <c r="AW55" s="30">
        <f t="array" ref="AW55">_xlfn.XLOOKUP(MIN(ABS($AY$6:$AY$22 - MEDIAN(-2, 2, AW26))), ABS($AY$6:$AY$22 - MEDIAN(-2, 2, AW26)), $AZ$6:$AZ$22, "Error", 0)</f>
        <v/>
      </c>
    </row>
    <row r="56" ht="25" customHeight="1">
      <c r="A56" s="48" t="inlineStr">
        <is>
          <t>GBP CHF</t>
        </is>
      </c>
      <c r="B56" s="30">
        <f t="array" ref="B56">_xlfn.XLOOKUP(MIN(ABS($AY$6:$AY$22 - MEDIAN(-2, 2, B27))), ABS($AY$6:$AY$22 - MEDIAN(-2, 2, B27)), $AZ$6:$AZ$22, "Error", 0)</f>
        <v/>
      </c>
      <c r="C56" s="30">
        <f t="array" ref="C56">_xlfn.XLOOKUP(MIN(ABS($AY$6:$AY$22 - MEDIAN(-2, 2, C27))), ABS($AY$6:$AY$22 - MEDIAN(-2, 2, C27)), $AZ$6:$AZ$22, "Error", 0)</f>
        <v/>
      </c>
      <c r="D56" s="30">
        <f t="array" ref="D56">_xlfn.XLOOKUP(MIN(ABS($AY$6:$AY$22 - MEDIAN(-2, 2, D27))), ABS($AY$6:$AY$22 - MEDIAN(-2, 2, D27)), $AZ$6:$AZ$22, "Error", 0)</f>
        <v/>
      </c>
      <c r="E56" s="30">
        <f t="array" ref="E56">_xlfn.XLOOKUP(MIN(ABS($AY$6:$AY$22 - MEDIAN(-2, 2, E27))), ABS($AY$6:$AY$22 - MEDIAN(-2, 2, E27)), $AZ$6:$AZ$22, "Error", 0)</f>
        <v/>
      </c>
      <c r="F56" s="30">
        <f t="array" ref="F56">_xlfn.XLOOKUP(MIN(ABS($AY$6:$AY$22 - MEDIAN(-2, 2, F27))), ABS($AY$6:$AY$22 - MEDIAN(-2, 2, F27)), $AZ$6:$AZ$22, "Error", 0)</f>
        <v/>
      </c>
      <c r="G56" s="30">
        <f t="array" ref="G56">_xlfn.XLOOKUP(MIN(ABS($AY$6:$AY$22 - MEDIAN(-2, 2, G27))), ABS($AY$6:$AY$22 - MEDIAN(-2, 2, G27)), $AZ$6:$AZ$22, "Error", 0)</f>
        <v/>
      </c>
      <c r="H56" s="30">
        <f t="array" ref="H56">_xlfn.XLOOKUP(MIN(ABS($AY$6:$AY$22 - MEDIAN(-2, 2, H27))), ABS($AY$6:$AY$22 - MEDIAN(-2, 2, H27)), $AZ$6:$AZ$22, "Error", 0)</f>
        <v/>
      </c>
      <c r="I56" s="30">
        <f t="array" ref="I56">_xlfn.XLOOKUP(MIN(ABS($AY$6:$AY$22 - MEDIAN(-2, 2, I27))), ABS($AY$6:$AY$22 - MEDIAN(-2, 2, I27)), $AZ$6:$AZ$22, "Error", 0)</f>
        <v/>
      </c>
      <c r="J56" s="30">
        <f t="array" ref="J56">_xlfn.XLOOKUP(MIN(ABS($AY$6:$AY$22 - MEDIAN(-2, 2, J27))), ABS($AY$6:$AY$22 - MEDIAN(-2, 2, J27)), $AZ$6:$AZ$22, "Error", 0)</f>
        <v/>
      </c>
      <c r="K56" s="30">
        <f t="array" ref="K56">_xlfn.XLOOKUP(MIN(ABS($AY$6:$AY$22 - MEDIAN(-2, 2, K27))), ABS($AY$6:$AY$22 - MEDIAN(-2, 2, K27)), $AZ$6:$AZ$22, "Error", 0)</f>
        <v/>
      </c>
      <c r="L56" s="30">
        <f t="array" ref="L56">_xlfn.XLOOKUP(MIN(ABS($AY$6:$AY$22 - MEDIAN(-2, 2, L27))), ABS($AY$6:$AY$22 - MEDIAN(-2, 2, L27)), $AZ$6:$AZ$22, "Error", 0)</f>
        <v/>
      </c>
      <c r="M56" s="30">
        <f t="array" ref="M56">_xlfn.XLOOKUP(MIN(ABS($AY$6:$AY$22 - MEDIAN(-2, 2, M27))), ABS($AY$6:$AY$22 - MEDIAN(-2, 2, M27)), $AZ$6:$AZ$22, "Error", 0)</f>
        <v/>
      </c>
      <c r="N56" s="30">
        <f t="array" ref="N56">_xlfn.XLOOKUP(MIN(ABS($AY$6:$AY$22 - MEDIAN(-2, 2, N27))), ABS($AY$6:$AY$22 - MEDIAN(-2, 2, N27)), $AZ$6:$AZ$22, "Error", 0)</f>
        <v/>
      </c>
      <c r="O56" s="30">
        <f t="array" ref="O56">_xlfn.XLOOKUP(MIN(ABS($AY$6:$AY$22 - MEDIAN(-2, 2, O27))), ABS($AY$6:$AY$22 - MEDIAN(-2, 2, O27)), $AZ$6:$AZ$22, "Error", 0)</f>
        <v/>
      </c>
      <c r="P56" s="30">
        <f t="array" ref="P56">_xlfn.XLOOKUP(MIN(ABS($AY$6:$AY$22 - MEDIAN(-2, 2, P27))), ABS($AY$6:$AY$22 - MEDIAN(-2, 2, P27)), $AZ$6:$AZ$22, "Error", 0)</f>
        <v/>
      </c>
      <c r="Q56" s="30">
        <f t="array" ref="Q56">_xlfn.XLOOKUP(MIN(ABS($AY$6:$AY$22 - MEDIAN(-2, 2, Q27))), ABS($AY$6:$AY$22 - MEDIAN(-2, 2, Q27)), $AZ$6:$AZ$22, "Error", 0)</f>
        <v/>
      </c>
      <c r="R56" s="30">
        <f t="array" ref="R56">_xlfn.XLOOKUP(MIN(ABS($AY$6:$AY$22 - MEDIAN(-2, 2, R27))), ABS($AY$6:$AY$22 - MEDIAN(-2, 2, R27)), $AZ$6:$AZ$22, "Error", 0)</f>
        <v/>
      </c>
      <c r="S56" s="30">
        <f t="array" ref="S56">_xlfn.XLOOKUP(MIN(ABS($AY$6:$AY$22 - MEDIAN(-2, 2, S27))), ABS($AY$6:$AY$22 - MEDIAN(-2, 2, S27)), $AZ$6:$AZ$22, "Error", 0)</f>
        <v/>
      </c>
      <c r="T56" s="30">
        <f t="array" ref="T56">_xlfn.XLOOKUP(MIN(ABS($AY$6:$AY$22 - MEDIAN(-2, 2, T27))), ABS($AY$6:$AY$22 - MEDIAN(-2, 2, T27)), $AZ$6:$AZ$22, "Error", 0)</f>
        <v/>
      </c>
      <c r="U56" s="30">
        <f t="array" ref="U56">_xlfn.XLOOKUP(MIN(ABS($AY$6:$AY$22 - MEDIAN(-2, 2, U27))), ABS($AY$6:$AY$22 - MEDIAN(-2, 2, U27)), $AZ$6:$AZ$22, "Error", 0)</f>
        <v/>
      </c>
      <c r="V56" s="30">
        <f t="array" ref="V56">_xlfn.XLOOKUP(MIN(ABS($AY$6:$AY$22 - MEDIAN(-2, 2, V27))), ABS($AY$6:$AY$22 - MEDIAN(-2, 2, V27)), $AZ$6:$AZ$22, "Error", 0)</f>
        <v/>
      </c>
      <c r="W56" s="30">
        <f t="array" ref="W56">_xlfn.XLOOKUP(MIN(ABS($AY$6:$AY$22 - MEDIAN(-2, 2, W27))), ABS($AY$6:$AY$22 - MEDIAN(-2, 2, W27)), $AZ$6:$AZ$22, "Error", 0)</f>
        <v/>
      </c>
      <c r="X56" s="30">
        <f t="array" ref="X56">_xlfn.XLOOKUP(MIN(ABS($AY$6:$AY$22 - MEDIAN(-2, 2, X27))), ABS($AY$6:$AY$22 - MEDIAN(-2, 2, X27)), $AZ$6:$AZ$22, "Error", 0)</f>
        <v/>
      </c>
      <c r="Y56" s="30">
        <f t="array" ref="Y56">_xlfn.XLOOKUP(MIN(ABS($AY$6:$AY$22 - MEDIAN(-2, 2, Y27))), ABS($AY$6:$AY$22 - MEDIAN(-2, 2, Y27)), $AZ$6:$AZ$22, "Error", 0)</f>
        <v/>
      </c>
      <c r="Z56" s="30">
        <f t="array" ref="Z56">_xlfn.XLOOKUP(MIN(ABS($AY$6:$AY$22 - MEDIAN(-2, 2, Z27))), ABS($AY$6:$AY$22 - MEDIAN(-2, 2, Z27)), $AZ$6:$AZ$22, "Error", 0)</f>
        <v/>
      </c>
      <c r="AA56" s="30">
        <f t="array" ref="AA56">_xlfn.XLOOKUP(MIN(ABS($AY$6:$AY$22 - MEDIAN(-2, 2, AA27))), ABS($AY$6:$AY$22 - MEDIAN(-2, 2, AA27)), $AZ$6:$AZ$22, "Error", 0)</f>
        <v/>
      </c>
      <c r="AB56" s="30">
        <f t="array" ref="AB56">_xlfn.XLOOKUP(MIN(ABS($AY$6:$AY$22 - MEDIAN(-2, 2, AB27))), ABS($AY$6:$AY$22 - MEDIAN(-2, 2, AB27)), $AZ$6:$AZ$22, "Error", 0)</f>
        <v/>
      </c>
      <c r="AC56" s="30">
        <f t="array" ref="AC56">_xlfn.XLOOKUP(MIN(ABS($AY$6:$AY$22 - MEDIAN(-2, 2, AC27))), ABS($AY$6:$AY$22 - MEDIAN(-2, 2, AC27)), $AZ$6:$AZ$22, "Error", 0)</f>
        <v/>
      </c>
      <c r="AD56" s="30">
        <f t="array" ref="AD56">_xlfn.XLOOKUP(MIN(ABS($AY$6:$AY$22 - MEDIAN(-2, 2, AD27))), ABS($AY$6:$AY$22 - MEDIAN(-2, 2, AD27)), $AZ$6:$AZ$22, "Error", 0)</f>
        <v/>
      </c>
      <c r="AE56" s="30">
        <f t="array" ref="AE56">_xlfn.XLOOKUP(MIN(ABS($AY$6:$AY$22 - MEDIAN(-2, 2, AE27))), ABS($AY$6:$AY$22 - MEDIAN(-2, 2, AE27)), $AZ$6:$AZ$22, "Error", 0)</f>
        <v/>
      </c>
      <c r="AF56" s="30">
        <f t="array" ref="AF56">_xlfn.XLOOKUP(MIN(ABS($AY$6:$AY$22 - MEDIAN(-2, 2, AF27))), ABS($AY$6:$AY$22 - MEDIAN(-2, 2, AF27)), $AZ$6:$AZ$22, "Error", 0)</f>
        <v/>
      </c>
      <c r="AG56" s="30">
        <f t="array" ref="AG56">_xlfn.XLOOKUP(MIN(ABS($AY$6:$AY$22 - MEDIAN(-2, 2, AG27))), ABS($AY$6:$AY$22 - MEDIAN(-2, 2, AG27)), $AZ$6:$AZ$22, "Error", 0)</f>
        <v/>
      </c>
      <c r="AH56" s="30">
        <f t="array" ref="AH56">_xlfn.XLOOKUP(MIN(ABS($AY$6:$AY$22 - MEDIAN(-2, 2, AH27))), ABS($AY$6:$AY$22 - MEDIAN(-2, 2, AH27)), $AZ$6:$AZ$22, "Error", 0)</f>
        <v/>
      </c>
      <c r="AI56" s="30">
        <f t="array" ref="AI56">_xlfn.XLOOKUP(MIN(ABS($AY$6:$AY$22 - MEDIAN(-2, 2, AI27))), ABS($AY$6:$AY$22 - MEDIAN(-2, 2, AI27)), $AZ$6:$AZ$22, "Error", 0)</f>
        <v/>
      </c>
      <c r="AJ56" s="30">
        <f t="array" ref="AJ56">_xlfn.XLOOKUP(MIN(ABS($AY$6:$AY$22 - MEDIAN(-2, 2, AJ27))), ABS($AY$6:$AY$22 - MEDIAN(-2, 2, AJ27)), $AZ$6:$AZ$22, "Error", 0)</f>
        <v/>
      </c>
      <c r="AK56" s="30">
        <f t="array" ref="AK56">_xlfn.XLOOKUP(MIN(ABS($AY$6:$AY$22 - MEDIAN(-2, 2, AK27))), ABS($AY$6:$AY$22 - MEDIAN(-2, 2, AK27)), $AZ$6:$AZ$22, "Error", 0)</f>
        <v/>
      </c>
      <c r="AL56" s="30">
        <f t="array" ref="AL56">_xlfn.XLOOKUP(MIN(ABS($AY$6:$AY$22 - MEDIAN(-2, 2, AL27))), ABS($AY$6:$AY$22 - MEDIAN(-2, 2, AL27)), $AZ$6:$AZ$22, "Error", 0)</f>
        <v/>
      </c>
      <c r="AM56" s="30">
        <f t="array" ref="AM56">_xlfn.XLOOKUP(MIN(ABS($AY$6:$AY$22 - MEDIAN(-2, 2, AM27))), ABS($AY$6:$AY$22 - MEDIAN(-2, 2, AM27)), $AZ$6:$AZ$22, "Error", 0)</f>
        <v/>
      </c>
      <c r="AN56" s="30">
        <f t="array" ref="AN56">_xlfn.XLOOKUP(MIN(ABS($AY$6:$AY$22 - MEDIAN(-2, 2, AN27))), ABS($AY$6:$AY$22 - MEDIAN(-2, 2, AN27)), $AZ$6:$AZ$22, "Error", 0)</f>
        <v/>
      </c>
      <c r="AO56" s="30">
        <f t="array" ref="AO56">_xlfn.XLOOKUP(MIN(ABS($AY$6:$AY$22 - MEDIAN(-2, 2, AO27))), ABS($AY$6:$AY$22 - MEDIAN(-2, 2, AO27)), $AZ$6:$AZ$22, "Error", 0)</f>
        <v/>
      </c>
      <c r="AP56" s="30">
        <f t="array" ref="AP56">_xlfn.XLOOKUP(MIN(ABS($AY$6:$AY$22 - MEDIAN(-2, 2, AP27))), ABS($AY$6:$AY$22 - MEDIAN(-2, 2, AP27)), $AZ$6:$AZ$22, "Error", 0)</f>
        <v/>
      </c>
      <c r="AQ56" s="30">
        <f t="array" ref="AQ56">_xlfn.XLOOKUP(MIN(ABS($AY$6:$AY$22 - MEDIAN(-2, 2, AQ27))), ABS($AY$6:$AY$22 - MEDIAN(-2, 2, AQ27)), $AZ$6:$AZ$22, "Error", 0)</f>
        <v/>
      </c>
      <c r="AR56" s="30">
        <f t="array" ref="AR56">_xlfn.XLOOKUP(MIN(ABS($AY$6:$AY$22 - MEDIAN(-2, 2, AR27))), ABS($AY$6:$AY$22 - MEDIAN(-2, 2, AR27)), $AZ$6:$AZ$22, "Error", 0)</f>
        <v/>
      </c>
      <c r="AS56" s="30">
        <f t="array" ref="AS56">_xlfn.XLOOKUP(MIN(ABS($AY$6:$AY$22 - MEDIAN(-2, 2, AS27))), ABS($AY$6:$AY$22 - MEDIAN(-2, 2, AS27)), $AZ$6:$AZ$22, "Error", 0)</f>
        <v/>
      </c>
      <c r="AT56" s="30">
        <f t="array" ref="AT56">_xlfn.XLOOKUP(MIN(ABS($AY$6:$AY$22 - MEDIAN(-2, 2, AT27))), ABS($AY$6:$AY$22 - MEDIAN(-2, 2, AT27)), $AZ$6:$AZ$22, "Error", 0)</f>
        <v/>
      </c>
      <c r="AU56" s="30">
        <f t="array" ref="AU56">_xlfn.XLOOKUP(MIN(ABS($AY$6:$AY$22 - MEDIAN(-2, 2, AU27))), ABS($AY$6:$AY$22 - MEDIAN(-2, 2, AU27)), $AZ$6:$AZ$22, "Error", 0)</f>
        <v/>
      </c>
      <c r="AV56" s="30">
        <f t="array" ref="AV56">_xlfn.XLOOKUP(MIN(ABS($AY$6:$AY$22 - MEDIAN(-2, 2, AV27))), ABS($AY$6:$AY$22 - MEDIAN(-2, 2, AV27)), $AZ$6:$AZ$22, "Error", 0)</f>
        <v/>
      </c>
      <c r="AW56" s="30">
        <f t="array" ref="AW56">_xlfn.XLOOKUP(MIN(ABS($AY$6:$AY$22 - MEDIAN(-2, 2, AW27))), ABS($AY$6:$AY$22 - MEDIAN(-2, 2, AW27)), $AZ$6:$AZ$22, "Error", 0)</f>
        <v/>
      </c>
    </row>
    <row r="57" ht="25" customHeight="1">
      <c r="A57" s="48" t="inlineStr">
        <is>
          <t>GBP CAD</t>
        </is>
      </c>
      <c r="B57" s="30">
        <f t="array" ref="B57">_xlfn.XLOOKUP(MIN(ABS($AY$6:$AY$22 - MEDIAN(-2, 2, B28))), ABS($AY$6:$AY$22 - MEDIAN(-2, 2, B28)), $AZ$6:$AZ$22, "Error", 0)</f>
        <v/>
      </c>
      <c r="C57" s="30">
        <f t="array" ref="C57">_xlfn.XLOOKUP(MIN(ABS($AY$6:$AY$22 - MEDIAN(-2, 2, C28))), ABS($AY$6:$AY$22 - MEDIAN(-2, 2, C28)), $AZ$6:$AZ$22, "Error", 0)</f>
        <v/>
      </c>
      <c r="D57" s="30">
        <f t="array" ref="D57">_xlfn.XLOOKUP(MIN(ABS($AY$6:$AY$22 - MEDIAN(-2, 2, D28))), ABS($AY$6:$AY$22 - MEDIAN(-2, 2, D28)), $AZ$6:$AZ$22, "Error", 0)</f>
        <v/>
      </c>
      <c r="E57" s="30">
        <f t="array" ref="E57">_xlfn.XLOOKUP(MIN(ABS($AY$6:$AY$22 - MEDIAN(-2, 2, E28))), ABS($AY$6:$AY$22 - MEDIAN(-2, 2, E28)), $AZ$6:$AZ$22, "Error", 0)</f>
        <v/>
      </c>
      <c r="F57" s="30">
        <f t="array" ref="F57">_xlfn.XLOOKUP(MIN(ABS($AY$6:$AY$22 - MEDIAN(-2, 2, F28))), ABS($AY$6:$AY$22 - MEDIAN(-2, 2, F28)), $AZ$6:$AZ$22, "Error", 0)</f>
        <v/>
      </c>
      <c r="G57" s="30">
        <f t="array" ref="G57">_xlfn.XLOOKUP(MIN(ABS($AY$6:$AY$22 - MEDIAN(-2, 2, G28))), ABS($AY$6:$AY$22 - MEDIAN(-2, 2, G28)), $AZ$6:$AZ$22, "Error", 0)</f>
        <v/>
      </c>
      <c r="H57" s="30">
        <f t="array" ref="H57">_xlfn.XLOOKUP(MIN(ABS($AY$6:$AY$22 - MEDIAN(-2, 2, H28))), ABS($AY$6:$AY$22 - MEDIAN(-2, 2, H28)), $AZ$6:$AZ$22, "Error", 0)</f>
        <v/>
      </c>
      <c r="I57" s="30">
        <f t="array" ref="I57">_xlfn.XLOOKUP(MIN(ABS($AY$6:$AY$22 - MEDIAN(-2, 2, I28))), ABS($AY$6:$AY$22 - MEDIAN(-2, 2, I28)), $AZ$6:$AZ$22, "Error", 0)</f>
        <v/>
      </c>
      <c r="J57" s="30">
        <f t="array" ref="J57">_xlfn.XLOOKUP(MIN(ABS($AY$6:$AY$22 - MEDIAN(-2, 2, J28))), ABS($AY$6:$AY$22 - MEDIAN(-2, 2, J28)), $AZ$6:$AZ$22, "Error", 0)</f>
        <v/>
      </c>
      <c r="K57" s="30">
        <f t="array" ref="K57">_xlfn.XLOOKUP(MIN(ABS($AY$6:$AY$22 - MEDIAN(-2, 2, K28))), ABS($AY$6:$AY$22 - MEDIAN(-2, 2, K28)), $AZ$6:$AZ$22, "Error", 0)</f>
        <v/>
      </c>
      <c r="L57" s="30">
        <f t="array" ref="L57">_xlfn.XLOOKUP(MIN(ABS($AY$6:$AY$22 - MEDIAN(-2, 2, L28))), ABS($AY$6:$AY$22 - MEDIAN(-2, 2, L28)), $AZ$6:$AZ$22, "Error", 0)</f>
        <v/>
      </c>
      <c r="M57" s="30">
        <f t="array" ref="M57">_xlfn.XLOOKUP(MIN(ABS($AY$6:$AY$22 - MEDIAN(-2, 2, M28))), ABS($AY$6:$AY$22 - MEDIAN(-2, 2, M28)), $AZ$6:$AZ$22, "Error", 0)</f>
        <v/>
      </c>
      <c r="N57" s="30">
        <f t="array" ref="N57">_xlfn.XLOOKUP(MIN(ABS($AY$6:$AY$22 - MEDIAN(-2, 2, N28))), ABS($AY$6:$AY$22 - MEDIAN(-2, 2, N28)), $AZ$6:$AZ$22, "Error", 0)</f>
        <v/>
      </c>
      <c r="O57" s="30">
        <f t="array" ref="O57">_xlfn.XLOOKUP(MIN(ABS($AY$6:$AY$22 - MEDIAN(-2, 2, O28))), ABS($AY$6:$AY$22 - MEDIAN(-2, 2, O28)), $AZ$6:$AZ$22, "Error", 0)</f>
        <v/>
      </c>
      <c r="P57" s="30">
        <f t="array" ref="P57">_xlfn.XLOOKUP(MIN(ABS($AY$6:$AY$22 - MEDIAN(-2, 2, P28))), ABS($AY$6:$AY$22 - MEDIAN(-2, 2, P28)), $AZ$6:$AZ$22, "Error", 0)</f>
        <v/>
      </c>
      <c r="Q57" s="30">
        <f t="array" ref="Q57">_xlfn.XLOOKUP(MIN(ABS($AY$6:$AY$22 - MEDIAN(-2, 2, Q28))), ABS($AY$6:$AY$22 - MEDIAN(-2, 2, Q28)), $AZ$6:$AZ$22, "Error", 0)</f>
        <v/>
      </c>
      <c r="R57" s="30">
        <f t="array" ref="R57">_xlfn.XLOOKUP(MIN(ABS($AY$6:$AY$22 - MEDIAN(-2, 2, R28))), ABS($AY$6:$AY$22 - MEDIAN(-2, 2, R28)), $AZ$6:$AZ$22, "Error", 0)</f>
        <v/>
      </c>
      <c r="S57" s="30">
        <f t="array" ref="S57">_xlfn.XLOOKUP(MIN(ABS($AY$6:$AY$22 - MEDIAN(-2, 2, S28))), ABS($AY$6:$AY$22 - MEDIAN(-2, 2, S28)), $AZ$6:$AZ$22, "Error", 0)</f>
        <v/>
      </c>
      <c r="T57" s="30">
        <f t="array" ref="T57">_xlfn.XLOOKUP(MIN(ABS($AY$6:$AY$22 - MEDIAN(-2, 2, T28))), ABS($AY$6:$AY$22 - MEDIAN(-2, 2, T28)), $AZ$6:$AZ$22, "Error", 0)</f>
        <v/>
      </c>
      <c r="U57" s="30">
        <f t="array" ref="U57">_xlfn.XLOOKUP(MIN(ABS($AY$6:$AY$22 - MEDIAN(-2, 2, U28))), ABS($AY$6:$AY$22 - MEDIAN(-2, 2, U28)), $AZ$6:$AZ$22, "Error", 0)</f>
        <v/>
      </c>
      <c r="V57" s="30">
        <f t="array" ref="V57">_xlfn.XLOOKUP(MIN(ABS($AY$6:$AY$22 - MEDIAN(-2, 2, V28))), ABS($AY$6:$AY$22 - MEDIAN(-2, 2, V28)), $AZ$6:$AZ$22, "Error", 0)</f>
        <v/>
      </c>
      <c r="W57" s="30">
        <f t="array" ref="W57">_xlfn.XLOOKUP(MIN(ABS($AY$6:$AY$22 - MEDIAN(-2, 2, W28))), ABS($AY$6:$AY$22 - MEDIAN(-2, 2, W28)), $AZ$6:$AZ$22, "Error", 0)</f>
        <v/>
      </c>
      <c r="X57" s="30">
        <f t="array" ref="X57">_xlfn.XLOOKUP(MIN(ABS($AY$6:$AY$22 - MEDIAN(-2, 2, X28))), ABS($AY$6:$AY$22 - MEDIAN(-2, 2, X28)), $AZ$6:$AZ$22, "Error", 0)</f>
        <v/>
      </c>
      <c r="Y57" s="30">
        <f t="array" ref="Y57">_xlfn.XLOOKUP(MIN(ABS($AY$6:$AY$22 - MEDIAN(-2, 2, Y28))), ABS($AY$6:$AY$22 - MEDIAN(-2, 2, Y28)), $AZ$6:$AZ$22, "Error", 0)</f>
        <v/>
      </c>
      <c r="Z57" s="30">
        <f t="array" ref="Z57">_xlfn.XLOOKUP(MIN(ABS($AY$6:$AY$22 - MEDIAN(-2, 2, Z28))), ABS($AY$6:$AY$22 - MEDIAN(-2, 2, Z28)), $AZ$6:$AZ$22, "Error", 0)</f>
        <v/>
      </c>
      <c r="AA57" s="30">
        <f t="array" ref="AA57">_xlfn.XLOOKUP(MIN(ABS($AY$6:$AY$22 - MEDIAN(-2, 2, AA28))), ABS($AY$6:$AY$22 - MEDIAN(-2, 2, AA28)), $AZ$6:$AZ$22, "Error", 0)</f>
        <v/>
      </c>
      <c r="AB57" s="30">
        <f t="array" ref="AB57">_xlfn.XLOOKUP(MIN(ABS($AY$6:$AY$22 - MEDIAN(-2, 2, AB28))), ABS($AY$6:$AY$22 - MEDIAN(-2, 2, AB28)), $AZ$6:$AZ$22, "Error", 0)</f>
        <v/>
      </c>
      <c r="AC57" s="30">
        <f t="array" ref="AC57">_xlfn.XLOOKUP(MIN(ABS($AY$6:$AY$22 - MEDIAN(-2, 2, AC28))), ABS($AY$6:$AY$22 - MEDIAN(-2, 2, AC28)), $AZ$6:$AZ$22, "Error", 0)</f>
        <v/>
      </c>
      <c r="AD57" s="30">
        <f t="array" ref="AD57">_xlfn.XLOOKUP(MIN(ABS($AY$6:$AY$22 - MEDIAN(-2, 2, AD28))), ABS($AY$6:$AY$22 - MEDIAN(-2, 2, AD28)), $AZ$6:$AZ$22, "Error", 0)</f>
        <v/>
      </c>
      <c r="AE57" s="30">
        <f t="array" ref="AE57">_xlfn.XLOOKUP(MIN(ABS($AY$6:$AY$22 - MEDIAN(-2, 2, AE28))), ABS($AY$6:$AY$22 - MEDIAN(-2, 2, AE28)), $AZ$6:$AZ$22, "Error", 0)</f>
        <v/>
      </c>
      <c r="AF57" s="30">
        <f t="array" ref="AF57">_xlfn.XLOOKUP(MIN(ABS($AY$6:$AY$22 - MEDIAN(-2, 2, AF28))), ABS($AY$6:$AY$22 - MEDIAN(-2, 2, AF28)), $AZ$6:$AZ$22, "Error", 0)</f>
        <v/>
      </c>
      <c r="AG57" s="30">
        <f t="array" ref="AG57">_xlfn.XLOOKUP(MIN(ABS($AY$6:$AY$22 - MEDIAN(-2, 2, AG28))), ABS($AY$6:$AY$22 - MEDIAN(-2, 2, AG28)), $AZ$6:$AZ$22, "Error", 0)</f>
        <v/>
      </c>
      <c r="AH57" s="30">
        <f t="array" ref="AH57">_xlfn.XLOOKUP(MIN(ABS($AY$6:$AY$22 - MEDIAN(-2, 2, AH28))), ABS($AY$6:$AY$22 - MEDIAN(-2, 2, AH28)), $AZ$6:$AZ$22, "Error", 0)</f>
        <v/>
      </c>
      <c r="AI57" s="30">
        <f t="array" ref="AI57">_xlfn.XLOOKUP(MIN(ABS($AY$6:$AY$22 - MEDIAN(-2, 2, AI28))), ABS($AY$6:$AY$22 - MEDIAN(-2, 2, AI28)), $AZ$6:$AZ$22, "Error", 0)</f>
        <v/>
      </c>
      <c r="AJ57" s="30">
        <f t="array" ref="AJ57">_xlfn.XLOOKUP(MIN(ABS($AY$6:$AY$22 - MEDIAN(-2, 2, AJ28))), ABS($AY$6:$AY$22 - MEDIAN(-2, 2, AJ28)), $AZ$6:$AZ$22, "Error", 0)</f>
        <v/>
      </c>
      <c r="AK57" s="30">
        <f t="array" ref="AK57">_xlfn.XLOOKUP(MIN(ABS($AY$6:$AY$22 - MEDIAN(-2, 2, AK28))), ABS($AY$6:$AY$22 - MEDIAN(-2, 2, AK28)), $AZ$6:$AZ$22, "Error", 0)</f>
        <v/>
      </c>
      <c r="AL57" s="30">
        <f t="array" ref="AL57">_xlfn.XLOOKUP(MIN(ABS($AY$6:$AY$22 - MEDIAN(-2, 2, AL28))), ABS($AY$6:$AY$22 - MEDIAN(-2, 2, AL28)), $AZ$6:$AZ$22, "Error", 0)</f>
        <v/>
      </c>
      <c r="AM57" s="30">
        <f t="array" ref="AM57">_xlfn.XLOOKUP(MIN(ABS($AY$6:$AY$22 - MEDIAN(-2, 2, AM28))), ABS($AY$6:$AY$22 - MEDIAN(-2, 2, AM28)), $AZ$6:$AZ$22, "Error", 0)</f>
        <v/>
      </c>
      <c r="AN57" s="30">
        <f t="array" ref="AN57">_xlfn.XLOOKUP(MIN(ABS($AY$6:$AY$22 - MEDIAN(-2, 2, AN28))), ABS($AY$6:$AY$22 - MEDIAN(-2, 2, AN28)), $AZ$6:$AZ$22, "Error", 0)</f>
        <v/>
      </c>
      <c r="AO57" s="30">
        <f t="array" ref="AO57">_xlfn.XLOOKUP(MIN(ABS($AY$6:$AY$22 - MEDIAN(-2, 2, AO28))), ABS($AY$6:$AY$22 - MEDIAN(-2, 2, AO28)), $AZ$6:$AZ$22, "Error", 0)</f>
        <v/>
      </c>
      <c r="AP57" s="30">
        <f t="array" ref="AP57">_xlfn.XLOOKUP(MIN(ABS($AY$6:$AY$22 - MEDIAN(-2, 2, AP28))), ABS($AY$6:$AY$22 - MEDIAN(-2, 2, AP28)), $AZ$6:$AZ$22, "Error", 0)</f>
        <v/>
      </c>
      <c r="AQ57" s="30">
        <f t="array" ref="AQ57">_xlfn.XLOOKUP(MIN(ABS($AY$6:$AY$22 - MEDIAN(-2, 2, AQ28))), ABS($AY$6:$AY$22 - MEDIAN(-2, 2, AQ28)), $AZ$6:$AZ$22, "Error", 0)</f>
        <v/>
      </c>
      <c r="AR57" s="30">
        <f t="array" ref="AR57">_xlfn.XLOOKUP(MIN(ABS($AY$6:$AY$22 - MEDIAN(-2, 2, AR28))), ABS($AY$6:$AY$22 - MEDIAN(-2, 2, AR28)), $AZ$6:$AZ$22, "Error", 0)</f>
        <v/>
      </c>
      <c r="AS57" s="30">
        <f t="array" ref="AS57">_xlfn.XLOOKUP(MIN(ABS($AY$6:$AY$22 - MEDIAN(-2, 2, AS28))), ABS($AY$6:$AY$22 - MEDIAN(-2, 2, AS28)), $AZ$6:$AZ$22, "Error", 0)</f>
        <v/>
      </c>
      <c r="AT57" s="30">
        <f t="array" ref="AT57">_xlfn.XLOOKUP(MIN(ABS($AY$6:$AY$22 - MEDIAN(-2, 2, AT28))), ABS($AY$6:$AY$22 - MEDIAN(-2, 2, AT28)), $AZ$6:$AZ$22, "Error", 0)</f>
        <v/>
      </c>
      <c r="AU57" s="30">
        <f t="array" ref="AU57">_xlfn.XLOOKUP(MIN(ABS($AY$6:$AY$22 - MEDIAN(-2, 2, AU28))), ABS($AY$6:$AY$22 - MEDIAN(-2, 2, AU28)), $AZ$6:$AZ$22, "Error", 0)</f>
        <v/>
      </c>
      <c r="AV57" s="30">
        <f t="array" ref="AV57">_xlfn.XLOOKUP(MIN(ABS($AY$6:$AY$22 - MEDIAN(-2, 2, AV28))), ABS($AY$6:$AY$22 - MEDIAN(-2, 2, AV28)), $AZ$6:$AZ$22, "Error", 0)</f>
        <v/>
      </c>
      <c r="AW57" s="30">
        <f t="array" ref="AW57">_xlfn.XLOOKUP(MIN(ABS($AY$6:$AY$22 - MEDIAN(-2, 2, AW28))), ABS($AY$6:$AY$22 - MEDIAN(-2, 2, AW28)), $AZ$6:$AZ$22, "Error", 0)</f>
        <v/>
      </c>
    </row>
    <row r="58" ht="25" customHeight="1">
      <c r="A58" s="48" t="inlineStr">
        <is>
          <t>GBP AUD</t>
        </is>
      </c>
      <c r="B58" s="30">
        <f t="array" ref="B58">_xlfn.XLOOKUP(MIN(ABS($AY$6:$AY$22 - MEDIAN(-2, 2, B29))), ABS($AY$6:$AY$22 - MEDIAN(-2, 2, B29)), $AZ$6:$AZ$22, "Error", 0)</f>
        <v/>
      </c>
      <c r="C58" s="30">
        <f t="array" ref="C58">_xlfn.XLOOKUP(MIN(ABS($AY$6:$AY$22 - MEDIAN(-2, 2, C29))), ABS($AY$6:$AY$22 - MEDIAN(-2, 2, C29)), $AZ$6:$AZ$22, "Error", 0)</f>
        <v/>
      </c>
      <c r="D58" s="30">
        <f t="array" ref="D58">_xlfn.XLOOKUP(MIN(ABS($AY$6:$AY$22 - MEDIAN(-2, 2, D29))), ABS($AY$6:$AY$22 - MEDIAN(-2, 2, D29)), $AZ$6:$AZ$22, "Error", 0)</f>
        <v/>
      </c>
      <c r="E58" s="30">
        <f t="array" ref="E58">_xlfn.XLOOKUP(MIN(ABS($AY$6:$AY$22 - MEDIAN(-2, 2, E29))), ABS($AY$6:$AY$22 - MEDIAN(-2, 2, E29)), $AZ$6:$AZ$22, "Error", 0)</f>
        <v/>
      </c>
      <c r="F58" s="30">
        <f t="array" ref="F58">_xlfn.XLOOKUP(MIN(ABS($AY$6:$AY$22 - MEDIAN(-2, 2, F29))), ABS($AY$6:$AY$22 - MEDIAN(-2, 2, F29)), $AZ$6:$AZ$22, "Error", 0)</f>
        <v/>
      </c>
      <c r="G58" s="30">
        <f t="array" ref="G58">_xlfn.XLOOKUP(MIN(ABS($AY$6:$AY$22 - MEDIAN(-2, 2, G29))), ABS($AY$6:$AY$22 - MEDIAN(-2, 2, G29)), $AZ$6:$AZ$22, "Error", 0)</f>
        <v/>
      </c>
      <c r="H58" s="30">
        <f t="array" ref="H58">_xlfn.XLOOKUP(MIN(ABS($AY$6:$AY$22 - MEDIAN(-2, 2, H29))), ABS($AY$6:$AY$22 - MEDIAN(-2, 2, H29)), $AZ$6:$AZ$22, "Error", 0)</f>
        <v/>
      </c>
      <c r="I58" s="30">
        <f t="array" ref="I58">_xlfn.XLOOKUP(MIN(ABS($AY$6:$AY$22 - MEDIAN(-2, 2, I29))), ABS($AY$6:$AY$22 - MEDIAN(-2, 2, I29)), $AZ$6:$AZ$22, "Error", 0)</f>
        <v/>
      </c>
      <c r="J58" s="30">
        <f t="array" ref="J58">_xlfn.XLOOKUP(MIN(ABS($AY$6:$AY$22 - MEDIAN(-2, 2, J29))), ABS($AY$6:$AY$22 - MEDIAN(-2, 2, J29)), $AZ$6:$AZ$22, "Error", 0)</f>
        <v/>
      </c>
      <c r="K58" s="30">
        <f t="array" ref="K58">_xlfn.XLOOKUP(MIN(ABS($AY$6:$AY$22 - MEDIAN(-2, 2, K29))), ABS($AY$6:$AY$22 - MEDIAN(-2, 2, K29)), $AZ$6:$AZ$22, "Error", 0)</f>
        <v/>
      </c>
      <c r="L58" s="30">
        <f t="array" ref="L58">_xlfn.XLOOKUP(MIN(ABS($AY$6:$AY$22 - MEDIAN(-2, 2, L29))), ABS($AY$6:$AY$22 - MEDIAN(-2, 2, L29)), $AZ$6:$AZ$22, "Error", 0)</f>
        <v/>
      </c>
      <c r="M58" s="30">
        <f t="array" ref="M58">_xlfn.XLOOKUP(MIN(ABS($AY$6:$AY$22 - MEDIAN(-2, 2, M29))), ABS($AY$6:$AY$22 - MEDIAN(-2, 2, M29)), $AZ$6:$AZ$22, "Error", 0)</f>
        <v/>
      </c>
      <c r="N58" s="30">
        <f t="array" ref="N58">_xlfn.XLOOKUP(MIN(ABS($AY$6:$AY$22 - MEDIAN(-2, 2, N29))), ABS($AY$6:$AY$22 - MEDIAN(-2, 2, N29)), $AZ$6:$AZ$22, "Error", 0)</f>
        <v/>
      </c>
      <c r="O58" s="30">
        <f t="array" ref="O58">_xlfn.XLOOKUP(MIN(ABS($AY$6:$AY$22 - MEDIAN(-2, 2, O29))), ABS($AY$6:$AY$22 - MEDIAN(-2, 2, O29)), $AZ$6:$AZ$22, "Error", 0)</f>
        <v/>
      </c>
      <c r="P58" s="30">
        <f t="array" ref="P58">_xlfn.XLOOKUP(MIN(ABS($AY$6:$AY$22 - MEDIAN(-2, 2, P29))), ABS($AY$6:$AY$22 - MEDIAN(-2, 2, P29)), $AZ$6:$AZ$22, "Error", 0)</f>
        <v/>
      </c>
      <c r="Q58" s="30">
        <f t="array" ref="Q58">_xlfn.XLOOKUP(MIN(ABS($AY$6:$AY$22 - MEDIAN(-2, 2, Q29))), ABS($AY$6:$AY$22 - MEDIAN(-2, 2, Q29)), $AZ$6:$AZ$22, "Error", 0)</f>
        <v/>
      </c>
      <c r="R58" s="30">
        <f t="array" ref="R58">_xlfn.XLOOKUP(MIN(ABS($AY$6:$AY$22 - MEDIAN(-2, 2, R29))), ABS($AY$6:$AY$22 - MEDIAN(-2, 2, R29)), $AZ$6:$AZ$22, "Error", 0)</f>
        <v/>
      </c>
      <c r="S58" s="30">
        <f t="array" ref="S58">_xlfn.XLOOKUP(MIN(ABS($AY$6:$AY$22 - MEDIAN(-2, 2, S29))), ABS($AY$6:$AY$22 - MEDIAN(-2, 2, S29)), $AZ$6:$AZ$22, "Error", 0)</f>
        <v/>
      </c>
      <c r="T58" s="30">
        <f t="array" ref="T58">_xlfn.XLOOKUP(MIN(ABS($AY$6:$AY$22 - MEDIAN(-2, 2, T29))), ABS($AY$6:$AY$22 - MEDIAN(-2, 2, T29)), $AZ$6:$AZ$22, "Error", 0)</f>
        <v/>
      </c>
      <c r="U58" s="30">
        <f t="array" ref="U58">_xlfn.XLOOKUP(MIN(ABS($AY$6:$AY$22 - MEDIAN(-2, 2, U29))), ABS($AY$6:$AY$22 - MEDIAN(-2, 2, U29)), $AZ$6:$AZ$22, "Error", 0)</f>
        <v/>
      </c>
      <c r="V58" s="30">
        <f t="array" ref="V58">_xlfn.XLOOKUP(MIN(ABS($AY$6:$AY$22 - MEDIAN(-2, 2, V29))), ABS($AY$6:$AY$22 - MEDIAN(-2, 2, V29)), $AZ$6:$AZ$22, "Error", 0)</f>
        <v/>
      </c>
      <c r="W58" s="30">
        <f t="array" ref="W58">_xlfn.XLOOKUP(MIN(ABS($AY$6:$AY$22 - MEDIAN(-2, 2, W29))), ABS($AY$6:$AY$22 - MEDIAN(-2, 2, W29)), $AZ$6:$AZ$22, "Error", 0)</f>
        <v/>
      </c>
      <c r="X58" s="30">
        <f t="array" ref="X58">_xlfn.XLOOKUP(MIN(ABS($AY$6:$AY$22 - MEDIAN(-2, 2, X29))), ABS($AY$6:$AY$22 - MEDIAN(-2, 2, X29)), $AZ$6:$AZ$22, "Error", 0)</f>
        <v/>
      </c>
      <c r="Y58" s="30">
        <f t="array" ref="Y58">_xlfn.XLOOKUP(MIN(ABS($AY$6:$AY$22 - MEDIAN(-2, 2, Y29))), ABS($AY$6:$AY$22 - MEDIAN(-2, 2, Y29)), $AZ$6:$AZ$22, "Error", 0)</f>
        <v/>
      </c>
      <c r="Z58" s="30">
        <f t="array" ref="Z58">_xlfn.XLOOKUP(MIN(ABS($AY$6:$AY$22 - MEDIAN(-2, 2, Z29))), ABS($AY$6:$AY$22 - MEDIAN(-2, 2, Z29)), $AZ$6:$AZ$22, "Error", 0)</f>
        <v/>
      </c>
      <c r="AA58" s="30">
        <f t="array" ref="AA58">_xlfn.XLOOKUP(MIN(ABS($AY$6:$AY$22 - MEDIAN(-2, 2, AA29))), ABS($AY$6:$AY$22 - MEDIAN(-2, 2, AA29)), $AZ$6:$AZ$22, "Error", 0)</f>
        <v/>
      </c>
      <c r="AB58" s="30">
        <f t="array" ref="AB58">_xlfn.XLOOKUP(MIN(ABS($AY$6:$AY$22 - MEDIAN(-2, 2, AB29))), ABS($AY$6:$AY$22 - MEDIAN(-2, 2, AB29)), $AZ$6:$AZ$22, "Error", 0)</f>
        <v/>
      </c>
      <c r="AC58" s="30">
        <f t="array" ref="AC58">_xlfn.XLOOKUP(MIN(ABS($AY$6:$AY$22 - MEDIAN(-2, 2, AC29))), ABS($AY$6:$AY$22 - MEDIAN(-2, 2, AC29)), $AZ$6:$AZ$22, "Error", 0)</f>
        <v/>
      </c>
      <c r="AD58" s="30">
        <f t="array" ref="AD58">_xlfn.XLOOKUP(MIN(ABS($AY$6:$AY$22 - MEDIAN(-2, 2, AD29))), ABS($AY$6:$AY$22 - MEDIAN(-2, 2, AD29)), $AZ$6:$AZ$22, "Error", 0)</f>
        <v/>
      </c>
      <c r="AE58" s="30">
        <f t="array" ref="AE58">_xlfn.XLOOKUP(MIN(ABS($AY$6:$AY$22 - MEDIAN(-2, 2, AE29))), ABS($AY$6:$AY$22 - MEDIAN(-2, 2, AE29)), $AZ$6:$AZ$22, "Error", 0)</f>
        <v/>
      </c>
      <c r="AF58" s="30">
        <f t="array" ref="AF58">_xlfn.XLOOKUP(MIN(ABS($AY$6:$AY$22 - MEDIAN(-2, 2, AF29))), ABS($AY$6:$AY$22 - MEDIAN(-2, 2, AF29)), $AZ$6:$AZ$22, "Error", 0)</f>
        <v/>
      </c>
      <c r="AG58" s="30">
        <f t="array" ref="AG58">_xlfn.XLOOKUP(MIN(ABS($AY$6:$AY$22 - MEDIAN(-2, 2, AG29))), ABS($AY$6:$AY$22 - MEDIAN(-2, 2, AG29)), $AZ$6:$AZ$22, "Error", 0)</f>
        <v/>
      </c>
      <c r="AH58" s="30">
        <f t="array" ref="AH58">_xlfn.XLOOKUP(MIN(ABS($AY$6:$AY$22 - MEDIAN(-2, 2, AH29))), ABS($AY$6:$AY$22 - MEDIAN(-2, 2, AH29)), $AZ$6:$AZ$22, "Error", 0)</f>
        <v/>
      </c>
      <c r="AI58" s="30">
        <f t="array" ref="AI58">_xlfn.XLOOKUP(MIN(ABS($AY$6:$AY$22 - MEDIAN(-2, 2, AI29))), ABS($AY$6:$AY$22 - MEDIAN(-2, 2, AI29)), $AZ$6:$AZ$22, "Error", 0)</f>
        <v/>
      </c>
      <c r="AJ58" s="30">
        <f t="array" ref="AJ58">_xlfn.XLOOKUP(MIN(ABS($AY$6:$AY$22 - MEDIAN(-2, 2, AJ29))), ABS($AY$6:$AY$22 - MEDIAN(-2, 2, AJ29)), $AZ$6:$AZ$22, "Error", 0)</f>
        <v/>
      </c>
      <c r="AK58" s="30">
        <f t="array" ref="AK58">_xlfn.XLOOKUP(MIN(ABS($AY$6:$AY$22 - MEDIAN(-2, 2, AK29))), ABS($AY$6:$AY$22 - MEDIAN(-2, 2, AK29)), $AZ$6:$AZ$22, "Error", 0)</f>
        <v/>
      </c>
      <c r="AL58" s="30">
        <f t="array" ref="AL58">_xlfn.XLOOKUP(MIN(ABS($AY$6:$AY$22 - MEDIAN(-2, 2, AL29))), ABS($AY$6:$AY$22 - MEDIAN(-2, 2, AL29)), $AZ$6:$AZ$22, "Error", 0)</f>
        <v/>
      </c>
      <c r="AM58" s="30">
        <f t="array" ref="AM58">_xlfn.XLOOKUP(MIN(ABS($AY$6:$AY$22 - MEDIAN(-2, 2, AM29))), ABS($AY$6:$AY$22 - MEDIAN(-2, 2, AM29)), $AZ$6:$AZ$22, "Error", 0)</f>
        <v/>
      </c>
      <c r="AN58" s="30">
        <f t="array" ref="AN58">_xlfn.XLOOKUP(MIN(ABS($AY$6:$AY$22 - MEDIAN(-2, 2, AN29))), ABS($AY$6:$AY$22 - MEDIAN(-2, 2, AN29)), $AZ$6:$AZ$22, "Error", 0)</f>
        <v/>
      </c>
      <c r="AO58" s="30">
        <f t="array" ref="AO58">_xlfn.XLOOKUP(MIN(ABS($AY$6:$AY$22 - MEDIAN(-2, 2, AO29))), ABS($AY$6:$AY$22 - MEDIAN(-2, 2, AO29)), $AZ$6:$AZ$22, "Error", 0)</f>
        <v/>
      </c>
      <c r="AP58" s="30">
        <f t="array" ref="AP58">_xlfn.XLOOKUP(MIN(ABS($AY$6:$AY$22 - MEDIAN(-2, 2, AP29))), ABS($AY$6:$AY$22 - MEDIAN(-2, 2, AP29)), $AZ$6:$AZ$22, "Error", 0)</f>
        <v/>
      </c>
      <c r="AQ58" s="30">
        <f t="array" ref="AQ58">_xlfn.XLOOKUP(MIN(ABS($AY$6:$AY$22 - MEDIAN(-2, 2, AQ29))), ABS($AY$6:$AY$22 - MEDIAN(-2, 2, AQ29)), $AZ$6:$AZ$22, "Error", 0)</f>
        <v/>
      </c>
      <c r="AR58" s="30">
        <f t="array" ref="AR58">_xlfn.XLOOKUP(MIN(ABS($AY$6:$AY$22 - MEDIAN(-2, 2, AR29))), ABS($AY$6:$AY$22 - MEDIAN(-2, 2, AR29)), $AZ$6:$AZ$22, "Error", 0)</f>
        <v/>
      </c>
      <c r="AS58" s="30">
        <f t="array" ref="AS58">_xlfn.XLOOKUP(MIN(ABS($AY$6:$AY$22 - MEDIAN(-2, 2, AS29))), ABS($AY$6:$AY$22 - MEDIAN(-2, 2, AS29)), $AZ$6:$AZ$22, "Error", 0)</f>
        <v/>
      </c>
      <c r="AT58" s="30">
        <f t="array" ref="AT58">_xlfn.XLOOKUP(MIN(ABS($AY$6:$AY$22 - MEDIAN(-2, 2, AT29))), ABS($AY$6:$AY$22 - MEDIAN(-2, 2, AT29)), $AZ$6:$AZ$22, "Error", 0)</f>
        <v/>
      </c>
      <c r="AU58" s="30">
        <f t="array" ref="AU58">_xlfn.XLOOKUP(MIN(ABS($AY$6:$AY$22 - MEDIAN(-2, 2, AU29))), ABS($AY$6:$AY$22 - MEDIAN(-2, 2, AU29)), $AZ$6:$AZ$22, "Error", 0)</f>
        <v/>
      </c>
      <c r="AV58" s="30">
        <f t="array" ref="AV58">_xlfn.XLOOKUP(MIN(ABS($AY$6:$AY$22 - MEDIAN(-2, 2, AV29))), ABS($AY$6:$AY$22 - MEDIAN(-2, 2, AV29)), $AZ$6:$AZ$22, "Error", 0)</f>
        <v/>
      </c>
      <c r="AW58" s="30">
        <f t="array" ref="AW58">_xlfn.XLOOKUP(MIN(ABS($AY$6:$AY$22 - MEDIAN(-2, 2, AW29))), ABS($AY$6:$AY$22 - MEDIAN(-2, 2, AW29)), $AZ$6:$AZ$22, "Error", 0)</f>
        <v/>
      </c>
    </row>
    <row r="59" ht="25" customHeight="1">
      <c r="A59" s="48" t="inlineStr">
        <is>
          <t>GBP NZD</t>
        </is>
      </c>
      <c r="B59" s="30">
        <f t="array" ref="B59">_xlfn.XLOOKUP(MIN(ABS($AY$6:$AY$22 - MEDIAN(-2, 2, B30))), ABS($AY$6:$AY$22 - MEDIAN(-2, 2, B30)), $AZ$6:$AZ$22, "Error", 0)</f>
        <v/>
      </c>
      <c r="C59" s="30">
        <f t="array" ref="C59">_xlfn.XLOOKUP(MIN(ABS($AY$6:$AY$22 - MEDIAN(-2, 2, C30))), ABS($AY$6:$AY$22 - MEDIAN(-2, 2, C30)), $AZ$6:$AZ$22, "Error", 0)</f>
        <v/>
      </c>
      <c r="D59" s="30">
        <f t="array" ref="D59">_xlfn.XLOOKUP(MIN(ABS($AY$6:$AY$22 - MEDIAN(-2, 2, D30))), ABS($AY$6:$AY$22 - MEDIAN(-2, 2, D30)), $AZ$6:$AZ$22, "Error", 0)</f>
        <v/>
      </c>
      <c r="E59" s="30">
        <f t="array" ref="E59">_xlfn.XLOOKUP(MIN(ABS($AY$6:$AY$22 - MEDIAN(-2, 2, E30))), ABS($AY$6:$AY$22 - MEDIAN(-2, 2, E30)), $AZ$6:$AZ$22, "Error", 0)</f>
        <v/>
      </c>
      <c r="F59" s="30">
        <f t="array" ref="F59">_xlfn.XLOOKUP(MIN(ABS($AY$6:$AY$22 - MEDIAN(-2, 2, F30))), ABS($AY$6:$AY$22 - MEDIAN(-2, 2, F30)), $AZ$6:$AZ$22, "Error", 0)</f>
        <v/>
      </c>
      <c r="G59" s="30">
        <f t="array" ref="G59">_xlfn.XLOOKUP(MIN(ABS($AY$6:$AY$22 - MEDIAN(-2, 2, G30))), ABS($AY$6:$AY$22 - MEDIAN(-2, 2, G30)), $AZ$6:$AZ$22, "Error", 0)</f>
        <v/>
      </c>
      <c r="H59" s="30">
        <f t="array" ref="H59">_xlfn.XLOOKUP(MIN(ABS($AY$6:$AY$22 - MEDIAN(-2, 2, H30))), ABS($AY$6:$AY$22 - MEDIAN(-2, 2, H30)), $AZ$6:$AZ$22, "Error", 0)</f>
        <v/>
      </c>
      <c r="I59" s="30">
        <f t="array" ref="I59">_xlfn.XLOOKUP(MIN(ABS($AY$6:$AY$22 - MEDIAN(-2, 2, I30))), ABS($AY$6:$AY$22 - MEDIAN(-2, 2, I30)), $AZ$6:$AZ$22, "Error", 0)</f>
        <v/>
      </c>
      <c r="J59" s="30">
        <f t="array" ref="J59">_xlfn.XLOOKUP(MIN(ABS($AY$6:$AY$22 - MEDIAN(-2, 2, J30))), ABS($AY$6:$AY$22 - MEDIAN(-2, 2, J30)), $AZ$6:$AZ$22, "Error", 0)</f>
        <v/>
      </c>
      <c r="K59" s="30">
        <f t="array" ref="K59">_xlfn.XLOOKUP(MIN(ABS($AY$6:$AY$22 - MEDIAN(-2, 2, K30))), ABS($AY$6:$AY$22 - MEDIAN(-2, 2, K30)), $AZ$6:$AZ$22, "Error", 0)</f>
        <v/>
      </c>
      <c r="L59" s="30">
        <f t="array" ref="L59">_xlfn.XLOOKUP(MIN(ABS($AY$6:$AY$22 - MEDIAN(-2, 2, L30))), ABS($AY$6:$AY$22 - MEDIAN(-2, 2, L30)), $AZ$6:$AZ$22, "Error", 0)</f>
        <v/>
      </c>
      <c r="M59" s="30">
        <f t="array" ref="M59">_xlfn.XLOOKUP(MIN(ABS($AY$6:$AY$22 - MEDIAN(-2, 2, M30))), ABS($AY$6:$AY$22 - MEDIAN(-2, 2, M30)), $AZ$6:$AZ$22, "Error", 0)</f>
        <v/>
      </c>
      <c r="N59" s="30">
        <f t="array" ref="N59">_xlfn.XLOOKUP(MIN(ABS($AY$6:$AY$22 - MEDIAN(-2, 2, N30))), ABS($AY$6:$AY$22 - MEDIAN(-2, 2, N30)), $AZ$6:$AZ$22, "Error", 0)</f>
        <v/>
      </c>
      <c r="O59" s="30">
        <f t="array" ref="O59">_xlfn.XLOOKUP(MIN(ABS($AY$6:$AY$22 - MEDIAN(-2, 2, O30))), ABS($AY$6:$AY$22 - MEDIAN(-2, 2, O30)), $AZ$6:$AZ$22, "Error", 0)</f>
        <v/>
      </c>
      <c r="P59" s="30">
        <f t="array" ref="P59">_xlfn.XLOOKUP(MIN(ABS($AY$6:$AY$22 - MEDIAN(-2, 2, P30))), ABS($AY$6:$AY$22 - MEDIAN(-2, 2, P30)), $AZ$6:$AZ$22, "Error", 0)</f>
        <v/>
      </c>
      <c r="Q59" s="30">
        <f t="array" ref="Q59">_xlfn.XLOOKUP(MIN(ABS($AY$6:$AY$22 - MEDIAN(-2, 2, Q30))), ABS($AY$6:$AY$22 - MEDIAN(-2, 2, Q30)), $AZ$6:$AZ$22, "Error", 0)</f>
        <v/>
      </c>
      <c r="R59" s="30">
        <f t="array" ref="R59">_xlfn.XLOOKUP(MIN(ABS($AY$6:$AY$22 - MEDIAN(-2, 2, R30))), ABS($AY$6:$AY$22 - MEDIAN(-2, 2, R30)), $AZ$6:$AZ$22, "Error", 0)</f>
        <v/>
      </c>
      <c r="S59" s="30">
        <f t="array" ref="S59">_xlfn.XLOOKUP(MIN(ABS($AY$6:$AY$22 - MEDIAN(-2, 2, S30))), ABS($AY$6:$AY$22 - MEDIAN(-2, 2, S30)), $AZ$6:$AZ$22, "Error", 0)</f>
        <v/>
      </c>
      <c r="T59" s="30">
        <f t="array" ref="T59">_xlfn.XLOOKUP(MIN(ABS($AY$6:$AY$22 - MEDIAN(-2, 2, T30))), ABS($AY$6:$AY$22 - MEDIAN(-2, 2, T30)), $AZ$6:$AZ$22, "Error", 0)</f>
        <v/>
      </c>
      <c r="U59" s="30">
        <f t="array" ref="U59">_xlfn.XLOOKUP(MIN(ABS($AY$6:$AY$22 - MEDIAN(-2, 2, U30))), ABS($AY$6:$AY$22 - MEDIAN(-2, 2, U30)), $AZ$6:$AZ$22, "Error", 0)</f>
        <v/>
      </c>
      <c r="V59" s="30">
        <f t="array" ref="V59">_xlfn.XLOOKUP(MIN(ABS($AY$6:$AY$22 - MEDIAN(-2, 2, V30))), ABS($AY$6:$AY$22 - MEDIAN(-2, 2, V30)), $AZ$6:$AZ$22, "Error", 0)</f>
        <v/>
      </c>
      <c r="W59" s="30">
        <f t="array" ref="W59">_xlfn.XLOOKUP(MIN(ABS($AY$6:$AY$22 - MEDIAN(-2, 2, W30))), ABS($AY$6:$AY$22 - MEDIAN(-2, 2, W30)), $AZ$6:$AZ$22, "Error", 0)</f>
        <v/>
      </c>
      <c r="X59" s="30">
        <f t="array" ref="X59">_xlfn.XLOOKUP(MIN(ABS($AY$6:$AY$22 - MEDIAN(-2, 2, X30))), ABS($AY$6:$AY$22 - MEDIAN(-2, 2, X30)), $AZ$6:$AZ$22, "Error", 0)</f>
        <v/>
      </c>
      <c r="Y59" s="30">
        <f t="array" ref="Y59">_xlfn.XLOOKUP(MIN(ABS($AY$6:$AY$22 - MEDIAN(-2, 2, Y30))), ABS($AY$6:$AY$22 - MEDIAN(-2, 2, Y30)), $AZ$6:$AZ$22, "Error", 0)</f>
        <v/>
      </c>
      <c r="Z59" s="30">
        <f t="array" ref="Z59">_xlfn.XLOOKUP(MIN(ABS($AY$6:$AY$22 - MEDIAN(-2, 2, Z30))), ABS($AY$6:$AY$22 - MEDIAN(-2, 2, Z30)), $AZ$6:$AZ$22, "Error", 0)</f>
        <v/>
      </c>
      <c r="AA59" s="30">
        <f t="array" ref="AA59">_xlfn.XLOOKUP(MIN(ABS($AY$6:$AY$22 - MEDIAN(-2, 2, AA30))), ABS($AY$6:$AY$22 - MEDIAN(-2, 2, AA30)), $AZ$6:$AZ$22, "Error", 0)</f>
        <v/>
      </c>
      <c r="AB59" s="30">
        <f t="array" ref="AB59">_xlfn.XLOOKUP(MIN(ABS($AY$6:$AY$22 - MEDIAN(-2, 2, AB30))), ABS($AY$6:$AY$22 - MEDIAN(-2, 2, AB30)), $AZ$6:$AZ$22, "Error", 0)</f>
        <v/>
      </c>
      <c r="AC59" s="30">
        <f t="array" ref="AC59">_xlfn.XLOOKUP(MIN(ABS($AY$6:$AY$22 - MEDIAN(-2, 2, AC30))), ABS($AY$6:$AY$22 - MEDIAN(-2, 2, AC30)), $AZ$6:$AZ$22, "Error", 0)</f>
        <v/>
      </c>
      <c r="AD59" s="30">
        <f t="array" ref="AD59">_xlfn.XLOOKUP(MIN(ABS($AY$6:$AY$22 - MEDIAN(-2, 2, AD30))), ABS($AY$6:$AY$22 - MEDIAN(-2, 2, AD30)), $AZ$6:$AZ$22, "Error", 0)</f>
        <v/>
      </c>
      <c r="AE59" s="30">
        <f t="array" ref="AE59">_xlfn.XLOOKUP(MIN(ABS($AY$6:$AY$22 - MEDIAN(-2, 2, AE30))), ABS($AY$6:$AY$22 - MEDIAN(-2, 2, AE30)), $AZ$6:$AZ$22, "Error", 0)</f>
        <v/>
      </c>
      <c r="AF59" s="30">
        <f t="array" ref="AF59">_xlfn.XLOOKUP(MIN(ABS($AY$6:$AY$22 - MEDIAN(-2, 2, AF30))), ABS($AY$6:$AY$22 - MEDIAN(-2, 2, AF30)), $AZ$6:$AZ$22, "Error", 0)</f>
        <v/>
      </c>
      <c r="AG59" s="30">
        <f t="array" ref="AG59">_xlfn.XLOOKUP(MIN(ABS($AY$6:$AY$22 - MEDIAN(-2, 2, AG30))), ABS($AY$6:$AY$22 - MEDIAN(-2, 2, AG30)), $AZ$6:$AZ$22, "Error", 0)</f>
        <v/>
      </c>
      <c r="AH59" s="30">
        <f t="array" ref="AH59">_xlfn.XLOOKUP(MIN(ABS($AY$6:$AY$22 - MEDIAN(-2, 2, AH30))), ABS($AY$6:$AY$22 - MEDIAN(-2, 2, AH30)), $AZ$6:$AZ$22, "Error", 0)</f>
        <v/>
      </c>
      <c r="AI59" s="30">
        <f t="array" ref="AI59">_xlfn.XLOOKUP(MIN(ABS($AY$6:$AY$22 - MEDIAN(-2, 2, AI30))), ABS($AY$6:$AY$22 - MEDIAN(-2, 2, AI30)), $AZ$6:$AZ$22, "Error", 0)</f>
        <v/>
      </c>
      <c r="AJ59" s="30">
        <f t="array" ref="AJ59">_xlfn.XLOOKUP(MIN(ABS($AY$6:$AY$22 - MEDIAN(-2, 2, AJ30))), ABS($AY$6:$AY$22 - MEDIAN(-2, 2, AJ30)), $AZ$6:$AZ$22, "Error", 0)</f>
        <v/>
      </c>
      <c r="AK59" s="30">
        <f t="array" ref="AK59">_xlfn.XLOOKUP(MIN(ABS($AY$6:$AY$22 - MEDIAN(-2, 2, AK30))), ABS($AY$6:$AY$22 - MEDIAN(-2, 2, AK30)), $AZ$6:$AZ$22, "Error", 0)</f>
        <v/>
      </c>
      <c r="AL59" s="30">
        <f t="array" ref="AL59">_xlfn.XLOOKUP(MIN(ABS($AY$6:$AY$22 - MEDIAN(-2, 2, AL30))), ABS($AY$6:$AY$22 - MEDIAN(-2, 2, AL30)), $AZ$6:$AZ$22, "Error", 0)</f>
        <v/>
      </c>
      <c r="AM59" s="30">
        <f t="array" ref="AM59">_xlfn.XLOOKUP(MIN(ABS($AY$6:$AY$22 - MEDIAN(-2, 2, AM30))), ABS($AY$6:$AY$22 - MEDIAN(-2, 2, AM30)), $AZ$6:$AZ$22, "Error", 0)</f>
        <v/>
      </c>
      <c r="AN59" s="30">
        <f t="array" ref="AN59">_xlfn.XLOOKUP(MIN(ABS($AY$6:$AY$22 - MEDIAN(-2, 2, AN30))), ABS($AY$6:$AY$22 - MEDIAN(-2, 2, AN30)), $AZ$6:$AZ$22, "Error", 0)</f>
        <v/>
      </c>
      <c r="AO59" s="30">
        <f t="array" ref="AO59">_xlfn.XLOOKUP(MIN(ABS($AY$6:$AY$22 - MEDIAN(-2, 2, AO30))), ABS($AY$6:$AY$22 - MEDIAN(-2, 2, AO30)), $AZ$6:$AZ$22, "Error", 0)</f>
        <v/>
      </c>
      <c r="AP59" s="30">
        <f t="array" ref="AP59">_xlfn.XLOOKUP(MIN(ABS($AY$6:$AY$22 - MEDIAN(-2, 2, AP30))), ABS($AY$6:$AY$22 - MEDIAN(-2, 2, AP30)), $AZ$6:$AZ$22, "Error", 0)</f>
        <v/>
      </c>
      <c r="AQ59" s="30">
        <f t="array" ref="AQ59">_xlfn.XLOOKUP(MIN(ABS($AY$6:$AY$22 - MEDIAN(-2, 2, AQ30))), ABS($AY$6:$AY$22 - MEDIAN(-2, 2, AQ30)), $AZ$6:$AZ$22, "Error", 0)</f>
        <v/>
      </c>
      <c r="AR59" s="30">
        <f t="array" ref="AR59">_xlfn.XLOOKUP(MIN(ABS($AY$6:$AY$22 - MEDIAN(-2, 2, AR30))), ABS($AY$6:$AY$22 - MEDIAN(-2, 2, AR30)), $AZ$6:$AZ$22, "Error", 0)</f>
        <v/>
      </c>
      <c r="AS59" s="30">
        <f t="array" ref="AS59">_xlfn.XLOOKUP(MIN(ABS($AY$6:$AY$22 - MEDIAN(-2, 2, AS30))), ABS($AY$6:$AY$22 - MEDIAN(-2, 2, AS30)), $AZ$6:$AZ$22, "Error", 0)</f>
        <v/>
      </c>
      <c r="AT59" s="30">
        <f t="array" ref="AT59">_xlfn.XLOOKUP(MIN(ABS($AY$6:$AY$22 - MEDIAN(-2, 2, AT30))), ABS($AY$6:$AY$22 - MEDIAN(-2, 2, AT30)), $AZ$6:$AZ$22, "Error", 0)</f>
        <v/>
      </c>
      <c r="AU59" s="30">
        <f t="array" ref="AU59">_xlfn.XLOOKUP(MIN(ABS($AY$6:$AY$22 - MEDIAN(-2, 2, AU30))), ABS($AY$6:$AY$22 - MEDIAN(-2, 2, AU30)), $AZ$6:$AZ$22, "Error", 0)</f>
        <v/>
      </c>
      <c r="AV59" s="30">
        <f t="array" ref="AV59">_xlfn.XLOOKUP(MIN(ABS($AY$6:$AY$22 - MEDIAN(-2, 2, AV30))), ABS($AY$6:$AY$22 - MEDIAN(-2, 2, AV30)), $AZ$6:$AZ$22, "Error", 0)</f>
        <v/>
      </c>
      <c r="AW59" s="30">
        <f t="array" ref="AW59">_xlfn.XLOOKUP(MIN(ABS($AY$6:$AY$22 - MEDIAN(-2, 2, AW30))), ABS($AY$6:$AY$22 - MEDIAN(-2, 2, AW30)), $AZ$6:$AZ$22, "Error", 0)</f>
        <v/>
      </c>
    </row>
    <row r="60" ht="25" customHeight="1">
      <c r="A60" s="49" t="inlineStr">
        <is>
          <t xml:space="preserve">CHF JPY </t>
        </is>
      </c>
      <c r="B60" s="30">
        <f t="array" ref="B60">_xlfn.XLOOKUP(MIN(ABS($AY$6:$AY$22 - MEDIAN(-2, 2, B31))), ABS($AY$6:$AY$22 - MEDIAN(-2, 2, B31)), $AZ$6:$AZ$22, "Error", 0)</f>
        <v/>
      </c>
      <c r="C60" s="30">
        <f t="array" ref="C60">_xlfn.XLOOKUP(MIN(ABS($AY$6:$AY$22 - MEDIAN(-2, 2, C31))), ABS($AY$6:$AY$22 - MEDIAN(-2, 2, C31)), $AZ$6:$AZ$22, "Error", 0)</f>
        <v/>
      </c>
      <c r="D60" s="30">
        <f t="array" ref="D60">_xlfn.XLOOKUP(MIN(ABS($AY$6:$AY$22 - MEDIAN(-2, 2, D31))), ABS($AY$6:$AY$22 - MEDIAN(-2, 2, D31)), $AZ$6:$AZ$22, "Error", 0)</f>
        <v/>
      </c>
      <c r="E60" s="30">
        <f t="array" ref="E60">_xlfn.XLOOKUP(MIN(ABS($AY$6:$AY$22 - MEDIAN(-2, 2, E31))), ABS($AY$6:$AY$22 - MEDIAN(-2, 2, E31)), $AZ$6:$AZ$22, "Error", 0)</f>
        <v/>
      </c>
      <c r="F60" s="30">
        <f t="array" ref="F60">_xlfn.XLOOKUP(MIN(ABS($AY$6:$AY$22 - MEDIAN(-2, 2, F31))), ABS($AY$6:$AY$22 - MEDIAN(-2, 2, F31)), $AZ$6:$AZ$22, "Error", 0)</f>
        <v/>
      </c>
      <c r="G60" s="30">
        <f t="array" ref="G60">_xlfn.XLOOKUP(MIN(ABS($AY$6:$AY$22 - MEDIAN(-2, 2, G31))), ABS($AY$6:$AY$22 - MEDIAN(-2, 2, G31)), $AZ$6:$AZ$22, "Error", 0)</f>
        <v/>
      </c>
      <c r="H60" s="30">
        <f t="array" ref="H60">_xlfn.XLOOKUP(MIN(ABS($AY$6:$AY$22 - MEDIAN(-2, 2, H31))), ABS($AY$6:$AY$22 - MEDIAN(-2, 2, H31)), $AZ$6:$AZ$22, "Error", 0)</f>
        <v/>
      </c>
      <c r="I60" s="30">
        <f t="array" ref="I60">_xlfn.XLOOKUP(MIN(ABS($AY$6:$AY$22 - MEDIAN(-2, 2, I31))), ABS($AY$6:$AY$22 - MEDIAN(-2, 2, I31)), $AZ$6:$AZ$22, "Error", 0)</f>
        <v/>
      </c>
      <c r="J60" s="30">
        <f t="array" ref="J60">_xlfn.XLOOKUP(MIN(ABS($AY$6:$AY$22 - MEDIAN(-2, 2, J31))), ABS($AY$6:$AY$22 - MEDIAN(-2, 2, J31)), $AZ$6:$AZ$22, "Error", 0)</f>
        <v/>
      </c>
      <c r="K60" s="30">
        <f t="array" ref="K60">_xlfn.XLOOKUP(MIN(ABS($AY$6:$AY$22 - MEDIAN(-2, 2, K31))), ABS($AY$6:$AY$22 - MEDIAN(-2, 2, K31)), $AZ$6:$AZ$22, "Error", 0)</f>
        <v/>
      </c>
      <c r="L60" s="30">
        <f t="array" ref="L60">_xlfn.XLOOKUP(MIN(ABS($AY$6:$AY$22 - MEDIAN(-2, 2, L31))), ABS($AY$6:$AY$22 - MEDIAN(-2, 2, L31)), $AZ$6:$AZ$22, "Error", 0)</f>
        <v/>
      </c>
      <c r="M60" s="30">
        <f t="array" ref="M60">_xlfn.XLOOKUP(MIN(ABS($AY$6:$AY$22 - MEDIAN(-2, 2, M31))), ABS($AY$6:$AY$22 - MEDIAN(-2, 2, M31)), $AZ$6:$AZ$22, "Error", 0)</f>
        <v/>
      </c>
      <c r="N60" s="30">
        <f t="array" ref="N60">_xlfn.XLOOKUP(MIN(ABS($AY$6:$AY$22 - MEDIAN(-2, 2, N31))), ABS($AY$6:$AY$22 - MEDIAN(-2, 2, N31)), $AZ$6:$AZ$22, "Error", 0)</f>
        <v/>
      </c>
      <c r="O60" s="30">
        <f t="array" ref="O60">_xlfn.XLOOKUP(MIN(ABS($AY$6:$AY$22 - MEDIAN(-2, 2, O31))), ABS($AY$6:$AY$22 - MEDIAN(-2, 2, O31)), $AZ$6:$AZ$22, "Error", 0)</f>
        <v/>
      </c>
      <c r="P60" s="30">
        <f t="array" ref="P60">_xlfn.XLOOKUP(MIN(ABS($AY$6:$AY$22 - MEDIAN(-2, 2, P31))), ABS($AY$6:$AY$22 - MEDIAN(-2, 2, P31)), $AZ$6:$AZ$22, "Error", 0)</f>
        <v/>
      </c>
      <c r="Q60" s="30">
        <f t="array" ref="Q60">_xlfn.XLOOKUP(MIN(ABS($AY$6:$AY$22 - MEDIAN(-2, 2, Q31))), ABS($AY$6:$AY$22 - MEDIAN(-2, 2, Q31)), $AZ$6:$AZ$22, "Error", 0)</f>
        <v/>
      </c>
      <c r="R60" s="30">
        <f t="array" ref="R60">_xlfn.XLOOKUP(MIN(ABS($AY$6:$AY$22 - MEDIAN(-2, 2, R31))), ABS($AY$6:$AY$22 - MEDIAN(-2, 2, R31)), $AZ$6:$AZ$22, "Error", 0)</f>
        <v/>
      </c>
      <c r="S60" s="30">
        <f t="array" ref="S60">_xlfn.XLOOKUP(MIN(ABS($AY$6:$AY$22 - MEDIAN(-2, 2, S31))), ABS($AY$6:$AY$22 - MEDIAN(-2, 2, S31)), $AZ$6:$AZ$22, "Error", 0)</f>
        <v/>
      </c>
      <c r="T60" s="30">
        <f t="array" ref="T60">_xlfn.XLOOKUP(MIN(ABS($AY$6:$AY$22 - MEDIAN(-2, 2, T31))), ABS($AY$6:$AY$22 - MEDIAN(-2, 2, T31)), $AZ$6:$AZ$22, "Error", 0)</f>
        <v/>
      </c>
      <c r="U60" s="30">
        <f t="array" ref="U60">_xlfn.XLOOKUP(MIN(ABS($AY$6:$AY$22 - MEDIAN(-2, 2, U31))), ABS($AY$6:$AY$22 - MEDIAN(-2, 2, U31)), $AZ$6:$AZ$22, "Error", 0)</f>
        <v/>
      </c>
      <c r="V60" s="30">
        <f t="array" ref="V60">_xlfn.XLOOKUP(MIN(ABS($AY$6:$AY$22 - MEDIAN(-2, 2, V31))), ABS($AY$6:$AY$22 - MEDIAN(-2, 2, V31)), $AZ$6:$AZ$22, "Error", 0)</f>
        <v/>
      </c>
      <c r="W60" s="30">
        <f t="array" ref="W60">_xlfn.XLOOKUP(MIN(ABS($AY$6:$AY$22 - MEDIAN(-2, 2, W31))), ABS($AY$6:$AY$22 - MEDIAN(-2, 2, W31)), $AZ$6:$AZ$22, "Error", 0)</f>
        <v/>
      </c>
      <c r="X60" s="30">
        <f t="array" ref="X60">_xlfn.XLOOKUP(MIN(ABS($AY$6:$AY$22 - MEDIAN(-2, 2, X31))), ABS($AY$6:$AY$22 - MEDIAN(-2, 2, X31)), $AZ$6:$AZ$22, "Error", 0)</f>
        <v/>
      </c>
      <c r="Y60" s="30">
        <f t="array" ref="Y60">_xlfn.XLOOKUP(MIN(ABS($AY$6:$AY$22 - MEDIAN(-2, 2, Y31))), ABS($AY$6:$AY$22 - MEDIAN(-2, 2, Y31)), $AZ$6:$AZ$22, "Error", 0)</f>
        <v/>
      </c>
      <c r="Z60" s="30">
        <f t="array" ref="Z60">_xlfn.XLOOKUP(MIN(ABS($AY$6:$AY$22 - MEDIAN(-2, 2, Z31))), ABS($AY$6:$AY$22 - MEDIAN(-2, 2, Z31)), $AZ$6:$AZ$22, "Error", 0)</f>
        <v/>
      </c>
      <c r="AA60" s="30">
        <f t="array" ref="AA60">_xlfn.XLOOKUP(MIN(ABS($AY$6:$AY$22 - MEDIAN(-2, 2, AA31))), ABS($AY$6:$AY$22 - MEDIAN(-2, 2, AA31)), $AZ$6:$AZ$22, "Error", 0)</f>
        <v/>
      </c>
      <c r="AB60" s="30">
        <f t="array" ref="AB60">_xlfn.XLOOKUP(MIN(ABS($AY$6:$AY$22 - MEDIAN(-2, 2, AB31))), ABS($AY$6:$AY$22 - MEDIAN(-2, 2, AB31)), $AZ$6:$AZ$22, "Error", 0)</f>
        <v/>
      </c>
      <c r="AC60" s="30">
        <f t="array" ref="AC60">_xlfn.XLOOKUP(MIN(ABS($AY$6:$AY$22 - MEDIAN(-2, 2, AC31))), ABS($AY$6:$AY$22 - MEDIAN(-2, 2, AC31)), $AZ$6:$AZ$22, "Error", 0)</f>
        <v/>
      </c>
      <c r="AD60" s="30">
        <f t="array" ref="AD60">_xlfn.XLOOKUP(MIN(ABS($AY$6:$AY$22 - MEDIAN(-2, 2, AD31))), ABS($AY$6:$AY$22 - MEDIAN(-2, 2, AD31)), $AZ$6:$AZ$22, "Error", 0)</f>
        <v/>
      </c>
      <c r="AE60" s="30">
        <f t="array" ref="AE60">_xlfn.XLOOKUP(MIN(ABS($AY$6:$AY$22 - MEDIAN(-2, 2, AE31))), ABS($AY$6:$AY$22 - MEDIAN(-2, 2, AE31)), $AZ$6:$AZ$22, "Error", 0)</f>
        <v/>
      </c>
      <c r="AF60" s="30">
        <f t="array" ref="AF60">_xlfn.XLOOKUP(MIN(ABS($AY$6:$AY$22 - MEDIAN(-2, 2, AF31))), ABS($AY$6:$AY$22 - MEDIAN(-2, 2, AF31)), $AZ$6:$AZ$22, "Error", 0)</f>
        <v/>
      </c>
      <c r="AG60" s="30">
        <f t="array" ref="AG60">_xlfn.XLOOKUP(MIN(ABS($AY$6:$AY$22 - MEDIAN(-2, 2, AG31))), ABS($AY$6:$AY$22 - MEDIAN(-2, 2, AG31)), $AZ$6:$AZ$22, "Error", 0)</f>
        <v/>
      </c>
      <c r="AH60" s="30">
        <f t="array" ref="AH60">_xlfn.XLOOKUP(MIN(ABS($AY$6:$AY$22 - MEDIAN(-2, 2, AH31))), ABS($AY$6:$AY$22 - MEDIAN(-2, 2, AH31)), $AZ$6:$AZ$22, "Error", 0)</f>
        <v/>
      </c>
      <c r="AI60" s="30">
        <f t="array" ref="AI60">_xlfn.XLOOKUP(MIN(ABS($AY$6:$AY$22 - MEDIAN(-2, 2, AI31))), ABS($AY$6:$AY$22 - MEDIAN(-2, 2, AI31)), $AZ$6:$AZ$22, "Error", 0)</f>
        <v/>
      </c>
      <c r="AJ60" s="30">
        <f t="array" ref="AJ60">_xlfn.XLOOKUP(MIN(ABS($AY$6:$AY$22 - MEDIAN(-2, 2, AJ31))), ABS($AY$6:$AY$22 - MEDIAN(-2, 2, AJ31)), $AZ$6:$AZ$22, "Error", 0)</f>
        <v/>
      </c>
      <c r="AK60" s="30">
        <f t="array" ref="AK60">_xlfn.XLOOKUP(MIN(ABS($AY$6:$AY$22 - MEDIAN(-2, 2, AK31))), ABS($AY$6:$AY$22 - MEDIAN(-2, 2, AK31)), $AZ$6:$AZ$22, "Error", 0)</f>
        <v/>
      </c>
      <c r="AL60" s="30">
        <f t="array" ref="AL60">_xlfn.XLOOKUP(MIN(ABS($AY$6:$AY$22 - MEDIAN(-2, 2, AL31))), ABS($AY$6:$AY$22 - MEDIAN(-2, 2, AL31)), $AZ$6:$AZ$22, "Error", 0)</f>
        <v/>
      </c>
      <c r="AM60" s="30">
        <f t="array" ref="AM60">_xlfn.XLOOKUP(MIN(ABS($AY$6:$AY$22 - MEDIAN(-2, 2, AM31))), ABS($AY$6:$AY$22 - MEDIAN(-2, 2, AM31)), $AZ$6:$AZ$22, "Error", 0)</f>
        <v/>
      </c>
      <c r="AN60" s="30">
        <f t="array" ref="AN60">_xlfn.XLOOKUP(MIN(ABS($AY$6:$AY$22 - MEDIAN(-2, 2, AN31))), ABS($AY$6:$AY$22 - MEDIAN(-2, 2, AN31)), $AZ$6:$AZ$22, "Error", 0)</f>
        <v/>
      </c>
      <c r="AO60" s="30">
        <f t="array" ref="AO60">_xlfn.XLOOKUP(MIN(ABS($AY$6:$AY$22 - MEDIAN(-2, 2, AO31))), ABS($AY$6:$AY$22 - MEDIAN(-2, 2, AO31)), $AZ$6:$AZ$22, "Error", 0)</f>
        <v/>
      </c>
      <c r="AP60" s="30">
        <f t="array" ref="AP60">_xlfn.XLOOKUP(MIN(ABS($AY$6:$AY$22 - MEDIAN(-2, 2, AP31))), ABS($AY$6:$AY$22 - MEDIAN(-2, 2, AP31)), $AZ$6:$AZ$22, "Error", 0)</f>
        <v/>
      </c>
      <c r="AQ60" s="30">
        <f t="array" ref="AQ60">_xlfn.XLOOKUP(MIN(ABS($AY$6:$AY$22 - MEDIAN(-2, 2, AQ31))), ABS($AY$6:$AY$22 - MEDIAN(-2, 2, AQ31)), $AZ$6:$AZ$22, "Error", 0)</f>
        <v/>
      </c>
      <c r="AR60" s="30">
        <f t="array" ref="AR60">_xlfn.XLOOKUP(MIN(ABS($AY$6:$AY$22 - MEDIAN(-2, 2, AR31))), ABS($AY$6:$AY$22 - MEDIAN(-2, 2, AR31)), $AZ$6:$AZ$22, "Error", 0)</f>
        <v/>
      </c>
      <c r="AS60" s="30">
        <f t="array" ref="AS60">_xlfn.XLOOKUP(MIN(ABS($AY$6:$AY$22 - MEDIAN(-2, 2, AS31))), ABS($AY$6:$AY$22 - MEDIAN(-2, 2, AS31)), $AZ$6:$AZ$22, "Error", 0)</f>
        <v/>
      </c>
      <c r="AT60" s="30">
        <f t="array" ref="AT60">_xlfn.XLOOKUP(MIN(ABS($AY$6:$AY$22 - MEDIAN(-2, 2, AT31))), ABS($AY$6:$AY$22 - MEDIAN(-2, 2, AT31)), $AZ$6:$AZ$22, "Error", 0)</f>
        <v/>
      </c>
      <c r="AU60" s="30">
        <f t="array" ref="AU60">_xlfn.XLOOKUP(MIN(ABS($AY$6:$AY$22 - MEDIAN(-2, 2, AU31))), ABS($AY$6:$AY$22 - MEDIAN(-2, 2, AU31)), $AZ$6:$AZ$22, "Error", 0)</f>
        <v/>
      </c>
      <c r="AV60" s="30">
        <f t="array" ref="AV60">_xlfn.XLOOKUP(MIN(ABS($AY$6:$AY$22 - MEDIAN(-2, 2, AV31))), ABS($AY$6:$AY$22 - MEDIAN(-2, 2, AV31)), $AZ$6:$AZ$22, "Error", 0)</f>
        <v/>
      </c>
      <c r="AW60" s="30">
        <f t="array" ref="AW60">_xlfn.XLOOKUP(MIN(ABS($AY$6:$AY$22 - MEDIAN(-2, 2, AW31))), ABS($AY$6:$AY$22 - MEDIAN(-2, 2, AW31)), $AZ$6:$AZ$22, "Error", 0)</f>
        <v/>
      </c>
    </row>
    <row r="61" ht="25" customHeight="1">
      <c r="A61" s="50" t="inlineStr">
        <is>
          <t>AUD USD</t>
        </is>
      </c>
      <c r="B61" s="30">
        <f t="array" ref="B61">_xlfn.XLOOKUP(MIN(ABS($AY$6:$AY$22 - MEDIAN(-2, 2, B32))), ABS($AY$6:$AY$22 - MEDIAN(-2, 2, B32)), $AZ$6:$AZ$22, "Error", 0)</f>
        <v/>
      </c>
      <c r="C61" s="30">
        <f t="array" ref="C61">_xlfn.XLOOKUP(MIN(ABS($AY$6:$AY$22 - MEDIAN(-2, 2, C32))), ABS($AY$6:$AY$22 - MEDIAN(-2, 2, C32)), $AZ$6:$AZ$22, "Error", 0)</f>
        <v/>
      </c>
      <c r="D61" s="30">
        <f t="array" ref="D61">_xlfn.XLOOKUP(MIN(ABS($AY$6:$AY$22 - MEDIAN(-2, 2, D32))), ABS($AY$6:$AY$22 - MEDIAN(-2, 2, D32)), $AZ$6:$AZ$22, "Error", 0)</f>
        <v/>
      </c>
      <c r="E61" s="30">
        <f t="array" ref="E61">_xlfn.XLOOKUP(MIN(ABS($AY$6:$AY$22 - MEDIAN(-2, 2, E32))), ABS($AY$6:$AY$22 - MEDIAN(-2, 2, E32)), $AZ$6:$AZ$22, "Error", 0)</f>
        <v/>
      </c>
      <c r="F61" s="30">
        <f t="array" ref="F61">_xlfn.XLOOKUP(MIN(ABS($AY$6:$AY$22 - MEDIAN(-2, 2, F32))), ABS($AY$6:$AY$22 - MEDIAN(-2, 2, F32)), $AZ$6:$AZ$22, "Error", 0)</f>
        <v/>
      </c>
      <c r="G61" s="30">
        <f t="array" ref="G61">_xlfn.XLOOKUP(MIN(ABS($AY$6:$AY$22 - MEDIAN(-2, 2, G32))), ABS($AY$6:$AY$22 - MEDIAN(-2, 2, G32)), $AZ$6:$AZ$22, "Error", 0)</f>
        <v/>
      </c>
      <c r="H61" s="30">
        <f t="array" ref="H61">_xlfn.XLOOKUP(MIN(ABS($AY$6:$AY$22 - MEDIAN(-2, 2, H32))), ABS($AY$6:$AY$22 - MEDIAN(-2, 2, H32)), $AZ$6:$AZ$22, "Error", 0)</f>
        <v/>
      </c>
      <c r="I61" s="30">
        <f t="array" ref="I61">_xlfn.XLOOKUP(MIN(ABS($AY$6:$AY$22 - MEDIAN(-2, 2, I32))), ABS($AY$6:$AY$22 - MEDIAN(-2, 2, I32)), $AZ$6:$AZ$22, "Error", 0)</f>
        <v/>
      </c>
      <c r="J61" s="30">
        <f t="array" ref="J61">_xlfn.XLOOKUP(MIN(ABS($AY$6:$AY$22 - MEDIAN(-2, 2, J32))), ABS($AY$6:$AY$22 - MEDIAN(-2, 2, J32)), $AZ$6:$AZ$22, "Error", 0)</f>
        <v/>
      </c>
      <c r="K61" s="30">
        <f t="array" ref="K61">_xlfn.XLOOKUP(MIN(ABS($AY$6:$AY$22 - MEDIAN(-2, 2, K32))), ABS($AY$6:$AY$22 - MEDIAN(-2, 2, K32)), $AZ$6:$AZ$22, "Error", 0)</f>
        <v/>
      </c>
      <c r="L61" s="30">
        <f t="array" ref="L61">_xlfn.XLOOKUP(MIN(ABS($AY$6:$AY$22 - MEDIAN(-2, 2, L32))), ABS($AY$6:$AY$22 - MEDIAN(-2, 2, L32)), $AZ$6:$AZ$22, "Error", 0)</f>
        <v/>
      </c>
      <c r="M61" s="30">
        <f t="array" ref="M61">_xlfn.XLOOKUP(MIN(ABS($AY$6:$AY$22 - MEDIAN(-2, 2, M32))), ABS($AY$6:$AY$22 - MEDIAN(-2, 2, M32)), $AZ$6:$AZ$22, "Error", 0)</f>
        <v/>
      </c>
      <c r="N61" s="30">
        <f t="array" ref="N61">_xlfn.XLOOKUP(MIN(ABS($AY$6:$AY$22 - MEDIAN(-2, 2, N32))), ABS($AY$6:$AY$22 - MEDIAN(-2, 2, N32)), $AZ$6:$AZ$22, "Error", 0)</f>
        <v/>
      </c>
      <c r="O61" s="30">
        <f t="array" ref="O61">_xlfn.XLOOKUP(MIN(ABS($AY$6:$AY$22 - MEDIAN(-2, 2, O32))), ABS($AY$6:$AY$22 - MEDIAN(-2, 2, O32)), $AZ$6:$AZ$22, "Error", 0)</f>
        <v/>
      </c>
      <c r="P61" s="30">
        <f t="array" ref="P61">_xlfn.XLOOKUP(MIN(ABS($AY$6:$AY$22 - MEDIAN(-2, 2, P32))), ABS($AY$6:$AY$22 - MEDIAN(-2, 2, P32)), $AZ$6:$AZ$22, "Error", 0)</f>
        <v/>
      </c>
      <c r="Q61" s="30">
        <f t="array" ref="Q61">_xlfn.XLOOKUP(MIN(ABS($AY$6:$AY$22 - MEDIAN(-2, 2, Q32))), ABS($AY$6:$AY$22 - MEDIAN(-2, 2, Q32)), $AZ$6:$AZ$22, "Error", 0)</f>
        <v/>
      </c>
      <c r="R61" s="30">
        <f t="array" ref="R61">_xlfn.XLOOKUP(MIN(ABS($AY$6:$AY$22 - MEDIAN(-2, 2, R32))), ABS($AY$6:$AY$22 - MEDIAN(-2, 2, R32)), $AZ$6:$AZ$22, "Error", 0)</f>
        <v/>
      </c>
      <c r="S61" s="30">
        <f t="array" ref="S61">_xlfn.XLOOKUP(MIN(ABS($AY$6:$AY$22 - MEDIAN(-2, 2, S32))), ABS($AY$6:$AY$22 - MEDIAN(-2, 2, S32)), $AZ$6:$AZ$22, "Error", 0)</f>
        <v/>
      </c>
      <c r="T61" s="30">
        <f t="array" ref="T61">_xlfn.XLOOKUP(MIN(ABS($AY$6:$AY$22 - MEDIAN(-2, 2, T32))), ABS($AY$6:$AY$22 - MEDIAN(-2, 2, T32)), $AZ$6:$AZ$22, "Error", 0)</f>
        <v/>
      </c>
      <c r="U61" s="30">
        <f t="array" ref="U61">_xlfn.XLOOKUP(MIN(ABS($AY$6:$AY$22 - MEDIAN(-2, 2, U32))), ABS($AY$6:$AY$22 - MEDIAN(-2, 2, U32)), $AZ$6:$AZ$22, "Error", 0)</f>
        <v/>
      </c>
      <c r="V61" s="30">
        <f t="array" ref="V61">_xlfn.XLOOKUP(MIN(ABS($AY$6:$AY$22 - MEDIAN(-2, 2, V32))), ABS($AY$6:$AY$22 - MEDIAN(-2, 2, V32)), $AZ$6:$AZ$22, "Error", 0)</f>
        <v/>
      </c>
      <c r="W61" s="30">
        <f t="array" ref="W61">_xlfn.XLOOKUP(MIN(ABS($AY$6:$AY$22 - MEDIAN(-2, 2, W32))), ABS($AY$6:$AY$22 - MEDIAN(-2, 2, W32)), $AZ$6:$AZ$22, "Error", 0)</f>
        <v/>
      </c>
      <c r="X61" s="30">
        <f t="array" ref="X61">_xlfn.XLOOKUP(MIN(ABS($AY$6:$AY$22 - MEDIAN(-2, 2, X32))), ABS($AY$6:$AY$22 - MEDIAN(-2, 2, X32)), $AZ$6:$AZ$22, "Error", 0)</f>
        <v/>
      </c>
      <c r="Y61" s="30">
        <f t="array" ref="Y61">_xlfn.XLOOKUP(MIN(ABS($AY$6:$AY$22 - MEDIAN(-2, 2, Y32))), ABS($AY$6:$AY$22 - MEDIAN(-2, 2, Y32)), $AZ$6:$AZ$22, "Error", 0)</f>
        <v/>
      </c>
      <c r="Z61" s="30">
        <f t="array" ref="Z61">_xlfn.XLOOKUP(MIN(ABS($AY$6:$AY$22 - MEDIAN(-2, 2, Z32))), ABS($AY$6:$AY$22 - MEDIAN(-2, 2, Z32)), $AZ$6:$AZ$22, "Error", 0)</f>
        <v/>
      </c>
      <c r="AA61" s="30">
        <f t="array" ref="AA61">_xlfn.XLOOKUP(MIN(ABS($AY$6:$AY$22 - MEDIAN(-2, 2, AA32))), ABS($AY$6:$AY$22 - MEDIAN(-2, 2, AA32)), $AZ$6:$AZ$22, "Error", 0)</f>
        <v/>
      </c>
      <c r="AB61" s="30">
        <f t="array" ref="AB61">_xlfn.XLOOKUP(MIN(ABS($AY$6:$AY$22 - MEDIAN(-2, 2, AB32))), ABS($AY$6:$AY$22 - MEDIAN(-2, 2, AB32)), $AZ$6:$AZ$22, "Error", 0)</f>
        <v/>
      </c>
      <c r="AC61" s="30">
        <f t="array" ref="AC61">_xlfn.XLOOKUP(MIN(ABS($AY$6:$AY$22 - MEDIAN(-2, 2, AC32))), ABS($AY$6:$AY$22 - MEDIAN(-2, 2, AC32)), $AZ$6:$AZ$22, "Error", 0)</f>
        <v/>
      </c>
      <c r="AD61" s="30">
        <f t="array" ref="AD61">_xlfn.XLOOKUP(MIN(ABS($AY$6:$AY$22 - MEDIAN(-2, 2, AD32))), ABS($AY$6:$AY$22 - MEDIAN(-2, 2, AD32)), $AZ$6:$AZ$22, "Error", 0)</f>
        <v/>
      </c>
      <c r="AE61" s="30">
        <f t="array" ref="AE61">_xlfn.XLOOKUP(MIN(ABS($AY$6:$AY$22 - MEDIAN(-2, 2, AE32))), ABS($AY$6:$AY$22 - MEDIAN(-2, 2, AE32)), $AZ$6:$AZ$22, "Error", 0)</f>
        <v/>
      </c>
      <c r="AF61" s="30">
        <f t="array" ref="AF61">_xlfn.XLOOKUP(MIN(ABS($AY$6:$AY$22 - MEDIAN(-2, 2, AF32))), ABS($AY$6:$AY$22 - MEDIAN(-2, 2, AF32)), $AZ$6:$AZ$22, "Error", 0)</f>
        <v/>
      </c>
      <c r="AG61" s="30">
        <f t="array" ref="AG61">_xlfn.XLOOKUP(MIN(ABS($AY$6:$AY$22 - MEDIAN(-2, 2, AG32))), ABS($AY$6:$AY$22 - MEDIAN(-2, 2, AG32)), $AZ$6:$AZ$22, "Error", 0)</f>
        <v/>
      </c>
      <c r="AH61" s="30">
        <f t="array" ref="AH61">_xlfn.XLOOKUP(MIN(ABS($AY$6:$AY$22 - MEDIAN(-2, 2, AH32))), ABS($AY$6:$AY$22 - MEDIAN(-2, 2, AH32)), $AZ$6:$AZ$22, "Error", 0)</f>
        <v/>
      </c>
      <c r="AI61" s="30">
        <f t="array" ref="AI61">_xlfn.XLOOKUP(MIN(ABS($AY$6:$AY$22 - MEDIAN(-2, 2, AI32))), ABS($AY$6:$AY$22 - MEDIAN(-2, 2, AI32)), $AZ$6:$AZ$22, "Error", 0)</f>
        <v/>
      </c>
      <c r="AJ61" s="30">
        <f t="array" ref="AJ61">_xlfn.XLOOKUP(MIN(ABS($AY$6:$AY$22 - MEDIAN(-2, 2, AJ32))), ABS($AY$6:$AY$22 - MEDIAN(-2, 2, AJ32)), $AZ$6:$AZ$22, "Error", 0)</f>
        <v/>
      </c>
      <c r="AK61" s="30">
        <f t="array" ref="AK61">_xlfn.XLOOKUP(MIN(ABS($AY$6:$AY$22 - MEDIAN(-2, 2, AK32))), ABS($AY$6:$AY$22 - MEDIAN(-2, 2, AK32)), $AZ$6:$AZ$22, "Error", 0)</f>
        <v/>
      </c>
      <c r="AL61" s="30">
        <f t="array" ref="AL61">_xlfn.XLOOKUP(MIN(ABS($AY$6:$AY$22 - MEDIAN(-2, 2, AL32))), ABS($AY$6:$AY$22 - MEDIAN(-2, 2, AL32)), $AZ$6:$AZ$22, "Error", 0)</f>
        <v/>
      </c>
      <c r="AM61" s="30">
        <f t="array" ref="AM61">_xlfn.XLOOKUP(MIN(ABS($AY$6:$AY$22 - MEDIAN(-2, 2, AM32))), ABS($AY$6:$AY$22 - MEDIAN(-2, 2, AM32)), $AZ$6:$AZ$22, "Error", 0)</f>
        <v/>
      </c>
      <c r="AN61" s="30">
        <f t="array" ref="AN61">_xlfn.XLOOKUP(MIN(ABS($AY$6:$AY$22 - MEDIAN(-2, 2, AN32))), ABS($AY$6:$AY$22 - MEDIAN(-2, 2, AN32)), $AZ$6:$AZ$22, "Error", 0)</f>
        <v/>
      </c>
      <c r="AO61" s="30">
        <f t="array" ref="AO61">_xlfn.XLOOKUP(MIN(ABS($AY$6:$AY$22 - MEDIAN(-2, 2, AO32))), ABS($AY$6:$AY$22 - MEDIAN(-2, 2, AO32)), $AZ$6:$AZ$22, "Error", 0)</f>
        <v/>
      </c>
      <c r="AP61" s="30">
        <f t="array" ref="AP61">_xlfn.XLOOKUP(MIN(ABS($AY$6:$AY$22 - MEDIAN(-2, 2, AP32))), ABS($AY$6:$AY$22 - MEDIAN(-2, 2, AP32)), $AZ$6:$AZ$22, "Error", 0)</f>
        <v/>
      </c>
      <c r="AQ61" s="30">
        <f t="array" ref="AQ61">_xlfn.XLOOKUP(MIN(ABS($AY$6:$AY$22 - MEDIAN(-2, 2, AQ32))), ABS($AY$6:$AY$22 - MEDIAN(-2, 2, AQ32)), $AZ$6:$AZ$22, "Error", 0)</f>
        <v/>
      </c>
      <c r="AR61" s="30">
        <f t="array" ref="AR61">_xlfn.XLOOKUP(MIN(ABS($AY$6:$AY$22 - MEDIAN(-2, 2, AR32))), ABS($AY$6:$AY$22 - MEDIAN(-2, 2, AR32)), $AZ$6:$AZ$22, "Error", 0)</f>
        <v/>
      </c>
      <c r="AS61" s="30">
        <f t="array" ref="AS61">_xlfn.XLOOKUP(MIN(ABS($AY$6:$AY$22 - MEDIAN(-2, 2, AS32))), ABS($AY$6:$AY$22 - MEDIAN(-2, 2, AS32)), $AZ$6:$AZ$22, "Error", 0)</f>
        <v/>
      </c>
      <c r="AT61" s="30">
        <f t="array" ref="AT61">_xlfn.XLOOKUP(MIN(ABS($AY$6:$AY$22 - MEDIAN(-2, 2, AT32))), ABS($AY$6:$AY$22 - MEDIAN(-2, 2, AT32)), $AZ$6:$AZ$22, "Error", 0)</f>
        <v/>
      </c>
      <c r="AU61" s="30">
        <f t="array" ref="AU61">_xlfn.XLOOKUP(MIN(ABS($AY$6:$AY$22 - MEDIAN(-2, 2, AU32))), ABS($AY$6:$AY$22 - MEDIAN(-2, 2, AU32)), $AZ$6:$AZ$22, "Error", 0)</f>
        <v/>
      </c>
      <c r="AV61" s="30">
        <f t="array" ref="AV61">_xlfn.XLOOKUP(MIN(ABS($AY$6:$AY$22 - MEDIAN(-2, 2, AV32))), ABS($AY$6:$AY$22 - MEDIAN(-2, 2, AV32)), $AZ$6:$AZ$22, "Error", 0)</f>
        <v/>
      </c>
      <c r="AW61" s="30">
        <f t="array" ref="AW61">_xlfn.XLOOKUP(MIN(ABS($AY$6:$AY$22 - MEDIAN(-2, 2, AW32))), ABS($AY$6:$AY$22 - MEDIAN(-2, 2, AW32)), $AZ$6:$AZ$22, "Error", 0)</f>
        <v/>
      </c>
    </row>
    <row r="62" ht="25" customHeight="1">
      <c r="A62" s="50" t="inlineStr">
        <is>
          <t>AUD CHF</t>
        </is>
      </c>
      <c r="B62" s="30">
        <f t="array" ref="B62">_xlfn.XLOOKUP(MIN(ABS($AY$6:$AY$22 - MEDIAN(-2, 2, B33))), ABS($AY$6:$AY$22 - MEDIAN(-2, 2, B33)), $AZ$6:$AZ$22, "Error", 0)</f>
        <v/>
      </c>
      <c r="C62" s="30">
        <f t="array" ref="C62">_xlfn.XLOOKUP(MIN(ABS($AY$6:$AY$22 - MEDIAN(-2, 2, C33))), ABS($AY$6:$AY$22 - MEDIAN(-2, 2, C33)), $AZ$6:$AZ$22, "Error", 0)</f>
        <v/>
      </c>
      <c r="D62" s="30">
        <f t="array" ref="D62">_xlfn.XLOOKUP(MIN(ABS($AY$6:$AY$22 - MEDIAN(-2, 2, D33))), ABS($AY$6:$AY$22 - MEDIAN(-2, 2, D33)), $AZ$6:$AZ$22, "Error", 0)</f>
        <v/>
      </c>
      <c r="E62" s="30">
        <f t="array" ref="E62">_xlfn.XLOOKUP(MIN(ABS($AY$6:$AY$22 - MEDIAN(-2, 2, E33))), ABS($AY$6:$AY$22 - MEDIAN(-2, 2, E33)), $AZ$6:$AZ$22, "Error", 0)</f>
        <v/>
      </c>
      <c r="F62" s="30">
        <f t="array" ref="F62">_xlfn.XLOOKUP(MIN(ABS($AY$6:$AY$22 - MEDIAN(-2, 2, F33))), ABS($AY$6:$AY$22 - MEDIAN(-2, 2, F33)), $AZ$6:$AZ$22, "Error", 0)</f>
        <v/>
      </c>
      <c r="G62" s="30">
        <f t="array" ref="G62">_xlfn.XLOOKUP(MIN(ABS($AY$6:$AY$22 - MEDIAN(-2, 2, G33))), ABS($AY$6:$AY$22 - MEDIAN(-2, 2, G33)), $AZ$6:$AZ$22, "Error", 0)</f>
        <v/>
      </c>
      <c r="H62" s="30">
        <f t="array" ref="H62">_xlfn.XLOOKUP(MIN(ABS($AY$6:$AY$22 - MEDIAN(-2, 2, H33))), ABS($AY$6:$AY$22 - MEDIAN(-2, 2, H33)), $AZ$6:$AZ$22, "Error", 0)</f>
        <v/>
      </c>
      <c r="I62" s="30">
        <f t="array" ref="I62">_xlfn.XLOOKUP(MIN(ABS($AY$6:$AY$22 - MEDIAN(-2, 2, I33))), ABS($AY$6:$AY$22 - MEDIAN(-2, 2, I33)), $AZ$6:$AZ$22, "Error", 0)</f>
        <v/>
      </c>
      <c r="J62" s="30">
        <f t="array" ref="J62">_xlfn.XLOOKUP(MIN(ABS($AY$6:$AY$22 - MEDIAN(-2, 2, J33))), ABS($AY$6:$AY$22 - MEDIAN(-2, 2, J33)), $AZ$6:$AZ$22, "Error", 0)</f>
        <v/>
      </c>
      <c r="K62" s="30">
        <f t="array" ref="K62">_xlfn.XLOOKUP(MIN(ABS($AY$6:$AY$22 - MEDIAN(-2, 2, K33))), ABS($AY$6:$AY$22 - MEDIAN(-2, 2, K33)), $AZ$6:$AZ$22, "Error", 0)</f>
        <v/>
      </c>
      <c r="L62" s="30">
        <f t="array" ref="L62">_xlfn.XLOOKUP(MIN(ABS($AY$6:$AY$22 - MEDIAN(-2, 2, L33))), ABS($AY$6:$AY$22 - MEDIAN(-2, 2, L33)), $AZ$6:$AZ$22, "Error", 0)</f>
        <v/>
      </c>
      <c r="M62" s="30">
        <f t="array" ref="M62">_xlfn.XLOOKUP(MIN(ABS($AY$6:$AY$22 - MEDIAN(-2, 2, M33))), ABS($AY$6:$AY$22 - MEDIAN(-2, 2, M33)), $AZ$6:$AZ$22, "Error", 0)</f>
        <v/>
      </c>
      <c r="N62" s="30">
        <f t="array" ref="N62">_xlfn.XLOOKUP(MIN(ABS($AY$6:$AY$22 - MEDIAN(-2, 2, N33))), ABS($AY$6:$AY$22 - MEDIAN(-2, 2, N33)), $AZ$6:$AZ$22, "Error", 0)</f>
        <v/>
      </c>
      <c r="O62" s="30">
        <f t="array" ref="O62">_xlfn.XLOOKUP(MIN(ABS($AY$6:$AY$22 - MEDIAN(-2, 2, O33))), ABS($AY$6:$AY$22 - MEDIAN(-2, 2, O33)), $AZ$6:$AZ$22, "Error", 0)</f>
        <v/>
      </c>
      <c r="P62" s="30">
        <f t="array" ref="P62">_xlfn.XLOOKUP(MIN(ABS($AY$6:$AY$22 - MEDIAN(-2, 2, P33))), ABS($AY$6:$AY$22 - MEDIAN(-2, 2, P33)), $AZ$6:$AZ$22, "Error", 0)</f>
        <v/>
      </c>
      <c r="Q62" s="30">
        <f t="array" ref="Q62">_xlfn.XLOOKUP(MIN(ABS($AY$6:$AY$22 - MEDIAN(-2, 2, Q33))), ABS($AY$6:$AY$22 - MEDIAN(-2, 2, Q33)), $AZ$6:$AZ$22, "Error", 0)</f>
        <v/>
      </c>
      <c r="R62" s="30">
        <f t="array" ref="R62">_xlfn.XLOOKUP(MIN(ABS($AY$6:$AY$22 - MEDIAN(-2, 2, R33))), ABS($AY$6:$AY$22 - MEDIAN(-2, 2, R33)), $AZ$6:$AZ$22, "Error", 0)</f>
        <v/>
      </c>
      <c r="S62" s="30">
        <f t="array" ref="S62">_xlfn.XLOOKUP(MIN(ABS($AY$6:$AY$22 - MEDIAN(-2, 2, S33))), ABS($AY$6:$AY$22 - MEDIAN(-2, 2, S33)), $AZ$6:$AZ$22, "Error", 0)</f>
        <v/>
      </c>
      <c r="T62" s="30">
        <f t="array" ref="T62">_xlfn.XLOOKUP(MIN(ABS($AY$6:$AY$22 - MEDIAN(-2, 2, T33))), ABS($AY$6:$AY$22 - MEDIAN(-2, 2, T33)), $AZ$6:$AZ$22, "Error", 0)</f>
        <v/>
      </c>
      <c r="U62" s="30">
        <f t="array" ref="U62">_xlfn.XLOOKUP(MIN(ABS($AY$6:$AY$22 - MEDIAN(-2, 2, U33))), ABS($AY$6:$AY$22 - MEDIAN(-2, 2, U33)), $AZ$6:$AZ$22, "Error", 0)</f>
        <v/>
      </c>
      <c r="V62" s="30">
        <f t="array" ref="V62">_xlfn.XLOOKUP(MIN(ABS($AY$6:$AY$22 - MEDIAN(-2, 2, V33))), ABS($AY$6:$AY$22 - MEDIAN(-2, 2, V33)), $AZ$6:$AZ$22, "Error", 0)</f>
        <v/>
      </c>
      <c r="W62" s="30">
        <f t="array" ref="W62">_xlfn.XLOOKUP(MIN(ABS($AY$6:$AY$22 - MEDIAN(-2, 2, W33))), ABS($AY$6:$AY$22 - MEDIAN(-2, 2, W33)), $AZ$6:$AZ$22, "Error", 0)</f>
        <v/>
      </c>
      <c r="X62" s="30">
        <f t="array" ref="X62">_xlfn.XLOOKUP(MIN(ABS($AY$6:$AY$22 - MEDIAN(-2, 2, X33))), ABS($AY$6:$AY$22 - MEDIAN(-2, 2, X33)), $AZ$6:$AZ$22, "Error", 0)</f>
        <v/>
      </c>
      <c r="Y62" s="30">
        <f t="array" ref="Y62">_xlfn.XLOOKUP(MIN(ABS($AY$6:$AY$22 - MEDIAN(-2, 2, Y33))), ABS($AY$6:$AY$22 - MEDIAN(-2, 2, Y33)), $AZ$6:$AZ$22, "Error", 0)</f>
        <v/>
      </c>
      <c r="Z62" s="30">
        <f t="array" ref="Z62">_xlfn.XLOOKUP(MIN(ABS($AY$6:$AY$22 - MEDIAN(-2, 2, Z33))), ABS($AY$6:$AY$22 - MEDIAN(-2, 2, Z33)), $AZ$6:$AZ$22, "Error", 0)</f>
        <v/>
      </c>
      <c r="AA62" s="30">
        <f t="array" ref="AA62">_xlfn.XLOOKUP(MIN(ABS($AY$6:$AY$22 - MEDIAN(-2, 2, AA33))), ABS($AY$6:$AY$22 - MEDIAN(-2, 2, AA33)), $AZ$6:$AZ$22, "Error", 0)</f>
        <v/>
      </c>
      <c r="AB62" s="30">
        <f t="array" ref="AB62">_xlfn.XLOOKUP(MIN(ABS($AY$6:$AY$22 - MEDIAN(-2, 2, AB33))), ABS($AY$6:$AY$22 - MEDIAN(-2, 2, AB33)), $AZ$6:$AZ$22, "Error", 0)</f>
        <v/>
      </c>
      <c r="AC62" s="30">
        <f t="array" ref="AC62">_xlfn.XLOOKUP(MIN(ABS($AY$6:$AY$22 - MEDIAN(-2, 2, AC33))), ABS($AY$6:$AY$22 - MEDIAN(-2, 2, AC33)), $AZ$6:$AZ$22, "Error", 0)</f>
        <v/>
      </c>
      <c r="AD62" s="30">
        <f t="array" ref="AD62">_xlfn.XLOOKUP(MIN(ABS($AY$6:$AY$22 - MEDIAN(-2, 2, AD33))), ABS($AY$6:$AY$22 - MEDIAN(-2, 2, AD33)), $AZ$6:$AZ$22, "Error", 0)</f>
        <v/>
      </c>
      <c r="AE62" s="30">
        <f t="array" ref="AE62">_xlfn.XLOOKUP(MIN(ABS($AY$6:$AY$22 - MEDIAN(-2, 2, AE33))), ABS($AY$6:$AY$22 - MEDIAN(-2, 2, AE33)), $AZ$6:$AZ$22, "Error", 0)</f>
        <v/>
      </c>
      <c r="AF62" s="30">
        <f t="array" ref="AF62">_xlfn.XLOOKUP(MIN(ABS($AY$6:$AY$22 - MEDIAN(-2, 2, AF33))), ABS($AY$6:$AY$22 - MEDIAN(-2, 2, AF33)), $AZ$6:$AZ$22, "Error", 0)</f>
        <v/>
      </c>
      <c r="AG62" s="30">
        <f t="array" ref="AG62">_xlfn.XLOOKUP(MIN(ABS($AY$6:$AY$22 - MEDIAN(-2, 2, AG33))), ABS($AY$6:$AY$22 - MEDIAN(-2, 2, AG33)), $AZ$6:$AZ$22, "Error", 0)</f>
        <v/>
      </c>
      <c r="AH62" s="30">
        <f t="array" ref="AH62">_xlfn.XLOOKUP(MIN(ABS($AY$6:$AY$22 - MEDIAN(-2, 2, AH33))), ABS($AY$6:$AY$22 - MEDIAN(-2, 2, AH33)), $AZ$6:$AZ$22, "Error", 0)</f>
        <v/>
      </c>
      <c r="AI62" s="30">
        <f t="array" ref="AI62">_xlfn.XLOOKUP(MIN(ABS($AY$6:$AY$22 - MEDIAN(-2, 2, AI33))), ABS($AY$6:$AY$22 - MEDIAN(-2, 2, AI33)), $AZ$6:$AZ$22, "Error", 0)</f>
        <v/>
      </c>
      <c r="AJ62" s="30">
        <f t="array" ref="AJ62">_xlfn.XLOOKUP(MIN(ABS($AY$6:$AY$22 - MEDIAN(-2, 2, AJ33))), ABS($AY$6:$AY$22 - MEDIAN(-2, 2, AJ33)), $AZ$6:$AZ$22, "Error", 0)</f>
        <v/>
      </c>
      <c r="AK62" s="30">
        <f t="array" ref="AK62">_xlfn.XLOOKUP(MIN(ABS($AY$6:$AY$22 - MEDIAN(-2, 2, AK33))), ABS($AY$6:$AY$22 - MEDIAN(-2, 2, AK33)), $AZ$6:$AZ$22, "Error", 0)</f>
        <v/>
      </c>
      <c r="AL62" s="30">
        <f t="array" ref="AL62">_xlfn.XLOOKUP(MIN(ABS($AY$6:$AY$22 - MEDIAN(-2, 2, AL33))), ABS($AY$6:$AY$22 - MEDIAN(-2, 2, AL33)), $AZ$6:$AZ$22, "Error", 0)</f>
        <v/>
      </c>
      <c r="AM62" s="30">
        <f t="array" ref="AM62">_xlfn.XLOOKUP(MIN(ABS($AY$6:$AY$22 - MEDIAN(-2, 2, AM33))), ABS($AY$6:$AY$22 - MEDIAN(-2, 2, AM33)), $AZ$6:$AZ$22, "Error", 0)</f>
        <v/>
      </c>
      <c r="AN62" s="30">
        <f t="array" ref="AN62">_xlfn.XLOOKUP(MIN(ABS($AY$6:$AY$22 - MEDIAN(-2, 2, AN33))), ABS($AY$6:$AY$22 - MEDIAN(-2, 2, AN33)), $AZ$6:$AZ$22, "Error", 0)</f>
        <v/>
      </c>
      <c r="AO62" s="30">
        <f t="array" ref="AO62">_xlfn.XLOOKUP(MIN(ABS($AY$6:$AY$22 - MEDIAN(-2, 2, AO33))), ABS($AY$6:$AY$22 - MEDIAN(-2, 2, AO33)), $AZ$6:$AZ$22, "Error", 0)</f>
        <v/>
      </c>
      <c r="AP62" s="30">
        <f t="array" ref="AP62">_xlfn.XLOOKUP(MIN(ABS($AY$6:$AY$22 - MEDIAN(-2, 2, AP33))), ABS($AY$6:$AY$22 - MEDIAN(-2, 2, AP33)), $AZ$6:$AZ$22, "Error", 0)</f>
        <v/>
      </c>
      <c r="AQ62" s="30">
        <f t="array" ref="AQ62">_xlfn.XLOOKUP(MIN(ABS($AY$6:$AY$22 - MEDIAN(-2, 2, AQ33))), ABS($AY$6:$AY$22 - MEDIAN(-2, 2, AQ33)), $AZ$6:$AZ$22, "Error", 0)</f>
        <v/>
      </c>
      <c r="AR62" s="30">
        <f t="array" ref="AR62">_xlfn.XLOOKUP(MIN(ABS($AY$6:$AY$22 - MEDIAN(-2, 2, AR33))), ABS($AY$6:$AY$22 - MEDIAN(-2, 2, AR33)), $AZ$6:$AZ$22, "Error", 0)</f>
        <v/>
      </c>
      <c r="AS62" s="30">
        <f t="array" ref="AS62">_xlfn.XLOOKUP(MIN(ABS($AY$6:$AY$22 - MEDIAN(-2, 2, AS33))), ABS($AY$6:$AY$22 - MEDIAN(-2, 2, AS33)), $AZ$6:$AZ$22, "Error", 0)</f>
        <v/>
      </c>
      <c r="AT62" s="30">
        <f t="array" ref="AT62">_xlfn.XLOOKUP(MIN(ABS($AY$6:$AY$22 - MEDIAN(-2, 2, AT33))), ABS($AY$6:$AY$22 - MEDIAN(-2, 2, AT33)), $AZ$6:$AZ$22, "Error", 0)</f>
        <v/>
      </c>
      <c r="AU62" s="30">
        <f t="array" ref="AU62">_xlfn.XLOOKUP(MIN(ABS($AY$6:$AY$22 - MEDIAN(-2, 2, AU33))), ABS($AY$6:$AY$22 - MEDIAN(-2, 2, AU33)), $AZ$6:$AZ$22, "Error", 0)</f>
        <v/>
      </c>
      <c r="AV62" s="30">
        <f t="array" ref="AV62">_xlfn.XLOOKUP(MIN(ABS($AY$6:$AY$22 - MEDIAN(-2, 2, AV33))), ABS($AY$6:$AY$22 - MEDIAN(-2, 2, AV33)), $AZ$6:$AZ$22, "Error", 0)</f>
        <v/>
      </c>
      <c r="AW62" s="30">
        <f t="array" ref="AW62">_xlfn.XLOOKUP(MIN(ABS($AY$6:$AY$22 - MEDIAN(-2, 2, AW33))), ABS($AY$6:$AY$22 - MEDIAN(-2, 2, AW33)), $AZ$6:$AZ$22, "Error", 0)</f>
        <v/>
      </c>
    </row>
    <row r="63" ht="25" customHeight="1">
      <c r="A63" s="50" t="inlineStr">
        <is>
          <t>AUD JPY</t>
        </is>
      </c>
      <c r="B63" s="30">
        <f t="array" ref="B63">_xlfn.XLOOKUP(MIN(ABS($AY$6:$AY$22 - MEDIAN(-2, 2, B34))), ABS($AY$6:$AY$22 - MEDIAN(-2, 2, B34)), $AZ$6:$AZ$22, "Error", 0)</f>
        <v/>
      </c>
      <c r="C63" s="30">
        <f t="array" ref="C63">_xlfn.XLOOKUP(MIN(ABS($AY$6:$AY$22 - MEDIAN(-2, 2, C34))), ABS($AY$6:$AY$22 - MEDIAN(-2, 2, C34)), $AZ$6:$AZ$22, "Error", 0)</f>
        <v/>
      </c>
      <c r="D63" s="30">
        <f t="array" ref="D63">_xlfn.XLOOKUP(MIN(ABS($AY$6:$AY$22 - MEDIAN(-2, 2, D34))), ABS($AY$6:$AY$22 - MEDIAN(-2, 2, D34)), $AZ$6:$AZ$22, "Error", 0)</f>
        <v/>
      </c>
      <c r="E63" s="30">
        <f t="array" ref="E63">_xlfn.XLOOKUP(MIN(ABS($AY$6:$AY$22 - MEDIAN(-2, 2, E34))), ABS($AY$6:$AY$22 - MEDIAN(-2, 2, E34)), $AZ$6:$AZ$22, "Error", 0)</f>
        <v/>
      </c>
      <c r="F63" s="30">
        <f t="array" ref="F63">_xlfn.XLOOKUP(MIN(ABS($AY$6:$AY$22 - MEDIAN(-2, 2, F34))), ABS($AY$6:$AY$22 - MEDIAN(-2, 2, F34)), $AZ$6:$AZ$22, "Error", 0)</f>
        <v/>
      </c>
      <c r="G63" s="30">
        <f t="array" ref="G63">_xlfn.XLOOKUP(MIN(ABS($AY$6:$AY$22 - MEDIAN(-2, 2, G34))), ABS($AY$6:$AY$22 - MEDIAN(-2, 2, G34)), $AZ$6:$AZ$22, "Error", 0)</f>
        <v/>
      </c>
      <c r="H63" s="30">
        <f t="array" ref="H63">_xlfn.XLOOKUP(MIN(ABS($AY$6:$AY$22 - MEDIAN(-2, 2, H34))), ABS($AY$6:$AY$22 - MEDIAN(-2, 2, H34)), $AZ$6:$AZ$22, "Error", 0)</f>
        <v/>
      </c>
      <c r="I63" s="30">
        <f t="array" ref="I63">_xlfn.XLOOKUP(MIN(ABS($AY$6:$AY$22 - MEDIAN(-2, 2, I34))), ABS($AY$6:$AY$22 - MEDIAN(-2, 2, I34)), $AZ$6:$AZ$22, "Error", 0)</f>
        <v/>
      </c>
      <c r="J63" s="30">
        <f t="array" ref="J63">_xlfn.XLOOKUP(MIN(ABS($AY$6:$AY$22 - MEDIAN(-2, 2, J34))), ABS($AY$6:$AY$22 - MEDIAN(-2, 2, J34)), $AZ$6:$AZ$22, "Error", 0)</f>
        <v/>
      </c>
      <c r="K63" s="30">
        <f t="array" ref="K63">_xlfn.XLOOKUP(MIN(ABS($AY$6:$AY$22 - MEDIAN(-2, 2, K34))), ABS($AY$6:$AY$22 - MEDIAN(-2, 2, K34)), $AZ$6:$AZ$22, "Error", 0)</f>
        <v/>
      </c>
      <c r="L63" s="30">
        <f t="array" ref="L63">_xlfn.XLOOKUP(MIN(ABS($AY$6:$AY$22 - MEDIAN(-2, 2, L34))), ABS($AY$6:$AY$22 - MEDIAN(-2, 2, L34)), $AZ$6:$AZ$22, "Error", 0)</f>
        <v/>
      </c>
      <c r="M63" s="30">
        <f t="array" ref="M63">_xlfn.XLOOKUP(MIN(ABS($AY$6:$AY$22 - MEDIAN(-2, 2, M34))), ABS($AY$6:$AY$22 - MEDIAN(-2, 2, M34)), $AZ$6:$AZ$22, "Error", 0)</f>
        <v/>
      </c>
      <c r="N63" s="30">
        <f t="array" ref="N63">_xlfn.XLOOKUP(MIN(ABS($AY$6:$AY$22 - MEDIAN(-2, 2, N34))), ABS($AY$6:$AY$22 - MEDIAN(-2, 2, N34)), $AZ$6:$AZ$22, "Error", 0)</f>
        <v/>
      </c>
      <c r="O63" s="30">
        <f t="array" ref="O63">_xlfn.XLOOKUP(MIN(ABS($AY$6:$AY$22 - MEDIAN(-2, 2, O34))), ABS($AY$6:$AY$22 - MEDIAN(-2, 2, O34)), $AZ$6:$AZ$22, "Error", 0)</f>
        <v/>
      </c>
      <c r="P63" s="30">
        <f t="array" ref="P63">_xlfn.XLOOKUP(MIN(ABS($AY$6:$AY$22 - MEDIAN(-2, 2, P34))), ABS($AY$6:$AY$22 - MEDIAN(-2, 2, P34)), $AZ$6:$AZ$22, "Error", 0)</f>
        <v/>
      </c>
      <c r="Q63" s="30">
        <f t="array" ref="Q63">_xlfn.XLOOKUP(MIN(ABS($AY$6:$AY$22 - MEDIAN(-2, 2, Q34))), ABS($AY$6:$AY$22 - MEDIAN(-2, 2, Q34)), $AZ$6:$AZ$22, "Error", 0)</f>
        <v/>
      </c>
      <c r="R63" s="30">
        <f t="array" ref="R63">_xlfn.XLOOKUP(MIN(ABS($AY$6:$AY$22 - MEDIAN(-2, 2, R34))), ABS($AY$6:$AY$22 - MEDIAN(-2, 2, R34)), $AZ$6:$AZ$22, "Error", 0)</f>
        <v/>
      </c>
      <c r="S63" s="30">
        <f t="array" ref="S63">_xlfn.XLOOKUP(MIN(ABS($AY$6:$AY$22 - MEDIAN(-2, 2, S34))), ABS($AY$6:$AY$22 - MEDIAN(-2, 2, S34)), $AZ$6:$AZ$22, "Error", 0)</f>
        <v/>
      </c>
      <c r="T63" s="30">
        <f t="array" ref="T63">_xlfn.XLOOKUP(MIN(ABS($AY$6:$AY$22 - MEDIAN(-2, 2, T34))), ABS($AY$6:$AY$22 - MEDIAN(-2, 2, T34)), $AZ$6:$AZ$22, "Error", 0)</f>
        <v/>
      </c>
      <c r="U63" s="30">
        <f t="array" ref="U63">_xlfn.XLOOKUP(MIN(ABS($AY$6:$AY$22 - MEDIAN(-2, 2, U34))), ABS($AY$6:$AY$22 - MEDIAN(-2, 2, U34)), $AZ$6:$AZ$22, "Error", 0)</f>
        <v/>
      </c>
      <c r="V63" s="30">
        <f t="array" ref="V63">_xlfn.XLOOKUP(MIN(ABS($AY$6:$AY$22 - MEDIAN(-2, 2, V34))), ABS($AY$6:$AY$22 - MEDIAN(-2, 2, V34)), $AZ$6:$AZ$22, "Error", 0)</f>
        <v/>
      </c>
      <c r="W63" s="30">
        <f t="array" ref="W63">_xlfn.XLOOKUP(MIN(ABS($AY$6:$AY$22 - MEDIAN(-2, 2, W34))), ABS($AY$6:$AY$22 - MEDIAN(-2, 2, W34)), $AZ$6:$AZ$22, "Error", 0)</f>
        <v/>
      </c>
      <c r="X63" s="30">
        <f t="array" ref="X63">_xlfn.XLOOKUP(MIN(ABS($AY$6:$AY$22 - MEDIAN(-2, 2, X34))), ABS($AY$6:$AY$22 - MEDIAN(-2, 2, X34)), $AZ$6:$AZ$22, "Error", 0)</f>
        <v/>
      </c>
      <c r="Y63" s="30">
        <f t="array" ref="Y63">_xlfn.XLOOKUP(MIN(ABS($AY$6:$AY$22 - MEDIAN(-2, 2, Y34))), ABS($AY$6:$AY$22 - MEDIAN(-2, 2, Y34)), $AZ$6:$AZ$22, "Error", 0)</f>
        <v/>
      </c>
      <c r="Z63" s="30">
        <f t="array" ref="Z63">_xlfn.XLOOKUP(MIN(ABS($AY$6:$AY$22 - MEDIAN(-2, 2, Z34))), ABS($AY$6:$AY$22 - MEDIAN(-2, 2, Z34)), $AZ$6:$AZ$22, "Error", 0)</f>
        <v/>
      </c>
      <c r="AA63" s="30">
        <f t="array" ref="AA63">_xlfn.XLOOKUP(MIN(ABS($AY$6:$AY$22 - MEDIAN(-2, 2, AA34))), ABS($AY$6:$AY$22 - MEDIAN(-2, 2, AA34)), $AZ$6:$AZ$22, "Error", 0)</f>
        <v/>
      </c>
      <c r="AB63" s="30">
        <f t="array" ref="AB63">_xlfn.XLOOKUP(MIN(ABS($AY$6:$AY$22 - MEDIAN(-2, 2, AB34))), ABS($AY$6:$AY$22 - MEDIAN(-2, 2, AB34)), $AZ$6:$AZ$22, "Error", 0)</f>
        <v/>
      </c>
      <c r="AC63" s="30">
        <f t="array" ref="AC63">_xlfn.XLOOKUP(MIN(ABS($AY$6:$AY$22 - MEDIAN(-2, 2, AC34))), ABS($AY$6:$AY$22 - MEDIAN(-2, 2, AC34)), $AZ$6:$AZ$22, "Error", 0)</f>
        <v/>
      </c>
      <c r="AD63" s="30">
        <f t="array" ref="AD63">_xlfn.XLOOKUP(MIN(ABS($AY$6:$AY$22 - MEDIAN(-2, 2, AD34))), ABS($AY$6:$AY$22 - MEDIAN(-2, 2, AD34)), $AZ$6:$AZ$22, "Error", 0)</f>
        <v/>
      </c>
      <c r="AE63" s="30">
        <f t="array" ref="AE63">_xlfn.XLOOKUP(MIN(ABS($AY$6:$AY$22 - MEDIAN(-2, 2, AE34))), ABS($AY$6:$AY$22 - MEDIAN(-2, 2, AE34)), $AZ$6:$AZ$22, "Error", 0)</f>
        <v/>
      </c>
      <c r="AF63" s="30">
        <f t="array" ref="AF63">_xlfn.XLOOKUP(MIN(ABS($AY$6:$AY$22 - MEDIAN(-2, 2, AF34))), ABS($AY$6:$AY$22 - MEDIAN(-2, 2, AF34)), $AZ$6:$AZ$22, "Error", 0)</f>
        <v/>
      </c>
      <c r="AG63" s="30">
        <f t="array" ref="AG63">_xlfn.XLOOKUP(MIN(ABS($AY$6:$AY$22 - MEDIAN(-2, 2, AG34))), ABS($AY$6:$AY$22 - MEDIAN(-2, 2, AG34)), $AZ$6:$AZ$22, "Error", 0)</f>
        <v/>
      </c>
      <c r="AH63" s="30">
        <f t="array" ref="AH63">_xlfn.XLOOKUP(MIN(ABS($AY$6:$AY$22 - MEDIAN(-2, 2, AH34))), ABS($AY$6:$AY$22 - MEDIAN(-2, 2, AH34)), $AZ$6:$AZ$22, "Error", 0)</f>
        <v/>
      </c>
      <c r="AI63" s="30">
        <f t="array" ref="AI63">_xlfn.XLOOKUP(MIN(ABS($AY$6:$AY$22 - MEDIAN(-2, 2, AI34))), ABS($AY$6:$AY$22 - MEDIAN(-2, 2, AI34)), $AZ$6:$AZ$22, "Error", 0)</f>
        <v/>
      </c>
      <c r="AJ63" s="30">
        <f t="array" ref="AJ63">_xlfn.XLOOKUP(MIN(ABS($AY$6:$AY$22 - MEDIAN(-2, 2, AJ34))), ABS($AY$6:$AY$22 - MEDIAN(-2, 2, AJ34)), $AZ$6:$AZ$22, "Error", 0)</f>
        <v/>
      </c>
      <c r="AK63" s="30">
        <f t="array" ref="AK63">_xlfn.XLOOKUP(MIN(ABS($AY$6:$AY$22 - MEDIAN(-2, 2, AK34))), ABS($AY$6:$AY$22 - MEDIAN(-2, 2, AK34)), $AZ$6:$AZ$22, "Error", 0)</f>
        <v/>
      </c>
      <c r="AL63" s="30">
        <f t="array" ref="AL63">_xlfn.XLOOKUP(MIN(ABS($AY$6:$AY$22 - MEDIAN(-2, 2, AL34))), ABS($AY$6:$AY$22 - MEDIAN(-2, 2, AL34)), $AZ$6:$AZ$22, "Error", 0)</f>
        <v/>
      </c>
      <c r="AM63" s="30">
        <f t="array" ref="AM63">_xlfn.XLOOKUP(MIN(ABS($AY$6:$AY$22 - MEDIAN(-2, 2, AM34))), ABS($AY$6:$AY$22 - MEDIAN(-2, 2, AM34)), $AZ$6:$AZ$22, "Error", 0)</f>
        <v/>
      </c>
      <c r="AN63" s="30">
        <f t="array" ref="AN63">_xlfn.XLOOKUP(MIN(ABS($AY$6:$AY$22 - MEDIAN(-2, 2, AN34))), ABS($AY$6:$AY$22 - MEDIAN(-2, 2, AN34)), $AZ$6:$AZ$22, "Error", 0)</f>
        <v/>
      </c>
      <c r="AO63" s="30">
        <f t="array" ref="AO63">_xlfn.XLOOKUP(MIN(ABS($AY$6:$AY$22 - MEDIAN(-2, 2, AO34))), ABS($AY$6:$AY$22 - MEDIAN(-2, 2, AO34)), $AZ$6:$AZ$22, "Error", 0)</f>
        <v/>
      </c>
      <c r="AP63" s="30">
        <f t="array" ref="AP63">_xlfn.XLOOKUP(MIN(ABS($AY$6:$AY$22 - MEDIAN(-2, 2, AP34))), ABS($AY$6:$AY$22 - MEDIAN(-2, 2, AP34)), $AZ$6:$AZ$22, "Error", 0)</f>
        <v/>
      </c>
      <c r="AQ63" s="30">
        <f t="array" ref="AQ63">_xlfn.XLOOKUP(MIN(ABS($AY$6:$AY$22 - MEDIAN(-2, 2, AQ34))), ABS($AY$6:$AY$22 - MEDIAN(-2, 2, AQ34)), $AZ$6:$AZ$22, "Error", 0)</f>
        <v/>
      </c>
      <c r="AR63" s="30">
        <f t="array" ref="AR63">_xlfn.XLOOKUP(MIN(ABS($AY$6:$AY$22 - MEDIAN(-2, 2, AR34))), ABS($AY$6:$AY$22 - MEDIAN(-2, 2, AR34)), $AZ$6:$AZ$22, "Error", 0)</f>
        <v/>
      </c>
      <c r="AS63" s="30">
        <f t="array" ref="AS63">_xlfn.XLOOKUP(MIN(ABS($AY$6:$AY$22 - MEDIAN(-2, 2, AS34))), ABS($AY$6:$AY$22 - MEDIAN(-2, 2, AS34)), $AZ$6:$AZ$22, "Error", 0)</f>
        <v/>
      </c>
      <c r="AT63" s="30">
        <f t="array" ref="AT63">_xlfn.XLOOKUP(MIN(ABS($AY$6:$AY$22 - MEDIAN(-2, 2, AT34))), ABS($AY$6:$AY$22 - MEDIAN(-2, 2, AT34)), $AZ$6:$AZ$22, "Error", 0)</f>
        <v/>
      </c>
      <c r="AU63" s="30">
        <f t="array" ref="AU63">_xlfn.XLOOKUP(MIN(ABS($AY$6:$AY$22 - MEDIAN(-2, 2, AU34))), ABS($AY$6:$AY$22 - MEDIAN(-2, 2, AU34)), $AZ$6:$AZ$22, "Error", 0)</f>
        <v/>
      </c>
      <c r="AV63" s="30">
        <f t="array" ref="AV63">_xlfn.XLOOKUP(MIN(ABS($AY$6:$AY$22 - MEDIAN(-2, 2, AV34))), ABS($AY$6:$AY$22 - MEDIAN(-2, 2, AV34)), $AZ$6:$AZ$22, "Error", 0)</f>
        <v/>
      </c>
      <c r="AW63" s="30">
        <f t="array" ref="AW63">_xlfn.XLOOKUP(MIN(ABS($AY$6:$AY$22 - MEDIAN(-2, 2, AW34))), ABS($AY$6:$AY$22 - MEDIAN(-2, 2, AW34)), $AZ$6:$AZ$22, "Error", 0)</f>
        <v/>
      </c>
    </row>
    <row r="64" ht="25" customHeight="1">
      <c r="A64" s="50" t="inlineStr">
        <is>
          <t>AUD NZD</t>
        </is>
      </c>
      <c r="B64" s="30">
        <f t="array" ref="B64">_xlfn.XLOOKUP(MIN(ABS($AY$6:$AY$22 - MEDIAN(-2, 2, B35))), ABS($AY$6:$AY$22 - MEDIAN(-2, 2, B35)), $AZ$6:$AZ$22, "Error", 0)</f>
        <v/>
      </c>
      <c r="C64" s="30">
        <f t="array" ref="C64">_xlfn.XLOOKUP(MIN(ABS($AY$6:$AY$22 - MEDIAN(-2, 2, C35))), ABS($AY$6:$AY$22 - MEDIAN(-2, 2, C35)), $AZ$6:$AZ$22, "Error", 0)</f>
        <v/>
      </c>
      <c r="D64" s="30">
        <f t="array" ref="D64">_xlfn.XLOOKUP(MIN(ABS($AY$6:$AY$22 - MEDIAN(-2, 2, D35))), ABS($AY$6:$AY$22 - MEDIAN(-2, 2, D35)), $AZ$6:$AZ$22, "Error", 0)</f>
        <v/>
      </c>
      <c r="E64" s="30">
        <f t="array" ref="E64">_xlfn.XLOOKUP(MIN(ABS($AY$6:$AY$22 - MEDIAN(-2, 2, E35))), ABS($AY$6:$AY$22 - MEDIAN(-2, 2, E35)), $AZ$6:$AZ$22, "Error", 0)</f>
        <v/>
      </c>
      <c r="F64" s="30">
        <f t="array" ref="F64">_xlfn.XLOOKUP(MIN(ABS($AY$6:$AY$22 - MEDIAN(-2, 2, F35))), ABS($AY$6:$AY$22 - MEDIAN(-2, 2, F35)), $AZ$6:$AZ$22, "Error", 0)</f>
        <v/>
      </c>
      <c r="G64" s="30">
        <f t="array" ref="G64">_xlfn.XLOOKUP(MIN(ABS($AY$6:$AY$22 - MEDIAN(-2, 2, G35))), ABS($AY$6:$AY$22 - MEDIAN(-2, 2, G35)), $AZ$6:$AZ$22, "Error", 0)</f>
        <v/>
      </c>
      <c r="H64" s="30">
        <f t="array" ref="H64">_xlfn.XLOOKUP(MIN(ABS($AY$6:$AY$22 - MEDIAN(-2, 2, H35))), ABS($AY$6:$AY$22 - MEDIAN(-2, 2, H35)), $AZ$6:$AZ$22, "Error", 0)</f>
        <v/>
      </c>
      <c r="I64" s="30">
        <f t="array" ref="I64">_xlfn.XLOOKUP(MIN(ABS($AY$6:$AY$22 - MEDIAN(-2, 2, I35))), ABS($AY$6:$AY$22 - MEDIAN(-2, 2, I35)), $AZ$6:$AZ$22, "Error", 0)</f>
        <v/>
      </c>
      <c r="J64" s="30">
        <f t="array" ref="J64">_xlfn.XLOOKUP(MIN(ABS($AY$6:$AY$22 - MEDIAN(-2, 2, J35))), ABS($AY$6:$AY$22 - MEDIAN(-2, 2, J35)), $AZ$6:$AZ$22, "Error", 0)</f>
        <v/>
      </c>
      <c r="K64" s="30">
        <f t="array" ref="K64">_xlfn.XLOOKUP(MIN(ABS($AY$6:$AY$22 - MEDIAN(-2, 2, K35))), ABS($AY$6:$AY$22 - MEDIAN(-2, 2, K35)), $AZ$6:$AZ$22, "Error", 0)</f>
        <v/>
      </c>
      <c r="L64" s="30">
        <f t="array" ref="L64">_xlfn.XLOOKUP(MIN(ABS($AY$6:$AY$22 - MEDIAN(-2, 2, L35))), ABS($AY$6:$AY$22 - MEDIAN(-2, 2, L35)), $AZ$6:$AZ$22, "Error", 0)</f>
        <v/>
      </c>
      <c r="M64" s="30">
        <f t="array" ref="M64">_xlfn.XLOOKUP(MIN(ABS($AY$6:$AY$22 - MEDIAN(-2, 2, M35))), ABS($AY$6:$AY$22 - MEDIAN(-2, 2, M35)), $AZ$6:$AZ$22, "Error", 0)</f>
        <v/>
      </c>
      <c r="N64" s="30">
        <f t="array" ref="N64">_xlfn.XLOOKUP(MIN(ABS($AY$6:$AY$22 - MEDIAN(-2, 2, N35))), ABS($AY$6:$AY$22 - MEDIAN(-2, 2, N35)), $AZ$6:$AZ$22, "Error", 0)</f>
        <v/>
      </c>
      <c r="O64" s="30">
        <f t="array" ref="O64">_xlfn.XLOOKUP(MIN(ABS($AY$6:$AY$22 - MEDIAN(-2, 2, O35))), ABS($AY$6:$AY$22 - MEDIAN(-2, 2, O35)), $AZ$6:$AZ$22, "Error", 0)</f>
        <v/>
      </c>
      <c r="P64" s="30">
        <f t="array" ref="P64">_xlfn.XLOOKUP(MIN(ABS($AY$6:$AY$22 - MEDIAN(-2, 2, P35))), ABS($AY$6:$AY$22 - MEDIAN(-2, 2, P35)), $AZ$6:$AZ$22, "Error", 0)</f>
        <v/>
      </c>
      <c r="Q64" s="30">
        <f t="array" ref="Q64">_xlfn.XLOOKUP(MIN(ABS($AY$6:$AY$22 - MEDIAN(-2, 2, Q35))), ABS($AY$6:$AY$22 - MEDIAN(-2, 2, Q35)), $AZ$6:$AZ$22, "Error", 0)</f>
        <v/>
      </c>
      <c r="R64" s="30">
        <f t="array" ref="R64">_xlfn.XLOOKUP(MIN(ABS($AY$6:$AY$22 - MEDIAN(-2, 2, R35))), ABS($AY$6:$AY$22 - MEDIAN(-2, 2, R35)), $AZ$6:$AZ$22, "Error", 0)</f>
        <v/>
      </c>
      <c r="S64" s="30">
        <f t="array" ref="S64">_xlfn.XLOOKUP(MIN(ABS($AY$6:$AY$22 - MEDIAN(-2, 2, S35))), ABS($AY$6:$AY$22 - MEDIAN(-2, 2, S35)), $AZ$6:$AZ$22, "Error", 0)</f>
        <v/>
      </c>
      <c r="T64" s="30">
        <f t="array" ref="T64">_xlfn.XLOOKUP(MIN(ABS($AY$6:$AY$22 - MEDIAN(-2, 2, T35))), ABS($AY$6:$AY$22 - MEDIAN(-2, 2, T35)), $AZ$6:$AZ$22, "Error", 0)</f>
        <v/>
      </c>
      <c r="U64" s="30">
        <f t="array" ref="U64">_xlfn.XLOOKUP(MIN(ABS($AY$6:$AY$22 - MEDIAN(-2, 2, U35))), ABS($AY$6:$AY$22 - MEDIAN(-2, 2, U35)), $AZ$6:$AZ$22, "Error", 0)</f>
        <v/>
      </c>
      <c r="V64" s="30">
        <f t="array" ref="V64">_xlfn.XLOOKUP(MIN(ABS($AY$6:$AY$22 - MEDIAN(-2, 2, V35))), ABS($AY$6:$AY$22 - MEDIAN(-2, 2, V35)), $AZ$6:$AZ$22, "Error", 0)</f>
        <v/>
      </c>
      <c r="W64" s="30">
        <f t="array" ref="W64">_xlfn.XLOOKUP(MIN(ABS($AY$6:$AY$22 - MEDIAN(-2, 2, W35))), ABS($AY$6:$AY$22 - MEDIAN(-2, 2, W35)), $AZ$6:$AZ$22, "Error", 0)</f>
        <v/>
      </c>
      <c r="X64" s="30">
        <f t="array" ref="X64">_xlfn.XLOOKUP(MIN(ABS($AY$6:$AY$22 - MEDIAN(-2, 2, X35))), ABS($AY$6:$AY$22 - MEDIAN(-2, 2, X35)), $AZ$6:$AZ$22, "Error", 0)</f>
        <v/>
      </c>
      <c r="Y64" s="30">
        <f t="array" ref="Y64">_xlfn.XLOOKUP(MIN(ABS($AY$6:$AY$22 - MEDIAN(-2, 2, Y35))), ABS($AY$6:$AY$22 - MEDIAN(-2, 2, Y35)), $AZ$6:$AZ$22, "Error", 0)</f>
        <v/>
      </c>
      <c r="Z64" s="30">
        <f t="array" ref="Z64">_xlfn.XLOOKUP(MIN(ABS($AY$6:$AY$22 - MEDIAN(-2, 2, Z35))), ABS($AY$6:$AY$22 - MEDIAN(-2, 2, Z35)), $AZ$6:$AZ$22, "Error", 0)</f>
        <v/>
      </c>
      <c r="AA64" s="30">
        <f t="array" ref="AA64">_xlfn.XLOOKUP(MIN(ABS($AY$6:$AY$22 - MEDIAN(-2, 2, AA35))), ABS($AY$6:$AY$22 - MEDIAN(-2, 2, AA35)), $AZ$6:$AZ$22, "Error", 0)</f>
        <v/>
      </c>
      <c r="AB64" s="30">
        <f t="array" ref="AB64">_xlfn.XLOOKUP(MIN(ABS($AY$6:$AY$22 - MEDIAN(-2, 2, AB35))), ABS($AY$6:$AY$22 - MEDIAN(-2, 2, AB35)), $AZ$6:$AZ$22, "Error", 0)</f>
        <v/>
      </c>
      <c r="AC64" s="30">
        <f t="array" ref="AC64">_xlfn.XLOOKUP(MIN(ABS($AY$6:$AY$22 - MEDIAN(-2, 2, AC35))), ABS($AY$6:$AY$22 - MEDIAN(-2, 2, AC35)), $AZ$6:$AZ$22, "Error", 0)</f>
        <v/>
      </c>
      <c r="AD64" s="30">
        <f t="array" ref="AD64">_xlfn.XLOOKUP(MIN(ABS($AY$6:$AY$22 - MEDIAN(-2, 2, AD35))), ABS($AY$6:$AY$22 - MEDIAN(-2, 2, AD35)), $AZ$6:$AZ$22, "Error", 0)</f>
        <v/>
      </c>
      <c r="AE64" s="30">
        <f t="array" ref="AE64">_xlfn.XLOOKUP(MIN(ABS($AY$6:$AY$22 - MEDIAN(-2, 2, AE35))), ABS($AY$6:$AY$22 - MEDIAN(-2, 2, AE35)), $AZ$6:$AZ$22, "Error", 0)</f>
        <v/>
      </c>
      <c r="AF64" s="30">
        <f t="array" ref="AF64">_xlfn.XLOOKUP(MIN(ABS($AY$6:$AY$22 - MEDIAN(-2, 2, AF35))), ABS($AY$6:$AY$22 - MEDIAN(-2, 2, AF35)), $AZ$6:$AZ$22, "Error", 0)</f>
        <v/>
      </c>
      <c r="AG64" s="30">
        <f t="array" ref="AG64">_xlfn.XLOOKUP(MIN(ABS($AY$6:$AY$22 - MEDIAN(-2, 2, AG35))), ABS($AY$6:$AY$22 - MEDIAN(-2, 2, AG35)), $AZ$6:$AZ$22, "Error", 0)</f>
        <v/>
      </c>
      <c r="AH64" s="30">
        <f t="array" ref="AH64">_xlfn.XLOOKUP(MIN(ABS($AY$6:$AY$22 - MEDIAN(-2, 2, AH35))), ABS($AY$6:$AY$22 - MEDIAN(-2, 2, AH35)), $AZ$6:$AZ$22, "Error", 0)</f>
        <v/>
      </c>
      <c r="AI64" s="30">
        <f t="array" ref="AI64">_xlfn.XLOOKUP(MIN(ABS($AY$6:$AY$22 - MEDIAN(-2, 2, AI35))), ABS($AY$6:$AY$22 - MEDIAN(-2, 2, AI35)), $AZ$6:$AZ$22, "Error", 0)</f>
        <v/>
      </c>
      <c r="AJ64" s="30">
        <f t="array" ref="AJ64">_xlfn.XLOOKUP(MIN(ABS($AY$6:$AY$22 - MEDIAN(-2, 2, AJ35))), ABS($AY$6:$AY$22 - MEDIAN(-2, 2, AJ35)), $AZ$6:$AZ$22, "Error", 0)</f>
        <v/>
      </c>
      <c r="AK64" s="30">
        <f t="array" ref="AK64">_xlfn.XLOOKUP(MIN(ABS($AY$6:$AY$22 - MEDIAN(-2, 2, AK35))), ABS($AY$6:$AY$22 - MEDIAN(-2, 2, AK35)), $AZ$6:$AZ$22, "Error", 0)</f>
        <v/>
      </c>
      <c r="AL64" s="30">
        <f t="array" ref="AL64">_xlfn.XLOOKUP(MIN(ABS($AY$6:$AY$22 - MEDIAN(-2, 2, AL35))), ABS($AY$6:$AY$22 - MEDIAN(-2, 2, AL35)), $AZ$6:$AZ$22, "Error", 0)</f>
        <v/>
      </c>
      <c r="AM64" s="30">
        <f t="array" ref="AM64">_xlfn.XLOOKUP(MIN(ABS($AY$6:$AY$22 - MEDIAN(-2, 2, AM35))), ABS($AY$6:$AY$22 - MEDIAN(-2, 2, AM35)), $AZ$6:$AZ$22, "Error", 0)</f>
        <v/>
      </c>
      <c r="AN64" s="30">
        <f t="array" ref="AN64">_xlfn.XLOOKUP(MIN(ABS($AY$6:$AY$22 - MEDIAN(-2, 2, AN35))), ABS($AY$6:$AY$22 - MEDIAN(-2, 2, AN35)), $AZ$6:$AZ$22, "Error", 0)</f>
        <v/>
      </c>
      <c r="AO64" s="30">
        <f t="array" ref="AO64">_xlfn.XLOOKUP(MIN(ABS($AY$6:$AY$22 - MEDIAN(-2, 2, AO35))), ABS($AY$6:$AY$22 - MEDIAN(-2, 2, AO35)), $AZ$6:$AZ$22, "Error", 0)</f>
        <v/>
      </c>
      <c r="AP64" s="30">
        <f t="array" ref="AP64">_xlfn.XLOOKUP(MIN(ABS($AY$6:$AY$22 - MEDIAN(-2, 2, AP35))), ABS($AY$6:$AY$22 - MEDIAN(-2, 2, AP35)), $AZ$6:$AZ$22, "Error", 0)</f>
        <v/>
      </c>
      <c r="AQ64" s="30">
        <f t="array" ref="AQ64">_xlfn.XLOOKUP(MIN(ABS($AY$6:$AY$22 - MEDIAN(-2, 2, AQ35))), ABS($AY$6:$AY$22 - MEDIAN(-2, 2, AQ35)), $AZ$6:$AZ$22, "Error", 0)</f>
        <v/>
      </c>
      <c r="AR64" s="30">
        <f t="array" ref="AR64">_xlfn.XLOOKUP(MIN(ABS($AY$6:$AY$22 - MEDIAN(-2, 2, AR35))), ABS($AY$6:$AY$22 - MEDIAN(-2, 2, AR35)), $AZ$6:$AZ$22, "Error", 0)</f>
        <v/>
      </c>
      <c r="AS64" s="30">
        <f t="array" ref="AS64">_xlfn.XLOOKUP(MIN(ABS($AY$6:$AY$22 - MEDIAN(-2, 2, AS35))), ABS($AY$6:$AY$22 - MEDIAN(-2, 2, AS35)), $AZ$6:$AZ$22, "Error", 0)</f>
        <v/>
      </c>
      <c r="AT64" s="30">
        <f t="array" ref="AT64">_xlfn.XLOOKUP(MIN(ABS($AY$6:$AY$22 - MEDIAN(-2, 2, AT35))), ABS($AY$6:$AY$22 - MEDIAN(-2, 2, AT35)), $AZ$6:$AZ$22, "Error", 0)</f>
        <v/>
      </c>
      <c r="AU64" s="30">
        <f t="array" ref="AU64">_xlfn.XLOOKUP(MIN(ABS($AY$6:$AY$22 - MEDIAN(-2, 2, AU35))), ABS($AY$6:$AY$22 - MEDIAN(-2, 2, AU35)), $AZ$6:$AZ$22, "Error", 0)</f>
        <v/>
      </c>
      <c r="AV64" s="30">
        <f t="array" ref="AV64">_xlfn.XLOOKUP(MIN(ABS($AY$6:$AY$22 - MEDIAN(-2, 2, AV35))), ABS($AY$6:$AY$22 - MEDIAN(-2, 2, AV35)), $AZ$6:$AZ$22, "Error", 0)</f>
        <v/>
      </c>
      <c r="AW64" s="30">
        <f t="array" ref="AW64">_xlfn.XLOOKUP(MIN(ABS($AY$6:$AY$22 - MEDIAN(-2, 2, AW35))), ABS($AY$6:$AY$22 - MEDIAN(-2, 2, AW35)), $AZ$6:$AZ$22, "Error", 0)</f>
        <v/>
      </c>
    </row>
    <row r="65" ht="25" customHeight="1">
      <c r="A65" s="50" t="inlineStr">
        <is>
          <t>AUD CAD</t>
        </is>
      </c>
      <c r="B65" s="30">
        <f t="array" ref="B65">_xlfn.XLOOKUP(MIN(ABS($AY$6:$AY$22 - MEDIAN(-2, 2, B36))), ABS($AY$6:$AY$22 - MEDIAN(-2, 2, B36)), $AZ$6:$AZ$22, "Error", 0)</f>
        <v/>
      </c>
      <c r="C65" s="30">
        <f t="array" ref="C65">_xlfn.XLOOKUP(MIN(ABS($AY$6:$AY$22 - MEDIAN(-2, 2, C36))), ABS($AY$6:$AY$22 - MEDIAN(-2, 2, C36)), $AZ$6:$AZ$22, "Error", 0)</f>
        <v/>
      </c>
      <c r="D65" s="30">
        <f t="array" ref="D65">_xlfn.XLOOKUP(MIN(ABS($AY$6:$AY$22 - MEDIAN(-2, 2, D36))), ABS($AY$6:$AY$22 - MEDIAN(-2, 2, D36)), $AZ$6:$AZ$22, "Error", 0)</f>
        <v/>
      </c>
      <c r="E65" s="30">
        <f t="array" ref="E65">_xlfn.XLOOKUP(MIN(ABS($AY$6:$AY$22 - MEDIAN(-2, 2, E36))), ABS($AY$6:$AY$22 - MEDIAN(-2, 2, E36)), $AZ$6:$AZ$22, "Error", 0)</f>
        <v/>
      </c>
      <c r="F65" s="30">
        <f t="array" ref="F65">_xlfn.XLOOKUP(MIN(ABS($AY$6:$AY$22 - MEDIAN(-2, 2, F36))), ABS($AY$6:$AY$22 - MEDIAN(-2, 2, F36)), $AZ$6:$AZ$22, "Error", 0)</f>
        <v/>
      </c>
      <c r="G65" s="30">
        <f t="array" ref="G65">_xlfn.XLOOKUP(MIN(ABS($AY$6:$AY$22 - MEDIAN(-2, 2, G36))), ABS($AY$6:$AY$22 - MEDIAN(-2, 2, G36)), $AZ$6:$AZ$22, "Error", 0)</f>
        <v/>
      </c>
      <c r="H65" s="30">
        <f t="array" ref="H65">_xlfn.XLOOKUP(MIN(ABS($AY$6:$AY$22 - MEDIAN(-2, 2, H36))), ABS($AY$6:$AY$22 - MEDIAN(-2, 2, H36)), $AZ$6:$AZ$22, "Error", 0)</f>
        <v/>
      </c>
      <c r="I65" s="30">
        <f t="array" ref="I65">_xlfn.XLOOKUP(MIN(ABS($AY$6:$AY$22 - MEDIAN(-2, 2, I36))), ABS($AY$6:$AY$22 - MEDIAN(-2, 2, I36)), $AZ$6:$AZ$22, "Error", 0)</f>
        <v/>
      </c>
      <c r="J65" s="30">
        <f t="array" ref="J65">_xlfn.XLOOKUP(MIN(ABS($AY$6:$AY$22 - MEDIAN(-2, 2, J36))), ABS($AY$6:$AY$22 - MEDIAN(-2, 2, J36)), $AZ$6:$AZ$22, "Error", 0)</f>
        <v/>
      </c>
      <c r="K65" s="30">
        <f t="array" ref="K65">_xlfn.XLOOKUP(MIN(ABS($AY$6:$AY$22 - MEDIAN(-2, 2, K36))), ABS($AY$6:$AY$22 - MEDIAN(-2, 2, K36)), $AZ$6:$AZ$22, "Error", 0)</f>
        <v/>
      </c>
      <c r="L65" s="30">
        <f t="array" ref="L65">_xlfn.XLOOKUP(MIN(ABS($AY$6:$AY$22 - MEDIAN(-2, 2, L36))), ABS($AY$6:$AY$22 - MEDIAN(-2, 2, L36)), $AZ$6:$AZ$22, "Error", 0)</f>
        <v/>
      </c>
      <c r="M65" s="30">
        <f t="array" ref="M65">_xlfn.XLOOKUP(MIN(ABS($AY$6:$AY$22 - MEDIAN(-2, 2, M36))), ABS($AY$6:$AY$22 - MEDIAN(-2, 2, M36)), $AZ$6:$AZ$22, "Error", 0)</f>
        <v/>
      </c>
      <c r="N65" s="30">
        <f t="array" ref="N65">_xlfn.XLOOKUP(MIN(ABS($AY$6:$AY$22 - MEDIAN(-2, 2, N36))), ABS($AY$6:$AY$22 - MEDIAN(-2, 2, N36)), $AZ$6:$AZ$22, "Error", 0)</f>
        <v/>
      </c>
      <c r="O65" s="30">
        <f t="array" ref="O65">_xlfn.XLOOKUP(MIN(ABS($AY$6:$AY$22 - MEDIAN(-2, 2, O36))), ABS($AY$6:$AY$22 - MEDIAN(-2, 2, O36)), $AZ$6:$AZ$22, "Error", 0)</f>
        <v/>
      </c>
      <c r="P65" s="30">
        <f t="array" ref="P65">_xlfn.XLOOKUP(MIN(ABS($AY$6:$AY$22 - MEDIAN(-2, 2, P36))), ABS($AY$6:$AY$22 - MEDIAN(-2, 2, P36)), $AZ$6:$AZ$22, "Error", 0)</f>
        <v/>
      </c>
      <c r="Q65" s="30">
        <f t="array" ref="Q65">_xlfn.XLOOKUP(MIN(ABS($AY$6:$AY$22 - MEDIAN(-2, 2, Q36))), ABS($AY$6:$AY$22 - MEDIAN(-2, 2, Q36)), $AZ$6:$AZ$22, "Error", 0)</f>
        <v/>
      </c>
      <c r="R65" s="30">
        <f t="array" ref="R65">_xlfn.XLOOKUP(MIN(ABS($AY$6:$AY$22 - MEDIAN(-2, 2, R36))), ABS($AY$6:$AY$22 - MEDIAN(-2, 2, R36)), $AZ$6:$AZ$22, "Error", 0)</f>
        <v/>
      </c>
      <c r="S65" s="30">
        <f t="array" ref="S65">_xlfn.XLOOKUP(MIN(ABS($AY$6:$AY$22 - MEDIAN(-2, 2, S36))), ABS($AY$6:$AY$22 - MEDIAN(-2, 2, S36)), $AZ$6:$AZ$22, "Error", 0)</f>
        <v/>
      </c>
      <c r="T65" s="30">
        <f t="array" ref="T65">_xlfn.XLOOKUP(MIN(ABS($AY$6:$AY$22 - MEDIAN(-2, 2, T36))), ABS($AY$6:$AY$22 - MEDIAN(-2, 2, T36)), $AZ$6:$AZ$22, "Error", 0)</f>
        <v/>
      </c>
      <c r="U65" s="30">
        <f t="array" ref="U65">_xlfn.XLOOKUP(MIN(ABS($AY$6:$AY$22 - MEDIAN(-2, 2, U36))), ABS($AY$6:$AY$22 - MEDIAN(-2, 2, U36)), $AZ$6:$AZ$22, "Error", 0)</f>
        <v/>
      </c>
      <c r="V65" s="30">
        <f t="array" ref="V65">_xlfn.XLOOKUP(MIN(ABS($AY$6:$AY$22 - MEDIAN(-2, 2, V36))), ABS($AY$6:$AY$22 - MEDIAN(-2, 2, V36)), $AZ$6:$AZ$22, "Error", 0)</f>
        <v/>
      </c>
      <c r="W65" s="30">
        <f t="array" ref="W65">_xlfn.XLOOKUP(MIN(ABS($AY$6:$AY$22 - MEDIAN(-2, 2, W36))), ABS($AY$6:$AY$22 - MEDIAN(-2, 2, W36)), $AZ$6:$AZ$22, "Error", 0)</f>
        <v/>
      </c>
      <c r="X65" s="30">
        <f t="array" ref="X65">_xlfn.XLOOKUP(MIN(ABS($AY$6:$AY$22 - MEDIAN(-2, 2, X36))), ABS($AY$6:$AY$22 - MEDIAN(-2, 2, X36)), $AZ$6:$AZ$22, "Error", 0)</f>
        <v/>
      </c>
      <c r="Y65" s="30">
        <f t="array" ref="Y65">_xlfn.XLOOKUP(MIN(ABS($AY$6:$AY$22 - MEDIAN(-2, 2, Y36))), ABS($AY$6:$AY$22 - MEDIAN(-2, 2, Y36)), $AZ$6:$AZ$22, "Error", 0)</f>
        <v/>
      </c>
      <c r="Z65" s="30">
        <f t="array" ref="Z65">_xlfn.XLOOKUP(MIN(ABS($AY$6:$AY$22 - MEDIAN(-2, 2, Z36))), ABS($AY$6:$AY$22 - MEDIAN(-2, 2, Z36)), $AZ$6:$AZ$22, "Error", 0)</f>
        <v/>
      </c>
      <c r="AA65" s="30">
        <f t="array" ref="AA65">_xlfn.XLOOKUP(MIN(ABS($AY$6:$AY$22 - MEDIAN(-2, 2, AA36))), ABS($AY$6:$AY$22 - MEDIAN(-2, 2, AA36)), $AZ$6:$AZ$22, "Error", 0)</f>
        <v/>
      </c>
      <c r="AB65" s="30">
        <f t="array" ref="AB65">_xlfn.XLOOKUP(MIN(ABS($AY$6:$AY$22 - MEDIAN(-2, 2, AB36))), ABS($AY$6:$AY$22 - MEDIAN(-2, 2, AB36)), $AZ$6:$AZ$22, "Error", 0)</f>
        <v/>
      </c>
      <c r="AC65" s="30">
        <f t="array" ref="AC65">_xlfn.XLOOKUP(MIN(ABS($AY$6:$AY$22 - MEDIAN(-2, 2, AC36))), ABS($AY$6:$AY$22 - MEDIAN(-2, 2, AC36)), $AZ$6:$AZ$22, "Error", 0)</f>
        <v/>
      </c>
      <c r="AD65" s="30">
        <f t="array" ref="AD65">_xlfn.XLOOKUP(MIN(ABS($AY$6:$AY$22 - MEDIAN(-2, 2, AD36))), ABS($AY$6:$AY$22 - MEDIAN(-2, 2, AD36)), $AZ$6:$AZ$22, "Error", 0)</f>
        <v/>
      </c>
      <c r="AE65" s="30">
        <f t="array" ref="AE65">_xlfn.XLOOKUP(MIN(ABS($AY$6:$AY$22 - MEDIAN(-2, 2, AE36))), ABS($AY$6:$AY$22 - MEDIAN(-2, 2, AE36)), $AZ$6:$AZ$22, "Error", 0)</f>
        <v/>
      </c>
      <c r="AF65" s="30">
        <f t="array" ref="AF65">_xlfn.XLOOKUP(MIN(ABS($AY$6:$AY$22 - MEDIAN(-2, 2, AF36))), ABS($AY$6:$AY$22 - MEDIAN(-2, 2, AF36)), $AZ$6:$AZ$22, "Error", 0)</f>
        <v/>
      </c>
      <c r="AG65" s="30">
        <f t="array" ref="AG65">_xlfn.XLOOKUP(MIN(ABS($AY$6:$AY$22 - MEDIAN(-2, 2, AG36))), ABS($AY$6:$AY$22 - MEDIAN(-2, 2, AG36)), $AZ$6:$AZ$22, "Error", 0)</f>
        <v/>
      </c>
      <c r="AH65" s="30">
        <f t="array" ref="AH65">_xlfn.XLOOKUP(MIN(ABS($AY$6:$AY$22 - MEDIAN(-2, 2, AH36))), ABS($AY$6:$AY$22 - MEDIAN(-2, 2, AH36)), $AZ$6:$AZ$22, "Error", 0)</f>
        <v/>
      </c>
      <c r="AI65" s="30">
        <f t="array" ref="AI65">_xlfn.XLOOKUP(MIN(ABS($AY$6:$AY$22 - MEDIAN(-2, 2, AI36))), ABS($AY$6:$AY$22 - MEDIAN(-2, 2, AI36)), $AZ$6:$AZ$22, "Error", 0)</f>
        <v/>
      </c>
      <c r="AJ65" s="30">
        <f t="array" ref="AJ65">_xlfn.XLOOKUP(MIN(ABS($AY$6:$AY$22 - MEDIAN(-2, 2, AJ36))), ABS($AY$6:$AY$22 - MEDIAN(-2, 2, AJ36)), $AZ$6:$AZ$22, "Error", 0)</f>
        <v/>
      </c>
      <c r="AK65" s="30">
        <f t="array" ref="AK65">_xlfn.XLOOKUP(MIN(ABS($AY$6:$AY$22 - MEDIAN(-2, 2, AK36))), ABS($AY$6:$AY$22 - MEDIAN(-2, 2, AK36)), $AZ$6:$AZ$22, "Error", 0)</f>
        <v/>
      </c>
      <c r="AL65" s="30">
        <f t="array" ref="AL65">_xlfn.XLOOKUP(MIN(ABS($AY$6:$AY$22 - MEDIAN(-2, 2, AL36))), ABS($AY$6:$AY$22 - MEDIAN(-2, 2, AL36)), $AZ$6:$AZ$22, "Error", 0)</f>
        <v/>
      </c>
      <c r="AM65" s="30">
        <f t="array" ref="AM65">_xlfn.XLOOKUP(MIN(ABS($AY$6:$AY$22 - MEDIAN(-2, 2, AM36))), ABS($AY$6:$AY$22 - MEDIAN(-2, 2, AM36)), $AZ$6:$AZ$22, "Error", 0)</f>
        <v/>
      </c>
      <c r="AN65" s="30">
        <f t="array" ref="AN65">_xlfn.XLOOKUP(MIN(ABS($AY$6:$AY$22 - MEDIAN(-2, 2, AN36))), ABS($AY$6:$AY$22 - MEDIAN(-2, 2, AN36)), $AZ$6:$AZ$22, "Error", 0)</f>
        <v/>
      </c>
      <c r="AO65" s="30">
        <f t="array" ref="AO65">_xlfn.XLOOKUP(MIN(ABS($AY$6:$AY$22 - MEDIAN(-2, 2, AO36))), ABS($AY$6:$AY$22 - MEDIAN(-2, 2, AO36)), $AZ$6:$AZ$22, "Error", 0)</f>
        <v/>
      </c>
      <c r="AP65" s="30">
        <f t="array" ref="AP65">_xlfn.XLOOKUP(MIN(ABS($AY$6:$AY$22 - MEDIAN(-2, 2, AP36))), ABS($AY$6:$AY$22 - MEDIAN(-2, 2, AP36)), $AZ$6:$AZ$22, "Error", 0)</f>
        <v/>
      </c>
      <c r="AQ65" s="30">
        <f t="array" ref="AQ65">_xlfn.XLOOKUP(MIN(ABS($AY$6:$AY$22 - MEDIAN(-2, 2, AQ36))), ABS($AY$6:$AY$22 - MEDIAN(-2, 2, AQ36)), $AZ$6:$AZ$22, "Error", 0)</f>
        <v/>
      </c>
      <c r="AR65" s="30">
        <f t="array" ref="AR65">_xlfn.XLOOKUP(MIN(ABS($AY$6:$AY$22 - MEDIAN(-2, 2, AR36))), ABS($AY$6:$AY$22 - MEDIAN(-2, 2, AR36)), $AZ$6:$AZ$22, "Error", 0)</f>
        <v/>
      </c>
      <c r="AS65" s="30">
        <f t="array" ref="AS65">_xlfn.XLOOKUP(MIN(ABS($AY$6:$AY$22 - MEDIAN(-2, 2, AS36))), ABS($AY$6:$AY$22 - MEDIAN(-2, 2, AS36)), $AZ$6:$AZ$22, "Error", 0)</f>
        <v/>
      </c>
      <c r="AT65" s="30">
        <f t="array" ref="AT65">_xlfn.XLOOKUP(MIN(ABS($AY$6:$AY$22 - MEDIAN(-2, 2, AT36))), ABS($AY$6:$AY$22 - MEDIAN(-2, 2, AT36)), $AZ$6:$AZ$22, "Error", 0)</f>
        <v/>
      </c>
      <c r="AU65" s="30">
        <f t="array" ref="AU65">_xlfn.XLOOKUP(MIN(ABS($AY$6:$AY$22 - MEDIAN(-2, 2, AU36))), ABS($AY$6:$AY$22 - MEDIAN(-2, 2, AU36)), $AZ$6:$AZ$22, "Error", 0)</f>
        <v/>
      </c>
      <c r="AV65" s="30">
        <f t="array" ref="AV65">_xlfn.XLOOKUP(MIN(ABS($AY$6:$AY$22 - MEDIAN(-2, 2, AV36))), ABS($AY$6:$AY$22 - MEDIAN(-2, 2, AV36)), $AZ$6:$AZ$22, "Error", 0)</f>
        <v/>
      </c>
      <c r="AW65" s="30">
        <f t="array" ref="AW65">_xlfn.XLOOKUP(MIN(ABS($AY$6:$AY$22 - MEDIAN(-2, 2, AW36))), ABS($AY$6:$AY$22 - MEDIAN(-2, 2, AW36)), $AZ$6:$AZ$22, "Error", 0)</f>
        <v/>
      </c>
    </row>
    <row r="66" ht="25" customHeight="1">
      <c r="A66" s="51" t="inlineStr">
        <is>
          <t>CAD JPY</t>
        </is>
      </c>
      <c r="B66" s="30">
        <f t="array" ref="B66">_xlfn.XLOOKUP(MIN(ABS($AY$6:$AY$22 - MEDIAN(-2, 2, B37))), ABS($AY$6:$AY$22 - MEDIAN(-2, 2, B37)), $AZ$6:$AZ$22, "Error", 0)</f>
        <v/>
      </c>
      <c r="C66" s="30">
        <f t="array" ref="C66">_xlfn.XLOOKUP(MIN(ABS($AY$6:$AY$22 - MEDIAN(-2, 2, C37))), ABS($AY$6:$AY$22 - MEDIAN(-2, 2, C37)), $AZ$6:$AZ$22, "Error", 0)</f>
        <v/>
      </c>
      <c r="D66" s="30">
        <f t="array" ref="D66">_xlfn.XLOOKUP(MIN(ABS($AY$6:$AY$22 - MEDIAN(-2, 2, D37))), ABS($AY$6:$AY$22 - MEDIAN(-2, 2, D37)), $AZ$6:$AZ$22, "Error", 0)</f>
        <v/>
      </c>
      <c r="E66" s="30">
        <f t="array" ref="E66">_xlfn.XLOOKUP(MIN(ABS($AY$6:$AY$22 - MEDIAN(-2, 2, E37))), ABS($AY$6:$AY$22 - MEDIAN(-2, 2, E37)), $AZ$6:$AZ$22, "Error", 0)</f>
        <v/>
      </c>
      <c r="F66" s="30">
        <f t="array" ref="F66">_xlfn.XLOOKUP(MIN(ABS($AY$6:$AY$22 - MEDIAN(-2, 2, F37))), ABS($AY$6:$AY$22 - MEDIAN(-2, 2, F37)), $AZ$6:$AZ$22, "Error", 0)</f>
        <v/>
      </c>
      <c r="G66" s="30">
        <f t="array" ref="G66">_xlfn.XLOOKUP(MIN(ABS($AY$6:$AY$22 - MEDIAN(-2, 2, G37))), ABS($AY$6:$AY$22 - MEDIAN(-2, 2, G37)), $AZ$6:$AZ$22, "Error", 0)</f>
        <v/>
      </c>
      <c r="H66" s="30">
        <f t="array" ref="H66">_xlfn.XLOOKUP(MIN(ABS($AY$6:$AY$22 - MEDIAN(-2, 2, H37))), ABS($AY$6:$AY$22 - MEDIAN(-2, 2, H37)), $AZ$6:$AZ$22, "Error", 0)</f>
        <v/>
      </c>
      <c r="I66" s="30">
        <f t="array" ref="I66">_xlfn.XLOOKUP(MIN(ABS($AY$6:$AY$22 - MEDIAN(-2, 2, I37))), ABS($AY$6:$AY$22 - MEDIAN(-2, 2, I37)), $AZ$6:$AZ$22, "Error", 0)</f>
        <v/>
      </c>
      <c r="J66" s="30">
        <f t="array" ref="J66">_xlfn.XLOOKUP(MIN(ABS($AY$6:$AY$22 - MEDIAN(-2, 2, J37))), ABS($AY$6:$AY$22 - MEDIAN(-2, 2, J37)), $AZ$6:$AZ$22, "Error", 0)</f>
        <v/>
      </c>
      <c r="K66" s="30">
        <f t="array" ref="K66">_xlfn.XLOOKUP(MIN(ABS($AY$6:$AY$22 - MEDIAN(-2, 2, K37))), ABS($AY$6:$AY$22 - MEDIAN(-2, 2, K37)), $AZ$6:$AZ$22, "Error", 0)</f>
        <v/>
      </c>
      <c r="L66" s="30">
        <f t="array" ref="L66">_xlfn.XLOOKUP(MIN(ABS($AY$6:$AY$22 - MEDIAN(-2, 2, L37))), ABS($AY$6:$AY$22 - MEDIAN(-2, 2, L37)), $AZ$6:$AZ$22, "Error", 0)</f>
        <v/>
      </c>
      <c r="M66" s="30">
        <f t="array" ref="M66">_xlfn.XLOOKUP(MIN(ABS($AY$6:$AY$22 - MEDIAN(-2, 2, M37))), ABS($AY$6:$AY$22 - MEDIAN(-2, 2, M37)), $AZ$6:$AZ$22, "Error", 0)</f>
        <v/>
      </c>
      <c r="N66" s="30">
        <f t="array" ref="N66">_xlfn.XLOOKUP(MIN(ABS($AY$6:$AY$22 - MEDIAN(-2, 2, N37))), ABS($AY$6:$AY$22 - MEDIAN(-2, 2, N37)), $AZ$6:$AZ$22, "Error", 0)</f>
        <v/>
      </c>
      <c r="O66" s="30">
        <f t="array" ref="O66">_xlfn.XLOOKUP(MIN(ABS($AY$6:$AY$22 - MEDIAN(-2, 2, O37))), ABS($AY$6:$AY$22 - MEDIAN(-2, 2, O37)), $AZ$6:$AZ$22, "Error", 0)</f>
        <v/>
      </c>
      <c r="P66" s="30">
        <f t="array" ref="P66">_xlfn.XLOOKUP(MIN(ABS($AY$6:$AY$22 - MEDIAN(-2, 2, P37))), ABS($AY$6:$AY$22 - MEDIAN(-2, 2, P37)), $AZ$6:$AZ$22, "Error", 0)</f>
        <v/>
      </c>
      <c r="Q66" s="30">
        <f t="array" ref="Q66">_xlfn.XLOOKUP(MIN(ABS($AY$6:$AY$22 - MEDIAN(-2, 2, Q37))), ABS($AY$6:$AY$22 - MEDIAN(-2, 2, Q37)), $AZ$6:$AZ$22, "Error", 0)</f>
        <v/>
      </c>
      <c r="R66" s="30">
        <f t="array" ref="R66">_xlfn.XLOOKUP(MIN(ABS($AY$6:$AY$22 - MEDIAN(-2, 2, R37))), ABS($AY$6:$AY$22 - MEDIAN(-2, 2, R37)), $AZ$6:$AZ$22, "Error", 0)</f>
        <v/>
      </c>
      <c r="S66" s="30">
        <f t="array" ref="S66">_xlfn.XLOOKUP(MIN(ABS($AY$6:$AY$22 - MEDIAN(-2, 2, S37))), ABS($AY$6:$AY$22 - MEDIAN(-2, 2, S37)), $AZ$6:$AZ$22, "Error", 0)</f>
        <v/>
      </c>
      <c r="T66" s="30">
        <f t="array" ref="T66">_xlfn.XLOOKUP(MIN(ABS($AY$6:$AY$22 - MEDIAN(-2, 2, T37))), ABS($AY$6:$AY$22 - MEDIAN(-2, 2, T37)), $AZ$6:$AZ$22, "Error", 0)</f>
        <v/>
      </c>
      <c r="U66" s="30">
        <f t="array" ref="U66">_xlfn.XLOOKUP(MIN(ABS($AY$6:$AY$22 - MEDIAN(-2, 2, U37))), ABS($AY$6:$AY$22 - MEDIAN(-2, 2, U37)), $AZ$6:$AZ$22, "Error", 0)</f>
        <v/>
      </c>
      <c r="V66" s="30">
        <f t="array" ref="V66">_xlfn.XLOOKUP(MIN(ABS($AY$6:$AY$22 - MEDIAN(-2, 2, V37))), ABS($AY$6:$AY$22 - MEDIAN(-2, 2, V37)), $AZ$6:$AZ$22, "Error", 0)</f>
        <v/>
      </c>
      <c r="W66" s="30">
        <f t="array" ref="W66">_xlfn.XLOOKUP(MIN(ABS($AY$6:$AY$22 - MEDIAN(-2, 2, W37))), ABS($AY$6:$AY$22 - MEDIAN(-2, 2, W37)), $AZ$6:$AZ$22, "Error", 0)</f>
        <v/>
      </c>
      <c r="X66" s="30">
        <f t="array" ref="X66">_xlfn.XLOOKUP(MIN(ABS($AY$6:$AY$22 - MEDIAN(-2, 2, X37))), ABS($AY$6:$AY$22 - MEDIAN(-2, 2, X37)), $AZ$6:$AZ$22, "Error", 0)</f>
        <v/>
      </c>
      <c r="Y66" s="30">
        <f t="array" ref="Y66">_xlfn.XLOOKUP(MIN(ABS($AY$6:$AY$22 - MEDIAN(-2, 2, Y37))), ABS($AY$6:$AY$22 - MEDIAN(-2, 2, Y37)), $AZ$6:$AZ$22, "Error", 0)</f>
        <v/>
      </c>
      <c r="Z66" s="30">
        <f t="array" ref="Z66">_xlfn.XLOOKUP(MIN(ABS($AY$6:$AY$22 - MEDIAN(-2, 2, Z37))), ABS($AY$6:$AY$22 - MEDIAN(-2, 2, Z37)), $AZ$6:$AZ$22, "Error", 0)</f>
        <v/>
      </c>
      <c r="AA66" s="30">
        <f t="array" ref="AA66">_xlfn.XLOOKUP(MIN(ABS($AY$6:$AY$22 - MEDIAN(-2, 2, AA37))), ABS($AY$6:$AY$22 - MEDIAN(-2, 2, AA37)), $AZ$6:$AZ$22, "Error", 0)</f>
        <v/>
      </c>
      <c r="AB66" s="30">
        <f t="array" ref="AB66">_xlfn.XLOOKUP(MIN(ABS($AY$6:$AY$22 - MEDIAN(-2, 2, AB37))), ABS($AY$6:$AY$22 - MEDIAN(-2, 2, AB37)), $AZ$6:$AZ$22, "Error", 0)</f>
        <v/>
      </c>
      <c r="AC66" s="30">
        <f t="array" ref="AC66">_xlfn.XLOOKUP(MIN(ABS($AY$6:$AY$22 - MEDIAN(-2, 2, AC37))), ABS($AY$6:$AY$22 - MEDIAN(-2, 2, AC37)), $AZ$6:$AZ$22, "Error", 0)</f>
        <v/>
      </c>
      <c r="AD66" s="30">
        <f t="array" ref="AD66">_xlfn.XLOOKUP(MIN(ABS($AY$6:$AY$22 - MEDIAN(-2, 2, AD37))), ABS($AY$6:$AY$22 - MEDIAN(-2, 2, AD37)), $AZ$6:$AZ$22, "Error", 0)</f>
        <v/>
      </c>
      <c r="AE66" s="30">
        <f t="array" ref="AE66">_xlfn.XLOOKUP(MIN(ABS($AY$6:$AY$22 - MEDIAN(-2, 2, AE37))), ABS($AY$6:$AY$22 - MEDIAN(-2, 2, AE37)), $AZ$6:$AZ$22, "Error", 0)</f>
        <v/>
      </c>
      <c r="AF66" s="30">
        <f t="array" ref="AF66">_xlfn.XLOOKUP(MIN(ABS($AY$6:$AY$22 - MEDIAN(-2, 2, AF37))), ABS($AY$6:$AY$22 - MEDIAN(-2, 2, AF37)), $AZ$6:$AZ$22, "Error", 0)</f>
        <v/>
      </c>
      <c r="AG66" s="30">
        <f t="array" ref="AG66">_xlfn.XLOOKUP(MIN(ABS($AY$6:$AY$22 - MEDIAN(-2, 2, AG37))), ABS($AY$6:$AY$22 - MEDIAN(-2, 2, AG37)), $AZ$6:$AZ$22, "Error", 0)</f>
        <v/>
      </c>
      <c r="AH66" s="30">
        <f t="array" ref="AH66">_xlfn.XLOOKUP(MIN(ABS($AY$6:$AY$22 - MEDIAN(-2, 2, AH37))), ABS($AY$6:$AY$22 - MEDIAN(-2, 2, AH37)), $AZ$6:$AZ$22, "Error", 0)</f>
        <v/>
      </c>
      <c r="AI66" s="30">
        <f t="array" ref="AI66">_xlfn.XLOOKUP(MIN(ABS($AY$6:$AY$22 - MEDIAN(-2, 2, AI37))), ABS($AY$6:$AY$22 - MEDIAN(-2, 2, AI37)), $AZ$6:$AZ$22, "Error", 0)</f>
        <v/>
      </c>
      <c r="AJ66" s="30">
        <f t="array" ref="AJ66">_xlfn.XLOOKUP(MIN(ABS($AY$6:$AY$22 - MEDIAN(-2, 2, AJ37))), ABS($AY$6:$AY$22 - MEDIAN(-2, 2, AJ37)), $AZ$6:$AZ$22, "Error", 0)</f>
        <v/>
      </c>
      <c r="AK66" s="30">
        <f t="array" ref="AK66">_xlfn.XLOOKUP(MIN(ABS($AY$6:$AY$22 - MEDIAN(-2, 2, AK37))), ABS($AY$6:$AY$22 - MEDIAN(-2, 2, AK37)), $AZ$6:$AZ$22, "Error", 0)</f>
        <v/>
      </c>
      <c r="AL66" s="30">
        <f t="array" ref="AL66">_xlfn.XLOOKUP(MIN(ABS($AY$6:$AY$22 - MEDIAN(-2, 2, AL37))), ABS($AY$6:$AY$22 - MEDIAN(-2, 2, AL37)), $AZ$6:$AZ$22, "Error", 0)</f>
        <v/>
      </c>
      <c r="AM66" s="30">
        <f t="array" ref="AM66">_xlfn.XLOOKUP(MIN(ABS($AY$6:$AY$22 - MEDIAN(-2, 2, AM37))), ABS($AY$6:$AY$22 - MEDIAN(-2, 2, AM37)), $AZ$6:$AZ$22, "Error", 0)</f>
        <v/>
      </c>
      <c r="AN66" s="30">
        <f t="array" ref="AN66">_xlfn.XLOOKUP(MIN(ABS($AY$6:$AY$22 - MEDIAN(-2, 2, AN37))), ABS($AY$6:$AY$22 - MEDIAN(-2, 2, AN37)), $AZ$6:$AZ$22, "Error", 0)</f>
        <v/>
      </c>
      <c r="AO66" s="30">
        <f t="array" ref="AO66">_xlfn.XLOOKUP(MIN(ABS($AY$6:$AY$22 - MEDIAN(-2, 2, AO37))), ABS($AY$6:$AY$22 - MEDIAN(-2, 2, AO37)), $AZ$6:$AZ$22, "Error", 0)</f>
        <v/>
      </c>
      <c r="AP66" s="30">
        <f t="array" ref="AP66">_xlfn.XLOOKUP(MIN(ABS($AY$6:$AY$22 - MEDIAN(-2, 2, AP37))), ABS($AY$6:$AY$22 - MEDIAN(-2, 2, AP37)), $AZ$6:$AZ$22, "Error", 0)</f>
        <v/>
      </c>
      <c r="AQ66" s="30">
        <f t="array" ref="AQ66">_xlfn.XLOOKUP(MIN(ABS($AY$6:$AY$22 - MEDIAN(-2, 2, AQ37))), ABS($AY$6:$AY$22 - MEDIAN(-2, 2, AQ37)), $AZ$6:$AZ$22, "Error", 0)</f>
        <v/>
      </c>
      <c r="AR66" s="30">
        <f t="array" ref="AR66">_xlfn.XLOOKUP(MIN(ABS($AY$6:$AY$22 - MEDIAN(-2, 2, AR37))), ABS($AY$6:$AY$22 - MEDIAN(-2, 2, AR37)), $AZ$6:$AZ$22, "Error", 0)</f>
        <v/>
      </c>
      <c r="AS66" s="30">
        <f t="array" ref="AS66">_xlfn.XLOOKUP(MIN(ABS($AY$6:$AY$22 - MEDIAN(-2, 2, AS37))), ABS($AY$6:$AY$22 - MEDIAN(-2, 2, AS37)), $AZ$6:$AZ$22, "Error", 0)</f>
        <v/>
      </c>
      <c r="AT66" s="30">
        <f t="array" ref="AT66">_xlfn.XLOOKUP(MIN(ABS($AY$6:$AY$22 - MEDIAN(-2, 2, AT37))), ABS($AY$6:$AY$22 - MEDIAN(-2, 2, AT37)), $AZ$6:$AZ$22, "Error", 0)</f>
        <v/>
      </c>
      <c r="AU66" s="30">
        <f t="array" ref="AU66">_xlfn.XLOOKUP(MIN(ABS($AY$6:$AY$22 - MEDIAN(-2, 2, AU37))), ABS($AY$6:$AY$22 - MEDIAN(-2, 2, AU37)), $AZ$6:$AZ$22, "Error", 0)</f>
        <v/>
      </c>
      <c r="AV66" s="30">
        <f t="array" ref="AV66">_xlfn.XLOOKUP(MIN(ABS($AY$6:$AY$22 - MEDIAN(-2, 2, AV37))), ABS($AY$6:$AY$22 - MEDIAN(-2, 2, AV37)), $AZ$6:$AZ$22, "Error", 0)</f>
        <v/>
      </c>
      <c r="AW66" s="30">
        <f t="array" ref="AW66">_xlfn.XLOOKUP(MIN(ABS($AY$6:$AY$22 - MEDIAN(-2, 2, AW37))), ABS($AY$6:$AY$22 - MEDIAN(-2, 2, AW37)), $AZ$6:$AZ$22, "Error", 0)</f>
        <v/>
      </c>
    </row>
    <row r="69" ht="25" customHeight="1" thickBot="1">
      <c r="B69" s="118" t="n">
        <v>-2</v>
      </c>
      <c r="C69" s="119" t="inlineStr">
        <is>
          <t>2</t>
        </is>
      </c>
      <c r="F69" s="122" t="n">
        <v>0.25</v>
      </c>
      <c r="G69" s="128" t="inlineStr">
        <is>
          <t>-4</t>
        </is>
      </c>
    </row>
    <row r="70" ht="25" customHeight="1" thickBot="1">
      <c r="B70" s="122" t="n">
        <v>-1.75</v>
      </c>
      <c r="C70" s="119" t="inlineStr">
        <is>
          <t>3</t>
        </is>
      </c>
      <c r="F70" s="118" t="n">
        <v>0.5</v>
      </c>
      <c r="G70" s="128" t="inlineStr">
        <is>
          <t>-6</t>
        </is>
      </c>
    </row>
    <row r="71" ht="25" customHeight="1" thickBot="1">
      <c r="B71" s="118" t="n">
        <v>-1.5</v>
      </c>
      <c r="C71" s="119" t="inlineStr">
        <is>
          <t>4</t>
        </is>
      </c>
      <c r="F71" s="122" t="n">
        <v>0.75</v>
      </c>
      <c r="G71" s="128" t="inlineStr">
        <is>
          <t>-8</t>
        </is>
      </c>
    </row>
    <row r="72" ht="25" customHeight="1" thickBot="1">
      <c r="B72" s="122" t="n">
        <v>-1.25</v>
      </c>
      <c r="C72" s="119" t="inlineStr">
        <is>
          <t>6</t>
        </is>
      </c>
      <c r="F72" s="118" t="n">
        <v>1</v>
      </c>
      <c r="G72" s="128" t="inlineStr">
        <is>
          <t>-10</t>
        </is>
      </c>
    </row>
    <row r="73" ht="25" customHeight="1" thickBot="1">
      <c r="B73" s="118" t="n">
        <v>-1</v>
      </c>
      <c r="C73" s="119" t="inlineStr">
        <is>
          <t>10</t>
        </is>
      </c>
      <c r="D73" s="118" t="n">
        <v>0</v>
      </c>
      <c r="E73" s="126" t="n">
        <v>0</v>
      </c>
      <c r="F73" s="122" t="n">
        <v>1.25</v>
      </c>
      <c r="G73" s="119" t="inlineStr">
        <is>
          <t>6</t>
        </is>
      </c>
    </row>
    <row r="74" ht="25" customHeight="1" thickBot="1">
      <c r="B74" s="122" t="n">
        <v>-0.75</v>
      </c>
      <c r="C74" s="119" t="inlineStr">
        <is>
          <t>8</t>
        </is>
      </c>
      <c r="F74" s="118" t="n">
        <v>1.5</v>
      </c>
      <c r="G74" s="119" t="inlineStr">
        <is>
          <t>8</t>
        </is>
      </c>
    </row>
    <row r="75" ht="25" customHeight="1" thickBot="1">
      <c r="B75" s="118" t="n">
        <v>-0.5</v>
      </c>
      <c r="C75" s="119" t="inlineStr">
        <is>
          <t>6</t>
        </is>
      </c>
      <c r="F75" s="122" t="n">
        <v>1.75</v>
      </c>
      <c r="G75" s="119" t="inlineStr">
        <is>
          <t>9</t>
        </is>
      </c>
    </row>
    <row r="76" ht="25" customHeight="1" thickBot="1">
      <c r="B76" s="122" t="n">
        <v>-0.25</v>
      </c>
      <c r="C76" s="119" t="inlineStr">
        <is>
          <t>4</t>
        </is>
      </c>
      <c r="F76" s="118" t="n">
        <v>2</v>
      </c>
      <c r="G76" s="119" t="inlineStr">
        <is>
          <t>10</t>
        </is>
      </c>
    </row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</sheetData>
  <hyperlinks>
    <hyperlink xmlns:r="http://schemas.openxmlformats.org/officeDocument/2006/relationships" ref="A2" display="source : IMF" r:id="rId1"/>
    <hyperlink xmlns:r="http://schemas.openxmlformats.org/officeDocument/2006/relationships" ref="A10" r:id="rId2"/>
  </hyperlinks>
  <pageMargins left="1.18" right="0.79" top="0.79" bottom="0.79" header="0" footer="0"/>
  <pageSetup orientation="portrait" paperSize="9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88"/>
  <sheetViews>
    <sheetView zoomScale="134" zoomScaleNormal="60" workbookViewId="0">
      <pane xSplit="1" ySplit="2" topLeftCell="BA3" activePane="bottomRight" state="frozen"/>
      <selection pane="topRight" activeCell="B1" sqref="B1"/>
      <selection pane="bottomLeft" activeCell="A3" sqref="A3"/>
      <selection pane="bottomRight" activeCell="BG8" sqref="BG8"/>
    </sheetView>
  </sheetViews>
  <sheetFormatPr baseColWidth="10" defaultColWidth="12" defaultRowHeight="15" customHeight="1"/>
  <cols>
    <col width="22" customWidth="1" style="12" min="1" max="1"/>
    <col width="18.83203125" customWidth="1" style="12" min="2" max="50"/>
    <col width="15.5" customWidth="1" style="12" min="51" max="51"/>
    <col width="14.5" customWidth="1" style="12" min="52" max="53"/>
    <col width="15.83203125" customWidth="1" style="12" min="54" max="54"/>
    <col width="14.5" customWidth="1" style="12" min="55" max="55"/>
    <col width="15.83203125" customWidth="1" style="12" min="56" max="56"/>
    <col width="20.5" customWidth="1" style="12" min="57" max="57"/>
    <col width="16.33203125" customWidth="1" style="12" min="58" max="58"/>
    <col width="14.33203125" customWidth="1" style="12" min="59" max="59"/>
    <col width="12.6640625" bestFit="1" customWidth="1" style="12" min="60" max="60"/>
    <col width="12.83203125" bestFit="1" customWidth="1" style="12" min="61" max="61"/>
    <col width="13.6640625" customWidth="1" style="12" min="62" max="62"/>
    <col width="15.33203125" customWidth="1" style="12" min="63" max="63"/>
    <col width="19.1640625" customWidth="1" style="12" min="64" max="64"/>
    <col width="31.1640625" customWidth="1" style="12" min="65" max="65"/>
    <col width="12" customWidth="1" style="12" min="66" max="16384"/>
  </cols>
  <sheetData>
    <row r="1" ht="15" customFormat="1" customHeight="1" s="13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</row>
    <row r="2" ht="20" customFormat="1" customHeight="1" s="13" thickBot="1">
      <c r="A2" s="14" t="inlineStr">
        <is>
          <t>BOP</t>
        </is>
      </c>
      <c r="B2" s="294" t="n">
        <v>44562</v>
      </c>
      <c r="C2" s="294" t="n">
        <v>44593</v>
      </c>
      <c r="D2" s="294" t="n">
        <v>44621</v>
      </c>
      <c r="E2" s="294" t="n">
        <v>44652</v>
      </c>
      <c r="F2" s="294" t="n">
        <v>44682</v>
      </c>
      <c r="G2" s="294" t="n">
        <v>44713</v>
      </c>
      <c r="H2" s="294" t="n">
        <v>44743</v>
      </c>
      <c r="I2" s="294" t="n">
        <v>44774</v>
      </c>
      <c r="J2" s="294" t="n">
        <v>44805</v>
      </c>
      <c r="K2" s="294" t="n">
        <v>44835</v>
      </c>
      <c r="L2" s="294" t="n">
        <v>44866</v>
      </c>
      <c r="M2" s="294" t="n">
        <v>44896</v>
      </c>
      <c r="N2" s="294" t="n">
        <v>44927</v>
      </c>
      <c r="O2" s="294" t="n">
        <v>44958</v>
      </c>
      <c r="P2" s="294" t="n">
        <v>44986</v>
      </c>
      <c r="Q2" s="294" t="n">
        <v>45017</v>
      </c>
      <c r="R2" s="294" t="n">
        <v>45047</v>
      </c>
      <c r="S2" s="294" t="n">
        <v>45078</v>
      </c>
      <c r="T2" s="294" t="n">
        <v>45108</v>
      </c>
      <c r="U2" s="294" t="n">
        <v>45139</v>
      </c>
      <c r="V2" s="294" t="n">
        <v>45170</v>
      </c>
      <c r="W2" s="294" t="n">
        <v>45200</v>
      </c>
      <c r="X2" s="294" t="n">
        <v>45231</v>
      </c>
      <c r="Y2" s="294" t="n">
        <v>45261</v>
      </c>
      <c r="Z2" s="294" t="n">
        <v>45292</v>
      </c>
      <c r="AA2" s="294" t="n">
        <v>45323</v>
      </c>
      <c r="AB2" s="294" t="n">
        <v>45352</v>
      </c>
      <c r="AC2" s="294" t="n">
        <v>45383</v>
      </c>
      <c r="AD2" s="294" t="n">
        <v>45413</v>
      </c>
      <c r="AE2" s="294" t="n">
        <v>45444</v>
      </c>
      <c r="AF2" s="294" t="n">
        <v>45474</v>
      </c>
      <c r="AG2" s="294" t="n">
        <v>45505</v>
      </c>
      <c r="AH2" s="294" t="n">
        <v>45536</v>
      </c>
      <c r="AI2" s="294" t="n">
        <v>45566</v>
      </c>
      <c r="AJ2" s="294" t="n">
        <v>45597</v>
      </c>
      <c r="AK2" s="294" t="n">
        <v>45627</v>
      </c>
      <c r="AL2" s="294" t="n">
        <v>45658</v>
      </c>
      <c r="AM2" s="294" t="n">
        <v>45689</v>
      </c>
      <c r="AN2" s="294" t="n">
        <v>45717</v>
      </c>
      <c r="AO2" s="294" t="n">
        <v>45748</v>
      </c>
      <c r="AP2" s="294" t="n">
        <v>45778</v>
      </c>
      <c r="AQ2" s="294" t="n">
        <v>45809</v>
      </c>
      <c r="AR2" s="294" t="n">
        <v>45839</v>
      </c>
      <c r="AS2" s="294" t="n">
        <v>45870</v>
      </c>
      <c r="AT2" s="294" t="n">
        <v>45901</v>
      </c>
      <c r="AU2" s="294" t="n">
        <v>45931</v>
      </c>
      <c r="AV2" s="294" t="n">
        <v>45962</v>
      </c>
      <c r="AW2" s="294" t="n">
        <v>45992</v>
      </c>
      <c r="AX2" s="294" t="n">
        <v>46023</v>
      </c>
      <c r="AY2" s="294" t="n">
        <v>46054</v>
      </c>
      <c r="AZ2" s="294" t="n">
        <v>46082</v>
      </c>
      <c r="BA2" s="294" t="n">
        <v>46113</v>
      </c>
      <c r="BB2" s="294" t="n">
        <v>46143</v>
      </c>
      <c r="BC2" s="294" t="n">
        <v>46174</v>
      </c>
      <c r="BD2" s="294" t="n">
        <v>46204</v>
      </c>
      <c r="BE2" s="294" t="n">
        <v>46235</v>
      </c>
      <c r="BF2" s="294" t="n">
        <v>46266</v>
      </c>
      <c r="BG2" s="294" t="n">
        <v>46296</v>
      </c>
      <c r="BH2" s="294" t="n">
        <v>46327</v>
      </c>
      <c r="BI2" s="294" t="n">
        <v>46357</v>
      </c>
    </row>
    <row r="3" ht="25" customHeight="1">
      <c r="A3" s="52" t="inlineStr">
        <is>
          <t>Australia</t>
        </is>
      </c>
      <c r="B3" s="296" t="n">
        <v>35902</v>
      </c>
      <c r="C3" s="296" t="n">
        <v>36120</v>
      </c>
      <c r="D3" s="296" t="n">
        <v>36276</v>
      </c>
      <c r="E3" s="296" t="n">
        <v>34607</v>
      </c>
      <c r="F3" s="296" t="n">
        <v>35095</v>
      </c>
      <c r="G3" s="296" t="n">
        <v>34447</v>
      </c>
      <c r="H3" s="296" t="n">
        <v>35634</v>
      </c>
      <c r="I3" s="296" t="n">
        <v>35922</v>
      </c>
      <c r="J3" s="296" t="n">
        <v>35037</v>
      </c>
      <c r="K3" s="296" t="n">
        <v>36113</v>
      </c>
      <c r="L3" s="296" t="n">
        <v>39040</v>
      </c>
      <c r="M3" s="296" t="n">
        <v>38480</v>
      </c>
      <c r="N3" s="296" t="n">
        <v>38149</v>
      </c>
      <c r="O3" s="296" t="n">
        <v>35320</v>
      </c>
      <c r="P3" s="296" t="n">
        <v>36375</v>
      </c>
      <c r="Q3" s="296" t="n">
        <v>38679</v>
      </c>
      <c r="R3" s="296" t="n">
        <v>36115</v>
      </c>
      <c r="S3" s="296" t="n">
        <v>36911</v>
      </c>
      <c r="T3" s="296" t="n">
        <v>38215</v>
      </c>
      <c r="U3" s="296" t="n">
        <v>38434</v>
      </c>
      <c r="V3" s="296" t="n">
        <v>35744</v>
      </c>
      <c r="W3" s="296" t="n">
        <v>35888</v>
      </c>
      <c r="X3" s="296" t="n">
        <v>38009</v>
      </c>
      <c r="Y3" s="296" t="n">
        <v>40897</v>
      </c>
      <c r="Z3" s="296" t="n">
        <v>35026</v>
      </c>
      <c r="AA3" s="296" t="n">
        <v>35126</v>
      </c>
      <c r="AB3" s="296" t="n">
        <v>34212</v>
      </c>
      <c r="AC3" s="296" t="n">
        <v>33803</v>
      </c>
      <c r="AD3" s="296" t="n">
        <v>35618</v>
      </c>
      <c r="AE3" s="296" t="n">
        <v>37644</v>
      </c>
      <c r="AF3" s="296" t="n">
        <v>36729</v>
      </c>
      <c r="AG3" s="296" t="n">
        <v>40610</v>
      </c>
      <c r="AH3" s="296" t="n">
        <v>39957</v>
      </c>
      <c r="AI3" s="296" t="n">
        <v>39030</v>
      </c>
      <c r="AJ3" s="296" t="n">
        <v>39287</v>
      </c>
      <c r="AK3" s="296" t="n">
        <v>39576</v>
      </c>
      <c r="AL3" s="296" t="n">
        <v>40770</v>
      </c>
      <c r="AM3" s="296" t="n">
        <v>41970</v>
      </c>
      <c r="AN3" s="296" t="n">
        <v>41098</v>
      </c>
      <c r="AO3" s="296" t="n">
        <v>39891</v>
      </c>
      <c r="AP3" s="296" t="n">
        <v>41757</v>
      </c>
      <c r="AQ3" s="296" t="n">
        <v>39970</v>
      </c>
      <c r="AR3" s="296" t="n">
        <v>39476</v>
      </c>
      <c r="AS3" s="296" t="n">
        <v>40717</v>
      </c>
      <c r="AT3" s="296" t="n">
        <v>42175</v>
      </c>
      <c r="AU3" s="296" t="n">
        <v>41482</v>
      </c>
      <c r="AV3" s="296" t="n">
        <v>42782</v>
      </c>
      <c r="AW3" s="296" t="n">
        <v>44962</v>
      </c>
      <c r="AX3" s="296" t="n">
        <v>40964</v>
      </c>
      <c r="AY3" s="297" t="n">
        <v>42106</v>
      </c>
      <c r="AZ3" s="297" t="n">
        <v>41982</v>
      </c>
      <c r="BA3" s="297" t="n">
        <v>41544</v>
      </c>
      <c r="BB3" s="297" t="n">
        <v>40705</v>
      </c>
      <c r="BC3" s="297" t="n">
        <v>41187</v>
      </c>
      <c r="BD3" s="297" t="n">
        <v>46150</v>
      </c>
      <c r="BE3" s="297" t="n">
        <v>46150</v>
      </c>
      <c r="BF3" s="297" t="n">
        <v>46150</v>
      </c>
      <c r="BG3" s="298" t="n"/>
      <c r="BH3" s="298" t="n"/>
      <c r="BI3" s="298" t="n"/>
      <c r="BK3" s="54" t="n">
        <v>-2000</v>
      </c>
      <c r="BL3" s="55" t="n">
        <v>10</v>
      </c>
    </row>
    <row r="4" ht="25" customHeight="1">
      <c r="A4" s="56" t="inlineStr">
        <is>
          <t>Canada</t>
        </is>
      </c>
      <c r="B4" s="296" t="n">
        <v>76095</v>
      </c>
      <c r="C4" s="296" t="n">
        <v>74519</v>
      </c>
      <c r="D4" s="296" t="n">
        <v>75387</v>
      </c>
      <c r="E4" s="296" t="n">
        <v>78056</v>
      </c>
      <c r="F4" s="296" t="n">
        <v>80218</v>
      </c>
      <c r="G4" s="296" t="n">
        <v>79017</v>
      </c>
      <c r="H4" s="296" t="n">
        <v>79458</v>
      </c>
      <c r="I4" s="296" t="n">
        <v>80964</v>
      </c>
      <c r="J4" s="296" t="n">
        <v>76411</v>
      </c>
      <c r="K4" s="296" t="n">
        <v>77353</v>
      </c>
      <c r="L4" s="296" t="n">
        <v>79282</v>
      </c>
      <c r="M4" s="296" t="n">
        <v>79729</v>
      </c>
      <c r="N4" s="296" t="n">
        <v>82059</v>
      </c>
      <c r="O4" s="296" t="n">
        <v>80984</v>
      </c>
      <c r="P4" s="296" t="n">
        <v>81835</v>
      </c>
      <c r="Q4" s="296" t="n">
        <v>86299</v>
      </c>
      <c r="R4" s="296" t="n">
        <v>86006</v>
      </c>
      <c r="S4" s="296" t="n">
        <v>86474</v>
      </c>
      <c r="T4" s="296" t="n">
        <v>86488</v>
      </c>
      <c r="U4" s="296" t="n">
        <v>86550</v>
      </c>
      <c r="V4" s="296" t="n">
        <v>84626</v>
      </c>
      <c r="W4" s="296" t="n">
        <v>85070</v>
      </c>
      <c r="X4" s="296" t="n">
        <v>87525</v>
      </c>
      <c r="Y4" s="296" t="n">
        <v>89914</v>
      </c>
      <c r="Z4" s="296" t="n">
        <v>88305</v>
      </c>
      <c r="AA4" s="296" t="n">
        <v>88288</v>
      </c>
      <c r="AB4" s="296" t="n">
        <v>89875</v>
      </c>
      <c r="AC4" s="296" t="n">
        <v>93627</v>
      </c>
      <c r="AD4" s="296" t="n">
        <v>95171</v>
      </c>
      <c r="AE4" s="296" t="n">
        <v>94963</v>
      </c>
      <c r="AF4" s="296" t="n">
        <v>95929</v>
      </c>
      <c r="AG4" s="296" t="n">
        <v>97153</v>
      </c>
      <c r="AH4" s="296" t="n">
        <v>99088</v>
      </c>
      <c r="AI4" s="296" t="n">
        <v>94663</v>
      </c>
      <c r="AJ4" s="296" t="n">
        <v>94505</v>
      </c>
      <c r="AK4" s="296" t="n">
        <v>93879</v>
      </c>
      <c r="AL4" s="296" t="n">
        <v>90209</v>
      </c>
      <c r="AM4" s="296" t="n">
        <v>91801</v>
      </c>
      <c r="AN4" s="296" t="n">
        <v>97780</v>
      </c>
      <c r="AO4" s="296" t="n">
        <v>95814</v>
      </c>
      <c r="AP4" s="296" t="n">
        <v>96089</v>
      </c>
      <c r="AQ4" s="296" t="n">
        <v>98529</v>
      </c>
      <c r="AR4" s="296" t="n">
        <v>97607</v>
      </c>
      <c r="AS4" s="296" t="n">
        <v>98412</v>
      </c>
      <c r="AT4" s="296" t="n">
        <v>97141</v>
      </c>
      <c r="AU4" s="296" t="n">
        <v>99676</v>
      </c>
      <c r="AV4" s="296" t="n">
        <v>98608</v>
      </c>
      <c r="AW4" s="296" t="n">
        <v>98396</v>
      </c>
      <c r="AX4" s="296" t="n">
        <v>98880</v>
      </c>
      <c r="AY4" s="297" t="n">
        <v>98087</v>
      </c>
      <c r="AZ4" s="297" t="n">
        <v>97132</v>
      </c>
      <c r="BA4" s="297" t="n">
        <v>96496</v>
      </c>
      <c r="BB4" s="297" t="n">
        <v>96721</v>
      </c>
      <c r="BC4" s="297" t="n">
        <v>96543</v>
      </c>
      <c r="BD4" s="297" t="n">
        <v>96979</v>
      </c>
      <c r="BE4" s="298" t="n">
        <v>97000</v>
      </c>
      <c r="BF4" s="298" t="n">
        <v>97000</v>
      </c>
      <c r="BG4" s="298" t="n"/>
      <c r="BH4" s="298" t="n"/>
      <c r="BI4" s="298" t="n"/>
      <c r="BK4" s="54" t="n">
        <v>-1800</v>
      </c>
      <c r="BL4" s="57" t="n">
        <v>9</v>
      </c>
    </row>
    <row r="5" ht="25" customHeight="1">
      <c r="A5" s="56" t="inlineStr">
        <is>
          <t>Japan</t>
        </is>
      </c>
      <c r="B5" s="296" t="n">
        <v>1264244</v>
      </c>
      <c r="C5" s="296" t="n">
        <v>1259159</v>
      </c>
      <c r="D5" s="296" t="n">
        <v>1230520</v>
      </c>
      <c r="E5" s="296" t="n">
        <v>1199561</v>
      </c>
      <c r="F5" s="296" t="n">
        <v>1208699</v>
      </c>
      <c r="G5" s="296" t="n">
        <v>1192911</v>
      </c>
      <c r="H5" s="296" t="n">
        <v>1206630</v>
      </c>
      <c r="I5" s="296" t="n">
        <v>1176896</v>
      </c>
      <c r="J5" s="296" t="n">
        <v>1125304</v>
      </c>
      <c r="K5" s="296" t="n">
        <v>1082452</v>
      </c>
      <c r="L5" s="296" t="n">
        <v>1109364</v>
      </c>
      <c r="M5" s="296" t="n">
        <v>1108189</v>
      </c>
      <c r="N5" s="296" t="n">
        <v>1126868</v>
      </c>
      <c r="O5" s="296" t="n">
        <v>1106343</v>
      </c>
      <c r="P5" s="296" t="n">
        <v>1134005</v>
      </c>
      <c r="Q5" s="296" t="n">
        <v>1142230</v>
      </c>
      <c r="R5" s="296" t="n">
        <v>1132162</v>
      </c>
      <c r="S5" s="296" t="n">
        <v>1126104</v>
      </c>
      <c r="T5" s="296" t="n">
        <v>1130301</v>
      </c>
      <c r="U5" s="296" t="n">
        <v>1132621</v>
      </c>
      <c r="V5" s="296" t="n">
        <v>1120048</v>
      </c>
      <c r="W5" s="296" t="n">
        <v>1117193</v>
      </c>
      <c r="X5" s="296" t="n">
        <v>1146719</v>
      </c>
      <c r="Y5" s="296" t="n">
        <v>1170437</v>
      </c>
      <c r="Z5" s="296" t="n">
        <v>1169506</v>
      </c>
      <c r="AA5" s="296" t="n">
        <v>1158491</v>
      </c>
      <c r="AB5" s="296" t="n">
        <v>1163521</v>
      </c>
      <c r="AC5" s="296" t="n">
        <v>1149316</v>
      </c>
      <c r="AD5" s="296" t="n">
        <v>1100113</v>
      </c>
      <c r="AE5" s="296" t="n">
        <v>1100691</v>
      </c>
      <c r="AF5" s="296" t="n">
        <v>1084573</v>
      </c>
      <c r="AG5" s="296" t="n">
        <v>1097528</v>
      </c>
      <c r="AH5" s="296" t="n">
        <v>1112931</v>
      </c>
      <c r="AI5" s="296" t="n">
        <v>1095601</v>
      </c>
      <c r="AJ5" s="296" t="n">
        <v>1099052</v>
      </c>
      <c r="AK5" s="296" t="n">
        <v>1092306</v>
      </c>
      <c r="AL5" s="296" t="n">
        <v>1096788</v>
      </c>
      <c r="AM5" s="296" t="n">
        <v>1108410</v>
      </c>
      <c r="AN5" s="296" t="n">
        <v>1118981</v>
      </c>
      <c r="AO5" s="296" t="n">
        <v>1136746</v>
      </c>
      <c r="AP5" s="296" t="n">
        <v>1137098</v>
      </c>
      <c r="AQ5" s="296" t="n">
        <v>1151692</v>
      </c>
      <c r="AR5" s="296" t="n">
        <v>1143537</v>
      </c>
      <c r="AS5" s="296" t="n">
        <v>1158765</v>
      </c>
      <c r="AT5" s="296" t="n">
        <v>1165059</v>
      </c>
      <c r="AU5" s="296" t="n">
        <v>1166724</v>
      </c>
      <c r="AV5" s="296" t="n">
        <v>1173675</v>
      </c>
      <c r="AW5" s="296" t="n">
        <v>1180501</v>
      </c>
      <c r="AX5" s="296" t="n">
        <v>1186456</v>
      </c>
      <c r="AY5" s="297" t="n">
        <v>1196112</v>
      </c>
      <c r="AZ5" s="297" t="n">
        <v>1177804</v>
      </c>
      <c r="BA5" s="297" t="n">
        <v>1185242</v>
      </c>
      <c r="BB5" s="297" t="n">
        <v>1109822</v>
      </c>
      <c r="BC5" s="297" t="n">
        <v>1106270</v>
      </c>
      <c r="BD5" s="297" t="n">
        <v>1105474</v>
      </c>
      <c r="BE5" s="297" t="n">
        <v>1105474</v>
      </c>
      <c r="BF5" s="297" t="n">
        <v>1105474</v>
      </c>
      <c r="BG5" s="298" t="n"/>
      <c r="BH5" s="298" t="n"/>
      <c r="BI5" s="298" t="n"/>
      <c r="BK5" s="54" t="n">
        <v>-1600</v>
      </c>
      <c r="BL5" s="57" t="n">
        <v>8</v>
      </c>
    </row>
    <row r="6" ht="25" customHeight="1">
      <c r="A6" s="56" t="inlineStr">
        <is>
          <t>Switzerland</t>
        </is>
      </c>
      <c r="B6" s="296" t="n">
        <v>1017415.33276926</v>
      </c>
      <c r="C6" s="296" t="n">
        <v>1021205.08981894</v>
      </c>
      <c r="D6" s="296" t="n">
        <v>985078.611082925</v>
      </c>
      <c r="E6" s="296" t="n">
        <v>953465.070253822</v>
      </c>
      <c r="F6" s="296" t="n">
        <v>964651.060980221</v>
      </c>
      <c r="G6" s="296" t="n">
        <v>887448.483778983</v>
      </c>
      <c r="H6" s="296" t="n">
        <v>887071.82518893</v>
      </c>
      <c r="I6" s="296" t="n">
        <v>877562.25007179</v>
      </c>
      <c r="J6" s="296" t="n">
        <v>822339.50118287</v>
      </c>
      <c r="K6" s="296" t="n">
        <v>814555.69139651</v>
      </c>
      <c r="L6" s="296" t="n">
        <v>832856.41553395</v>
      </c>
      <c r="M6" s="296" t="n">
        <v>848509.64472458</v>
      </c>
      <c r="N6" s="296" t="n">
        <v>850924.62583743</v>
      </c>
      <c r="O6" s="296" t="n">
        <v>822856.40727114</v>
      </c>
      <c r="P6" s="296" t="n">
        <v>813080.98825078</v>
      </c>
      <c r="Q6" s="296" t="n">
        <v>819722.54879051</v>
      </c>
      <c r="R6" s="296" t="n">
        <v>805716.70373985</v>
      </c>
      <c r="S6" s="296" t="n">
        <v>808190.38761075</v>
      </c>
      <c r="T6" s="296" t="n">
        <v>803228.89738292</v>
      </c>
      <c r="U6" s="296" t="n">
        <v>785734.46951539</v>
      </c>
      <c r="V6" s="296" t="n">
        <v>741365.6327134999</v>
      </c>
      <c r="W6" s="296" t="n">
        <v>724518.22715333</v>
      </c>
      <c r="X6" s="296" t="n">
        <v>733629.27230166</v>
      </c>
      <c r="Y6" s="296" t="n">
        <v>779970.8667007301</v>
      </c>
      <c r="Z6" s="296" t="n">
        <v>773682.26139491</v>
      </c>
      <c r="AA6" s="296" t="n">
        <v>771212.30633077</v>
      </c>
      <c r="AB6" s="296" t="n">
        <v>793167.83247263</v>
      </c>
      <c r="AC6" s="296" t="n">
        <v>787294.6615571</v>
      </c>
      <c r="AD6" s="296" t="n">
        <v>795406.01408371</v>
      </c>
      <c r="AE6" s="296" t="n">
        <v>791623.07601919</v>
      </c>
      <c r="AF6" s="296" t="n">
        <v>801978.46505594</v>
      </c>
      <c r="AG6" s="296" t="n">
        <v>816745.32936814</v>
      </c>
      <c r="AH6" s="296" t="n">
        <v>847502.5021712499</v>
      </c>
      <c r="AI6" s="296" t="n">
        <v>831453.67649541</v>
      </c>
      <c r="AJ6" s="296" t="n">
        <v>822005.26087149</v>
      </c>
      <c r="AK6" s="296" t="n">
        <v>808024.5503219001</v>
      </c>
      <c r="AL6" s="296" t="n">
        <v>809259.3128531</v>
      </c>
      <c r="AM6" s="296" t="n">
        <v>814973.05806839</v>
      </c>
      <c r="AN6" s="296" t="n">
        <v>822339.50372844</v>
      </c>
      <c r="AO6" s="296" t="n">
        <v>854313.95996821</v>
      </c>
      <c r="AP6" s="296" t="n">
        <v>854058.96599178</v>
      </c>
      <c r="AQ6" s="296" t="n">
        <v>894234.59991368</v>
      </c>
      <c r="AR6" s="296" t="n">
        <v>880000.59402576</v>
      </c>
      <c r="AS6" s="296" t="n">
        <v>892783.54883409</v>
      </c>
      <c r="AT6" s="296" t="n">
        <v>911657.16152794</v>
      </c>
      <c r="AU6" s="296" t="n">
        <v>902110.07125754</v>
      </c>
      <c r="AV6" s="296" t="n">
        <v>903578.54878602</v>
      </c>
      <c r="AW6" s="297" t="n">
        <v>914657.72</v>
      </c>
      <c r="AX6" s="297" t="n">
        <v>926074.95</v>
      </c>
      <c r="AY6" s="297" t="n">
        <v>923641.88</v>
      </c>
      <c r="AZ6" s="297" t="n">
        <v>901037.53</v>
      </c>
      <c r="BA6" s="297" t="n">
        <v>912992.02</v>
      </c>
      <c r="BB6" s="297" t="n">
        <v>909891</v>
      </c>
      <c r="BC6" s="297" t="n">
        <v>938060</v>
      </c>
      <c r="BD6" s="298" t="n">
        <v>921227</v>
      </c>
      <c r="BE6" s="298" t="n">
        <v>921227</v>
      </c>
      <c r="BF6" s="298" t="n">
        <v>921227</v>
      </c>
      <c r="BG6" s="298" t="n"/>
      <c r="BH6" s="298" t="n"/>
      <c r="BI6" s="298" t="n"/>
      <c r="BK6" s="54" t="n">
        <v>-1400</v>
      </c>
      <c r="BL6" s="57" t="n">
        <v>7</v>
      </c>
    </row>
    <row r="7" ht="25" customHeight="1">
      <c r="A7" s="56" t="inlineStr">
        <is>
          <t>New Zealand</t>
        </is>
      </c>
      <c r="B7" s="296" t="n">
        <v>11132</v>
      </c>
      <c r="C7" s="296" t="n">
        <v>11012</v>
      </c>
      <c r="D7" s="296" t="n">
        <v>12794</v>
      </c>
      <c r="E7" s="296" t="n">
        <v>8547</v>
      </c>
      <c r="F7" s="296" t="n">
        <v>11076</v>
      </c>
      <c r="G7" s="296" t="n">
        <v>9127</v>
      </c>
      <c r="H7" s="296" t="n">
        <v>10034</v>
      </c>
      <c r="I7" s="296" t="n">
        <v>8685</v>
      </c>
      <c r="J7" s="296" t="n">
        <v>8231</v>
      </c>
      <c r="K7" s="296" t="n">
        <v>6716</v>
      </c>
      <c r="L7" s="296" t="n">
        <v>11377</v>
      </c>
      <c r="M7" s="296" t="n">
        <v>11061</v>
      </c>
      <c r="N7" s="296" t="n">
        <v>11419</v>
      </c>
      <c r="O7" s="296" t="n">
        <v>13462</v>
      </c>
      <c r="P7" s="296" t="n">
        <v>11364</v>
      </c>
      <c r="Q7" s="296" t="n">
        <v>12534</v>
      </c>
      <c r="R7" s="296" t="n">
        <v>12544</v>
      </c>
      <c r="S7" s="296" t="n">
        <v>9934</v>
      </c>
      <c r="T7" s="296" t="n">
        <v>13615</v>
      </c>
      <c r="U7" s="296" t="n">
        <v>12940</v>
      </c>
      <c r="V7" s="296" t="n">
        <v>13708</v>
      </c>
      <c r="W7" s="296" t="n">
        <v>12577</v>
      </c>
      <c r="X7" s="296" t="n">
        <v>15987</v>
      </c>
      <c r="Y7" s="296" t="n">
        <v>12113</v>
      </c>
      <c r="Z7" s="296" t="n">
        <v>14893</v>
      </c>
      <c r="AA7" s="296" t="n">
        <v>15975</v>
      </c>
      <c r="AB7" s="296" t="n">
        <v>12891</v>
      </c>
      <c r="AC7" s="296" t="n">
        <v>15712</v>
      </c>
      <c r="AD7" s="296" t="n">
        <v>14660</v>
      </c>
      <c r="AE7" s="296" t="n">
        <v>14485</v>
      </c>
      <c r="AF7" s="296" t="n">
        <v>17689</v>
      </c>
      <c r="AG7" s="296" t="n">
        <v>17055</v>
      </c>
      <c r="AH7" s="296" t="n">
        <v>17316</v>
      </c>
      <c r="AI7" s="296" t="n">
        <v>20275</v>
      </c>
      <c r="AJ7" s="296" t="n">
        <v>19174</v>
      </c>
      <c r="AK7" s="296" t="n">
        <v>18836</v>
      </c>
      <c r="AL7" s="296" t="n">
        <v>23379</v>
      </c>
      <c r="AM7" s="296" t="n">
        <v>24951</v>
      </c>
      <c r="AN7" s="296" t="n">
        <v>22603</v>
      </c>
      <c r="AO7" s="296" t="n">
        <v>23387</v>
      </c>
      <c r="AP7" s="296" t="n">
        <v>24600</v>
      </c>
      <c r="AQ7" s="296" t="n">
        <v>24320</v>
      </c>
      <c r="AR7" s="296" t="n">
        <v>25170</v>
      </c>
      <c r="AS7" s="296" t="n">
        <v>24884</v>
      </c>
      <c r="AT7" s="296" t="n">
        <v>24006</v>
      </c>
      <c r="AU7" s="296" t="n">
        <v>24202</v>
      </c>
      <c r="AV7" s="296" t="n">
        <v>28622</v>
      </c>
      <c r="AW7" s="296" t="n">
        <v>24781</v>
      </c>
      <c r="AX7" s="296" t="n">
        <v>27581</v>
      </c>
      <c r="AY7" s="297" t="n">
        <v>25799</v>
      </c>
      <c r="AZ7" s="297" t="n">
        <v>31400</v>
      </c>
      <c r="BA7" s="297" t="n">
        <v>27963</v>
      </c>
      <c r="BB7" s="297" t="n">
        <v>29365</v>
      </c>
      <c r="BC7" s="297" t="n">
        <v>26165</v>
      </c>
      <c r="BD7" s="298" t="n">
        <v>30563</v>
      </c>
      <c r="BE7" s="298" t="n">
        <v>30563</v>
      </c>
      <c r="BF7" s="298" t="n">
        <v>30563</v>
      </c>
      <c r="BG7" s="298" t="n"/>
      <c r="BH7" s="298" t="n"/>
      <c r="BI7" s="298" t="n"/>
      <c r="BK7" s="54" t="n">
        <v>-1200</v>
      </c>
      <c r="BL7" s="57" t="n">
        <v>6</v>
      </c>
    </row>
    <row r="8" ht="25" customHeight="1">
      <c r="A8" s="56" t="inlineStr">
        <is>
          <t>United Kingdom</t>
        </is>
      </c>
      <c r="B8" s="296" t="n">
        <v>120411.92262001</v>
      </c>
      <c r="C8" s="296" t="n">
        <v>120532.745884465</v>
      </c>
      <c r="D8" s="296" t="n">
        <v>123104.96485587</v>
      </c>
      <c r="E8" s="296" t="n">
        <v>115053.031367258</v>
      </c>
      <c r="F8" s="296" t="n">
        <v>112608.822387683</v>
      </c>
      <c r="G8" s="296" t="n">
        <v>110336.99497176</v>
      </c>
      <c r="H8" s="296" t="n">
        <v>108203.648903558</v>
      </c>
      <c r="I8" s="296" t="n">
        <v>107780.618727312</v>
      </c>
      <c r="J8" s="296" t="n">
        <v>97646.8186206777</v>
      </c>
      <c r="K8" s="296" t="n">
        <v>101927.446299615</v>
      </c>
      <c r="L8" s="296" t="n">
        <v>108268.346954487</v>
      </c>
      <c r="M8" s="296" t="n">
        <v>110285.511682024</v>
      </c>
      <c r="N8" s="296" t="n">
        <v>108424.778661122</v>
      </c>
      <c r="O8" s="296" t="n">
        <v>102781.800068609</v>
      </c>
      <c r="P8" s="296" t="n">
        <v>105046.472206281</v>
      </c>
      <c r="Q8" s="296" t="n">
        <v>107719.014916935</v>
      </c>
      <c r="R8" s="296" t="n">
        <v>104068.4640227</v>
      </c>
      <c r="S8" s="296" t="n">
        <v>106042.772411314</v>
      </c>
      <c r="T8" s="296" t="n">
        <v>110108.84819273</v>
      </c>
      <c r="U8" s="296" t="n">
        <v>109175.590055629</v>
      </c>
      <c r="V8" s="296" t="n">
        <v>103971.129100449</v>
      </c>
      <c r="W8" s="296" t="n">
        <v>103736.911974876</v>
      </c>
      <c r="X8" s="296" t="n">
        <v>106107.643239063</v>
      </c>
      <c r="Y8" s="296" t="n">
        <v>108765.242850072</v>
      </c>
      <c r="Z8" s="296" t="n">
        <v>105698.518328947</v>
      </c>
      <c r="AA8" s="296" t="n">
        <v>104694.575643369</v>
      </c>
      <c r="AB8" s="296" t="n">
        <v>105493.851711945</v>
      </c>
      <c r="AC8" s="296" t="n">
        <v>100104.927353725</v>
      </c>
      <c r="AD8" s="296" t="n">
        <v>103539.628914513</v>
      </c>
      <c r="AE8" s="296" t="n">
        <v>102150.425571522</v>
      </c>
      <c r="AF8" s="296" t="n">
        <v>106238.071485917</v>
      </c>
      <c r="AG8" s="296" t="n">
        <v>107970.451191401</v>
      </c>
      <c r="AH8" s="296" t="n">
        <v>106798.851022666</v>
      </c>
      <c r="AI8" s="296" t="n">
        <v>104268.475611637</v>
      </c>
      <c r="AJ8" s="296" t="n">
        <v>104730.555425379</v>
      </c>
      <c r="AK8" s="296" t="n">
        <v>102683.200655475</v>
      </c>
      <c r="AL8" s="296" t="n">
        <v>102719.519566709</v>
      </c>
      <c r="AM8" s="296" t="n">
        <v>104175.922981411</v>
      </c>
      <c r="AN8" s="296" t="n">
        <v>106345.15008879</v>
      </c>
      <c r="AO8" s="296" t="n">
        <v>111229.129128098</v>
      </c>
      <c r="AP8" s="296" t="n">
        <v>112666.823387442</v>
      </c>
      <c r="AQ8" s="296" t="n">
        <v>116903.285018874</v>
      </c>
      <c r="AR8" s="296" t="n">
        <v>115962.86317898</v>
      </c>
      <c r="AS8" s="296" t="n">
        <v>118608.229280846</v>
      </c>
      <c r="AT8" s="296" t="n">
        <v>122086.558864244</v>
      </c>
      <c r="AU8" s="296" t="n">
        <v>121043.617735855</v>
      </c>
      <c r="AV8" s="296" t="n">
        <v>123015.110779363</v>
      </c>
      <c r="AW8" s="296" t="n">
        <v>123790.230254292</v>
      </c>
      <c r="AX8" s="296" t="n">
        <v>123927.95261473</v>
      </c>
      <c r="AY8" s="297" t="n">
        <v>126625.3</v>
      </c>
      <c r="AZ8" s="297" t="n">
        <v>126449.82</v>
      </c>
      <c r="BA8" s="297" t="n">
        <v>122681.06</v>
      </c>
      <c r="BB8" s="298" t="n">
        <v>125316</v>
      </c>
      <c r="BC8" s="298" t="n">
        <v>125035</v>
      </c>
      <c r="BD8" s="298" t="n">
        <v>124927</v>
      </c>
      <c r="BE8" s="298" t="n">
        <v>124927</v>
      </c>
      <c r="BF8" s="298" t="n">
        <v>124927</v>
      </c>
      <c r="BG8" s="298" t="n"/>
      <c r="BH8" s="298" t="n"/>
      <c r="BI8" s="298" t="n"/>
      <c r="BK8" s="54" t="n">
        <v>-1000</v>
      </c>
      <c r="BL8" s="57" t="n">
        <v>5</v>
      </c>
    </row>
    <row r="9" ht="25" customHeight="1">
      <c r="A9" s="58" t="inlineStr">
        <is>
          <t>United States</t>
        </is>
      </c>
      <c r="B9" s="296" t="n">
        <v>40353.1706343</v>
      </c>
      <c r="C9" s="296" t="n">
        <v>40387.91233823</v>
      </c>
      <c r="D9" s="296" t="n">
        <v>39252.16693201</v>
      </c>
      <c r="E9" s="296" t="n">
        <v>37053.6449655</v>
      </c>
      <c r="F9" s="296" t="n">
        <v>37610.20996898</v>
      </c>
      <c r="G9" s="296" t="n">
        <v>36273.38946662</v>
      </c>
      <c r="H9" s="296" t="n">
        <v>35946.73222559</v>
      </c>
      <c r="I9" s="296" t="n">
        <v>35098.67703565</v>
      </c>
      <c r="J9" s="296" t="n">
        <v>33935.23095782</v>
      </c>
      <c r="K9" s="296" t="n">
        <v>33821.29593925</v>
      </c>
      <c r="L9" s="296" t="n">
        <v>35619.66883589</v>
      </c>
      <c r="M9" s="296" t="n">
        <v>37208.74576442</v>
      </c>
      <c r="N9" s="296" t="n">
        <v>37755.47393437</v>
      </c>
      <c r="O9" s="296" t="n">
        <v>36604.92785976</v>
      </c>
      <c r="P9" s="296" t="n">
        <v>37565.90131096</v>
      </c>
      <c r="Q9" s="296" t="n">
        <v>37627.61025502</v>
      </c>
      <c r="R9" s="296" t="n">
        <v>36459.00778346</v>
      </c>
      <c r="S9" s="296" t="n">
        <v>36643.74220231</v>
      </c>
      <c r="T9" s="296" t="n">
        <v>37113.84672743</v>
      </c>
      <c r="U9" s="296" t="n">
        <v>36448.63040606</v>
      </c>
      <c r="V9" s="296" t="n">
        <v>35613.44049191</v>
      </c>
      <c r="W9" s="296" t="n">
        <v>35213.51851156</v>
      </c>
      <c r="X9" s="296" t="n">
        <v>36302.62920906</v>
      </c>
      <c r="Y9" s="296" t="n">
        <v>37316.47510716</v>
      </c>
      <c r="Z9" s="296" t="n">
        <v>36438.87507382</v>
      </c>
      <c r="AA9" s="296" t="n">
        <v>36076.82077669</v>
      </c>
      <c r="AB9" s="296" t="n">
        <v>35990.21997202</v>
      </c>
      <c r="AC9" s="296" t="n">
        <v>35315.93278575</v>
      </c>
      <c r="AD9" s="296" t="n">
        <v>35757.62326922</v>
      </c>
      <c r="AE9" s="296" t="n">
        <v>35242.83033745</v>
      </c>
      <c r="AF9" s="296" t="n">
        <v>36357.41521491</v>
      </c>
      <c r="AG9" s="296" t="n">
        <v>37318.04468939</v>
      </c>
      <c r="AH9" s="296" t="n">
        <v>37804.75176061</v>
      </c>
      <c r="AI9" s="296" t="n">
        <v>36337.08362313</v>
      </c>
      <c r="AJ9" s="296" t="n">
        <v>35805.15424931</v>
      </c>
      <c r="AK9" s="296" t="n">
        <v>34865.01050114</v>
      </c>
      <c r="AL9" s="296" t="n">
        <v>35207.94773533</v>
      </c>
      <c r="AM9" s="296" t="n">
        <v>35597.6823772</v>
      </c>
      <c r="AN9" s="296" t="n">
        <v>36586.62591363</v>
      </c>
      <c r="AO9" s="296" t="n">
        <v>38564.76410934</v>
      </c>
      <c r="AP9" s="296" t="n">
        <v>38470.27614904</v>
      </c>
      <c r="AQ9" s="296" t="n">
        <v>39471.18061713</v>
      </c>
      <c r="AR9" s="296" t="n">
        <v>38203.04627605</v>
      </c>
      <c r="AS9" s="296" t="n">
        <v>39161.13716393</v>
      </c>
      <c r="AT9" s="296" t="n">
        <v>39204.55350656</v>
      </c>
      <c r="AU9" s="296" t="n">
        <v>38314.05628077</v>
      </c>
      <c r="AV9" s="296" t="n">
        <v>38330</v>
      </c>
      <c r="AW9" s="296" t="n">
        <v>38641</v>
      </c>
      <c r="AX9" s="296" t="n">
        <v>39222.2289</v>
      </c>
      <c r="AY9" s="297" t="n">
        <v>38992.34</v>
      </c>
      <c r="AZ9" s="297" t="n">
        <v>38121</v>
      </c>
      <c r="BA9" s="297" t="n">
        <v>38121</v>
      </c>
      <c r="BB9" s="298" t="n">
        <v>39000</v>
      </c>
      <c r="BC9" s="298" t="n">
        <v>38591</v>
      </c>
      <c r="BD9" s="298" t="n">
        <v>38992</v>
      </c>
      <c r="BE9" s="298" t="n">
        <v>38992</v>
      </c>
      <c r="BF9" s="298" t="n">
        <v>38992</v>
      </c>
      <c r="BG9" s="298" t="n"/>
      <c r="BH9" s="298" t="n"/>
      <c r="BI9" s="298" t="n"/>
      <c r="BK9" s="54" t="n">
        <v>-800</v>
      </c>
      <c r="BL9" s="57" t="n">
        <v>4</v>
      </c>
    </row>
    <row r="10" ht="25" customHeight="1">
      <c r="A10" s="59" t="inlineStr">
        <is>
          <t>EURO AREA</t>
        </is>
      </c>
      <c r="B10" s="296" t="n">
        <v>312546</v>
      </c>
      <c r="C10" s="296" t="n">
        <v>313471</v>
      </c>
      <c r="D10" s="296" t="n">
        <v>309506</v>
      </c>
      <c r="E10" s="296" t="n">
        <v>305206</v>
      </c>
      <c r="F10" s="296" t="n">
        <v>307840</v>
      </c>
      <c r="G10" s="296" t="n">
        <v>305918</v>
      </c>
      <c r="H10" s="296" t="n">
        <v>308938</v>
      </c>
      <c r="I10" s="296" t="n">
        <v>306005</v>
      </c>
      <c r="J10" s="296" t="n">
        <v>303179</v>
      </c>
      <c r="K10" s="296" t="n">
        <v>304221</v>
      </c>
      <c r="L10" s="296" t="n">
        <v>309061</v>
      </c>
      <c r="M10" s="296" t="n">
        <v>315345</v>
      </c>
      <c r="N10" s="296" t="n">
        <v>310949</v>
      </c>
      <c r="O10" s="296" t="n">
        <v>293900</v>
      </c>
      <c r="P10" s="296" t="n">
        <v>297950</v>
      </c>
      <c r="Q10" s="296" t="n">
        <v>295116</v>
      </c>
      <c r="R10" s="296" t="n">
        <v>292792</v>
      </c>
      <c r="S10" s="296" t="n">
        <v>293016</v>
      </c>
      <c r="T10" s="296" t="n">
        <v>294678</v>
      </c>
      <c r="U10" s="296" t="n">
        <v>292405</v>
      </c>
      <c r="V10" s="296" t="n">
        <v>285245</v>
      </c>
      <c r="W10" s="296" t="n">
        <v>287457</v>
      </c>
      <c r="X10" s="296" t="n">
        <v>295267</v>
      </c>
      <c r="Y10" s="296" t="n">
        <v>301470</v>
      </c>
      <c r="Z10" s="296" t="n">
        <v>299104</v>
      </c>
      <c r="AA10" s="296" t="n">
        <v>298787</v>
      </c>
      <c r="AB10" s="296" t="n">
        <v>298344</v>
      </c>
      <c r="AC10" s="296" t="n">
        <v>295492</v>
      </c>
      <c r="AD10" s="296" t="n">
        <v>298861</v>
      </c>
      <c r="AE10" s="296" t="n">
        <v>301235</v>
      </c>
      <c r="AF10" s="296" t="n">
        <v>301245</v>
      </c>
      <c r="AG10" s="296" t="n">
        <v>300873</v>
      </c>
      <c r="AH10" s="296" t="n">
        <v>303818</v>
      </c>
      <c r="AI10" s="296" t="n">
        <v>299382</v>
      </c>
      <c r="AJ10" s="296" t="n">
        <v>300478</v>
      </c>
      <c r="AK10" s="296" t="n">
        <v>300657</v>
      </c>
      <c r="AL10" s="296" t="n">
        <v>298104</v>
      </c>
      <c r="AM10" s="296" t="n">
        <v>302136</v>
      </c>
      <c r="AN10" s="296" t="n">
        <v>304980</v>
      </c>
      <c r="AO10" s="296" t="n">
        <v>310594</v>
      </c>
      <c r="AP10" s="296" t="n">
        <v>312792</v>
      </c>
      <c r="AQ10" s="296" t="n">
        <v>316343</v>
      </c>
      <c r="AR10" s="296" t="n">
        <v>314415</v>
      </c>
      <c r="AS10" s="296" t="n">
        <v>316890</v>
      </c>
      <c r="AT10" s="296" t="n">
        <v>322760</v>
      </c>
      <c r="AU10" s="296" t="n">
        <v>322351</v>
      </c>
      <c r="AV10" s="296" t="n">
        <v>325548</v>
      </c>
      <c r="AW10" s="296" t="n">
        <v>334436</v>
      </c>
      <c r="AX10" s="296" t="n">
        <v>343000</v>
      </c>
      <c r="AY10" s="298" t="n">
        <v>343000</v>
      </c>
      <c r="AZ10" s="298" t="n">
        <v>348000</v>
      </c>
      <c r="BA10" s="298" t="n">
        <v>359000</v>
      </c>
      <c r="BB10" s="298" t="n">
        <v>352000</v>
      </c>
      <c r="BC10" s="298" t="n">
        <v>340574</v>
      </c>
      <c r="BD10" s="298" t="n">
        <v>342550</v>
      </c>
      <c r="BE10" s="298" t="n">
        <v>342550</v>
      </c>
      <c r="BF10" s="298" t="n">
        <v>342550</v>
      </c>
      <c r="BG10" s="298" t="n"/>
      <c r="BH10" s="298" t="n"/>
      <c r="BI10" s="298" t="n"/>
      <c r="BK10" s="54" t="n">
        <v>-600</v>
      </c>
      <c r="BL10" s="57" t="n">
        <v>3</v>
      </c>
    </row>
    <row r="11" ht="25" customHeight="1">
      <c r="A11" s="60" t="n"/>
      <c r="B11" s="299" t="n"/>
      <c r="C11" s="299" t="n"/>
      <c r="D11" s="299" t="n"/>
      <c r="E11" s="299" t="n"/>
      <c r="F11" s="299" t="n"/>
      <c r="G11" s="299" t="n"/>
      <c r="H11" s="299" t="n"/>
      <c r="I11" s="299" t="n"/>
      <c r="J11" s="299" t="n"/>
      <c r="K11" s="299" t="n"/>
      <c r="L11" s="299" t="n"/>
      <c r="M11" s="299" t="n"/>
      <c r="N11" s="299" t="n"/>
      <c r="O11" s="299" t="n"/>
      <c r="P11" s="299" t="n"/>
      <c r="Q11" s="299" t="n"/>
      <c r="R11" s="299" t="n"/>
      <c r="S11" s="299" t="n"/>
      <c r="T11" s="299" t="n"/>
      <c r="U11" s="299" t="n"/>
      <c r="V11" s="299" t="n"/>
      <c r="W11" s="299" t="n"/>
      <c r="X11" s="299" t="n"/>
      <c r="Y11" s="299" t="n"/>
      <c r="Z11" s="299" t="n"/>
      <c r="AA11" s="299" t="n"/>
      <c r="AB11" s="299" t="n"/>
      <c r="AC11" s="299" t="n"/>
      <c r="AD11" s="299" t="n"/>
      <c r="AE11" s="299" t="n"/>
      <c r="AF11" s="299" t="n"/>
      <c r="AG11" s="299" t="n"/>
      <c r="AH11" s="299" t="n"/>
      <c r="AI11" s="299" t="n"/>
      <c r="AJ11" s="299" t="n"/>
      <c r="AK11" s="299" t="n"/>
      <c r="AL11" s="299" t="n"/>
      <c r="AM11" s="299" t="n"/>
      <c r="AN11" s="299" t="n"/>
      <c r="AO11" s="299" t="n"/>
      <c r="AP11" s="299" t="n"/>
      <c r="AQ11" s="299" t="n"/>
      <c r="AR11" s="299" t="n"/>
      <c r="AS11" s="299" t="n"/>
      <c r="AT11" s="299" t="n"/>
      <c r="AU11" s="299" t="n"/>
      <c r="AV11" s="299" t="n"/>
      <c r="AW11" s="299" t="n"/>
      <c r="AX11" s="299" t="n"/>
      <c r="AY11" s="62" t="n"/>
      <c r="AZ11" s="63" t="n"/>
      <c r="BA11" s="63" t="n"/>
      <c r="BB11" s="63" t="n"/>
      <c r="BC11" s="63" t="n"/>
      <c r="BD11" s="63" t="n"/>
      <c r="BE11" s="63" t="n"/>
      <c r="BF11" s="63" t="n"/>
      <c r="BG11" s="63" t="n"/>
      <c r="BH11" s="63" t="n"/>
      <c r="BI11" s="63" t="n"/>
      <c r="BK11" s="54" t="n">
        <v>-400</v>
      </c>
      <c r="BL11" s="57" t="n">
        <v>2</v>
      </c>
    </row>
    <row r="12" ht="25" customHeight="1">
      <c r="A12" s="279" t="inlineStr">
        <is>
          <t>Monthly Change</t>
        </is>
      </c>
      <c r="BK12" s="54" t="n">
        <v>-200</v>
      </c>
      <c r="BL12" s="57" t="n">
        <v>1</v>
      </c>
    </row>
    <row r="13" ht="25" customHeight="1">
      <c r="A13" s="14" t="inlineStr">
        <is>
          <t>BOP</t>
        </is>
      </c>
      <c r="B13" s="294" t="n">
        <v>44562</v>
      </c>
      <c r="C13" s="294" t="n">
        <v>44593</v>
      </c>
      <c r="D13" s="294" t="n">
        <v>44621</v>
      </c>
      <c r="E13" s="294" t="n">
        <v>44652</v>
      </c>
      <c r="F13" s="294" t="n">
        <v>44682</v>
      </c>
      <c r="G13" s="294" t="n">
        <v>44713</v>
      </c>
      <c r="H13" s="294" t="n">
        <v>44743</v>
      </c>
      <c r="I13" s="294" t="n">
        <v>44774</v>
      </c>
      <c r="J13" s="294" t="n">
        <v>44805</v>
      </c>
      <c r="K13" s="294" t="n">
        <v>44835</v>
      </c>
      <c r="L13" s="294" t="n">
        <v>44866</v>
      </c>
      <c r="M13" s="294" t="n">
        <v>44896</v>
      </c>
      <c r="N13" s="294" t="n">
        <v>44927</v>
      </c>
      <c r="O13" s="294" t="n">
        <v>44958</v>
      </c>
      <c r="P13" s="294" t="n">
        <v>44986</v>
      </c>
      <c r="Q13" s="294" t="n">
        <v>45017</v>
      </c>
      <c r="R13" s="294" t="n">
        <v>45047</v>
      </c>
      <c r="S13" s="294" t="n">
        <v>45078</v>
      </c>
      <c r="T13" s="294" t="n">
        <v>45108</v>
      </c>
      <c r="U13" s="294" t="n">
        <v>45139</v>
      </c>
      <c r="V13" s="294" t="n">
        <v>45170</v>
      </c>
      <c r="W13" s="294" t="n">
        <v>45200</v>
      </c>
      <c r="X13" s="294" t="n">
        <v>45231</v>
      </c>
      <c r="Y13" s="294" t="n">
        <v>45261</v>
      </c>
      <c r="Z13" s="294" t="n">
        <v>45292</v>
      </c>
      <c r="AA13" s="294" t="n">
        <v>45323</v>
      </c>
      <c r="AB13" s="294" t="n">
        <v>45352</v>
      </c>
      <c r="AC13" s="294" t="n">
        <v>45383</v>
      </c>
      <c r="AD13" s="294" t="n">
        <v>45413</v>
      </c>
      <c r="AE13" s="294" t="n">
        <v>45444</v>
      </c>
      <c r="AF13" s="294" t="n">
        <v>45474</v>
      </c>
      <c r="AG13" s="294" t="n">
        <v>45505</v>
      </c>
      <c r="AH13" s="294" t="n">
        <v>45536</v>
      </c>
      <c r="AI13" s="294" t="n">
        <v>45566</v>
      </c>
      <c r="AJ13" s="294" t="n">
        <v>45597</v>
      </c>
      <c r="AK13" s="294" t="n">
        <v>45627</v>
      </c>
      <c r="AL13" s="294" t="n">
        <v>45658</v>
      </c>
      <c r="AM13" s="294" t="n">
        <v>45689</v>
      </c>
      <c r="AN13" s="294" t="n">
        <v>45717</v>
      </c>
      <c r="AO13" s="294" t="n">
        <v>45748</v>
      </c>
      <c r="AP13" s="294" t="n">
        <v>45778</v>
      </c>
      <c r="AQ13" s="294" t="n">
        <v>45809</v>
      </c>
      <c r="AR13" s="294" t="n">
        <v>45839</v>
      </c>
      <c r="AS13" s="294" t="n">
        <v>45870</v>
      </c>
      <c r="AT13" s="294" t="n">
        <v>45901</v>
      </c>
      <c r="AU13" s="294" t="n">
        <v>45931</v>
      </c>
      <c r="AV13" s="294" t="n">
        <v>45962</v>
      </c>
      <c r="AW13" s="294" t="n">
        <v>45992</v>
      </c>
      <c r="AX13" s="294" t="n">
        <v>46023</v>
      </c>
      <c r="AY13" s="294" t="n">
        <v>46054</v>
      </c>
      <c r="AZ13" s="294" t="n">
        <v>46082</v>
      </c>
      <c r="BA13" s="294" t="n">
        <v>46113</v>
      </c>
      <c r="BB13" s="294" t="n">
        <v>46143</v>
      </c>
      <c r="BC13" s="294" t="n">
        <v>46174</v>
      </c>
      <c r="BD13" s="294" t="n">
        <v>46204</v>
      </c>
      <c r="BE13" s="294" t="n">
        <v>46235</v>
      </c>
      <c r="BF13" s="294" t="n">
        <v>46266</v>
      </c>
      <c r="BG13" s="294" t="n">
        <v>46296</v>
      </c>
      <c r="BH13" s="294" t="n">
        <v>46327</v>
      </c>
      <c r="BI13" s="294" t="n">
        <v>46357</v>
      </c>
      <c r="BK13" s="64" t="n">
        <v>0</v>
      </c>
      <c r="BL13" s="64" t="n">
        <v>0</v>
      </c>
    </row>
    <row r="14" ht="25" customHeight="1">
      <c r="A14" s="52" t="inlineStr">
        <is>
          <t>Australia</t>
        </is>
      </c>
      <c r="B14" s="65" t="n"/>
      <c r="C14" s="300">
        <f>C3-B3</f>
        <v/>
      </c>
      <c r="D14" s="300">
        <f>D3-C3</f>
        <v/>
      </c>
      <c r="E14" s="300">
        <f>E3-D3</f>
        <v/>
      </c>
      <c r="F14" s="300">
        <f>F3-E3</f>
        <v/>
      </c>
      <c r="G14" s="300">
        <f>G3-F3</f>
        <v/>
      </c>
      <c r="H14" s="300">
        <f>H3-G3</f>
        <v/>
      </c>
      <c r="I14" s="300">
        <f>I3-H3</f>
        <v/>
      </c>
      <c r="J14" s="300">
        <f>J3-I3</f>
        <v/>
      </c>
      <c r="K14" s="300">
        <f>K3-J3</f>
        <v/>
      </c>
      <c r="L14" s="300">
        <f>L3-K3</f>
        <v/>
      </c>
      <c r="M14" s="300">
        <f>M3-L3</f>
        <v/>
      </c>
      <c r="N14" s="300">
        <f>N3-M3</f>
        <v/>
      </c>
      <c r="O14" s="300">
        <f>O3-N3</f>
        <v/>
      </c>
      <c r="P14" s="300">
        <f>P3-O3</f>
        <v/>
      </c>
      <c r="Q14" s="300">
        <f>Q3-P3</f>
        <v/>
      </c>
      <c r="R14" s="300">
        <f>R3-Q3</f>
        <v/>
      </c>
      <c r="S14" s="300">
        <f>S3-R3</f>
        <v/>
      </c>
      <c r="T14" s="300">
        <f>T3-S3</f>
        <v/>
      </c>
      <c r="U14" s="300">
        <f>U3-T3</f>
        <v/>
      </c>
      <c r="V14" s="300">
        <f>V3-U3</f>
        <v/>
      </c>
      <c r="W14" s="300">
        <f>W3-V3</f>
        <v/>
      </c>
      <c r="X14" s="300">
        <f>X3-W3</f>
        <v/>
      </c>
      <c r="Y14" s="300">
        <f>Y3-X3</f>
        <v/>
      </c>
      <c r="Z14" s="300">
        <f>Z3-Y3</f>
        <v/>
      </c>
      <c r="AA14" s="300">
        <f>AA3-Z3</f>
        <v/>
      </c>
      <c r="AB14" s="300">
        <f>AB3-AA3</f>
        <v/>
      </c>
      <c r="AC14" s="300">
        <f>AC3-AB3</f>
        <v/>
      </c>
      <c r="AD14" s="300">
        <f>AD3-AC3</f>
        <v/>
      </c>
      <c r="AE14" s="300">
        <f>AE3-AD3</f>
        <v/>
      </c>
      <c r="AF14" s="300">
        <f>AF3-AE3</f>
        <v/>
      </c>
      <c r="AG14" s="300">
        <f>AG3-AF3</f>
        <v/>
      </c>
      <c r="AH14" s="300">
        <f>AH3-AG3</f>
        <v/>
      </c>
      <c r="AI14" s="300">
        <f>AI3-AH3</f>
        <v/>
      </c>
      <c r="AJ14" s="300">
        <f>AJ3-AI3</f>
        <v/>
      </c>
      <c r="AK14" s="300">
        <f>AK3-AJ3</f>
        <v/>
      </c>
      <c r="AL14" s="300">
        <f>AL3-AK3</f>
        <v/>
      </c>
      <c r="AM14" s="300">
        <f>AM3-AL3</f>
        <v/>
      </c>
      <c r="AN14" s="300">
        <f>AN3-AM3</f>
        <v/>
      </c>
      <c r="AO14" s="300">
        <f>AO3-AN3</f>
        <v/>
      </c>
      <c r="AP14" s="300">
        <f>AP3-AO3</f>
        <v/>
      </c>
      <c r="AQ14" s="300">
        <f>AQ3-AP3</f>
        <v/>
      </c>
      <c r="AR14" s="300">
        <f>AR3-AQ3</f>
        <v/>
      </c>
      <c r="AS14" s="300">
        <f>AS3-AR3</f>
        <v/>
      </c>
      <c r="AT14" s="300">
        <f>AT3-AS3</f>
        <v/>
      </c>
      <c r="AU14" s="300">
        <f>AU3-AT3</f>
        <v/>
      </c>
      <c r="AV14" s="300">
        <f>AV3-AU3</f>
        <v/>
      </c>
      <c r="AW14" s="300">
        <f>AW3-AV3</f>
        <v/>
      </c>
      <c r="AX14" s="300">
        <f>AX3-AW3</f>
        <v/>
      </c>
      <c r="AY14" s="300">
        <f>AY3-AX3</f>
        <v/>
      </c>
      <c r="AZ14" s="300">
        <f>AZ3-AY3</f>
        <v/>
      </c>
      <c r="BA14" s="300">
        <f>BA3-AZ3</f>
        <v/>
      </c>
      <c r="BB14" s="300">
        <f>BB3-BA3</f>
        <v/>
      </c>
      <c r="BC14" s="300">
        <f>BC3-BB3</f>
        <v/>
      </c>
      <c r="BD14" s="300">
        <f>BD3-BC3</f>
        <v/>
      </c>
      <c r="BE14" s="300">
        <f>BE3-BD3</f>
        <v/>
      </c>
      <c r="BF14" s="300">
        <f>BF3-BE3</f>
        <v/>
      </c>
      <c r="BG14" s="300">
        <f>BG3-BF3</f>
        <v/>
      </c>
      <c r="BH14" s="300">
        <f>BH3-BG3</f>
        <v/>
      </c>
      <c r="BI14" s="300">
        <f>BI3-BH3</f>
        <v/>
      </c>
      <c r="BJ14" s="301">
        <f>MAX(C14:BA14)</f>
        <v/>
      </c>
      <c r="BK14" s="54" t="n">
        <v>200</v>
      </c>
      <c r="BL14" s="67" t="n">
        <v>-1</v>
      </c>
      <c r="BM14" s="301">
        <f>MIN(C14:BA14)</f>
        <v/>
      </c>
    </row>
    <row r="15" ht="25" customHeight="1">
      <c r="A15" s="56" t="inlineStr">
        <is>
          <t>Canada</t>
        </is>
      </c>
      <c r="B15" s="68" t="n"/>
      <c r="C15" s="300">
        <f>C4-B4</f>
        <v/>
      </c>
      <c r="D15" s="300">
        <f>D4-C4</f>
        <v/>
      </c>
      <c r="E15" s="300">
        <f>E4-D4</f>
        <v/>
      </c>
      <c r="F15" s="300">
        <f>F4-E4</f>
        <v/>
      </c>
      <c r="G15" s="300">
        <f>G4-F4</f>
        <v/>
      </c>
      <c r="H15" s="300">
        <f>H4-G4</f>
        <v/>
      </c>
      <c r="I15" s="300">
        <f>I4-H4</f>
        <v/>
      </c>
      <c r="J15" s="300">
        <f>J4-I4</f>
        <v/>
      </c>
      <c r="K15" s="300">
        <f>K4-J4</f>
        <v/>
      </c>
      <c r="L15" s="300">
        <f>L4-K4</f>
        <v/>
      </c>
      <c r="M15" s="300">
        <f>M4-L4</f>
        <v/>
      </c>
      <c r="N15" s="300">
        <f>N4-M4</f>
        <v/>
      </c>
      <c r="O15" s="300">
        <f>O4-N4</f>
        <v/>
      </c>
      <c r="P15" s="300">
        <f>P4-O4</f>
        <v/>
      </c>
      <c r="Q15" s="300">
        <f>Q4-P4</f>
        <v/>
      </c>
      <c r="R15" s="300">
        <f>R4-Q4</f>
        <v/>
      </c>
      <c r="S15" s="300">
        <f>S4-R4</f>
        <v/>
      </c>
      <c r="T15" s="300">
        <f>T4-S4</f>
        <v/>
      </c>
      <c r="U15" s="300">
        <f>U4-T4</f>
        <v/>
      </c>
      <c r="V15" s="300">
        <f>V4-U4</f>
        <v/>
      </c>
      <c r="W15" s="300">
        <f>W4-V4</f>
        <v/>
      </c>
      <c r="X15" s="300">
        <f>X4-W4</f>
        <v/>
      </c>
      <c r="Y15" s="300">
        <f>Y4-X4</f>
        <v/>
      </c>
      <c r="Z15" s="300">
        <f>Z4-Y4</f>
        <v/>
      </c>
      <c r="AA15" s="300">
        <f>AA4-Z4</f>
        <v/>
      </c>
      <c r="AB15" s="300">
        <f>AB4-AA4</f>
        <v/>
      </c>
      <c r="AC15" s="300">
        <f>AC4-AB4</f>
        <v/>
      </c>
      <c r="AD15" s="300">
        <f>AD4-AC4</f>
        <v/>
      </c>
      <c r="AE15" s="300">
        <f>AE4-AD4</f>
        <v/>
      </c>
      <c r="AF15" s="300">
        <f>AF4-AE4</f>
        <v/>
      </c>
      <c r="AG15" s="300">
        <f>AG4-AF4</f>
        <v/>
      </c>
      <c r="AH15" s="300">
        <f>AH4-AG4</f>
        <v/>
      </c>
      <c r="AI15" s="300">
        <f>AI4-AH4</f>
        <v/>
      </c>
      <c r="AJ15" s="300">
        <f>AJ4-AI4</f>
        <v/>
      </c>
      <c r="AK15" s="300">
        <f>AK4-AJ4</f>
        <v/>
      </c>
      <c r="AL15" s="300">
        <f>AL4-AK4</f>
        <v/>
      </c>
      <c r="AM15" s="300">
        <f>AM4-AL4</f>
        <v/>
      </c>
      <c r="AN15" s="300">
        <f>AN4-AM4</f>
        <v/>
      </c>
      <c r="AO15" s="300">
        <f>AO4-AN4</f>
        <v/>
      </c>
      <c r="AP15" s="300">
        <f>AP4-AO4</f>
        <v/>
      </c>
      <c r="AQ15" s="300">
        <f>AQ4-AP4</f>
        <v/>
      </c>
      <c r="AR15" s="300">
        <f>AR4-AQ4</f>
        <v/>
      </c>
      <c r="AS15" s="300">
        <f>AS4-AR4</f>
        <v/>
      </c>
      <c r="AT15" s="300">
        <f>AT4-AS4</f>
        <v/>
      </c>
      <c r="AU15" s="300">
        <f>AU4-AT4</f>
        <v/>
      </c>
      <c r="AV15" s="300">
        <f>AV4-AU4</f>
        <v/>
      </c>
      <c r="AW15" s="300">
        <f>AW4-AV4</f>
        <v/>
      </c>
      <c r="AX15" s="300">
        <f>AX4-AW4</f>
        <v/>
      </c>
      <c r="AY15" s="300">
        <f>AY4-AX4</f>
        <v/>
      </c>
      <c r="AZ15" s="300">
        <f>AZ4-AY4</f>
        <v/>
      </c>
      <c r="BA15" s="300">
        <f>BA4-AZ4</f>
        <v/>
      </c>
      <c r="BB15" s="300">
        <f>BB4-BA4</f>
        <v/>
      </c>
      <c r="BC15" s="300">
        <f>BC4-BB4</f>
        <v/>
      </c>
      <c r="BD15" s="300">
        <f>BD4-BC4</f>
        <v/>
      </c>
      <c r="BE15" s="300">
        <f>BE4-BD4</f>
        <v/>
      </c>
      <c r="BF15" s="300">
        <f>BF4-BE4</f>
        <v/>
      </c>
      <c r="BG15" s="300">
        <f>BG4-BF4</f>
        <v/>
      </c>
      <c r="BH15" s="300">
        <f>BH4-BG4</f>
        <v/>
      </c>
      <c r="BI15" s="300">
        <f>BI4-BH4</f>
        <v/>
      </c>
      <c r="BJ15" s="301">
        <f>MAX(C15:BA15)</f>
        <v/>
      </c>
      <c r="BK15" s="54" t="n">
        <v>400</v>
      </c>
      <c r="BL15" s="67" t="n">
        <v>-2</v>
      </c>
      <c r="BM15" s="301">
        <f>MIN(C15:BA15)</f>
        <v/>
      </c>
    </row>
    <row r="16" ht="25" customHeight="1">
      <c r="A16" s="56" t="inlineStr">
        <is>
          <t>Japan</t>
        </is>
      </c>
      <c r="B16" s="68" t="n"/>
      <c r="C16" s="300">
        <f>C5-B5</f>
        <v/>
      </c>
      <c r="D16" s="300">
        <f>D5-C5</f>
        <v/>
      </c>
      <c r="E16" s="300">
        <f>E5-D5</f>
        <v/>
      </c>
      <c r="F16" s="300">
        <f>F5-E5</f>
        <v/>
      </c>
      <c r="G16" s="300">
        <f>G5-F5</f>
        <v/>
      </c>
      <c r="H16" s="300">
        <f>H5-G5</f>
        <v/>
      </c>
      <c r="I16" s="300">
        <f>I5-H5</f>
        <v/>
      </c>
      <c r="J16" s="300">
        <f>J5-I5</f>
        <v/>
      </c>
      <c r="K16" s="300">
        <f>K5-J5</f>
        <v/>
      </c>
      <c r="L16" s="300">
        <f>L5-K5</f>
        <v/>
      </c>
      <c r="M16" s="300">
        <f>M5-L5</f>
        <v/>
      </c>
      <c r="N16" s="300">
        <f>N5-M5</f>
        <v/>
      </c>
      <c r="O16" s="300">
        <f>O5-N5</f>
        <v/>
      </c>
      <c r="P16" s="300">
        <f>P5-O5</f>
        <v/>
      </c>
      <c r="Q16" s="300">
        <f>Q5-P5</f>
        <v/>
      </c>
      <c r="R16" s="300">
        <f>R5-Q5</f>
        <v/>
      </c>
      <c r="S16" s="300">
        <f>S5-R5</f>
        <v/>
      </c>
      <c r="T16" s="300">
        <f>T5-S5</f>
        <v/>
      </c>
      <c r="U16" s="300">
        <f>U5-T5</f>
        <v/>
      </c>
      <c r="V16" s="300">
        <f>V5-U5</f>
        <v/>
      </c>
      <c r="W16" s="300">
        <f>W5-V5</f>
        <v/>
      </c>
      <c r="X16" s="300">
        <f>X5-W5</f>
        <v/>
      </c>
      <c r="Y16" s="300">
        <f>Y5-X5</f>
        <v/>
      </c>
      <c r="Z16" s="300">
        <f>Z5-Y5</f>
        <v/>
      </c>
      <c r="AA16" s="300">
        <f>AA5-Z5</f>
        <v/>
      </c>
      <c r="AB16" s="300">
        <f>AB5-AA5</f>
        <v/>
      </c>
      <c r="AC16" s="300">
        <f>AC5-AB5</f>
        <v/>
      </c>
      <c r="AD16" s="300">
        <f>AD5-AC5</f>
        <v/>
      </c>
      <c r="AE16" s="300">
        <f>AE5-AD5</f>
        <v/>
      </c>
      <c r="AF16" s="300">
        <f>AF5-AE5</f>
        <v/>
      </c>
      <c r="AG16" s="300">
        <f>AG5-AF5</f>
        <v/>
      </c>
      <c r="AH16" s="300">
        <f>AH5-AG5</f>
        <v/>
      </c>
      <c r="AI16" s="300">
        <f>AI5-AH5</f>
        <v/>
      </c>
      <c r="AJ16" s="300">
        <f>AJ5-AI5</f>
        <v/>
      </c>
      <c r="AK16" s="300">
        <f>AK5-AJ5</f>
        <v/>
      </c>
      <c r="AL16" s="300">
        <f>AL5-AK5</f>
        <v/>
      </c>
      <c r="AM16" s="300">
        <f>AM5-AL5</f>
        <v/>
      </c>
      <c r="AN16" s="300">
        <f>AN5-AM5</f>
        <v/>
      </c>
      <c r="AO16" s="300">
        <f>AO5-AN5</f>
        <v/>
      </c>
      <c r="AP16" s="300">
        <f>AP5-AO5</f>
        <v/>
      </c>
      <c r="AQ16" s="300">
        <f>AQ5-AP5</f>
        <v/>
      </c>
      <c r="AR16" s="300">
        <f>AR5-AQ5</f>
        <v/>
      </c>
      <c r="AS16" s="300">
        <f>AS5-AR5</f>
        <v/>
      </c>
      <c r="AT16" s="300">
        <f>AT5-AS5</f>
        <v/>
      </c>
      <c r="AU16" s="300">
        <f>AU5-AT5</f>
        <v/>
      </c>
      <c r="AV16" s="300">
        <f>AV5-AU5</f>
        <v/>
      </c>
      <c r="AW16" s="300">
        <f>AW5-AV5</f>
        <v/>
      </c>
      <c r="AX16" s="300">
        <f>AX5-AW5</f>
        <v/>
      </c>
      <c r="AY16" s="300">
        <f>AY5-AX5</f>
        <v/>
      </c>
      <c r="AZ16" s="300">
        <f>AZ5-AY5</f>
        <v/>
      </c>
      <c r="BA16" s="300">
        <f>BA5-AZ5</f>
        <v/>
      </c>
      <c r="BB16" s="300">
        <f>BB5-BA5</f>
        <v/>
      </c>
      <c r="BC16" s="300">
        <f>BC5-BB5</f>
        <v/>
      </c>
      <c r="BD16" s="300">
        <f>BD5-BC5</f>
        <v/>
      </c>
      <c r="BE16" s="300">
        <f>BE5-BD5</f>
        <v/>
      </c>
      <c r="BF16" s="300">
        <f>BF5-BE5</f>
        <v/>
      </c>
      <c r="BG16" s="300">
        <f>BG5-BF5</f>
        <v/>
      </c>
      <c r="BH16" s="300">
        <f>BH5-BG5</f>
        <v/>
      </c>
      <c r="BI16" s="300">
        <f>BI5-BH5</f>
        <v/>
      </c>
      <c r="BJ16" s="301">
        <f>MAX(C16:BA16)</f>
        <v/>
      </c>
      <c r="BK16" s="54" t="n">
        <v>600</v>
      </c>
      <c r="BL16" s="67" t="n">
        <v>-3</v>
      </c>
      <c r="BM16" s="301">
        <f>MIN(C16:BA16)</f>
        <v/>
      </c>
    </row>
    <row r="17" ht="25" customHeight="1">
      <c r="A17" s="56" t="inlineStr">
        <is>
          <t>Switzerland</t>
        </is>
      </c>
      <c r="B17" s="68" t="n"/>
      <c r="C17" s="300">
        <f>C6-B6</f>
        <v/>
      </c>
      <c r="D17" s="300">
        <f>D6-C6</f>
        <v/>
      </c>
      <c r="E17" s="300">
        <f>E6-D6</f>
        <v/>
      </c>
      <c r="F17" s="300">
        <f>F6-E6</f>
        <v/>
      </c>
      <c r="G17" s="300">
        <f>G6-F6</f>
        <v/>
      </c>
      <c r="H17" s="300">
        <f>H6-G6</f>
        <v/>
      </c>
      <c r="I17" s="300">
        <f>I6-H6</f>
        <v/>
      </c>
      <c r="J17" s="300">
        <f>J6-I6</f>
        <v/>
      </c>
      <c r="K17" s="300">
        <f>K6-J6</f>
        <v/>
      </c>
      <c r="L17" s="300">
        <f>L6-K6</f>
        <v/>
      </c>
      <c r="M17" s="300">
        <f>M6-L6</f>
        <v/>
      </c>
      <c r="N17" s="300">
        <f>N6-M6</f>
        <v/>
      </c>
      <c r="O17" s="300">
        <f>O6-N6</f>
        <v/>
      </c>
      <c r="P17" s="300">
        <f>P6-O6</f>
        <v/>
      </c>
      <c r="Q17" s="300">
        <f>Q6-P6</f>
        <v/>
      </c>
      <c r="R17" s="300">
        <f>R6-Q6</f>
        <v/>
      </c>
      <c r="S17" s="300">
        <f>S6-R6</f>
        <v/>
      </c>
      <c r="T17" s="300">
        <f>T6-S6</f>
        <v/>
      </c>
      <c r="U17" s="300">
        <f>U6-T6</f>
        <v/>
      </c>
      <c r="V17" s="300">
        <f>V6-U6</f>
        <v/>
      </c>
      <c r="W17" s="300">
        <f>W6-V6</f>
        <v/>
      </c>
      <c r="X17" s="300">
        <f>X6-W6</f>
        <v/>
      </c>
      <c r="Y17" s="300">
        <f>Y6-X6</f>
        <v/>
      </c>
      <c r="Z17" s="300">
        <f>Z6-Y6</f>
        <v/>
      </c>
      <c r="AA17" s="300">
        <f>AA6-Z6</f>
        <v/>
      </c>
      <c r="AB17" s="300">
        <f>AB6-AA6</f>
        <v/>
      </c>
      <c r="AC17" s="300">
        <f>AC6-AB6</f>
        <v/>
      </c>
      <c r="AD17" s="300">
        <f>AD6-AC6</f>
        <v/>
      </c>
      <c r="AE17" s="300">
        <f>AE6-AD6</f>
        <v/>
      </c>
      <c r="AF17" s="300">
        <f>AF6-AE6</f>
        <v/>
      </c>
      <c r="AG17" s="300">
        <f>AG6-AF6</f>
        <v/>
      </c>
      <c r="AH17" s="300">
        <f>AH6-AG6</f>
        <v/>
      </c>
      <c r="AI17" s="300">
        <f>AI6-AH6</f>
        <v/>
      </c>
      <c r="AJ17" s="300">
        <f>AJ6-AI6</f>
        <v/>
      </c>
      <c r="AK17" s="300">
        <f>AK6-AJ6</f>
        <v/>
      </c>
      <c r="AL17" s="300">
        <f>AL6-AK6</f>
        <v/>
      </c>
      <c r="AM17" s="300">
        <f>AM6-AL6</f>
        <v/>
      </c>
      <c r="AN17" s="300">
        <f>AN6-AM6</f>
        <v/>
      </c>
      <c r="AO17" s="300">
        <f>AO6-AN6</f>
        <v/>
      </c>
      <c r="AP17" s="300">
        <f>AP6-AO6</f>
        <v/>
      </c>
      <c r="AQ17" s="300">
        <f>AQ6-AP6</f>
        <v/>
      </c>
      <c r="AR17" s="300">
        <f>AR6-AQ6</f>
        <v/>
      </c>
      <c r="AS17" s="300">
        <f>AS6-AR6</f>
        <v/>
      </c>
      <c r="AT17" s="300">
        <f>AT6-AS6</f>
        <v/>
      </c>
      <c r="AU17" s="300">
        <f>AU6-AT6</f>
        <v/>
      </c>
      <c r="AV17" s="300">
        <f>AV6-AU6</f>
        <v/>
      </c>
      <c r="AW17" s="300">
        <f>AW6-AV6</f>
        <v/>
      </c>
      <c r="AX17" s="302" t="n">
        <v>11079.17022088997</v>
      </c>
      <c r="AY17" s="302" t="n">
        <v>11080.17022089</v>
      </c>
      <c r="AZ17" s="302" t="n">
        <v>11081.17022089</v>
      </c>
      <c r="BA17" s="302" t="n">
        <v>11082.1702208901</v>
      </c>
      <c r="BB17" s="302" t="n">
        <v>11083.1702208901</v>
      </c>
      <c r="BC17" s="302" t="n">
        <v>11084.1702208901</v>
      </c>
      <c r="BD17" s="302" t="n">
        <v>11085.1702208902</v>
      </c>
      <c r="BE17" s="302" t="n">
        <v>11086.1702208902</v>
      </c>
      <c r="BF17" s="302" t="n">
        <v>11087.1702208902</v>
      </c>
      <c r="BG17" s="302" t="n">
        <v>11088.1702208903</v>
      </c>
      <c r="BH17" s="302" t="n">
        <v>11089.1702208903</v>
      </c>
      <c r="BI17" s="302" t="n">
        <v>11090.1702208903</v>
      </c>
      <c r="BJ17" s="301">
        <f>MAX(C17:BA17)</f>
        <v/>
      </c>
      <c r="BK17" s="54" t="n">
        <v>800</v>
      </c>
      <c r="BL17" s="67" t="n">
        <v>-4</v>
      </c>
      <c r="BM17" s="301">
        <f>MIN(C17:BA17)</f>
        <v/>
      </c>
    </row>
    <row r="18" ht="25" customHeight="1">
      <c r="A18" s="56" t="inlineStr">
        <is>
          <t>New Zealand</t>
        </is>
      </c>
      <c r="B18" s="68" t="n"/>
      <c r="C18" s="300">
        <f>C7-B7</f>
        <v/>
      </c>
      <c r="D18" s="300">
        <f>D7-C7</f>
        <v/>
      </c>
      <c r="E18" s="300">
        <f>E7-D7</f>
        <v/>
      </c>
      <c r="F18" s="300">
        <f>F7-E7</f>
        <v/>
      </c>
      <c r="G18" s="300">
        <f>G7-F7</f>
        <v/>
      </c>
      <c r="H18" s="300">
        <f>H7-G7</f>
        <v/>
      </c>
      <c r="I18" s="300">
        <f>I7-H7</f>
        <v/>
      </c>
      <c r="J18" s="300">
        <f>J7-I7</f>
        <v/>
      </c>
      <c r="K18" s="300">
        <f>K7-J7</f>
        <v/>
      </c>
      <c r="L18" s="300">
        <f>L7-K7</f>
        <v/>
      </c>
      <c r="M18" s="300">
        <f>M7-L7</f>
        <v/>
      </c>
      <c r="N18" s="300">
        <f>N7-M7</f>
        <v/>
      </c>
      <c r="O18" s="300">
        <f>O7-N7</f>
        <v/>
      </c>
      <c r="P18" s="300">
        <f>P7-O7</f>
        <v/>
      </c>
      <c r="Q18" s="300">
        <f>Q7-P7</f>
        <v/>
      </c>
      <c r="R18" s="300">
        <f>R7-Q7</f>
        <v/>
      </c>
      <c r="S18" s="300">
        <f>S7-R7</f>
        <v/>
      </c>
      <c r="T18" s="300">
        <f>T7-S7</f>
        <v/>
      </c>
      <c r="U18" s="300">
        <f>U7-T7</f>
        <v/>
      </c>
      <c r="V18" s="300">
        <f>V7-U7</f>
        <v/>
      </c>
      <c r="W18" s="300">
        <f>W7-V7</f>
        <v/>
      </c>
      <c r="X18" s="300">
        <f>X7-W7</f>
        <v/>
      </c>
      <c r="Y18" s="300">
        <f>Y7-X7</f>
        <v/>
      </c>
      <c r="Z18" s="300">
        <f>Z7-Y7</f>
        <v/>
      </c>
      <c r="AA18" s="300">
        <f>AA7-Z7</f>
        <v/>
      </c>
      <c r="AB18" s="300">
        <f>AB7-AA7</f>
        <v/>
      </c>
      <c r="AC18" s="300">
        <f>AC7-AB7</f>
        <v/>
      </c>
      <c r="AD18" s="300">
        <f>AD7-AC7</f>
        <v/>
      </c>
      <c r="AE18" s="300">
        <f>AE7-AD7</f>
        <v/>
      </c>
      <c r="AF18" s="300">
        <f>AF7-AE7</f>
        <v/>
      </c>
      <c r="AG18" s="300">
        <f>AG7-AF7</f>
        <v/>
      </c>
      <c r="AH18" s="300">
        <f>AH7-AG7</f>
        <v/>
      </c>
      <c r="AI18" s="300">
        <f>AI7-AH7</f>
        <v/>
      </c>
      <c r="AJ18" s="300">
        <f>AJ7-AI7</f>
        <v/>
      </c>
      <c r="AK18" s="300">
        <f>AK7-AJ7</f>
        <v/>
      </c>
      <c r="AL18" s="300">
        <f>AL7-AK7</f>
        <v/>
      </c>
      <c r="AM18" s="300">
        <f>AM7-AL7</f>
        <v/>
      </c>
      <c r="AN18" s="300">
        <f>AN7-AM7</f>
        <v/>
      </c>
      <c r="AO18" s="300">
        <f>AO7-AN7</f>
        <v/>
      </c>
      <c r="AP18" s="300">
        <f>AP7-AO7</f>
        <v/>
      </c>
      <c r="AQ18" s="300">
        <f>AQ7-AP7</f>
        <v/>
      </c>
      <c r="AR18" s="300">
        <f>AR7-AQ7</f>
        <v/>
      </c>
      <c r="AS18" s="300">
        <f>AS7-AR7</f>
        <v/>
      </c>
      <c r="AT18" s="300">
        <f>AT7-AS7</f>
        <v/>
      </c>
      <c r="AU18" s="300">
        <f>AU7-AT7</f>
        <v/>
      </c>
      <c r="AV18" s="300">
        <f>AV7-AU7</f>
        <v/>
      </c>
      <c r="AW18" s="300">
        <f>AW7-AV7</f>
        <v/>
      </c>
      <c r="AX18" s="300">
        <f>AX7-AW7</f>
        <v/>
      </c>
      <c r="AY18" s="300">
        <f>AY7-AX7</f>
        <v/>
      </c>
      <c r="AZ18" s="300">
        <f>AZ7-AY7</f>
        <v/>
      </c>
      <c r="BA18" s="300">
        <f>BA7-AZ7</f>
        <v/>
      </c>
      <c r="BB18" s="300">
        <f>BB7-BA7</f>
        <v/>
      </c>
      <c r="BC18" s="300">
        <f>BC7-BB7</f>
        <v/>
      </c>
      <c r="BD18" s="300">
        <f>BD7-BC7</f>
        <v/>
      </c>
      <c r="BE18" s="300">
        <f>BE7-BD7</f>
        <v/>
      </c>
      <c r="BF18" s="300">
        <f>BF7-BE7</f>
        <v/>
      </c>
      <c r="BG18" s="300">
        <f>BG7-BF7</f>
        <v/>
      </c>
      <c r="BH18" s="300">
        <f>BH7-BG7</f>
        <v/>
      </c>
      <c r="BI18" s="300">
        <f>BI7-BH7</f>
        <v/>
      </c>
      <c r="BJ18" s="301">
        <f>MAX(C18:BA18)</f>
        <v/>
      </c>
      <c r="BK18" s="54" t="n">
        <v>1000</v>
      </c>
      <c r="BL18" s="67" t="n">
        <v>-5</v>
      </c>
      <c r="BM18" s="301">
        <f>MIN(C18:BA18)</f>
        <v/>
      </c>
    </row>
    <row r="19" ht="25" customHeight="1">
      <c r="A19" s="56" t="inlineStr">
        <is>
          <t>United Kingdom</t>
        </is>
      </c>
      <c r="B19" s="68" t="n"/>
      <c r="C19" s="300">
        <f>C8-B8</f>
        <v/>
      </c>
      <c r="D19" s="300">
        <f>D8-C8</f>
        <v/>
      </c>
      <c r="E19" s="300">
        <f>E8-D8</f>
        <v/>
      </c>
      <c r="F19" s="300">
        <f>F8-E8</f>
        <v/>
      </c>
      <c r="G19" s="300">
        <f>G8-F8</f>
        <v/>
      </c>
      <c r="H19" s="300">
        <f>H8-G8</f>
        <v/>
      </c>
      <c r="I19" s="300">
        <f>I8-H8</f>
        <v/>
      </c>
      <c r="J19" s="300">
        <f>J8-I8</f>
        <v/>
      </c>
      <c r="K19" s="300">
        <f>K8-J8</f>
        <v/>
      </c>
      <c r="L19" s="300">
        <f>L8-K8</f>
        <v/>
      </c>
      <c r="M19" s="300">
        <f>M8-L8</f>
        <v/>
      </c>
      <c r="N19" s="300">
        <f>N8-M8</f>
        <v/>
      </c>
      <c r="O19" s="300">
        <f>O8-N8</f>
        <v/>
      </c>
      <c r="P19" s="300">
        <f>P8-O8</f>
        <v/>
      </c>
      <c r="Q19" s="300">
        <f>Q8-P8</f>
        <v/>
      </c>
      <c r="R19" s="300">
        <f>R8-Q8</f>
        <v/>
      </c>
      <c r="S19" s="300">
        <f>S8-R8</f>
        <v/>
      </c>
      <c r="T19" s="300">
        <f>T8-S8</f>
        <v/>
      </c>
      <c r="U19" s="300">
        <f>U8-T8</f>
        <v/>
      </c>
      <c r="V19" s="300">
        <f>V8-U8</f>
        <v/>
      </c>
      <c r="W19" s="300">
        <f>W8-V8</f>
        <v/>
      </c>
      <c r="X19" s="300">
        <f>X8-W8</f>
        <v/>
      </c>
      <c r="Y19" s="300">
        <f>Y8-X8</f>
        <v/>
      </c>
      <c r="Z19" s="300">
        <f>Z8-Y8</f>
        <v/>
      </c>
      <c r="AA19" s="300">
        <f>AA8-Z8</f>
        <v/>
      </c>
      <c r="AB19" s="300">
        <f>AB8-AA8</f>
        <v/>
      </c>
      <c r="AC19" s="300">
        <f>AC8-AB8</f>
        <v/>
      </c>
      <c r="AD19" s="300">
        <f>AD8-AC8</f>
        <v/>
      </c>
      <c r="AE19" s="300">
        <f>AE8-AD8</f>
        <v/>
      </c>
      <c r="AF19" s="300">
        <f>AF8-AE8</f>
        <v/>
      </c>
      <c r="AG19" s="300">
        <f>AG8-AF8</f>
        <v/>
      </c>
      <c r="AH19" s="300">
        <f>AH8-AG8</f>
        <v/>
      </c>
      <c r="AI19" s="300">
        <f>AI8-AH8</f>
        <v/>
      </c>
      <c r="AJ19" s="300">
        <f>AJ8-AI8</f>
        <v/>
      </c>
      <c r="AK19" s="300">
        <f>AK8-AJ8</f>
        <v/>
      </c>
      <c r="AL19" s="300">
        <f>AL8-AK8</f>
        <v/>
      </c>
      <c r="AM19" s="300">
        <f>AM8-AL8</f>
        <v/>
      </c>
      <c r="AN19" s="300">
        <f>AN8-AM8</f>
        <v/>
      </c>
      <c r="AO19" s="300">
        <f>AO8-AN8</f>
        <v/>
      </c>
      <c r="AP19" s="300">
        <f>AP8-AO8</f>
        <v/>
      </c>
      <c r="AQ19" s="300">
        <f>AQ8-AP8</f>
        <v/>
      </c>
      <c r="AR19" s="300">
        <f>AR8-AQ8</f>
        <v/>
      </c>
      <c r="AS19" s="300">
        <f>AS8-AR8</f>
        <v/>
      </c>
      <c r="AT19" s="300">
        <f>AT8-AS8</f>
        <v/>
      </c>
      <c r="AU19" s="300">
        <f>AU8-AT8</f>
        <v/>
      </c>
      <c r="AV19" s="300">
        <f>AV8-AU8</f>
        <v/>
      </c>
      <c r="AW19" s="300">
        <f>AW8-AV8</f>
        <v/>
      </c>
      <c r="AX19" s="300">
        <f>AX8-AW8</f>
        <v/>
      </c>
      <c r="AY19" s="300">
        <f>AY8-AX8</f>
        <v/>
      </c>
      <c r="AZ19" s="300">
        <f>AZ8-AY8</f>
        <v/>
      </c>
      <c r="BA19" s="300">
        <f>BA8-AZ8</f>
        <v/>
      </c>
      <c r="BB19" s="300">
        <f>BB8-BA8</f>
        <v/>
      </c>
      <c r="BC19" s="300">
        <f>BC8-BB8</f>
        <v/>
      </c>
      <c r="BD19" s="300">
        <f>BD8-BC8</f>
        <v/>
      </c>
      <c r="BE19" s="300">
        <f>BE8-BD8</f>
        <v/>
      </c>
      <c r="BF19" s="300">
        <f>BF8-BE8</f>
        <v/>
      </c>
      <c r="BG19" s="300">
        <f>BG8-BF8</f>
        <v/>
      </c>
      <c r="BH19" s="300">
        <f>BH8-BG8</f>
        <v/>
      </c>
      <c r="BI19" s="300">
        <f>BI8-BH8</f>
        <v/>
      </c>
      <c r="BJ19" s="301">
        <f>MAX(C19:BA19)</f>
        <v/>
      </c>
      <c r="BK19" s="54" t="n">
        <v>1200</v>
      </c>
      <c r="BL19" s="67" t="n">
        <v>-6</v>
      </c>
      <c r="BM19" s="301">
        <f>MIN(C19:BA19)</f>
        <v/>
      </c>
    </row>
    <row r="20" ht="25" customHeight="1">
      <c r="A20" s="58" t="inlineStr">
        <is>
          <t>United States</t>
        </is>
      </c>
      <c r="B20" s="70" t="n"/>
      <c r="C20" s="300">
        <f>C9-B9</f>
        <v/>
      </c>
      <c r="D20" s="300">
        <f>D9-C9</f>
        <v/>
      </c>
      <c r="E20" s="300">
        <f>E9-D9</f>
        <v/>
      </c>
      <c r="F20" s="300">
        <f>F9-E9</f>
        <v/>
      </c>
      <c r="G20" s="300">
        <f>G9-F9</f>
        <v/>
      </c>
      <c r="H20" s="300">
        <f>H9-G9</f>
        <v/>
      </c>
      <c r="I20" s="300">
        <f>I9-H9</f>
        <v/>
      </c>
      <c r="J20" s="300">
        <f>J9-I9</f>
        <v/>
      </c>
      <c r="K20" s="300">
        <f>K9-J9</f>
        <v/>
      </c>
      <c r="L20" s="300">
        <f>L9-K9</f>
        <v/>
      </c>
      <c r="M20" s="300">
        <f>M9-L9</f>
        <v/>
      </c>
      <c r="N20" s="300">
        <f>N9-M9</f>
        <v/>
      </c>
      <c r="O20" s="300">
        <f>O9-N9</f>
        <v/>
      </c>
      <c r="P20" s="300">
        <f>P9-O9</f>
        <v/>
      </c>
      <c r="Q20" s="300">
        <f>Q9-P9</f>
        <v/>
      </c>
      <c r="R20" s="300">
        <f>R9-Q9</f>
        <v/>
      </c>
      <c r="S20" s="300">
        <f>S9-R9</f>
        <v/>
      </c>
      <c r="T20" s="300">
        <f>T9-S9</f>
        <v/>
      </c>
      <c r="U20" s="300">
        <f>U9-T9</f>
        <v/>
      </c>
      <c r="V20" s="300">
        <f>V9-U9</f>
        <v/>
      </c>
      <c r="W20" s="300">
        <f>W9-V9</f>
        <v/>
      </c>
      <c r="X20" s="300">
        <f>X9-W9</f>
        <v/>
      </c>
      <c r="Y20" s="300">
        <f>Y9-X9</f>
        <v/>
      </c>
      <c r="Z20" s="300">
        <f>Z9-Y9</f>
        <v/>
      </c>
      <c r="AA20" s="300">
        <f>AA9-Z9</f>
        <v/>
      </c>
      <c r="AB20" s="300">
        <f>AB9-AA9</f>
        <v/>
      </c>
      <c r="AC20" s="300">
        <f>AC9-AB9</f>
        <v/>
      </c>
      <c r="AD20" s="300">
        <f>AD9-AC9</f>
        <v/>
      </c>
      <c r="AE20" s="300">
        <f>AE9-AD9</f>
        <v/>
      </c>
      <c r="AF20" s="300">
        <f>AF9-AE9</f>
        <v/>
      </c>
      <c r="AG20" s="300">
        <f>AG9-AF9</f>
        <v/>
      </c>
      <c r="AH20" s="300">
        <f>AH9-AG9</f>
        <v/>
      </c>
      <c r="AI20" s="300">
        <f>AI9-AH9</f>
        <v/>
      </c>
      <c r="AJ20" s="300">
        <f>AJ9-AI9</f>
        <v/>
      </c>
      <c r="AK20" s="300">
        <f>AK9-AJ9</f>
        <v/>
      </c>
      <c r="AL20" s="300">
        <f>AL9-AK9</f>
        <v/>
      </c>
      <c r="AM20" s="300">
        <f>AM9-AL9</f>
        <v/>
      </c>
      <c r="AN20" s="300">
        <f>AN9-AM9</f>
        <v/>
      </c>
      <c r="AO20" s="300">
        <f>AO9-AN9</f>
        <v/>
      </c>
      <c r="AP20" s="300">
        <f>AP9-AO9</f>
        <v/>
      </c>
      <c r="AQ20" s="300">
        <f>AQ9-AP9</f>
        <v/>
      </c>
      <c r="AR20" s="300">
        <f>AR9-AQ9</f>
        <v/>
      </c>
      <c r="AS20" s="300">
        <f>AS9-AR9</f>
        <v/>
      </c>
      <c r="AT20" s="300">
        <f>AT9-AS9</f>
        <v/>
      </c>
      <c r="AU20" s="300">
        <f>AU9-AT9</f>
        <v/>
      </c>
      <c r="AV20" s="300">
        <f>AV9-AU9</f>
        <v/>
      </c>
      <c r="AW20" s="300">
        <f>AW9-AV9</f>
        <v/>
      </c>
      <c r="AX20" s="300">
        <f>AX9-AW9</f>
        <v/>
      </c>
      <c r="AY20" s="300">
        <f>AY9-AX9</f>
        <v/>
      </c>
      <c r="AZ20" s="300">
        <f>AZ9-AY9</f>
        <v/>
      </c>
      <c r="BA20" s="300">
        <f>BA9-AZ9</f>
        <v/>
      </c>
      <c r="BB20" s="300">
        <f>BB9-BA9</f>
        <v/>
      </c>
      <c r="BC20" s="300">
        <f>BC9-BB9</f>
        <v/>
      </c>
      <c r="BD20" s="300">
        <f>BD9-BC9</f>
        <v/>
      </c>
      <c r="BE20" s="300">
        <f>BE9-BD9</f>
        <v/>
      </c>
      <c r="BF20" s="300">
        <f>BF9-BE9</f>
        <v/>
      </c>
      <c r="BG20" s="300">
        <f>BG9-BF9</f>
        <v/>
      </c>
      <c r="BH20" s="300">
        <f>BH9-BG9</f>
        <v/>
      </c>
      <c r="BI20" s="300">
        <f>BI9-BH9</f>
        <v/>
      </c>
      <c r="BJ20" s="301">
        <f>MAX(C20:BA20)</f>
        <v/>
      </c>
      <c r="BK20" s="54" t="n">
        <v>1400</v>
      </c>
      <c r="BL20" s="67" t="n">
        <v>-7</v>
      </c>
      <c r="BM20" s="301">
        <f>MIN(C20:BA20)</f>
        <v/>
      </c>
    </row>
    <row r="21" ht="25" customHeight="1">
      <c r="A21" s="59" t="inlineStr">
        <is>
          <t>EURO AREA</t>
        </is>
      </c>
      <c r="B21" s="71" t="n"/>
      <c r="C21" s="300">
        <f>C10-B10</f>
        <v/>
      </c>
      <c r="D21" s="300">
        <f>D10-C10</f>
        <v/>
      </c>
      <c r="E21" s="300">
        <f>E10-D10</f>
        <v/>
      </c>
      <c r="F21" s="300">
        <f>F10-E10</f>
        <v/>
      </c>
      <c r="G21" s="300">
        <f>G10-F10</f>
        <v/>
      </c>
      <c r="H21" s="300">
        <f>H10-G10</f>
        <v/>
      </c>
      <c r="I21" s="300">
        <f>I10-H10</f>
        <v/>
      </c>
      <c r="J21" s="300">
        <f>J10-I10</f>
        <v/>
      </c>
      <c r="K21" s="300">
        <f>K10-J10</f>
        <v/>
      </c>
      <c r="L21" s="300">
        <f>L10-K10</f>
        <v/>
      </c>
      <c r="M21" s="300">
        <f>M10-L10</f>
        <v/>
      </c>
      <c r="N21" s="300">
        <f>N10-M10</f>
        <v/>
      </c>
      <c r="O21" s="300">
        <f>O10-N10</f>
        <v/>
      </c>
      <c r="P21" s="300">
        <f>P10-O10</f>
        <v/>
      </c>
      <c r="Q21" s="300">
        <f>Q10-P10</f>
        <v/>
      </c>
      <c r="R21" s="300">
        <f>R10-Q10</f>
        <v/>
      </c>
      <c r="S21" s="300">
        <f>S10-R10</f>
        <v/>
      </c>
      <c r="T21" s="300">
        <f>T10-S10</f>
        <v/>
      </c>
      <c r="U21" s="300">
        <f>U10-T10</f>
        <v/>
      </c>
      <c r="V21" s="300">
        <f>V10-U10</f>
        <v/>
      </c>
      <c r="W21" s="300">
        <f>W10-V10</f>
        <v/>
      </c>
      <c r="X21" s="300">
        <f>X10-W10</f>
        <v/>
      </c>
      <c r="Y21" s="300">
        <f>Y10-X10</f>
        <v/>
      </c>
      <c r="Z21" s="300">
        <f>Z10-Y10</f>
        <v/>
      </c>
      <c r="AA21" s="300">
        <f>AA10-Z10</f>
        <v/>
      </c>
      <c r="AB21" s="300">
        <f>AB10-AA10</f>
        <v/>
      </c>
      <c r="AC21" s="300">
        <f>AC10-AB10</f>
        <v/>
      </c>
      <c r="AD21" s="300">
        <f>AD10-AC10</f>
        <v/>
      </c>
      <c r="AE21" s="300">
        <f>AE10-AD10</f>
        <v/>
      </c>
      <c r="AF21" s="300">
        <f>AF10-AE10</f>
        <v/>
      </c>
      <c r="AG21" s="300">
        <f>AG10-AF10</f>
        <v/>
      </c>
      <c r="AH21" s="300">
        <f>AH10-AG10</f>
        <v/>
      </c>
      <c r="AI21" s="300">
        <f>AI10-AH10</f>
        <v/>
      </c>
      <c r="AJ21" s="300">
        <f>AJ10-AI10</f>
        <v/>
      </c>
      <c r="AK21" s="300">
        <f>AK10-AJ10</f>
        <v/>
      </c>
      <c r="AL21" s="300">
        <f>AL10-AK10</f>
        <v/>
      </c>
      <c r="AM21" s="300">
        <f>AM10-AL10</f>
        <v/>
      </c>
      <c r="AN21" s="300">
        <f>AN10-AM10</f>
        <v/>
      </c>
      <c r="AO21" s="300">
        <f>AO10-AN10</f>
        <v/>
      </c>
      <c r="AP21" s="300">
        <f>AP10-AO10</f>
        <v/>
      </c>
      <c r="AQ21" s="300">
        <f>AQ10-AP10</f>
        <v/>
      </c>
      <c r="AR21" s="300">
        <f>AR10-AQ10</f>
        <v/>
      </c>
      <c r="AS21" s="300">
        <f>AS10-AR10</f>
        <v/>
      </c>
      <c r="AT21" s="300">
        <f>AT10-AS10</f>
        <v/>
      </c>
      <c r="AU21" s="300">
        <f>AU10-AT10</f>
        <v/>
      </c>
      <c r="AV21" s="300">
        <f>AV10-AU10</f>
        <v/>
      </c>
      <c r="AW21" s="300">
        <f>AW10-AV10</f>
        <v/>
      </c>
      <c r="AX21" s="300">
        <f>AX10-AW10</f>
        <v/>
      </c>
      <c r="AY21" s="300">
        <f>AY10-AX10</f>
        <v/>
      </c>
      <c r="AZ21" s="300">
        <f>AZ10-AY10</f>
        <v/>
      </c>
      <c r="BA21" s="300">
        <f>BA10-AZ10</f>
        <v/>
      </c>
      <c r="BB21" s="300">
        <f>BB10-BA10</f>
        <v/>
      </c>
      <c r="BC21" s="300">
        <f>BC10-BB10</f>
        <v/>
      </c>
      <c r="BD21" s="300">
        <f>BD10-BC10</f>
        <v/>
      </c>
      <c r="BE21" s="300">
        <f>BE10-BD10</f>
        <v/>
      </c>
      <c r="BF21" s="300">
        <f>BF10-BE10</f>
        <v/>
      </c>
      <c r="BG21" s="300">
        <f>BG10-BF10</f>
        <v/>
      </c>
      <c r="BH21" s="300">
        <f>BH10-BG10</f>
        <v/>
      </c>
      <c r="BI21" s="300">
        <f>BI10-BH10</f>
        <v/>
      </c>
      <c r="BJ21" s="301">
        <f>MAX(C21:BA21)</f>
        <v/>
      </c>
      <c r="BK21" s="54" t="n">
        <v>1600</v>
      </c>
      <c r="BL21" s="67" t="n">
        <v>-8</v>
      </c>
      <c r="BM21" s="301">
        <f>MIN(C21:BA21)</f>
        <v/>
      </c>
    </row>
    <row r="22" ht="25" customHeight="1"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K22" s="54" t="n">
        <v>1800</v>
      </c>
      <c r="BL22" s="67" t="n">
        <v>-9</v>
      </c>
    </row>
    <row r="23" ht="25" customHeight="1" thickBot="1">
      <c r="A23" s="279" t="inlineStr">
        <is>
          <t>12 Month Average</t>
        </is>
      </c>
      <c r="BK23" s="54" t="n">
        <v>2000</v>
      </c>
      <c r="BL23" s="72" t="n">
        <v>-10</v>
      </c>
    </row>
    <row r="24" ht="25" customHeight="1">
      <c r="A24" s="14" t="inlineStr">
        <is>
          <t>BOP</t>
        </is>
      </c>
      <c r="B24" s="294" t="n">
        <v>44562</v>
      </c>
      <c r="C24" s="294" t="n">
        <v>44593</v>
      </c>
      <c r="D24" s="294" t="n">
        <v>44621</v>
      </c>
      <c r="E24" s="294" t="n">
        <v>44652</v>
      </c>
      <c r="F24" s="294" t="n">
        <v>44682</v>
      </c>
      <c r="G24" s="294" t="n">
        <v>44713</v>
      </c>
      <c r="H24" s="294" t="n">
        <v>44743</v>
      </c>
      <c r="I24" s="294" t="n">
        <v>44774</v>
      </c>
      <c r="J24" s="294" t="n">
        <v>44805</v>
      </c>
      <c r="K24" s="294" t="n">
        <v>44835</v>
      </c>
      <c r="L24" s="294" t="n">
        <v>44866</v>
      </c>
      <c r="M24" s="294" t="n">
        <v>44896</v>
      </c>
      <c r="N24" s="294" t="n">
        <v>44927</v>
      </c>
      <c r="O24" s="294" t="n">
        <v>44958</v>
      </c>
      <c r="P24" s="294" t="n">
        <v>44986</v>
      </c>
      <c r="Q24" s="294" t="n">
        <v>45017</v>
      </c>
      <c r="R24" s="294" t="n">
        <v>45047</v>
      </c>
      <c r="S24" s="294" t="n">
        <v>45078</v>
      </c>
      <c r="T24" s="294" t="n">
        <v>45108</v>
      </c>
      <c r="U24" s="294" t="n">
        <v>45139</v>
      </c>
      <c r="V24" s="294" t="n">
        <v>45170</v>
      </c>
      <c r="W24" s="294" t="n">
        <v>45200</v>
      </c>
      <c r="X24" s="294" t="n">
        <v>45231</v>
      </c>
      <c r="Y24" s="294" t="n">
        <v>45261</v>
      </c>
      <c r="Z24" s="294" t="n">
        <v>45292</v>
      </c>
      <c r="AA24" s="294" t="n">
        <v>45323</v>
      </c>
      <c r="AB24" s="294" t="n">
        <v>45352</v>
      </c>
      <c r="AC24" s="294" t="n">
        <v>45383</v>
      </c>
      <c r="AD24" s="294" t="n">
        <v>45413</v>
      </c>
      <c r="AE24" s="294" t="n">
        <v>45444</v>
      </c>
      <c r="AF24" s="294" t="n">
        <v>45474</v>
      </c>
      <c r="AG24" s="294" t="n">
        <v>45505</v>
      </c>
      <c r="AH24" s="294" t="n">
        <v>45536</v>
      </c>
      <c r="AI24" s="294" t="n">
        <v>45566</v>
      </c>
      <c r="AJ24" s="294" t="n">
        <v>45597</v>
      </c>
      <c r="AK24" s="294" t="n">
        <v>45627</v>
      </c>
      <c r="AL24" s="294" t="n">
        <v>45658</v>
      </c>
      <c r="AM24" s="294" t="n">
        <v>45689</v>
      </c>
      <c r="AN24" s="294" t="n">
        <v>45717</v>
      </c>
      <c r="AO24" s="294" t="n">
        <v>45748</v>
      </c>
      <c r="AP24" s="294" t="n">
        <v>45778</v>
      </c>
      <c r="AQ24" s="294" t="n">
        <v>45809</v>
      </c>
      <c r="AR24" s="294" t="n">
        <v>45839</v>
      </c>
      <c r="AS24" s="294" t="n">
        <v>45870</v>
      </c>
      <c r="AT24" s="294" t="n">
        <v>45901</v>
      </c>
      <c r="AU24" s="294" t="n">
        <v>45931</v>
      </c>
      <c r="AV24" s="294" t="n">
        <v>45962</v>
      </c>
      <c r="AW24" s="294" t="n">
        <v>45992</v>
      </c>
      <c r="AX24" s="294" t="n">
        <v>46023</v>
      </c>
      <c r="AY24" s="294" t="n">
        <v>46054</v>
      </c>
      <c r="AZ24" s="294" t="n">
        <v>46082</v>
      </c>
      <c r="BA24" s="294" t="n">
        <v>46113</v>
      </c>
      <c r="BB24" s="294" t="n">
        <v>46143</v>
      </c>
      <c r="BC24" s="294" t="n">
        <v>46174</v>
      </c>
      <c r="BD24" s="294" t="n">
        <v>46204</v>
      </c>
      <c r="BE24" s="294" t="n">
        <v>46235</v>
      </c>
      <c r="BF24" s="294" t="n">
        <v>46266</v>
      </c>
      <c r="BG24" s="294" t="n">
        <v>46296</v>
      </c>
      <c r="BH24" s="294" t="n">
        <v>46327</v>
      </c>
      <c r="BI24" s="294" t="n">
        <v>46357</v>
      </c>
    </row>
    <row r="25" ht="25" customHeight="1">
      <c r="A25" s="52" t="inlineStr">
        <is>
          <t>Australia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17">
        <f>+AVERAGEA(C14:N14)</f>
        <v/>
      </c>
      <c r="O25" s="17">
        <f>+AVERAGEA(D14:O14)</f>
        <v/>
      </c>
      <c r="P25" s="17">
        <f>+AVERAGEA(E14:P14)</f>
        <v/>
      </c>
      <c r="Q25" s="17">
        <f>+AVERAGEA(F14:Q14)</f>
        <v/>
      </c>
      <c r="R25" s="17">
        <f>+AVERAGEA(G14:R14)</f>
        <v/>
      </c>
      <c r="S25" s="17">
        <f>+AVERAGEA(H14:S14)</f>
        <v/>
      </c>
      <c r="T25" s="17">
        <f>+AVERAGEA(I14:T14)</f>
        <v/>
      </c>
      <c r="U25" s="17">
        <f>+AVERAGEA(J14:U14)</f>
        <v/>
      </c>
      <c r="V25" s="17">
        <f>+AVERAGEA(K14:V14)</f>
        <v/>
      </c>
      <c r="W25" s="17">
        <f>+AVERAGEA(L14:W14)</f>
        <v/>
      </c>
      <c r="X25" s="17">
        <f>+AVERAGEA(M14:X14)</f>
        <v/>
      </c>
      <c r="Y25" s="17">
        <f>+AVERAGEA(N14:Y14)</f>
        <v/>
      </c>
      <c r="Z25" s="17">
        <f>+AVERAGEA(O14:Z14)</f>
        <v/>
      </c>
      <c r="AA25" s="17">
        <f>+AVERAGEA(P14:AA14)</f>
        <v/>
      </c>
      <c r="AB25" s="17">
        <f>+AVERAGEA(Q14:AB14)</f>
        <v/>
      </c>
      <c r="AC25" s="17">
        <f>+AVERAGEA(R14:AC14)</f>
        <v/>
      </c>
      <c r="AD25" s="17">
        <f>+AVERAGEA(S14:AD14)</f>
        <v/>
      </c>
      <c r="AE25" s="17">
        <f>+AVERAGEA(T14:AE14)</f>
        <v/>
      </c>
      <c r="AF25" s="17">
        <f>+AVERAGEA(U14:AF14)</f>
        <v/>
      </c>
      <c r="AG25" s="17">
        <f>+AVERAGEA(V14:AG14)</f>
        <v/>
      </c>
      <c r="AH25" s="17">
        <f>+AVERAGEA(W14:AH14)</f>
        <v/>
      </c>
      <c r="AI25" s="17">
        <f>+AVERAGEA(X14:AI14)</f>
        <v/>
      </c>
      <c r="AJ25" s="17">
        <f>+AVERAGEA(Y14:AJ14)</f>
        <v/>
      </c>
      <c r="AK25" s="17">
        <f>+AVERAGEA(Z14:AK14)</f>
        <v/>
      </c>
      <c r="AL25" s="17">
        <f>+AVERAGEA(AA14:AL14)</f>
        <v/>
      </c>
      <c r="AM25" s="17">
        <f>+AVERAGEA(AB14:AM14)</f>
        <v/>
      </c>
      <c r="AN25" s="17">
        <f>+AVERAGEA(AC14:AN14)</f>
        <v/>
      </c>
      <c r="AO25" s="17">
        <f>+AVERAGEA(AD14:AO14)</f>
        <v/>
      </c>
      <c r="AP25" s="17">
        <f>+AVERAGEA(AE14:AP14)</f>
        <v/>
      </c>
      <c r="AQ25" s="17">
        <f>+AVERAGEA(AF14:AQ14)</f>
        <v/>
      </c>
      <c r="AR25" s="17">
        <f>+AVERAGEA(AG14:AR14)</f>
        <v/>
      </c>
      <c r="AS25" s="17">
        <f>+AVERAGEA(AH14:AS14)</f>
        <v/>
      </c>
      <c r="AT25" s="17">
        <f>+AVERAGEA(AI14:AT14)</f>
        <v/>
      </c>
      <c r="AU25" s="17">
        <f>+AVERAGEA(AJ14:AU14)</f>
        <v/>
      </c>
      <c r="AV25" s="17">
        <f>+AVERAGEA(AK14:AV14)</f>
        <v/>
      </c>
      <c r="AW25" s="17">
        <f>+AVERAGEA(AL14:AW14)</f>
        <v/>
      </c>
      <c r="AX25" s="17">
        <f>+AVERAGEA(AM14:AX14)</f>
        <v/>
      </c>
      <c r="AY25" s="17">
        <f>+AVERAGEA(AN14:AY14)</f>
        <v/>
      </c>
      <c r="AZ25" s="17">
        <f>+AVERAGEA(AO14:AZ14)</f>
        <v/>
      </c>
      <c r="BA25" s="17">
        <f>+AVERAGEA(AP14:BA14)</f>
        <v/>
      </c>
      <c r="BB25" s="17">
        <f>+AVERAGEA(AQ14:BB14)</f>
        <v/>
      </c>
      <c r="BC25" s="17">
        <f>+AVERAGEA(AR14:BC14)</f>
        <v/>
      </c>
      <c r="BD25" s="17">
        <f>+AVERAGEA(AS14:BD14)</f>
        <v/>
      </c>
      <c r="BE25" s="17">
        <f>+AVERAGEA(AT14:BE14)</f>
        <v/>
      </c>
      <c r="BF25" s="17">
        <f>+AVERAGEA(AU14:BF14)</f>
        <v/>
      </c>
      <c r="BG25" s="17">
        <f>+AVERAGEA(AV14:BG14)</f>
        <v/>
      </c>
      <c r="BH25" s="17">
        <f>+AVERAGEA(AW14:BH14)</f>
        <v/>
      </c>
      <c r="BI25" s="17">
        <f>+AVERAGEA(AX14:BI14)</f>
        <v/>
      </c>
    </row>
    <row r="26" ht="25" customHeight="1">
      <c r="A26" s="56" t="inlineStr">
        <is>
          <t>Canada</t>
        </is>
      </c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17">
        <f>+AVERAGEA(C15:N15)</f>
        <v/>
      </c>
      <c r="O26" s="17">
        <f>+AVERAGEA(D15:O15)</f>
        <v/>
      </c>
      <c r="P26" s="17">
        <f>+AVERAGEA(E15:P15)</f>
        <v/>
      </c>
      <c r="Q26" s="17">
        <f>+AVERAGEA(F15:Q15)</f>
        <v/>
      </c>
      <c r="R26" s="17">
        <f>+AVERAGEA(G15:R15)</f>
        <v/>
      </c>
      <c r="S26" s="17">
        <f>+AVERAGEA(H15:S15)</f>
        <v/>
      </c>
      <c r="T26" s="17">
        <f>+AVERAGEA(I15:T15)</f>
        <v/>
      </c>
      <c r="U26" s="17">
        <f>+AVERAGEA(J15:U15)</f>
        <v/>
      </c>
      <c r="V26" s="17">
        <f>+AVERAGEA(K15:V15)</f>
        <v/>
      </c>
      <c r="W26" s="17">
        <f>+AVERAGEA(L15:W15)</f>
        <v/>
      </c>
      <c r="X26" s="17">
        <f>+AVERAGEA(M15:X15)</f>
        <v/>
      </c>
      <c r="Y26" s="17">
        <f>+AVERAGEA(N15:Y15)</f>
        <v/>
      </c>
      <c r="Z26" s="17">
        <f>+AVERAGEA(O15:Z15)</f>
        <v/>
      </c>
      <c r="AA26" s="17">
        <f>+AVERAGEA(P15:AA15)</f>
        <v/>
      </c>
      <c r="AB26" s="17">
        <f>+AVERAGEA(Q15:AB15)</f>
        <v/>
      </c>
      <c r="AC26" s="17">
        <f>+AVERAGEA(R15:AC15)</f>
        <v/>
      </c>
      <c r="AD26" s="17">
        <f>+AVERAGEA(S15:AD15)</f>
        <v/>
      </c>
      <c r="AE26" s="17">
        <f>+AVERAGEA(T15:AE15)</f>
        <v/>
      </c>
      <c r="AF26" s="17">
        <f>+AVERAGEA(U15:AF15)</f>
        <v/>
      </c>
      <c r="AG26" s="17">
        <f>+AVERAGEA(V15:AG15)</f>
        <v/>
      </c>
      <c r="AH26" s="17">
        <f>+AVERAGEA(W15:AH15)</f>
        <v/>
      </c>
      <c r="AI26" s="17">
        <f>+AVERAGEA(X15:AI15)</f>
        <v/>
      </c>
      <c r="AJ26" s="17">
        <f>+AVERAGEA(Y15:AJ15)</f>
        <v/>
      </c>
      <c r="AK26" s="17">
        <f>+AVERAGEA(Z15:AK15)</f>
        <v/>
      </c>
      <c r="AL26" s="17">
        <f>+AVERAGEA(AA15:AL15)</f>
        <v/>
      </c>
      <c r="AM26" s="17">
        <f>+AVERAGEA(AB15:AM15)</f>
        <v/>
      </c>
      <c r="AN26" s="17">
        <f>+AVERAGEA(AC15:AN15)</f>
        <v/>
      </c>
      <c r="AO26" s="17">
        <f>+AVERAGEA(AD15:AO15)</f>
        <v/>
      </c>
      <c r="AP26" s="17">
        <f>+AVERAGEA(AE15:AP15)</f>
        <v/>
      </c>
      <c r="AQ26" s="17">
        <f>+AVERAGEA(AF15:AQ15)</f>
        <v/>
      </c>
      <c r="AR26" s="17">
        <f>+AVERAGEA(AG15:AR15)</f>
        <v/>
      </c>
      <c r="AS26" s="17">
        <f>+AVERAGEA(AH15:AS15)</f>
        <v/>
      </c>
      <c r="AT26" s="17">
        <f>+AVERAGEA(AI15:AT15)</f>
        <v/>
      </c>
      <c r="AU26" s="17">
        <f>+AVERAGEA(AJ15:AU15)</f>
        <v/>
      </c>
      <c r="AV26" s="17">
        <f>+AVERAGEA(AK15:AV15)</f>
        <v/>
      </c>
      <c r="AW26" s="17">
        <f>+AVERAGEA(AL15:AW15)</f>
        <v/>
      </c>
      <c r="AX26" s="17">
        <f>+AVERAGEA(AM15:AX15)</f>
        <v/>
      </c>
      <c r="AY26" s="17">
        <f>+AVERAGEA(AN15:AY15)</f>
        <v/>
      </c>
      <c r="AZ26" s="17">
        <f>+AVERAGEA(AO15:AZ15)</f>
        <v/>
      </c>
      <c r="BA26" s="17">
        <f>+AVERAGEA(AP15:BA15)</f>
        <v/>
      </c>
      <c r="BB26" s="17">
        <f>+AVERAGEA(AQ15:BB15)</f>
        <v/>
      </c>
      <c r="BC26" s="17">
        <f>+AVERAGEA(AR15:BC15)</f>
        <v/>
      </c>
      <c r="BD26" s="17">
        <f>+AVERAGEA(AS15:BD15)</f>
        <v/>
      </c>
      <c r="BE26" s="17">
        <f>+AVERAGEA(AT15:BE15)</f>
        <v/>
      </c>
      <c r="BF26" s="17">
        <f>+AVERAGEA(AU15:BF15)</f>
        <v/>
      </c>
      <c r="BG26" s="17">
        <f>+AVERAGEA(AV15:BG15)</f>
        <v/>
      </c>
      <c r="BH26" s="17">
        <f>+AVERAGEA(AW15:BH15)</f>
        <v/>
      </c>
      <c r="BI26" s="17">
        <f>+AVERAGEA(AX15:BI15)</f>
        <v/>
      </c>
    </row>
    <row r="27" ht="25" customHeight="1">
      <c r="A27" s="56" t="inlineStr">
        <is>
          <t>Japan</t>
        </is>
      </c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17">
        <f>+AVERAGEA(C16:N16)</f>
        <v/>
      </c>
      <c r="O27" s="17">
        <f>+AVERAGEA(D16:O16)</f>
        <v/>
      </c>
      <c r="P27" s="17">
        <f>+AVERAGEA(E16:P16)</f>
        <v/>
      </c>
      <c r="Q27" s="17">
        <f>+AVERAGEA(F16:Q16)</f>
        <v/>
      </c>
      <c r="R27" s="17">
        <f>+AVERAGEA(G16:R16)</f>
        <v/>
      </c>
      <c r="S27" s="17">
        <f>+AVERAGEA(H16:S16)</f>
        <v/>
      </c>
      <c r="T27" s="17">
        <f>+AVERAGEA(I16:T16)</f>
        <v/>
      </c>
      <c r="U27" s="17">
        <f>+AVERAGEA(J16:U16)</f>
        <v/>
      </c>
      <c r="V27" s="17">
        <f>+AVERAGEA(K16:V16)</f>
        <v/>
      </c>
      <c r="W27" s="17">
        <f>+AVERAGEA(L16:W16)</f>
        <v/>
      </c>
      <c r="X27" s="17">
        <f>+AVERAGEA(M16:X16)</f>
        <v/>
      </c>
      <c r="Y27" s="17">
        <f>+AVERAGEA(N16:Y16)</f>
        <v/>
      </c>
      <c r="Z27" s="17">
        <f>+AVERAGEA(O16:Z16)</f>
        <v/>
      </c>
      <c r="AA27" s="17">
        <f>+AVERAGEA(P16:AA16)</f>
        <v/>
      </c>
      <c r="AB27" s="17">
        <f>+AVERAGEA(Q16:AB16)</f>
        <v/>
      </c>
      <c r="AC27" s="17">
        <f>+AVERAGEA(R16:AC16)</f>
        <v/>
      </c>
      <c r="AD27" s="17">
        <f>+AVERAGEA(S16:AD16)</f>
        <v/>
      </c>
      <c r="AE27" s="17">
        <f>+AVERAGEA(T16:AE16)</f>
        <v/>
      </c>
      <c r="AF27" s="17">
        <f>+AVERAGEA(U16:AF16)</f>
        <v/>
      </c>
      <c r="AG27" s="17">
        <f>+AVERAGEA(V16:AG16)</f>
        <v/>
      </c>
      <c r="AH27" s="17">
        <f>+AVERAGEA(W16:AH16)</f>
        <v/>
      </c>
      <c r="AI27" s="17">
        <f>+AVERAGEA(X16:AI16)</f>
        <v/>
      </c>
      <c r="AJ27" s="17">
        <f>+AVERAGEA(Y16:AJ16)</f>
        <v/>
      </c>
      <c r="AK27" s="17">
        <f>+AVERAGEA(Z16:AK16)</f>
        <v/>
      </c>
      <c r="AL27" s="17">
        <f>+AVERAGEA(AA16:AL16)</f>
        <v/>
      </c>
      <c r="AM27" s="17">
        <f>+AVERAGEA(AB16:AM16)</f>
        <v/>
      </c>
      <c r="AN27" s="17">
        <f>+AVERAGEA(AC16:AN16)</f>
        <v/>
      </c>
      <c r="AO27" s="17">
        <f>+AVERAGEA(AD16:AO16)</f>
        <v/>
      </c>
      <c r="AP27" s="17">
        <f>+AVERAGEA(AE16:AP16)</f>
        <v/>
      </c>
      <c r="AQ27" s="17">
        <f>+AVERAGEA(AF16:AQ16)</f>
        <v/>
      </c>
      <c r="AR27" s="17">
        <f>+AVERAGEA(AG16:AR16)</f>
        <v/>
      </c>
      <c r="AS27" s="17">
        <f>+AVERAGEA(AH16:AS16)</f>
        <v/>
      </c>
      <c r="AT27" s="17">
        <f>+AVERAGEA(AI16:AT16)</f>
        <v/>
      </c>
      <c r="AU27" s="17">
        <f>+AVERAGEA(AJ16:AU16)</f>
        <v/>
      </c>
      <c r="AV27" s="17">
        <f>+AVERAGEA(AK16:AV16)</f>
        <v/>
      </c>
      <c r="AW27" s="17">
        <f>+AVERAGEA(AL16:AW16)</f>
        <v/>
      </c>
      <c r="AX27" s="17">
        <f>+AVERAGEA(AM16:AX16)</f>
        <v/>
      </c>
      <c r="AY27" s="17">
        <f>+AVERAGEA(AN16:AY16)</f>
        <v/>
      </c>
      <c r="AZ27" s="17">
        <f>+AVERAGEA(AO16:AZ16)</f>
        <v/>
      </c>
      <c r="BA27" s="17">
        <f>+AVERAGEA(AP16:BA16)</f>
        <v/>
      </c>
      <c r="BB27" s="17">
        <f>+AVERAGEA(AQ16:BB16)</f>
        <v/>
      </c>
      <c r="BC27" s="17">
        <f>+AVERAGEA(AR16:BC16)</f>
        <v/>
      </c>
      <c r="BD27" s="17">
        <f>+AVERAGEA(AS16:BD16)</f>
        <v/>
      </c>
      <c r="BE27" s="17">
        <f>+AVERAGEA(AT16:BE16)</f>
        <v/>
      </c>
      <c r="BF27" s="17">
        <f>+AVERAGEA(AU16:BF16)</f>
        <v/>
      </c>
      <c r="BG27" s="17">
        <f>+AVERAGEA(AV16:BG16)</f>
        <v/>
      </c>
      <c r="BH27" s="17">
        <f>+AVERAGEA(AW16:BH16)</f>
        <v/>
      </c>
      <c r="BI27" s="17">
        <f>+AVERAGEA(AX16:BI16)</f>
        <v/>
      </c>
    </row>
    <row r="28" ht="25" customHeight="1">
      <c r="A28" s="56" t="inlineStr">
        <is>
          <t>Switzerland</t>
        </is>
      </c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17">
        <f>+AVERAGEA(C17:N17)</f>
        <v/>
      </c>
      <c r="O28" s="17">
        <f>+AVERAGEA(D17:O17)</f>
        <v/>
      </c>
      <c r="P28" s="17">
        <f>+AVERAGEA(E17:P17)</f>
        <v/>
      </c>
      <c r="Q28" s="17">
        <f>+AVERAGEA(F17:Q17)</f>
        <v/>
      </c>
      <c r="R28" s="17">
        <f>+AVERAGEA(G17:R17)</f>
        <v/>
      </c>
      <c r="S28" s="17">
        <f>+AVERAGEA(H17:S17)</f>
        <v/>
      </c>
      <c r="T28" s="17">
        <f>+AVERAGEA(I17:T17)</f>
        <v/>
      </c>
      <c r="U28" s="17">
        <f>+AVERAGEA(J17:U17)</f>
        <v/>
      </c>
      <c r="V28" s="17">
        <f>+AVERAGEA(K17:V17)</f>
        <v/>
      </c>
      <c r="W28" s="17">
        <f>+AVERAGEA(L17:W17)</f>
        <v/>
      </c>
      <c r="X28" s="17">
        <f>+AVERAGEA(M17:X17)</f>
        <v/>
      </c>
      <c r="Y28" s="17">
        <f>+AVERAGEA(N17:Y17)</f>
        <v/>
      </c>
      <c r="Z28" s="17">
        <f>+AVERAGEA(O17:Z17)</f>
        <v/>
      </c>
      <c r="AA28" s="17">
        <f>+AVERAGEA(P17:AA17)</f>
        <v/>
      </c>
      <c r="AB28" s="17">
        <f>+AVERAGEA(Q17:AB17)</f>
        <v/>
      </c>
      <c r="AC28" s="17">
        <f>+AVERAGEA(R17:AC17)</f>
        <v/>
      </c>
      <c r="AD28" s="17">
        <f>+AVERAGEA(S17:AD17)</f>
        <v/>
      </c>
      <c r="AE28" s="17">
        <f>+AVERAGEA(T17:AE17)</f>
        <v/>
      </c>
      <c r="AF28" s="17">
        <f>+AVERAGEA(U17:AF17)</f>
        <v/>
      </c>
      <c r="AG28" s="17">
        <f>+AVERAGEA(V17:AG17)</f>
        <v/>
      </c>
      <c r="AH28" s="17">
        <f>+AVERAGEA(W17:AH17)</f>
        <v/>
      </c>
      <c r="AI28" s="17">
        <f>+AVERAGEA(X17:AI17)</f>
        <v/>
      </c>
      <c r="AJ28" s="17">
        <f>+AVERAGEA(Y17:AJ17)</f>
        <v/>
      </c>
      <c r="AK28" s="17">
        <f>+AVERAGEA(Z17:AK17)</f>
        <v/>
      </c>
      <c r="AL28" s="17">
        <f>+AVERAGEA(AA17:AL17)</f>
        <v/>
      </c>
      <c r="AM28" s="17">
        <f>+AVERAGEA(AB17:AM17)</f>
        <v/>
      </c>
      <c r="AN28" s="17">
        <f>+AVERAGEA(AC17:AN17)</f>
        <v/>
      </c>
      <c r="AO28" s="17">
        <f>+AVERAGEA(AD17:AO17)</f>
        <v/>
      </c>
      <c r="AP28" s="17">
        <f>+AVERAGEA(AE17:AP17)</f>
        <v/>
      </c>
      <c r="AQ28" s="17">
        <f>+AVERAGEA(AF17:AQ17)</f>
        <v/>
      </c>
      <c r="AR28" s="17">
        <f>+AVERAGEA(AG17:AR17)</f>
        <v/>
      </c>
      <c r="AS28" s="17">
        <f>+AVERAGEA(AH17:AS17)</f>
        <v/>
      </c>
      <c r="AT28" s="17">
        <f>+AVERAGEA(AI17:AT17)</f>
        <v/>
      </c>
      <c r="AU28" s="17">
        <f>+AVERAGEA(AJ17:AU17)</f>
        <v/>
      </c>
      <c r="AV28" s="17">
        <f>+AVERAGEA(AK17:AV17)</f>
        <v/>
      </c>
      <c r="AW28" s="17">
        <f>+AVERAGEA(AL17:AW17)</f>
        <v/>
      </c>
      <c r="AX28" s="17">
        <f>+AVERAGEA(AM17:AX17)</f>
        <v/>
      </c>
      <c r="AY28" s="17">
        <f>+AVERAGEA(AN17:AY17)</f>
        <v/>
      </c>
      <c r="AZ28" s="17">
        <f>+AVERAGEA(AO17:AZ17)</f>
        <v/>
      </c>
      <c r="BA28" s="17">
        <f>+AVERAGEA(AP17:BA17)</f>
        <v/>
      </c>
      <c r="BB28" s="17">
        <f>+AVERAGEA(AQ17:BB17)</f>
        <v/>
      </c>
      <c r="BC28" s="17">
        <f>+AVERAGEA(AR17:BC17)</f>
        <v/>
      </c>
      <c r="BD28" s="17">
        <f>+AVERAGEA(AS17:BD17)</f>
        <v/>
      </c>
      <c r="BE28" s="17">
        <f>+AVERAGEA(AT17:BE17)</f>
        <v/>
      </c>
      <c r="BF28" s="17">
        <f>+AVERAGEA(AU17:BF17)</f>
        <v/>
      </c>
      <c r="BG28" s="17">
        <f>+AVERAGEA(AV17:BG17)</f>
        <v/>
      </c>
      <c r="BH28" s="17">
        <f>+AVERAGEA(AW17:BH17)</f>
        <v/>
      </c>
      <c r="BI28" s="17">
        <f>+AVERAGEA(AX17:BI17)</f>
        <v/>
      </c>
    </row>
    <row r="29" ht="25" customHeight="1">
      <c r="A29" s="56" t="inlineStr">
        <is>
          <t>New Zealand</t>
        </is>
      </c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17">
        <f>+AVERAGEA(C18:N18)</f>
        <v/>
      </c>
      <c r="O29" s="17">
        <f>+AVERAGEA(D18:O18)</f>
        <v/>
      </c>
      <c r="P29" s="17">
        <f>+AVERAGEA(E18:P18)</f>
        <v/>
      </c>
      <c r="Q29" s="17">
        <f>+AVERAGEA(F18:Q18)</f>
        <v/>
      </c>
      <c r="R29" s="17">
        <f>+AVERAGEA(G18:R18)</f>
        <v/>
      </c>
      <c r="S29" s="17">
        <f>+AVERAGEA(H18:S18)</f>
        <v/>
      </c>
      <c r="T29" s="17">
        <f>+AVERAGEA(I18:T18)</f>
        <v/>
      </c>
      <c r="U29" s="17">
        <f>+AVERAGEA(J18:U18)</f>
        <v/>
      </c>
      <c r="V29" s="17">
        <f>+AVERAGEA(K18:V18)</f>
        <v/>
      </c>
      <c r="W29" s="17">
        <f>+AVERAGEA(L18:W18)</f>
        <v/>
      </c>
      <c r="X29" s="17">
        <f>+AVERAGEA(M18:X18)</f>
        <v/>
      </c>
      <c r="Y29" s="17">
        <f>+AVERAGEA(N18:Y18)</f>
        <v/>
      </c>
      <c r="Z29" s="17">
        <f>+AVERAGEA(O18:Z18)</f>
        <v/>
      </c>
      <c r="AA29" s="17">
        <f>+AVERAGEA(P18:AA18)</f>
        <v/>
      </c>
      <c r="AB29" s="17">
        <f>+AVERAGEA(Q18:AB18)</f>
        <v/>
      </c>
      <c r="AC29" s="17">
        <f>+AVERAGEA(R18:AC18)</f>
        <v/>
      </c>
      <c r="AD29" s="17">
        <f>+AVERAGEA(S18:AD18)</f>
        <v/>
      </c>
      <c r="AE29" s="17">
        <f>+AVERAGEA(T18:AE18)</f>
        <v/>
      </c>
      <c r="AF29" s="17">
        <f>+AVERAGEA(U18:AF18)</f>
        <v/>
      </c>
      <c r="AG29" s="17">
        <f>+AVERAGEA(V18:AG18)</f>
        <v/>
      </c>
      <c r="AH29" s="17">
        <f>+AVERAGEA(W18:AH18)</f>
        <v/>
      </c>
      <c r="AI29" s="17">
        <f>+AVERAGEA(X18:AI18)</f>
        <v/>
      </c>
      <c r="AJ29" s="17">
        <f>+AVERAGEA(Y18:AJ18)</f>
        <v/>
      </c>
      <c r="AK29" s="17">
        <f>+AVERAGEA(Z18:AK18)</f>
        <v/>
      </c>
      <c r="AL29" s="17">
        <f>+AVERAGEA(AA18:AL18)</f>
        <v/>
      </c>
      <c r="AM29" s="17">
        <f>+AVERAGEA(AB18:AM18)</f>
        <v/>
      </c>
      <c r="AN29" s="17">
        <f>+AVERAGEA(AC18:AN18)</f>
        <v/>
      </c>
      <c r="AO29" s="17">
        <f>+AVERAGEA(AD18:AO18)</f>
        <v/>
      </c>
      <c r="AP29" s="17">
        <f>+AVERAGEA(AE18:AP18)</f>
        <v/>
      </c>
      <c r="AQ29" s="17">
        <f>+AVERAGEA(AF18:AQ18)</f>
        <v/>
      </c>
      <c r="AR29" s="17">
        <f>+AVERAGEA(AG18:AR18)</f>
        <v/>
      </c>
      <c r="AS29" s="17">
        <f>+AVERAGEA(AH18:AS18)</f>
        <v/>
      </c>
      <c r="AT29" s="17">
        <f>+AVERAGEA(AI18:AT18)</f>
        <v/>
      </c>
      <c r="AU29" s="17">
        <f>+AVERAGEA(AJ18:AU18)</f>
        <v/>
      </c>
      <c r="AV29" s="17">
        <f>+AVERAGEA(AK18:AV18)</f>
        <v/>
      </c>
      <c r="AW29" s="17">
        <f>+AVERAGEA(AL18:AW18)</f>
        <v/>
      </c>
      <c r="AX29" s="17">
        <f>+AVERAGEA(AM18:AX18)</f>
        <v/>
      </c>
      <c r="AY29" s="17">
        <f>+AVERAGEA(AN18:AY18)</f>
        <v/>
      </c>
      <c r="AZ29" s="17">
        <f>+AVERAGEA(AO18:AZ18)</f>
        <v/>
      </c>
      <c r="BA29" s="17">
        <f>+AVERAGEA(AP18:BA18)</f>
        <v/>
      </c>
      <c r="BB29" s="17">
        <f>+AVERAGEA(AQ18:BB18)</f>
        <v/>
      </c>
      <c r="BC29" s="17">
        <f>+AVERAGEA(AR18:BC18)</f>
        <v/>
      </c>
      <c r="BD29" s="17">
        <f>+AVERAGEA(AS18:BD18)</f>
        <v/>
      </c>
      <c r="BE29" s="17">
        <f>+AVERAGEA(AT18:BE18)</f>
        <v/>
      </c>
      <c r="BF29" s="17">
        <f>+AVERAGEA(AU18:BF18)</f>
        <v/>
      </c>
      <c r="BG29" s="17">
        <f>+AVERAGEA(AV18:BG18)</f>
        <v/>
      </c>
      <c r="BH29" s="17">
        <f>+AVERAGEA(AW18:BH18)</f>
        <v/>
      </c>
      <c r="BI29" s="17">
        <f>+AVERAGEA(AX18:BI18)</f>
        <v/>
      </c>
    </row>
    <row r="30" ht="25" customHeight="1">
      <c r="A30" s="56" t="inlineStr">
        <is>
          <t>United Kingdom</t>
        </is>
      </c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17">
        <f>+AVERAGEA(C19:N19)</f>
        <v/>
      </c>
      <c r="O30" s="17">
        <f>+AVERAGEA(D19:O19)</f>
        <v/>
      </c>
      <c r="P30" s="17">
        <f>+AVERAGEA(E19:P19)</f>
        <v/>
      </c>
      <c r="Q30" s="17">
        <f>+AVERAGEA(F19:Q19)</f>
        <v/>
      </c>
      <c r="R30" s="17">
        <f>+AVERAGEA(G19:R19)</f>
        <v/>
      </c>
      <c r="S30" s="17">
        <f>+AVERAGEA(H19:S19)</f>
        <v/>
      </c>
      <c r="T30" s="17">
        <f>+AVERAGEA(I19:T19)</f>
        <v/>
      </c>
      <c r="U30" s="17">
        <f>+AVERAGEA(J19:U19)</f>
        <v/>
      </c>
      <c r="V30" s="17">
        <f>+AVERAGEA(K19:V19)</f>
        <v/>
      </c>
      <c r="W30" s="17">
        <f>+AVERAGEA(L19:W19)</f>
        <v/>
      </c>
      <c r="X30" s="17">
        <f>+AVERAGEA(M19:X19)</f>
        <v/>
      </c>
      <c r="Y30" s="17">
        <f>+AVERAGEA(N19:Y19)</f>
        <v/>
      </c>
      <c r="Z30" s="17">
        <f>+AVERAGEA(O19:Z19)</f>
        <v/>
      </c>
      <c r="AA30" s="17">
        <f>+AVERAGEA(P19:AA19)</f>
        <v/>
      </c>
      <c r="AB30" s="17">
        <f>+AVERAGEA(Q19:AB19)</f>
        <v/>
      </c>
      <c r="AC30" s="17">
        <f>+AVERAGEA(R19:AC19)</f>
        <v/>
      </c>
      <c r="AD30" s="17">
        <f>+AVERAGEA(S19:AD19)</f>
        <v/>
      </c>
      <c r="AE30" s="17">
        <f>+AVERAGEA(T19:AE19)</f>
        <v/>
      </c>
      <c r="AF30" s="17">
        <f>+AVERAGEA(U19:AF19)</f>
        <v/>
      </c>
      <c r="AG30" s="17">
        <f>+AVERAGEA(V19:AG19)</f>
        <v/>
      </c>
      <c r="AH30" s="17">
        <f>+AVERAGEA(W19:AH19)</f>
        <v/>
      </c>
      <c r="AI30" s="17">
        <f>+AVERAGEA(X19:AI19)</f>
        <v/>
      </c>
      <c r="AJ30" s="17">
        <f>+AVERAGEA(Y19:AJ19)</f>
        <v/>
      </c>
      <c r="AK30" s="17">
        <f>+AVERAGEA(Z19:AK19)</f>
        <v/>
      </c>
      <c r="AL30" s="17">
        <f>+AVERAGEA(AA19:AL19)</f>
        <v/>
      </c>
      <c r="AM30" s="17">
        <f>+AVERAGEA(AB19:AM19)</f>
        <v/>
      </c>
      <c r="AN30" s="17">
        <f>+AVERAGEA(AC19:AN19)</f>
        <v/>
      </c>
      <c r="AO30" s="17">
        <f>+AVERAGEA(AD19:AO19)</f>
        <v/>
      </c>
      <c r="AP30" s="17">
        <f>+AVERAGEA(AE19:AP19)</f>
        <v/>
      </c>
      <c r="AQ30" s="17">
        <f>+AVERAGEA(AF19:AQ19)</f>
        <v/>
      </c>
      <c r="AR30" s="17">
        <f>+AVERAGEA(AG19:AR19)</f>
        <v/>
      </c>
      <c r="AS30" s="17">
        <f>+AVERAGEA(AH19:AS19)</f>
        <v/>
      </c>
      <c r="AT30" s="17">
        <f>+AVERAGEA(AI19:AT19)</f>
        <v/>
      </c>
      <c r="AU30" s="17">
        <f>+AVERAGEA(AJ19:AU19)</f>
        <v/>
      </c>
      <c r="AV30" s="17">
        <f>+AVERAGEA(AK19:AV19)</f>
        <v/>
      </c>
      <c r="AW30" s="17">
        <f>+AVERAGEA(AL19:AW19)</f>
        <v/>
      </c>
      <c r="AX30" s="17">
        <f>+AVERAGEA(AM19:AX19)</f>
        <v/>
      </c>
      <c r="AY30" s="17">
        <f>+AVERAGEA(AN19:AY19)</f>
        <v/>
      </c>
      <c r="AZ30" s="17">
        <f>+AVERAGEA(AO19:AZ19)</f>
        <v/>
      </c>
      <c r="BA30" s="17">
        <f>+AVERAGEA(AP19:BA19)</f>
        <v/>
      </c>
      <c r="BB30" s="17">
        <f>+AVERAGEA(AQ19:BB19)</f>
        <v/>
      </c>
      <c r="BC30" s="17">
        <f>+AVERAGEA(AR19:BC19)</f>
        <v/>
      </c>
      <c r="BD30" s="17">
        <f>+AVERAGEA(AS19:BD19)</f>
        <v/>
      </c>
      <c r="BE30" s="17">
        <f>+AVERAGEA(AT19:BE19)</f>
        <v/>
      </c>
      <c r="BF30" s="17">
        <f>+AVERAGEA(AU19:BF19)</f>
        <v/>
      </c>
      <c r="BG30" s="17">
        <f>+AVERAGEA(AV19:BG19)</f>
        <v/>
      </c>
      <c r="BH30" s="17">
        <f>+AVERAGEA(AW19:BH19)</f>
        <v/>
      </c>
      <c r="BI30" s="17">
        <f>+AVERAGEA(AX19:BI19)</f>
        <v/>
      </c>
    </row>
    <row r="31" ht="25" customHeight="1">
      <c r="A31" s="58" t="inlineStr">
        <is>
          <t>United States</t>
        </is>
      </c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17">
        <f>+AVERAGEA(C20:N20)</f>
        <v/>
      </c>
      <c r="O31" s="17">
        <f>+AVERAGEA(D20:O20)</f>
        <v/>
      </c>
      <c r="P31" s="17">
        <f>+AVERAGEA(E20:P20)</f>
        <v/>
      </c>
      <c r="Q31" s="17">
        <f>+AVERAGEA(F20:Q20)</f>
        <v/>
      </c>
      <c r="R31" s="17">
        <f>+AVERAGEA(G20:R20)</f>
        <v/>
      </c>
      <c r="S31" s="17">
        <f>+AVERAGEA(H20:S20)</f>
        <v/>
      </c>
      <c r="T31" s="17">
        <f>+AVERAGEA(I20:T20)</f>
        <v/>
      </c>
      <c r="U31" s="17">
        <f>+AVERAGEA(J20:U20)</f>
        <v/>
      </c>
      <c r="V31" s="17">
        <f>+AVERAGEA(K20:V20)</f>
        <v/>
      </c>
      <c r="W31" s="17">
        <f>+AVERAGEA(L20:W20)</f>
        <v/>
      </c>
      <c r="X31" s="17">
        <f>+AVERAGEA(M20:X20)</f>
        <v/>
      </c>
      <c r="Y31" s="17">
        <f>+AVERAGEA(N20:Y20)</f>
        <v/>
      </c>
      <c r="Z31" s="17">
        <f>+AVERAGEA(O20:Z20)</f>
        <v/>
      </c>
      <c r="AA31" s="17">
        <f>+AVERAGEA(P20:AA20)</f>
        <v/>
      </c>
      <c r="AB31" s="17">
        <f>+AVERAGEA(Q20:AB20)</f>
        <v/>
      </c>
      <c r="AC31" s="17">
        <f>+AVERAGEA(R20:AC20)</f>
        <v/>
      </c>
      <c r="AD31" s="17">
        <f>+AVERAGEA(S20:AD20)</f>
        <v/>
      </c>
      <c r="AE31" s="17">
        <f>+AVERAGEA(T20:AE20)</f>
        <v/>
      </c>
      <c r="AF31" s="17">
        <f>+AVERAGEA(U20:AF20)</f>
        <v/>
      </c>
      <c r="AG31" s="17">
        <f>+AVERAGEA(V20:AG20)</f>
        <v/>
      </c>
      <c r="AH31" s="17">
        <f>+AVERAGEA(W20:AH20)</f>
        <v/>
      </c>
      <c r="AI31" s="17">
        <f>+AVERAGEA(X20:AI20)</f>
        <v/>
      </c>
      <c r="AJ31" s="17">
        <f>+AVERAGEA(Y20:AJ20)</f>
        <v/>
      </c>
      <c r="AK31" s="17">
        <f>+AVERAGEA(Z20:AK20)</f>
        <v/>
      </c>
      <c r="AL31" s="17">
        <f>+AVERAGEA(AA20:AL20)</f>
        <v/>
      </c>
      <c r="AM31" s="17">
        <f>+AVERAGEA(AB20:AM20)</f>
        <v/>
      </c>
      <c r="AN31" s="17">
        <f>+AVERAGEA(AC20:AN20)</f>
        <v/>
      </c>
      <c r="AO31" s="17">
        <f>+AVERAGEA(AD20:AO20)</f>
        <v/>
      </c>
      <c r="AP31" s="17">
        <f>+AVERAGEA(AE20:AP20)</f>
        <v/>
      </c>
      <c r="AQ31" s="17">
        <f>+AVERAGEA(AF20:AQ20)</f>
        <v/>
      </c>
      <c r="AR31" s="17">
        <f>+AVERAGEA(AG20:AR20)</f>
        <v/>
      </c>
      <c r="AS31" s="17">
        <f>+AVERAGEA(AH20:AS20)</f>
        <v/>
      </c>
      <c r="AT31" s="17">
        <f>+AVERAGEA(AI20:AT20)</f>
        <v/>
      </c>
      <c r="AU31" s="17">
        <f>+AVERAGEA(AJ20:AU20)</f>
        <v/>
      </c>
      <c r="AV31" s="17">
        <f>+AVERAGEA(AK20:AV20)</f>
        <v/>
      </c>
      <c r="AW31" s="17">
        <f>+AVERAGEA(AL20:AW20)</f>
        <v/>
      </c>
      <c r="AX31" s="17">
        <f>+AVERAGEA(AM20:AX20)</f>
        <v/>
      </c>
      <c r="AY31" s="17">
        <f>+AVERAGEA(AN20:AY20)</f>
        <v/>
      </c>
      <c r="AZ31" s="17">
        <f>+AVERAGEA(AO20:AZ20)</f>
        <v/>
      </c>
      <c r="BA31" s="17">
        <f>+AVERAGEA(AP20:BA20)</f>
        <v/>
      </c>
      <c r="BB31" s="17">
        <f>+AVERAGEA(AQ20:BB20)</f>
        <v/>
      </c>
      <c r="BC31" s="17">
        <f>+AVERAGEA(AR20:BC20)</f>
        <v/>
      </c>
      <c r="BD31" s="17">
        <f>+AVERAGEA(AS20:BD20)</f>
        <v/>
      </c>
      <c r="BE31" s="17">
        <f>+AVERAGEA(AT20:BE20)</f>
        <v/>
      </c>
      <c r="BF31" s="17">
        <f>+AVERAGEA(AU20:BF20)</f>
        <v/>
      </c>
      <c r="BG31" s="17">
        <f>+AVERAGEA(AV20:BG20)</f>
        <v/>
      </c>
      <c r="BH31" s="17">
        <f>+AVERAGEA(AW20:BH20)</f>
        <v/>
      </c>
      <c r="BI31" s="17">
        <f>+AVERAGEA(AX20:BI20)</f>
        <v/>
      </c>
    </row>
    <row r="32" ht="25" customHeight="1">
      <c r="A32" s="59" t="inlineStr">
        <is>
          <t>EURO AREA</t>
        </is>
      </c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17">
        <f>+AVERAGEA(C21:N21)</f>
        <v/>
      </c>
      <c r="O32" s="17">
        <f>+AVERAGEA(D21:O21)</f>
        <v/>
      </c>
      <c r="P32" s="17">
        <f>+AVERAGEA(E21:P21)</f>
        <v/>
      </c>
      <c r="Q32" s="17">
        <f>+AVERAGEA(F21:Q21)</f>
        <v/>
      </c>
      <c r="R32" s="17">
        <f>+AVERAGEA(G21:R21)</f>
        <v/>
      </c>
      <c r="S32" s="17">
        <f>+AVERAGEA(H21:S21)</f>
        <v/>
      </c>
      <c r="T32" s="17">
        <f>+AVERAGEA(I21:T21)</f>
        <v/>
      </c>
      <c r="U32" s="17">
        <f>+AVERAGEA(J21:U21)</f>
        <v/>
      </c>
      <c r="V32" s="17">
        <f>+AVERAGEA(K21:V21)</f>
        <v/>
      </c>
      <c r="W32" s="17">
        <f>+AVERAGEA(L21:W21)</f>
        <v/>
      </c>
      <c r="X32" s="17">
        <f>+AVERAGEA(M21:X21)</f>
        <v/>
      </c>
      <c r="Y32" s="17">
        <f>+AVERAGEA(N21:Y21)</f>
        <v/>
      </c>
      <c r="Z32" s="17">
        <f>+AVERAGEA(O21:Z21)</f>
        <v/>
      </c>
      <c r="AA32" s="17">
        <f>+AVERAGEA(P21:AA21)</f>
        <v/>
      </c>
      <c r="AB32" s="17">
        <f>+AVERAGEA(Q21:AB21)</f>
        <v/>
      </c>
      <c r="AC32" s="17">
        <f>+AVERAGEA(R21:AC21)</f>
        <v/>
      </c>
      <c r="AD32" s="17">
        <f>+AVERAGEA(S21:AD21)</f>
        <v/>
      </c>
      <c r="AE32" s="17">
        <f>+AVERAGEA(T21:AE21)</f>
        <v/>
      </c>
      <c r="AF32" s="17">
        <f>+AVERAGEA(U21:AF21)</f>
        <v/>
      </c>
      <c r="AG32" s="17">
        <f>+AVERAGEA(V21:AG21)</f>
        <v/>
      </c>
      <c r="AH32" s="17">
        <f>+AVERAGEA(W21:AH21)</f>
        <v/>
      </c>
      <c r="AI32" s="17">
        <f>+AVERAGEA(X21:AI21)</f>
        <v/>
      </c>
      <c r="AJ32" s="17">
        <f>+AVERAGEA(Y21:AJ21)</f>
        <v/>
      </c>
      <c r="AK32" s="17">
        <f>+AVERAGEA(Z21:AK21)</f>
        <v/>
      </c>
      <c r="AL32" s="17">
        <f>+AVERAGEA(AA21:AL21)</f>
        <v/>
      </c>
      <c r="AM32" s="17">
        <f>+AVERAGEA(AB21:AM21)</f>
        <v/>
      </c>
      <c r="AN32" s="17">
        <f>+AVERAGEA(AC21:AN21)</f>
        <v/>
      </c>
      <c r="AO32" s="17">
        <f>+AVERAGEA(AD21:AO21)</f>
        <v/>
      </c>
      <c r="AP32" s="17">
        <f>+AVERAGEA(AE21:AP21)</f>
        <v/>
      </c>
      <c r="AQ32" s="17">
        <f>+AVERAGEA(AF21:AQ21)</f>
        <v/>
      </c>
      <c r="AR32" s="17">
        <f>+AVERAGEA(AG21:AR21)</f>
        <v/>
      </c>
      <c r="AS32" s="17">
        <f>+AVERAGEA(AH21:AS21)</f>
        <v/>
      </c>
      <c r="AT32" s="17">
        <f>+AVERAGEA(AI21:AT21)</f>
        <v/>
      </c>
      <c r="AU32" s="17">
        <f>+AVERAGEA(AJ21:AU21)</f>
        <v/>
      </c>
      <c r="AV32" s="17">
        <f>+AVERAGEA(AK21:AV21)</f>
        <v/>
      </c>
      <c r="AW32" s="17">
        <f>+AVERAGEA(AL21:AW21)</f>
        <v/>
      </c>
      <c r="AX32" s="17">
        <f>+AVERAGEA(AM21:AX21)</f>
        <v/>
      </c>
      <c r="AY32" s="17">
        <f>+AVERAGEA(AN21:AY21)</f>
        <v/>
      </c>
      <c r="AZ32" s="17">
        <f>+AVERAGEA(AO21:AZ21)</f>
        <v/>
      </c>
      <c r="BA32" s="17">
        <f>+AVERAGEA(AP21:BA21)</f>
        <v/>
      </c>
      <c r="BB32" s="17">
        <f>+AVERAGEA(AQ21:BB21)</f>
        <v/>
      </c>
      <c r="BC32" s="17">
        <f>+AVERAGEA(AR21:BC21)</f>
        <v/>
      </c>
      <c r="BD32" s="17">
        <f>+AVERAGEA(AS21:BD21)</f>
        <v/>
      </c>
      <c r="BE32" s="17">
        <f>+AVERAGEA(AT21:BE21)</f>
        <v/>
      </c>
      <c r="BF32" s="17">
        <f>+AVERAGEA(AU21:BF21)</f>
        <v/>
      </c>
      <c r="BG32" s="17">
        <f>+AVERAGEA(AV21:BG21)</f>
        <v/>
      </c>
      <c r="BH32" s="17">
        <f>+AVERAGEA(AW21:BH21)</f>
        <v/>
      </c>
      <c r="BI32" s="17">
        <f>+AVERAGEA(AX21:BI21)</f>
        <v/>
      </c>
    </row>
    <row r="33" ht="25" customHeight="1">
      <c r="BH33" s="63" t="n"/>
      <c r="BI33" s="63" t="n"/>
    </row>
    <row r="34" ht="25" customHeight="1"/>
    <row r="35" ht="25" customHeight="1">
      <c r="A35" s="279" t="inlineStr">
        <is>
          <t>SPREAD</t>
        </is>
      </c>
    </row>
    <row r="36" ht="25" customHeight="1">
      <c r="A36" s="28" t="inlineStr">
        <is>
          <t>Paire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94" t="n">
        <v>44927</v>
      </c>
      <c r="O36" s="294" t="n">
        <v>44958</v>
      </c>
      <c r="P36" s="294" t="n">
        <v>44986</v>
      </c>
      <c r="Q36" s="294" t="n">
        <v>45017</v>
      </c>
      <c r="R36" s="294" t="n">
        <v>45047</v>
      </c>
      <c r="S36" s="294" t="n">
        <v>45078</v>
      </c>
      <c r="T36" s="294" t="n">
        <v>45108</v>
      </c>
      <c r="U36" s="294" t="n">
        <v>45139</v>
      </c>
      <c r="V36" s="294" t="n">
        <v>45170</v>
      </c>
      <c r="W36" s="294" t="n">
        <v>45200</v>
      </c>
      <c r="X36" s="294" t="n">
        <v>45231</v>
      </c>
      <c r="Y36" s="294" t="n">
        <v>45261</v>
      </c>
      <c r="Z36" s="294" t="n">
        <v>45292</v>
      </c>
      <c r="AA36" s="294" t="n">
        <v>45323</v>
      </c>
      <c r="AB36" s="294" t="n">
        <v>45352</v>
      </c>
      <c r="AC36" s="294" t="n">
        <v>45383</v>
      </c>
      <c r="AD36" s="294" t="n">
        <v>45413</v>
      </c>
      <c r="AE36" s="294" t="n">
        <v>45444</v>
      </c>
      <c r="AF36" s="294" t="n">
        <v>45474</v>
      </c>
      <c r="AG36" s="294" t="n">
        <v>45505</v>
      </c>
      <c r="AH36" s="294" t="n">
        <v>45536</v>
      </c>
      <c r="AI36" s="294" t="n">
        <v>45566</v>
      </c>
      <c r="AJ36" s="294" t="n">
        <v>45597</v>
      </c>
      <c r="AK36" s="294" t="n">
        <v>45627</v>
      </c>
      <c r="AL36" s="294" t="n">
        <v>45658</v>
      </c>
      <c r="AM36" s="294" t="n">
        <v>45689</v>
      </c>
      <c r="AN36" s="294" t="n">
        <v>45717</v>
      </c>
      <c r="AO36" s="294" t="n">
        <v>45748</v>
      </c>
      <c r="AP36" s="294" t="n">
        <v>45778</v>
      </c>
      <c r="AQ36" s="294" t="n">
        <v>45809</v>
      </c>
      <c r="AR36" s="294" t="n">
        <v>45839</v>
      </c>
      <c r="AS36" s="294" t="n">
        <v>45870</v>
      </c>
      <c r="AT36" s="294" t="n">
        <v>45901</v>
      </c>
      <c r="AU36" s="294" t="n">
        <v>45931</v>
      </c>
      <c r="AV36" s="294" t="n">
        <v>45962</v>
      </c>
      <c r="AW36" s="294" t="n">
        <v>45992</v>
      </c>
      <c r="AX36" s="294" t="n">
        <v>46023</v>
      </c>
      <c r="AY36" s="294" t="n">
        <v>46054</v>
      </c>
      <c r="AZ36" s="294" t="n">
        <v>46082</v>
      </c>
      <c r="BA36" s="294" t="n">
        <v>46113</v>
      </c>
      <c r="BB36" s="294" t="n">
        <v>46143</v>
      </c>
      <c r="BC36" s="294" t="n">
        <v>46174</v>
      </c>
      <c r="BD36" s="294" t="n">
        <v>46204</v>
      </c>
      <c r="BE36" s="294" t="n">
        <v>46235</v>
      </c>
      <c r="BF36" s="294" t="n">
        <v>46266</v>
      </c>
      <c r="BG36" s="294" t="n">
        <v>46296</v>
      </c>
      <c r="BH36" s="294" t="n">
        <v>46327</v>
      </c>
      <c r="BI36" s="294" t="n">
        <v>46357</v>
      </c>
    </row>
    <row r="37" ht="25" customHeight="1">
      <c r="A37" s="29" t="inlineStr">
        <is>
          <t>USD JPY</t>
        </is>
      </c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30">
        <f>N31-N27</f>
        <v/>
      </c>
      <c r="O37" s="30">
        <f>O31-O27</f>
        <v/>
      </c>
      <c r="P37" s="30">
        <f>P31-P27</f>
        <v/>
      </c>
      <c r="Q37" s="30">
        <f>Q31-Q27</f>
        <v/>
      </c>
      <c r="R37" s="30">
        <f>R31-R27</f>
        <v/>
      </c>
      <c r="S37" s="30">
        <f>S31-S27</f>
        <v/>
      </c>
      <c r="T37" s="30">
        <f>T31-T27</f>
        <v/>
      </c>
      <c r="U37" s="30">
        <f>U31-U27</f>
        <v/>
      </c>
      <c r="V37" s="30">
        <f>V31-V27</f>
        <v/>
      </c>
      <c r="W37" s="30">
        <f>W31-W27</f>
        <v/>
      </c>
      <c r="X37" s="30">
        <f>X31-X27</f>
        <v/>
      </c>
      <c r="Y37" s="30">
        <f>Y31-Y27</f>
        <v/>
      </c>
      <c r="Z37" s="30">
        <f>Z31-Z27</f>
        <v/>
      </c>
      <c r="AA37" s="30">
        <f>AA31-AA27</f>
        <v/>
      </c>
      <c r="AB37" s="30">
        <f>AB31-AB27</f>
        <v/>
      </c>
      <c r="AC37" s="30">
        <f>AC31-AC27</f>
        <v/>
      </c>
      <c r="AD37" s="30">
        <f>AD31-AD27</f>
        <v/>
      </c>
      <c r="AE37" s="30">
        <f>AE31-AE27</f>
        <v/>
      </c>
      <c r="AF37" s="30">
        <f>AF31-AF27</f>
        <v/>
      </c>
      <c r="AG37" s="30">
        <f>AG31-AG27</f>
        <v/>
      </c>
      <c r="AH37" s="30">
        <f>AH31-AH27</f>
        <v/>
      </c>
      <c r="AI37" s="30">
        <f>AI31-AI27</f>
        <v/>
      </c>
      <c r="AJ37" s="30">
        <f>AJ31-AJ27</f>
        <v/>
      </c>
      <c r="AK37" s="30">
        <f>AK31-AK27</f>
        <v/>
      </c>
      <c r="AL37" s="30">
        <f>AL31-AL27</f>
        <v/>
      </c>
      <c r="AM37" s="30">
        <f>AM31-AM27</f>
        <v/>
      </c>
      <c r="AN37" s="30">
        <f>AN31-AN27</f>
        <v/>
      </c>
      <c r="AO37" s="30">
        <f>AO31-AO27</f>
        <v/>
      </c>
      <c r="AP37" s="30">
        <f>AP31-AP27</f>
        <v/>
      </c>
      <c r="AQ37" s="30">
        <f>AQ31-AQ27</f>
        <v/>
      </c>
      <c r="AR37" s="30">
        <f>AR31-AR27</f>
        <v/>
      </c>
      <c r="AS37" s="30">
        <f>AS31-AS27</f>
        <v/>
      </c>
      <c r="AT37" s="30">
        <f>AT31-AT27</f>
        <v/>
      </c>
      <c r="AU37" s="30">
        <f>AU31-AU27</f>
        <v/>
      </c>
      <c r="AV37" s="30">
        <f>AV31-AV27</f>
        <v/>
      </c>
      <c r="AW37" s="30">
        <f>AW31-AW27</f>
        <v/>
      </c>
      <c r="AX37" s="30">
        <f>AX31-AX27</f>
        <v/>
      </c>
      <c r="AY37" s="30">
        <f>AY31-AY27</f>
        <v/>
      </c>
      <c r="AZ37" s="30">
        <f>AZ31-AZ27</f>
        <v/>
      </c>
      <c r="BA37" s="30">
        <f>BA31-BA27</f>
        <v/>
      </c>
      <c r="BB37" s="30">
        <f>BB31-BB27</f>
        <v/>
      </c>
      <c r="BC37" s="30">
        <f>BC31-BC27</f>
        <v/>
      </c>
      <c r="BD37" s="30">
        <f>BD31-BD27</f>
        <v/>
      </c>
      <c r="BE37" s="30">
        <f>BE31-BE27</f>
        <v/>
      </c>
      <c r="BF37" s="30">
        <f>BF31-BF27</f>
        <v/>
      </c>
      <c r="BG37" s="30">
        <f>BG31-BG27</f>
        <v/>
      </c>
      <c r="BH37" s="30">
        <f>BH31-BH27</f>
        <v/>
      </c>
      <c r="BI37" s="30">
        <f>BI31-BI27</f>
        <v/>
      </c>
    </row>
    <row r="38" ht="25" customHeight="1">
      <c r="A38" s="31" t="inlineStr">
        <is>
          <t>USD CHF</t>
        </is>
      </c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30">
        <f>N31-N28</f>
        <v/>
      </c>
      <c r="O38" s="30">
        <f>O31-O28</f>
        <v/>
      </c>
      <c r="P38" s="30">
        <f>P31-P28</f>
        <v/>
      </c>
      <c r="Q38" s="30">
        <f>Q31-Q28</f>
        <v/>
      </c>
      <c r="R38" s="30">
        <f>R31-R28</f>
        <v/>
      </c>
      <c r="S38" s="30">
        <f>S31-S28</f>
        <v/>
      </c>
      <c r="T38" s="30">
        <f>T31-T28</f>
        <v/>
      </c>
      <c r="U38" s="30">
        <f>U31-U28</f>
        <v/>
      </c>
      <c r="V38" s="30">
        <f>V31-V28</f>
        <v/>
      </c>
      <c r="W38" s="30">
        <f>W31-W28</f>
        <v/>
      </c>
      <c r="X38" s="30">
        <f>X31-X28</f>
        <v/>
      </c>
      <c r="Y38" s="30">
        <f>Y31-Y28</f>
        <v/>
      </c>
      <c r="Z38" s="30">
        <f>Z31-Z28</f>
        <v/>
      </c>
      <c r="AA38" s="30">
        <f>AA31-AA28</f>
        <v/>
      </c>
      <c r="AB38" s="30">
        <f>AB31-AB28</f>
        <v/>
      </c>
      <c r="AC38" s="30">
        <f>AC31-AC28</f>
        <v/>
      </c>
      <c r="AD38" s="30">
        <f>AD31-AD28</f>
        <v/>
      </c>
      <c r="AE38" s="30">
        <f>AE31-AE28</f>
        <v/>
      </c>
      <c r="AF38" s="30">
        <f>AF31-AF28</f>
        <v/>
      </c>
      <c r="AG38" s="30">
        <f>AG31-AG28</f>
        <v/>
      </c>
      <c r="AH38" s="30">
        <f>AH31-AH28</f>
        <v/>
      </c>
      <c r="AI38" s="30">
        <f>AI31-AI28</f>
        <v/>
      </c>
      <c r="AJ38" s="30">
        <f>AJ31-AJ28</f>
        <v/>
      </c>
      <c r="AK38" s="30">
        <f>AK31-AK28</f>
        <v/>
      </c>
      <c r="AL38" s="30">
        <f>AL31-AL28</f>
        <v/>
      </c>
      <c r="AM38" s="30">
        <f>AM31-AM28</f>
        <v/>
      </c>
      <c r="AN38" s="30">
        <f>AN31-AN28</f>
        <v/>
      </c>
      <c r="AO38" s="30">
        <f>AO31-AO28</f>
        <v/>
      </c>
      <c r="AP38" s="30">
        <f>AP31-AP28</f>
        <v/>
      </c>
      <c r="AQ38" s="30">
        <f>AQ31-AQ28</f>
        <v/>
      </c>
      <c r="AR38" s="30">
        <f>AR31-AR28</f>
        <v/>
      </c>
      <c r="AS38" s="30">
        <f>AS31-AS28</f>
        <v/>
      </c>
      <c r="AT38" s="30">
        <f>AT31-AT28</f>
        <v/>
      </c>
      <c r="AU38" s="30">
        <f>AU31-AU28</f>
        <v/>
      </c>
      <c r="AV38" s="30">
        <f>AV31-AV28</f>
        <v/>
      </c>
      <c r="AW38" s="30">
        <f>AW31-AW28</f>
        <v/>
      </c>
      <c r="AX38" s="30">
        <f>AX31-AX28</f>
        <v/>
      </c>
      <c r="AY38" s="30">
        <f>AY31-AY28</f>
        <v/>
      </c>
      <c r="AZ38" s="30">
        <f>AZ31-AZ28</f>
        <v/>
      </c>
      <c r="BA38" s="30">
        <f>BA31-BA28</f>
        <v/>
      </c>
      <c r="BB38" s="30">
        <f>BB31-BB28</f>
        <v/>
      </c>
      <c r="BC38" s="30">
        <f>BC31-BC28</f>
        <v/>
      </c>
      <c r="BD38" s="30">
        <f>BD31-BD28</f>
        <v/>
      </c>
      <c r="BE38" s="30">
        <f>BE31-BE28</f>
        <v/>
      </c>
      <c r="BF38" s="30">
        <f>BF31-BF28</f>
        <v/>
      </c>
      <c r="BG38" s="30">
        <f>BG31-BG28</f>
        <v/>
      </c>
      <c r="BH38" s="30">
        <f>BH31-BH28</f>
        <v/>
      </c>
      <c r="BI38" s="30">
        <f>BI31-BI28</f>
        <v/>
      </c>
    </row>
    <row r="39" ht="25" customHeight="1">
      <c r="A39" s="31" t="inlineStr">
        <is>
          <t>USD CAD</t>
        </is>
      </c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30">
        <f>N31-N26</f>
        <v/>
      </c>
      <c r="O39" s="30">
        <f>O31-O26</f>
        <v/>
      </c>
      <c r="P39" s="30">
        <f>P31-P26</f>
        <v/>
      </c>
      <c r="Q39" s="30">
        <f>Q31-Q26</f>
        <v/>
      </c>
      <c r="R39" s="30">
        <f>R31-R26</f>
        <v/>
      </c>
      <c r="S39" s="30">
        <f>S31-S26</f>
        <v/>
      </c>
      <c r="T39" s="30">
        <f>T31-T26</f>
        <v/>
      </c>
      <c r="U39" s="30">
        <f>U31-U26</f>
        <v/>
      </c>
      <c r="V39" s="30">
        <f>V31-V26</f>
        <v/>
      </c>
      <c r="W39" s="30">
        <f>W31-W26</f>
        <v/>
      </c>
      <c r="X39" s="30">
        <f>X31-X26</f>
        <v/>
      </c>
      <c r="Y39" s="30">
        <f>Y31-Y26</f>
        <v/>
      </c>
      <c r="Z39" s="30">
        <f>Z31-Z26</f>
        <v/>
      </c>
      <c r="AA39" s="30">
        <f>AA31-AA26</f>
        <v/>
      </c>
      <c r="AB39" s="30">
        <f>AB31-AB26</f>
        <v/>
      </c>
      <c r="AC39" s="30">
        <f>AC31-AC26</f>
        <v/>
      </c>
      <c r="AD39" s="30">
        <f>AD31-AD26</f>
        <v/>
      </c>
      <c r="AE39" s="30">
        <f>AE31-AE26</f>
        <v/>
      </c>
      <c r="AF39" s="30">
        <f>AF31-AF26</f>
        <v/>
      </c>
      <c r="AG39" s="30">
        <f>AG31-AG26</f>
        <v/>
      </c>
      <c r="AH39" s="30">
        <f>AH31-AH26</f>
        <v/>
      </c>
      <c r="AI39" s="30">
        <f>AI31-AI26</f>
        <v/>
      </c>
      <c r="AJ39" s="30">
        <f>AJ31-AJ26</f>
        <v/>
      </c>
      <c r="AK39" s="30">
        <f>AK31-AK26</f>
        <v/>
      </c>
      <c r="AL39" s="30">
        <f>AL31-AL26</f>
        <v/>
      </c>
      <c r="AM39" s="30">
        <f>AM31-AM26</f>
        <v/>
      </c>
      <c r="AN39" s="30">
        <f>AN31-AN26</f>
        <v/>
      </c>
      <c r="AO39" s="30">
        <f>AO31-AO26</f>
        <v/>
      </c>
      <c r="AP39" s="30">
        <f>AP31-AP26</f>
        <v/>
      </c>
      <c r="AQ39" s="30">
        <f>AQ31-AQ26</f>
        <v/>
      </c>
      <c r="AR39" s="30">
        <f>AR31-AR26</f>
        <v/>
      </c>
      <c r="AS39" s="30">
        <f>AS31-AS26</f>
        <v/>
      </c>
      <c r="AT39" s="30">
        <f>AT31-AT26</f>
        <v/>
      </c>
      <c r="AU39" s="30">
        <f>AU31-AU26</f>
        <v/>
      </c>
      <c r="AV39" s="30">
        <f>AV31-AV26</f>
        <v/>
      </c>
      <c r="AW39" s="30">
        <f>AW31-AW26</f>
        <v/>
      </c>
      <c r="AX39" s="30">
        <f>AX31-AX26</f>
        <v/>
      </c>
      <c r="AY39" s="30">
        <f>AY31-AY26</f>
        <v/>
      </c>
      <c r="AZ39" s="30">
        <f>AZ31-AZ26</f>
        <v/>
      </c>
      <c r="BA39" s="30">
        <f>BA31-BA26</f>
        <v/>
      </c>
      <c r="BB39" s="30">
        <f>BB31-BB26</f>
        <v/>
      </c>
      <c r="BC39" s="30">
        <f>BC31-BC26</f>
        <v/>
      </c>
      <c r="BD39" s="30">
        <f>BD31-BD26</f>
        <v/>
      </c>
      <c r="BE39" s="30">
        <f>BE31-BE26</f>
        <v/>
      </c>
      <c r="BF39" s="30">
        <f>BF31-BF26</f>
        <v/>
      </c>
      <c r="BG39" s="30">
        <f>BG31-BG26</f>
        <v/>
      </c>
      <c r="BH39" s="30">
        <f>BH31-BH26</f>
        <v/>
      </c>
      <c r="BI39" s="30">
        <f>BI31-BI26</f>
        <v/>
      </c>
    </row>
    <row r="40" ht="25" customHeight="1">
      <c r="A40" s="34" t="inlineStr">
        <is>
          <t>EUR USD</t>
        </is>
      </c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30">
        <f>N32-N31</f>
        <v/>
      </c>
      <c r="O40" s="30">
        <f>O32-O31</f>
        <v/>
      </c>
      <c r="P40" s="30">
        <f>P32-P31</f>
        <v/>
      </c>
      <c r="Q40" s="30">
        <f>Q32-Q31</f>
        <v/>
      </c>
      <c r="R40" s="30">
        <f>R32-R31</f>
        <v/>
      </c>
      <c r="S40" s="30">
        <f>S32-S31</f>
        <v/>
      </c>
      <c r="T40" s="30">
        <f>T32-T31</f>
        <v/>
      </c>
      <c r="U40" s="30">
        <f>U32-U31</f>
        <v/>
      </c>
      <c r="V40" s="30">
        <f>V32-V31</f>
        <v/>
      </c>
      <c r="W40" s="30">
        <f>W32-W31</f>
        <v/>
      </c>
      <c r="X40" s="30">
        <f>X32-X31</f>
        <v/>
      </c>
      <c r="Y40" s="30">
        <f>Y32-Y31</f>
        <v/>
      </c>
      <c r="Z40" s="30">
        <f>Z32-Z31</f>
        <v/>
      </c>
      <c r="AA40" s="30">
        <f>AA32-AA31</f>
        <v/>
      </c>
      <c r="AB40" s="30">
        <f>AB32-AB31</f>
        <v/>
      </c>
      <c r="AC40" s="30">
        <f>AC32-AC31</f>
        <v/>
      </c>
      <c r="AD40" s="30">
        <f>AD32-AD31</f>
        <v/>
      </c>
      <c r="AE40" s="30">
        <f>AE32-AE31</f>
        <v/>
      </c>
      <c r="AF40" s="30">
        <f>AF32-AF31</f>
        <v/>
      </c>
      <c r="AG40" s="30">
        <f>AG32-AG31</f>
        <v/>
      </c>
      <c r="AH40" s="30">
        <f>AH32-AH31</f>
        <v/>
      </c>
      <c r="AI40" s="30">
        <f>AI32-AI31</f>
        <v/>
      </c>
      <c r="AJ40" s="30">
        <f>AJ32-AJ31</f>
        <v/>
      </c>
      <c r="AK40" s="30">
        <f>AK32-AK31</f>
        <v/>
      </c>
      <c r="AL40" s="30">
        <f>AL32-AL31</f>
        <v/>
      </c>
      <c r="AM40" s="30">
        <f>AM32-AM31</f>
        <v/>
      </c>
      <c r="AN40" s="30">
        <f>AN32-AN31</f>
        <v/>
      </c>
      <c r="AO40" s="30">
        <f>AO32-AO31</f>
        <v/>
      </c>
      <c r="AP40" s="30">
        <f>AP32-AP31</f>
        <v/>
      </c>
      <c r="AQ40" s="30">
        <f>AQ32-AQ31</f>
        <v/>
      </c>
      <c r="AR40" s="30">
        <f>AR32-AR31</f>
        <v/>
      </c>
      <c r="AS40" s="30">
        <f>AS32-AS31</f>
        <v/>
      </c>
      <c r="AT40" s="30">
        <f>AT32-AT31</f>
        <v/>
      </c>
      <c r="AU40" s="30">
        <f>AU32-AU31</f>
        <v/>
      </c>
      <c r="AV40" s="30">
        <f>AV32-AV31</f>
        <v/>
      </c>
      <c r="AW40" s="30">
        <f>AW32-AW31</f>
        <v/>
      </c>
      <c r="AX40" s="30">
        <f>AX32-AX31</f>
        <v/>
      </c>
      <c r="AY40" s="30">
        <f>AY32-AY31</f>
        <v/>
      </c>
      <c r="AZ40" s="30">
        <f>AZ32-AZ31</f>
        <v/>
      </c>
      <c r="BA40" s="30">
        <f>BA32-BA31</f>
        <v/>
      </c>
      <c r="BB40" s="30">
        <f>BB32-BB31</f>
        <v/>
      </c>
      <c r="BC40" s="30">
        <f>BC32-BC31</f>
        <v/>
      </c>
      <c r="BD40" s="30">
        <f>BD32-BD31</f>
        <v/>
      </c>
      <c r="BE40" s="30">
        <f>BE32-BE31</f>
        <v/>
      </c>
      <c r="BF40" s="30">
        <f>BF32-BF31</f>
        <v/>
      </c>
      <c r="BG40" s="30">
        <f>BG32-BG31</f>
        <v/>
      </c>
      <c r="BH40" s="30">
        <f>BH32-BH31</f>
        <v/>
      </c>
      <c r="BI40" s="30">
        <f>BI32-BI31</f>
        <v/>
      </c>
    </row>
    <row r="41" ht="25" customHeight="1">
      <c r="A41" s="34" t="inlineStr">
        <is>
          <t>EUR JPY</t>
        </is>
      </c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30">
        <f>N32-N27</f>
        <v/>
      </c>
      <c r="O41" s="30">
        <f>O32-O27</f>
        <v/>
      </c>
      <c r="P41" s="30">
        <f>P32-P27</f>
        <v/>
      </c>
      <c r="Q41" s="30">
        <f>Q32-Q27</f>
        <v/>
      </c>
      <c r="R41" s="30">
        <f>R32-R27</f>
        <v/>
      </c>
      <c r="S41" s="30">
        <f>S32-S27</f>
        <v/>
      </c>
      <c r="T41" s="30">
        <f>T32-T27</f>
        <v/>
      </c>
      <c r="U41" s="30">
        <f>U32-U27</f>
        <v/>
      </c>
      <c r="V41" s="30">
        <f>V32-V27</f>
        <v/>
      </c>
      <c r="W41" s="30">
        <f>W32-W27</f>
        <v/>
      </c>
      <c r="X41" s="30">
        <f>X32-X27</f>
        <v/>
      </c>
      <c r="Y41" s="30">
        <f>Y32-Y27</f>
        <v/>
      </c>
      <c r="Z41" s="30">
        <f>Z32-Z27</f>
        <v/>
      </c>
      <c r="AA41" s="30">
        <f>AA32-AA27</f>
        <v/>
      </c>
      <c r="AB41" s="30">
        <f>AB32-AB27</f>
        <v/>
      </c>
      <c r="AC41" s="30">
        <f>AC32-AC27</f>
        <v/>
      </c>
      <c r="AD41" s="30">
        <f>AD32-AD27</f>
        <v/>
      </c>
      <c r="AE41" s="30">
        <f>AE32-AE27</f>
        <v/>
      </c>
      <c r="AF41" s="30">
        <f>AF32-AF27</f>
        <v/>
      </c>
      <c r="AG41" s="30">
        <f>AG32-AG27</f>
        <v/>
      </c>
      <c r="AH41" s="30">
        <f>AH32-AH27</f>
        <v/>
      </c>
      <c r="AI41" s="30">
        <f>AI32-AI27</f>
        <v/>
      </c>
      <c r="AJ41" s="30">
        <f>AJ32-AJ27</f>
        <v/>
      </c>
      <c r="AK41" s="30">
        <f>AK32-AK27</f>
        <v/>
      </c>
      <c r="AL41" s="30">
        <f>AL32-AL27</f>
        <v/>
      </c>
      <c r="AM41" s="30">
        <f>AM32-AM27</f>
        <v/>
      </c>
      <c r="AN41" s="30">
        <f>AN32-AN27</f>
        <v/>
      </c>
      <c r="AO41" s="30">
        <f>AO32-AO27</f>
        <v/>
      </c>
      <c r="AP41" s="30">
        <f>AP32-AP27</f>
        <v/>
      </c>
      <c r="AQ41" s="30">
        <f>AQ32-AQ27</f>
        <v/>
      </c>
      <c r="AR41" s="30">
        <f>AR32-AR27</f>
        <v/>
      </c>
      <c r="AS41" s="30">
        <f>AS32-AS27</f>
        <v/>
      </c>
      <c r="AT41" s="30">
        <f>AT32-AT27</f>
        <v/>
      </c>
      <c r="AU41" s="30">
        <f>AU32-AU27</f>
        <v/>
      </c>
      <c r="AV41" s="30">
        <f>AV32-AV27</f>
        <v/>
      </c>
      <c r="AW41" s="30">
        <f>AW32-AW27</f>
        <v/>
      </c>
      <c r="AX41" s="30">
        <f>AX32-AX27</f>
        <v/>
      </c>
      <c r="AY41" s="30">
        <f>AY32-AY27</f>
        <v/>
      </c>
      <c r="AZ41" s="30">
        <f>AZ32-AZ27</f>
        <v/>
      </c>
      <c r="BA41" s="30">
        <f>BA32-BA27</f>
        <v/>
      </c>
      <c r="BB41" s="30">
        <f>BB32-BB27</f>
        <v/>
      </c>
      <c r="BC41" s="30">
        <f>BC32-BC27</f>
        <v/>
      </c>
      <c r="BD41" s="30">
        <f>BD32-BD27</f>
        <v/>
      </c>
      <c r="BE41" s="30">
        <f>BE32-BE27</f>
        <v/>
      </c>
      <c r="BF41" s="30">
        <f>BF32-BF27</f>
        <v/>
      </c>
      <c r="BG41" s="30">
        <f>BG32-BG27</f>
        <v/>
      </c>
      <c r="BH41" s="30">
        <f>BH32-BH27</f>
        <v/>
      </c>
      <c r="BI41" s="30">
        <f>BI32-BI27</f>
        <v/>
      </c>
    </row>
    <row r="42" ht="25" customHeight="1">
      <c r="A42" s="34" t="inlineStr">
        <is>
          <t>EUR CHF</t>
        </is>
      </c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30">
        <f>N32-N28</f>
        <v/>
      </c>
      <c r="O42" s="30">
        <f>O32-O28</f>
        <v/>
      </c>
      <c r="P42" s="30">
        <f>P32-P28</f>
        <v/>
      </c>
      <c r="Q42" s="30">
        <f>Q32-Q28</f>
        <v/>
      </c>
      <c r="R42" s="30">
        <f>R32-R28</f>
        <v/>
      </c>
      <c r="S42" s="30">
        <f>S32-S28</f>
        <v/>
      </c>
      <c r="T42" s="30">
        <f>T32-T28</f>
        <v/>
      </c>
      <c r="U42" s="30">
        <f>U32-U28</f>
        <v/>
      </c>
      <c r="V42" s="30">
        <f>V32-V28</f>
        <v/>
      </c>
      <c r="W42" s="30">
        <f>W32-W28</f>
        <v/>
      </c>
      <c r="X42" s="30">
        <f>X32-X28</f>
        <v/>
      </c>
      <c r="Y42" s="30">
        <f>Y32-Y28</f>
        <v/>
      </c>
      <c r="Z42" s="30">
        <f>Z32-Z28</f>
        <v/>
      </c>
      <c r="AA42" s="30">
        <f>AA32-AA28</f>
        <v/>
      </c>
      <c r="AB42" s="30">
        <f>AB32-AB28</f>
        <v/>
      </c>
      <c r="AC42" s="30">
        <f>AC32-AC28</f>
        <v/>
      </c>
      <c r="AD42" s="30">
        <f>AD32-AD28</f>
        <v/>
      </c>
      <c r="AE42" s="30">
        <f>AE32-AE28</f>
        <v/>
      </c>
      <c r="AF42" s="30">
        <f>AF32-AF28</f>
        <v/>
      </c>
      <c r="AG42" s="30">
        <f>AG32-AG28</f>
        <v/>
      </c>
      <c r="AH42" s="30">
        <f>AH32-AH28</f>
        <v/>
      </c>
      <c r="AI42" s="30">
        <f>AI32-AI28</f>
        <v/>
      </c>
      <c r="AJ42" s="30">
        <f>AJ32-AJ28</f>
        <v/>
      </c>
      <c r="AK42" s="30">
        <f>AK32-AK28</f>
        <v/>
      </c>
      <c r="AL42" s="30">
        <f>AL32-AL28</f>
        <v/>
      </c>
      <c r="AM42" s="30">
        <f>AM32-AM28</f>
        <v/>
      </c>
      <c r="AN42" s="30">
        <f>AN32-AN28</f>
        <v/>
      </c>
      <c r="AO42" s="30">
        <f>AO32-AO28</f>
        <v/>
      </c>
      <c r="AP42" s="30">
        <f>AP32-AP28</f>
        <v/>
      </c>
      <c r="AQ42" s="30">
        <f>AQ32-AQ28</f>
        <v/>
      </c>
      <c r="AR42" s="30">
        <f>AR32-AR28</f>
        <v/>
      </c>
      <c r="AS42" s="30">
        <f>AS32-AS28</f>
        <v/>
      </c>
      <c r="AT42" s="30">
        <f>AT32-AT28</f>
        <v/>
      </c>
      <c r="AU42" s="30">
        <f>AU32-AU28</f>
        <v/>
      </c>
      <c r="AV42" s="30">
        <f>AV32-AV28</f>
        <v/>
      </c>
      <c r="AW42" s="30">
        <f>AW32-AW28</f>
        <v/>
      </c>
      <c r="AX42" s="30">
        <f>AX32-AX28</f>
        <v/>
      </c>
      <c r="AY42" s="30">
        <f>AY32-AY28</f>
        <v/>
      </c>
      <c r="AZ42" s="30">
        <f>AZ32-AZ28</f>
        <v/>
      </c>
      <c r="BA42" s="30">
        <f>BA32-BA28</f>
        <v/>
      </c>
      <c r="BB42" s="30">
        <f>BB32-BB28</f>
        <v/>
      </c>
      <c r="BC42" s="30">
        <f>BC32-BC28</f>
        <v/>
      </c>
      <c r="BD42" s="30">
        <f>BD32-BD28</f>
        <v/>
      </c>
      <c r="BE42" s="30">
        <f>BE32-BE28</f>
        <v/>
      </c>
      <c r="BF42" s="30">
        <f>BF32-BF28</f>
        <v/>
      </c>
      <c r="BG42" s="30">
        <f>BG32-BG28</f>
        <v/>
      </c>
      <c r="BH42" s="30">
        <f>BH32-BH28</f>
        <v/>
      </c>
      <c r="BI42" s="30">
        <f>BI32-BI28</f>
        <v/>
      </c>
    </row>
    <row r="43" ht="25" customHeight="1">
      <c r="A43" s="34" t="inlineStr">
        <is>
          <t>EUR GBP</t>
        </is>
      </c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30">
        <f>N32-N30</f>
        <v/>
      </c>
      <c r="O43" s="30">
        <f>O32-O30</f>
        <v/>
      </c>
      <c r="P43" s="30">
        <f>P32-P30</f>
        <v/>
      </c>
      <c r="Q43" s="30">
        <f>Q32-Q30</f>
        <v/>
      </c>
      <c r="R43" s="30">
        <f>R32-R30</f>
        <v/>
      </c>
      <c r="S43" s="30">
        <f>S32-S30</f>
        <v/>
      </c>
      <c r="T43" s="30">
        <f>T32-T30</f>
        <v/>
      </c>
      <c r="U43" s="30">
        <f>U32-U30</f>
        <v/>
      </c>
      <c r="V43" s="30">
        <f>V32-V30</f>
        <v/>
      </c>
      <c r="W43" s="30">
        <f>W32-W30</f>
        <v/>
      </c>
      <c r="X43" s="30">
        <f>X32-X30</f>
        <v/>
      </c>
      <c r="Y43" s="30">
        <f>Y32-Y30</f>
        <v/>
      </c>
      <c r="Z43" s="30">
        <f>Z32-Z30</f>
        <v/>
      </c>
      <c r="AA43" s="30">
        <f>AA32-AA30</f>
        <v/>
      </c>
      <c r="AB43" s="30">
        <f>AB32-AB30</f>
        <v/>
      </c>
      <c r="AC43" s="30">
        <f>AC32-AC30</f>
        <v/>
      </c>
      <c r="AD43" s="30">
        <f>AD32-AD30</f>
        <v/>
      </c>
      <c r="AE43" s="30">
        <f>AE32-AE30</f>
        <v/>
      </c>
      <c r="AF43" s="30">
        <f>AF32-AF30</f>
        <v/>
      </c>
      <c r="AG43" s="30">
        <f>AG32-AG30</f>
        <v/>
      </c>
      <c r="AH43" s="30">
        <f>AH32-AH30</f>
        <v/>
      </c>
      <c r="AI43" s="30">
        <f>AI32-AI30</f>
        <v/>
      </c>
      <c r="AJ43" s="30">
        <f>AJ32-AJ30</f>
        <v/>
      </c>
      <c r="AK43" s="30">
        <f>AK32-AK30</f>
        <v/>
      </c>
      <c r="AL43" s="30">
        <f>AL32-AL30</f>
        <v/>
      </c>
      <c r="AM43" s="30">
        <f>AM32-AM30</f>
        <v/>
      </c>
      <c r="AN43" s="30">
        <f>AN32-AN30</f>
        <v/>
      </c>
      <c r="AO43" s="30">
        <f>AO32-AO30</f>
        <v/>
      </c>
      <c r="AP43" s="30">
        <f>AP32-AP30</f>
        <v/>
      </c>
      <c r="AQ43" s="30">
        <f>AQ32-AQ30</f>
        <v/>
      </c>
      <c r="AR43" s="30">
        <f>AR32-AR30</f>
        <v/>
      </c>
      <c r="AS43" s="30">
        <f>AS32-AS30</f>
        <v/>
      </c>
      <c r="AT43" s="30">
        <f>AT32-AT30</f>
        <v/>
      </c>
      <c r="AU43" s="30">
        <f>AU32-AU30</f>
        <v/>
      </c>
      <c r="AV43" s="30">
        <f>AV32-AV30</f>
        <v/>
      </c>
      <c r="AW43" s="30">
        <f>AW32-AW30</f>
        <v/>
      </c>
      <c r="AX43" s="30">
        <f>AX32-AX30</f>
        <v/>
      </c>
      <c r="AY43" s="30">
        <f>AY32-AY30</f>
        <v/>
      </c>
      <c r="AZ43" s="30">
        <f>AZ32-AZ30</f>
        <v/>
      </c>
      <c r="BA43" s="30">
        <f>BA32-BA30</f>
        <v/>
      </c>
      <c r="BB43" s="30">
        <f>BB32-BB30</f>
        <v/>
      </c>
      <c r="BC43" s="30">
        <f>BC32-BC30</f>
        <v/>
      </c>
      <c r="BD43" s="30">
        <f>BD32-BD30</f>
        <v/>
      </c>
      <c r="BE43" s="30">
        <f>BE32-BE30</f>
        <v/>
      </c>
      <c r="BF43" s="30">
        <f>BF32-BF30</f>
        <v/>
      </c>
      <c r="BG43" s="30">
        <f>BG32-BG30</f>
        <v/>
      </c>
      <c r="BH43" s="30">
        <f>BH32-BH30</f>
        <v/>
      </c>
      <c r="BI43" s="30">
        <f>BI32-BI30</f>
        <v/>
      </c>
    </row>
    <row r="44" ht="25" customHeight="1">
      <c r="A44" s="34" t="inlineStr">
        <is>
          <t>EUR CAD</t>
        </is>
      </c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30">
        <f>N32-N26</f>
        <v/>
      </c>
      <c r="O44" s="30">
        <f>O32-O26</f>
        <v/>
      </c>
      <c r="P44" s="30">
        <f>P32-P26</f>
        <v/>
      </c>
      <c r="Q44" s="30">
        <f>Q32-Q26</f>
        <v/>
      </c>
      <c r="R44" s="30">
        <f>R32-R26</f>
        <v/>
      </c>
      <c r="S44" s="30">
        <f>S32-S26</f>
        <v/>
      </c>
      <c r="T44" s="30">
        <f>T32-T26</f>
        <v/>
      </c>
      <c r="U44" s="30">
        <f>U32-U26</f>
        <v/>
      </c>
      <c r="V44" s="30">
        <f>V32-V26</f>
        <v/>
      </c>
      <c r="W44" s="30">
        <f>W32-W26</f>
        <v/>
      </c>
      <c r="X44" s="30">
        <f>X32-X26</f>
        <v/>
      </c>
      <c r="Y44" s="30">
        <f>Y32-Y26</f>
        <v/>
      </c>
      <c r="Z44" s="30">
        <f>Z32-Z26</f>
        <v/>
      </c>
      <c r="AA44" s="30">
        <f>AA32-AA26</f>
        <v/>
      </c>
      <c r="AB44" s="30">
        <f>AB32-AB26</f>
        <v/>
      </c>
      <c r="AC44" s="30">
        <f>AC32-AC26</f>
        <v/>
      </c>
      <c r="AD44" s="30">
        <f>AD32-AD26</f>
        <v/>
      </c>
      <c r="AE44" s="30">
        <f>AE32-AE26</f>
        <v/>
      </c>
      <c r="AF44" s="30">
        <f>AF32-AF26</f>
        <v/>
      </c>
      <c r="AG44" s="30">
        <f>AG32-AG26</f>
        <v/>
      </c>
      <c r="AH44" s="30">
        <f>AH32-AH26</f>
        <v/>
      </c>
      <c r="AI44" s="30">
        <f>AI32-AI26</f>
        <v/>
      </c>
      <c r="AJ44" s="30">
        <f>AJ32-AJ26</f>
        <v/>
      </c>
      <c r="AK44" s="30">
        <f>AK32-AK26</f>
        <v/>
      </c>
      <c r="AL44" s="30">
        <f>AL32-AL26</f>
        <v/>
      </c>
      <c r="AM44" s="30">
        <f>AM32-AM26</f>
        <v/>
      </c>
      <c r="AN44" s="30">
        <f>AN32-AN26</f>
        <v/>
      </c>
      <c r="AO44" s="30">
        <f>AO32-AO26</f>
        <v/>
      </c>
      <c r="AP44" s="30">
        <f>AP32-AP26</f>
        <v/>
      </c>
      <c r="AQ44" s="30">
        <f>AQ32-AQ26</f>
        <v/>
      </c>
      <c r="AR44" s="30">
        <f>AR32-AR26</f>
        <v/>
      </c>
      <c r="AS44" s="30">
        <f>AS32-AS26</f>
        <v/>
      </c>
      <c r="AT44" s="30">
        <f>AT32-AT26</f>
        <v/>
      </c>
      <c r="AU44" s="30">
        <f>AU32-AU26</f>
        <v/>
      </c>
      <c r="AV44" s="30">
        <f>AV32-AV26</f>
        <v/>
      </c>
      <c r="AW44" s="30">
        <f>AW32-AW26</f>
        <v/>
      </c>
      <c r="AX44" s="30">
        <f>AX32-AX26</f>
        <v/>
      </c>
      <c r="AY44" s="30">
        <f>AY32-AY26</f>
        <v/>
      </c>
      <c r="AZ44" s="30">
        <f>AZ32-AZ26</f>
        <v/>
      </c>
      <c r="BA44" s="30">
        <f>BA32-BA26</f>
        <v/>
      </c>
      <c r="BB44" s="30">
        <f>BB32-BB26</f>
        <v/>
      </c>
      <c r="BC44" s="30">
        <f>BC32-BC26</f>
        <v/>
      </c>
      <c r="BD44" s="30">
        <f>BD32-BD26</f>
        <v/>
      </c>
      <c r="BE44" s="30">
        <f>BE32-BE26</f>
        <v/>
      </c>
      <c r="BF44" s="30">
        <f>BF32-BF26</f>
        <v/>
      </c>
      <c r="BG44" s="30">
        <f>BG32-BG26</f>
        <v/>
      </c>
      <c r="BH44" s="30">
        <f>BH32-BH26</f>
        <v/>
      </c>
      <c r="BI44" s="30">
        <f>BI32-BI26</f>
        <v/>
      </c>
    </row>
    <row r="45" ht="25" customHeight="1">
      <c r="A45" s="34" t="inlineStr">
        <is>
          <t>EUR AUD</t>
        </is>
      </c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30" t="n">
        <v>0</v>
      </c>
      <c r="W45" s="30" t="n">
        <v>0</v>
      </c>
      <c r="X45" s="30" t="n">
        <v>0</v>
      </c>
      <c r="Y45" s="30" t="n">
        <v>0</v>
      </c>
      <c r="Z45" s="30" t="n">
        <v>0</v>
      </c>
      <c r="AA45" s="30" t="n">
        <v>0</v>
      </c>
      <c r="AB45" s="30" t="n">
        <v>0</v>
      </c>
      <c r="AC45" s="30" t="n">
        <v>0</v>
      </c>
      <c r="AD45" s="30" t="n">
        <v>0</v>
      </c>
      <c r="AE45" s="30" t="n">
        <v>0</v>
      </c>
      <c r="AF45" s="30" t="n">
        <v>0</v>
      </c>
      <c r="AG45" s="30" t="n">
        <v>0</v>
      </c>
      <c r="AH45" s="30" t="n">
        <v>0</v>
      </c>
      <c r="AI45" s="30" t="n">
        <v>0</v>
      </c>
      <c r="AJ45" s="30" t="n">
        <v>0</v>
      </c>
      <c r="AK45" s="30" t="n">
        <v>0</v>
      </c>
      <c r="AL45" s="30" t="n">
        <v>0</v>
      </c>
      <c r="AM45" s="30" t="n">
        <v>0</v>
      </c>
      <c r="AN45" s="30" t="n">
        <v>0</v>
      </c>
      <c r="AO45" s="30">
        <f>AO32-AO25</f>
        <v/>
      </c>
      <c r="AP45" s="30">
        <f>AP32-AP25</f>
        <v/>
      </c>
      <c r="AQ45" s="30">
        <f>AQ32-AQ25</f>
        <v/>
      </c>
      <c r="AR45" s="30">
        <f>AR32-AR25</f>
        <v/>
      </c>
      <c r="AS45" s="30">
        <f>AS32-AS25</f>
        <v/>
      </c>
      <c r="AT45" s="30">
        <f>AT32-AT25</f>
        <v/>
      </c>
      <c r="AU45" s="30">
        <f>AU32-AU25</f>
        <v/>
      </c>
      <c r="AV45" s="30">
        <f>AV32-AV25</f>
        <v/>
      </c>
      <c r="AW45" s="30">
        <f>AW32-AW25</f>
        <v/>
      </c>
      <c r="AX45" s="30">
        <f>AX32-AX25</f>
        <v/>
      </c>
      <c r="AY45" s="30">
        <f>AY32-AY25</f>
        <v/>
      </c>
      <c r="AZ45" s="30">
        <f>AZ32-AZ25</f>
        <v/>
      </c>
      <c r="BA45" s="30">
        <f>BA32-BA25</f>
        <v/>
      </c>
      <c r="BB45" s="30">
        <f>BB32-BB25</f>
        <v/>
      </c>
      <c r="BC45" s="30">
        <f>BC32-BC25</f>
        <v/>
      </c>
      <c r="BD45" s="30">
        <f>BD32-BD25</f>
        <v/>
      </c>
      <c r="BE45" s="30">
        <f>BE32-BE25</f>
        <v/>
      </c>
      <c r="BF45" s="30">
        <f>BF32-BF25</f>
        <v/>
      </c>
      <c r="BG45" s="30">
        <f>BG32-BG25</f>
        <v/>
      </c>
      <c r="BH45" s="30">
        <f>BH32-BH25</f>
        <v/>
      </c>
      <c r="BI45" s="30">
        <f>BI32-BI25</f>
        <v/>
      </c>
    </row>
    <row r="46" ht="25" customHeight="1">
      <c r="A46" s="36" t="inlineStr">
        <is>
          <t>EUR NZD</t>
        </is>
      </c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30">
        <f>N32-N29</f>
        <v/>
      </c>
      <c r="O46" s="30">
        <f>O32-O29</f>
        <v/>
      </c>
      <c r="P46" s="30">
        <f>P32-P29</f>
        <v/>
      </c>
      <c r="Q46" s="30">
        <f>Q32-Q29</f>
        <v/>
      </c>
      <c r="R46" s="30">
        <f>R32-R29</f>
        <v/>
      </c>
      <c r="S46" s="30">
        <f>S32-S29</f>
        <v/>
      </c>
      <c r="T46" s="30">
        <f>T32-T29</f>
        <v/>
      </c>
      <c r="U46" s="30">
        <f>U32-U29</f>
        <v/>
      </c>
      <c r="V46" s="30">
        <f>V32-V29</f>
        <v/>
      </c>
      <c r="W46" s="30">
        <f>W32-W29</f>
        <v/>
      </c>
      <c r="X46" s="30">
        <f>X32-X29</f>
        <v/>
      </c>
      <c r="Y46" s="30">
        <f>Y32-Y29</f>
        <v/>
      </c>
      <c r="Z46" s="30">
        <f>Z32-Z29</f>
        <v/>
      </c>
      <c r="AA46" s="30">
        <f>AA32-AA29</f>
        <v/>
      </c>
      <c r="AB46" s="30">
        <f>AB32-AB29</f>
        <v/>
      </c>
      <c r="AC46" s="30">
        <f>AC32-AC29</f>
        <v/>
      </c>
      <c r="AD46" s="30">
        <f>AD32-AD29</f>
        <v/>
      </c>
      <c r="AE46" s="30">
        <f>AE32-AE29</f>
        <v/>
      </c>
      <c r="AF46" s="30">
        <f>AF32-AF29</f>
        <v/>
      </c>
      <c r="AG46" s="30">
        <f>AG32-AG29</f>
        <v/>
      </c>
      <c r="AH46" s="30">
        <f>AH32-AH29</f>
        <v/>
      </c>
      <c r="AI46" s="30">
        <f>AI32-AI29</f>
        <v/>
      </c>
      <c r="AJ46" s="30">
        <f>AJ32-AJ29</f>
        <v/>
      </c>
      <c r="AK46" s="30">
        <f>AK32-AK29</f>
        <v/>
      </c>
      <c r="AL46" s="30">
        <f>AL32-AL29</f>
        <v/>
      </c>
      <c r="AM46" s="30">
        <f>AM32-AM29</f>
        <v/>
      </c>
      <c r="AN46" s="30">
        <f>AN32-AN29</f>
        <v/>
      </c>
      <c r="AO46" s="30">
        <f>AO32-AO29</f>
        <v/>
      </c>
      <c r="AP46" s="30">
        <f>AP32-AP29</f>
        <v/>
      </c>
      <c r="AQ46" s="30">
        <f>AQ32-AQ29</f>
        <v/>
      </c>
      <c r="AR46" s="30">
        <f>AR32-AR29</f>
        <v/>
      </c>
      <c r="AS46" s="30">
        <f>AS32-AS29</f>
        <v/>
      </c>
      <c r="AT46" s="30">
        <f>AT32-AT29</f>
        <v/>
      </c>
      <c r="AU46" s="30">
        <f>AU32-AU29</f>
        <v/>
      </c>
      <c r="AV46" s="30">
        <f>AV32-AV29</f>
        <v/>
      </c>
      <c r="AW46" s="30">
        <f>AW32-AW29</f>
        <v/>
      </c>
      <c r="AX46" s="30">
        <f>AX32-AX29</f>
        <v/>
      </c>
      <c r="AY46" s="30">
        <f>AY32-AY29</f>
        <v/>
      </c>
      <c r="AZ46" s="30">
        <f>AZ32-AZ29</f>
        <v/>
      </c>
      <c r="BA46" s="30">
        <f>BA32-BA29</f>
        <v/>
      </c>
      <c r="BB46" s="30">
        <f>BB32-BB29</f>
        <v/>
      </c>
      <c r="BC46" s="30">
        <f>BC32-BC29</f>
        <v/>
      </c>
      <c r="BD46" s="30">
        <f>BD32-BD29</f>
        <v/>
      </c>
      <c r="BE46" s="30">
        <f>BE32-BE29</f>
        <v/>
      </c>
      <c r="BF46" s="30">
        <f>BF32-BF29</f>
        <v/>
      </c>
      <c r="BG46" s="30">
        <f>BG32-BG29</f>
        <v/>
      </c>
      <c r="BH46" s="30">
        <f>BH32-BH29</f>
        <v/>
      </c>
      <c r="BI46" s="30">
        <f>BI32-BI29</f>
        <v/>
      </c>
    </row>
    <row r="47" ht="25" customHeight="1">
      <c r="A47" s="37" t="inlineStr">
        <is>
          <t>GBP USD</t>
        </is>
      </c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30">
        <f>N30-N31</f>
        <v/>
      </c>
      <c r="O47" s="30">
        <f>O30-O31</f>
        <v/>
      </c>
      <c r="P47" s="30">
        <f>P30-P31</f>
        <v/>
      </c>
      <c r="Q47" s="30">
        <f>Q30-Q31</f>
        <v/>
      </c>
      <c r="R47" s="30">
        <f>R30-R31</f>
        <v/>
      </c>
      <c r="S47" s="30">
        <f>S30-S31</f>
        <v/>
      </c>
      <c r="T47" s="30">
        <f>T30-T31</f>
        <v/>
      </c>
      <c r="U47" s="30">
        <f>U30-U31</f>
        <v/>
      </c>
      <c r="V47" s="30">
        <f>V30-V31</f>
        <v/>
      </c>
      <c r="W47" s="30">
        <f>W30-W31</f>
        <v/>
      </c>
      <c r="X47" s="30">
        <f>X30-X31</f>
        <v/>
      </c>
      <c r="Y47" s="30">
        <f>Y30-Y31</f>
        <v/>
      </c>
      <c r="Z47" s="30">
        <f>Z30-Z31</f>
        <v/>
      </c>
      <c r="AA47" s="30">
        <f>AA30-AA31</f>
        <v/>
      </c>
      <c r="AB47" s="30">
        <f>AB30-AB31</f>
        <v/>
      </c>
      <c r="AC47" s="30">
        <f>AC30-AC31</f>
        <v/>
      </c>
      <c r="AD47" s="30">
        <f>AD30-AD31</f>
        <v/>
      </c>
      <c r="AE47" s="30">
        <f>AE30-AE31</f>
        <v/>
      </c>
      <c r="AF47" s="30">
        <f>AF30-AF31</f>
        <v/>
      </c>
      <c r="AG47" s="30">
        <f>AG30-AG31</f>
        <v/>
      </c>
      <c r="AH47" s="30">
        <f>AH30-AH31</f>
        <v/>
      </c>
      <c r="AI47" s="30">
        <f>AI30-AI31</f>
        <v/>
      </c>
      <c r="AJ47" s="30">
        <f>AJ30-AJ31</f>
        <v/>
      </c>
      <c r="AK47" s="30">
        <f>AK30-AK31</f>
        <v/>
      </c>
      <c r="AL47" s="30">
        <f>AL30-AL31</f>
        <v/>
      </c>
      <c r="AM47" s="30">
        <f>AM30-AM31</f>
        <v/>
      </c>
      <c r="AN47" s="30">
        <f>AN30-AN31</f>
        <v/>
      </c>
      <c r="AO47" s="30">
        <f>AO30-AO31</f>
        <v/>
      </c>
      <c r="AP47" s="30">
        <f>AP30-AP31</f>
        <v/>
      </c>
      <c r="AQ47" s="30">
        <f>AQ30-AQ31</f>
        <v/>
      </c>
      <c r="AR47" s="30">
        <f>AR30-AR31</f>
        <v/>
      </c>
      <c r="AS47" s="30">
        <f>AS30-AS31</f>
        <v/>
      </c>
      <c r="AT47" s="30">
        <f>AT30-AT31</f>
        <v/>
      </c>
      <c r="AU47" s="30">
        <f>AU30-AU31</f>
        <v/>
      </c>
      <c r="AV47" s="30">
        <f>AV30-AV31</f>
        <v/>
      </c>
      <c r="AW47" s="30">
        <f>AW30-AW31</f>
        <v/>
      </c>
      <c r="AX47" s="30">
        <f>AX30-AX31</f>
        <v/>
      </c>
      <c r="AY47" s="30">
        <f>AY30-AY31</f>
        <v/>
      </c>
      <c r="AZ47" s="30">
        <f>AZ30-AZ31</f>
        <v/>
      </c>
      <c r="BA47" s="30">
        <f>BA30-BA31</f>
        <v/>
      </c>
      <c r="BB47" s="30">
        <f>BB30-BB31</f>
        <v/>
      </c>
      <c r="BC47" s="30">
        <f>BC30-BC31</f>
        <v/>
      </c>
      <c r="BD47" s="30">
        <f>BD30-BD31</f>
        <v/>
      </c>
      <c r="BE47" s="30">
        <f>BE30-BE31</f>
        <v/>
      </c>
      <c r="BF47" s="30">
        <f>BF30-BF31</f>
        <v/>
      </c>
      <c r="BG47" s="30">
        <f>BG30-BG31</f>
        <v/>
      </c>
      <c r="BH47" s="30">
        <f>BH30-BH31</f>
        <v/>
      </c>
      <c r="BI47" s="30">
        <f>BI30-BI31</f>
        <v/>
      </c>
    </row>
    <row r="48" ht="25" customHeight="1">
      <c r="A48" s="37" t="inlineStr">
        <is>
          <t>GBP JPY</t>
        </is>
      </c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30">
        <f>N30-N27</f>
        <v/>
      </c>
      <c r="O48" s="30">
        <f>O30-O27</f>
        <v/>
      </c>
      <c r="P48" s="30">
        <f>P30-P27</f>
        <v/>
      </c>
      <c r="Q48" s="30">
        <f>Q30-Q27</f>
        <v/>
      </c>
      <c r="R48" s="30">
        <f>R30-R27</f>
        <v/>
      </c>
      <c r="S48" s="30">
        <f>S30-S27</f>
        <v/>
      </c>
      <c r="T48" s="30">
        <f>T30-T27</f>
        <v/>
      </c>
      <c r="U48" s="30">
        <f>U30-U27</f>
        <v/>
      </c>
      <c r="V48" s="30">
        <f>V30-V27</f>
        <v/>
      </c>
      <c r="W48" s="30">
        <f>W30-W27</f>
        <v/>
      </c>
      <c r="X48" s="30">
        <f>X30-X27</f>
        <v/>
      </c>
      <c r="Y48" s="30">
        <f>Y30-Y27</f>
        <v/>
      </c>
      <c r="Z48" s="30">
        <f>Z30-Z27</f>
        <v/>
      </c>
      <c r="AA48" s="30">
        <f>AA30-AA27</f>
        <v/>
      </c>
      <c r="AB48" s="30">
        <f>AB30-AB27</f>
        <v/>
      </c>
      <c r="AC48" s="30">
        <f>AC30-AC27</f>
        <v/>
      </c>
      <c r="AD48" s="30">
        <f>AD30-AD27</f>
        <v/>
      </c>
      <c r="AE48" s="30">
        <f>AE30-AE27</f>
        <v/>
      </c>
      <c r="AF48" s="30">
        <f>AF30-AF27</f>
        <v/>
      </c>
      <c r="AG48" s="30">
        <f>AG30-AG27</f>
        <v/>
      </c>
      <c r="AH48" s="30">
        <f>AH30-AH27</f>
        <v/>
      </c>
      <c r="AI48" s="30">
        <f>AI30-AI27</f>
        <v/>
      </c>
      <c r="AJ48" s="30">
        <f>AJ30-AJ27</f>
        <v/>
      </c>
      <c r="AK48" s="30">
        <f>AK30-AK27</f>
        <v/>
      </c>
      <c r="AL48" s="30">
        <f>AL30-AL27</f>
        <v/>
      </c>
      <c r="AM48" s="30">
        <f>AM30-AM27</f>
        <v/>
      </c>
      <c r="AN48" s="30">
        <f>AN30-AN27</f>
        <v/>
      </c>
      <c r="AO48" s="30">
        <f>AO30-AO27</f>
        <v/>
      </c>
      <c r="AP48" s="30">
        <f>AP30-AP27</f>
        <v/>
      </c>
      <c r="AQ48" s="30">
        <f>AQ30-AQ27</f>
        <v/>
      </c>
      <c r="AR48" s="30">
        <f>AR30-AR27</f>
        <v/>
      </c>
      <c r="AS48" s="30">
        <f>AS30-AS27</f>
        <v/>
      </c>
      <c r="AT48" s="30">
        <f>AT30-AT27</f>
        <v/>
      </c>
      <c r="AU48" s="30">
        <f>AU30-AU27</f>
        <v/>
      </c>
      <c r="AV48" s="30">
        <f>AV30-AV27</f>
        <v/>
      </c>
      <c r="AW48" s="30">
        <f>AW30-AW27</f>
        <v/>
      </c>
      <c r="AX48" s="30">
        <f>AX30-AX27</f>
        <v/>
      </c>
      <c r="AY48" s="30">
        <f>AY30-AY27</f>
        <v/>
      </c>
      <c r="AZ48" s="30">
        <f>AZ30-AZ27</f>
        <v/>
      </c>
      <c r="BA48" s="30">
        <f>BA30-BA27</f>
        <v/>
      </c>
      <c r="BB48" s="30">
        <f>BB30-BB27</f>
        <v/>
      </c>
      <c r="BC48" s="30">
        <f>BC30-BC27</f>
        <v/>
      </c>
      <c r="BD48" s="30">
        <f>BD30-BD27</f>
        <v/>
      </c>
      <c r="BE48" s="30">
        <f>BE30-BE27</f>
        <v/>
      </c>
      <c r="BF48" s="30">
        <f>BF30-BF27</f>
        <v/>
      </c>
      <c r="BG48" s="30">
        <f>BG30-BG27</f>
        <v/>
      </c>
      <c r="BH48" s="30">
        <f>BH30-BH27</f>
        <v/>
      </c>
      <c r="BI48" s="30">
        <f>BI30-BI27</f>
        <v/>
      </c>
    </row>
    <row r="49" ht="25" customHeight="1">
      <c r="A49" s="37" t="inlineStr">
        <is>
          <t>GBP CHF</t>
        </is>
      </c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30">
        <f>N30-N28</f>
        <v/>
      </c>
      <c r="O49" s="30">
        <f>O30-O28</f>
        <v/>
      </c>
      <c r="P49" s="30">
        <f>P30-P28</f>
        <v/>
      </c>
      <c r="Q49" s="30">
        <f>Q30-Q28</f>
        <v/>
      </c>
      <c r="R49" s="30">
        <f>R30-R28</f>
        <v/>
      </c>
      <c r="S49" s="30">
        <f>S30-S28</f>
        <v/>
      </c>
      <c r="T49" s="30">
        <f>T30-T28</f>
        <v/>
      </c>
      <c r="U49" s="30">
        <f>U30-U28</f>
        <v/>
      </c>
      <c r="V49" s="30">
        <f>V30-V28</f>
        <v/>
      </c>
      <c r="W49" s="30">
        <f>W30-W28</f>
        <v/>
      </c>
      <c r="X49" s="30">
        <f>X30-X28</f>
        <v/>
      </c>
      <c r="Y49" s="30">
        <f>Y30-Y28</f>
        <v/>
      </c>
      <c r="Z49" s="30">
        <f>Z30-Z28</f>
        <v/>
      </c>
      <c r="AA49" s="30">
        <f>AA30-AA28</f>
        <v/>
      </c>
      <c r="AB49" s="30">
        <f>AB30-AB28</f>
        <v/>
      </c>
      <c r="AC49" s="30">
        <f>AC30-AC28</f>
        <v/>
      </c>
      <c r="AD49" s="30">
        <f>AD30-AD28</f>
        <v/>
      </c>
      <c r="AE49" s="30">
        <f>AE30-AE28</f>
        <v/>
      </c>
      <c r="AF49" s="30">
        <f>AF30-AF28</f>
        <v/>
      </c>
      <c r="AG49" s="30">
        <f>AG30-AG28</f>
        <v/>
      </c>
      <c r="AH49" s="30">
        <f>AH30-AH28</f>
        <v/>
      </c>
      <c r="AI49" s="30">
        <f>AI30-AI28</f>
        <v/>
      </c>
      <c r="AJ49" s="30">
        <f>AJ30-AJ28</f>
        <v/>
      </c>
      <c r="AK49" s="30">
        <f>AK30-AK28</f>
        <v/>
      </c>
      <c r="AL49" s="30">
        <f>AL30-AL28</f>
        <v/>
      </c>
      <c r="AM49" s="30">
        <f>AM30-AM28</f>
        <v/>
      </c>
      <c r="AN49" s="30">
        <f>AN30-AN28</f>
        <v/>
      </c>
      <c r="AO49" s="30">
        <f>AO30-AO28</f>
        <v/>
      </c>
      <c r="AP49" s="30">
        <f>AP30-AP28</f>
        <v/>
      </c>
      <c r="AQ49" s="30">
        <f>AQ30-AQ28</f>
        <v/>
      </c>
      <c r="AR49" s="30">
        <f>AR30-AR28</f>
        <v/>
      </c>
      <c r="AS49" s="30">
        <f>AS30-AS28</f>
        <v/>
      </c>
      <c r="AT49" s="30">
        <f>AT30-AT28</f>
        <v/>
      </c>
      <c r="AU49" s="30">
        <f>AU30-AU28</f>
        <v/>
      </c>
      <c r="AV49" s="30">
        <f>AV30-AV28</f>
        <v/>
      </c>
      <c r="AW49" s="30">
        <f>AW30-AW28</f>
        <v/>
      </c>
      <c r="AX49" s="30">
        <f>AX30-AX28</f>
        <v/>
      </c>
      <c r="AY49" s="30">
        <f>AY30-AY28</f>
        <v/>
      </c>
      <c r="AZ49" s="30">
        <f>AZ30-AZ28</f>
        <v/>
      </c>
      <c r="BA49" s="30">
        <f>BA30-BA28</f>
        <v/>
      </c>
      <c r="BB49" s="30">
        <f>BB30-BB28</f>
        <v/>
      </c>
      <c r="BC49" s="30">
        <f>BC30-BC28</f>
        <v/>
      </c>
      <c r="BD49" s="30">
        <f>BD30-BD28</f>
        <v/>
      </c>
      <c r="BE49" s="30">
        <f>BE30-BE28</f>
        <v/>
      </c>
      <c r="BF49" s="30">
        <f>BF30-BF28</f>
        <v/>
      </c>
      <c r="BG49" s="30">
        <f>BG30-BG28</f>
        <v/>
      </c>
      <c r="BH49" s="30">
        <f>BH30-BH28</f>
        <v/>
      </c>
      <c r="BI49" s="30">
        <f>BI30-BI28</f>
        <v/>
      </c>
    </row>
    <row r="50" ht="25" customHeight="1">
      <c r="A50" s="37" t="inlineStr">
        <is>
          <t>GBP CAD</t>
        </is>
      </c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30">
        <f>N30-N26</f>
        <v/>
      </c>
      <c r="O50" s="30">
        <f>O30-O26</f>
        <v/>
      </c>
      <c r="P50" s="30">
        <f>P30-P26</f>
        <v/>
      </c>
      <c r="Q50" s="30">
        <f>Q30-Q26</f>
        <v/>
      </c>
      <c r="R50" s="30">
        <f>R30-R26</f>
        <v/>
      </c>
      <c r="S50" s="30">
        <f>S30-S26</f>
        <v/>
      </c>
      <c r="T50" s="30">
        <f>T30-T26</f>
        <v/>
      </c>
      <c r="U50" s="30">
        <f>U30-U26</f>
        <v/>
      </c>
      <c r="V50" s="30">
        <f>V30-V26</f>
        <v/>
      </c>
      <c r="W50" s="30">
        <f>W30-W26</f>
        <v/>
      </c>
      <c r="X50" s="30">
        <f>X30-X26</f>
        <v/>
      </c>
      <c r="Y50" s="30">
        <f>Y30-Y26</f>
        <v/>
      </c>
      <c r="Z50" s="30">
        <f>Z30-Z26</f>
        <v/>
      </c>
      <c r="AA50" s="30">
        <f>AA30-AA26</f>
        <v/>
      </c>
      <c r="AB50" s="30">
        <f>AB30-AB26</f>
        <v/>
      </c>
      <c r="AC50" s="30">
        <f>AC30-AC26</f>
        <v/>
      </c>
      <c r="AD50" s="30">
        <f>AD30-AD26</f>
        <v/>
      </c>
      <c r="AE50" s="30">
        <f>AE30-AE26</f>
        <v/>
      </c>
      <c r="AF50" s="30">
        <f>AF30-AF26</f>
        <v/>
      </c>
      <c r="AG50" s="30">
        <f>AG30-AG26</f>
        <v/>
      </c>
      <c r="AH50" s="30">
        <f>AH30-AH26</f>
        <v/>
      </c>
      <c r="AI50" s="30">
        <f>AI30-AI26</f>
        <v/>
      </c>
      <c r="AJ50" s="30">
        <f>AJ30-AJ26</f>
        <v/>
      </c>
      <c r="AK50" s="30">
        <f>AK30-AK26</f>
        <v/>
      </c>
      <c r="AL50" s="30">
        <f>AL30-AL26</f>
        <v/>
      </c>
      <c r="AM50" s="30">
        <f>AM30-AM26</f>
        <v/>
      </c>
      <c r="AN50" s="30">
        <f>AN30-AN26</f>
        <v/>
      </c>
      <c r="AO50" s="30">
        <f>AO30-AO26</f>
        <v/>
      </c>
      <c r="AP50" s="30">
        <f>AP30-AP26</f>
        <v/>
      </c>
      <c r="AQ50" s="30">
        <f>AQ30-AQ26</f>
        <v/>
      </c>
      <c r="AR50" s="30">
        <f>AR30-AR26</f>
        <v/>
      </c>
      <c r="AS50" s="30">
        <f>AS30-AS26</f>
        <v/>
      </c>
      <c r="AT50" s="30">
        <f>AT30-AT26</f>
        <v/>
      </c>
      <c r="AU50" s="30">
        <f>AU30-AU26</f>
        <v/>
      </c>
      <c r="AV50" s="30">
        <f>AV30-AV26</f>
        <v/>
      </c>
      <c r="AW50" s="30">
        <f>AW30-AW26</f>
        <v/>
      </c>
      <c r="AX50" s="30">
        <f>AX30-AX26</f>
        <v/>
      </c>
      <c r="AY50" s="30">
        <f>AY30-AY26</f>
        <v/>
      </c>
      <c r="AZ50" s="30">
        <f>AZ30-AZ26</f>
        <v/>
      </c>
      <c r="BA50" s="30">
        <f>BA30-BA26</f>
        <v/>
      </c>
      <c r="BB50" s="30">
        <f>BB30-BB26</f>
        <v/>
      </c>
      <c r="BC50" s="30">
        <f>BC30-BC26</f>
        <v/>
      </c>
      <c r="BD50" s="30">
        <f>BD30-BD26</f>
        <v/>
      </c>
      <c r="BE50" s="30">
        <f>BE30-BE26</f>
        <v/>
      </c>
      <c r="BF50" s="30">
        <f>BF30-BF26</f>
        <v/>
      </c>
      <c r="BG50" s="30">
        <f>BG30-BG26</f>
        <v/>
      </c>
      <c r="BH50" s="30">
        <f>BH30-BH26</f>
        <v/>
      </c>
      <c r="BI50" s="30">
        <f>BI30-BI26</f>
        <v/>
      </c>
    </row>
    <row r="51" ht="25" customHeight="1">
      <c r="A51" s="37" t="inlineStr">
        <is>
          <t>GBP AUD</t>
        </is>
      </c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30">
        <f>N30-N25</f>
        <v/>
      </c>
      <c r="O51" s="30">
        <f>O30-O25</f>
        <v/>
      </c>
      <c r="P51" s="30">
        <f>P30-P25</f>
        <v/>
      </c>
      <c r="Q51" s="30">
        <f>Q30-Q25</f>
        <v/>
      </c>
      <c r="R51" s="30">
        <f>R30-R25</f>
        <v/>
      </c>
      <c r="S51" s="30">
        <f>S30-S25</f>
        <v/>
      </c>
      <c r="T51" s="30">
        <f>T30-T25</f>
        <v/>
      </c>
      <c r="U51" s="30">
        <f>U30-U25</f>
        <v/>
      </c>
      <c r="V51" s="30">
        <f>V30-V25</f>
        <v/>
      </c>
      <c r="W51" s="30">
        <f>W30-W25</f>
        <v/>
      </c>
      <c r="X51" s="30">
        <f>X30-X25</f>
        <v/>
      </c>
      <c r="Y51" s="30">
        <f>Y30-Y25</f>
        <v/>
      </c>
      <c r="Z51" s="30">
        <f>Z30-Z25</f>
        <v/>
      </c>
      <c r="AA51" s="30">
        <f>AA30-AA25</f>
        <v/>
      </c>
      <c r="AB51" s="30">
        <f>AB30-AB25</f>
        <v/>
      </c>
      <c r="AC51" s="30">
        <f>AC30-AC25</f>
        <v/>
      </c>
      <c r="AD51" s="30">
        <f>AD30-AD25</f>
        <v/>
      </c>
      <c r="AE51" s="30">
        <f>AE30-AE25</f>
        <v/>
      </c>
      <c r="AF51" s="30">
        <f>AF30-AF25</f>
        <v/>
      </c>
      <c r="AG51" s="30">
        <f>AG30-AG25</f>
        <v/>
      </c>
      <c r="AH51" s="30">
        <f>AH30-AH25</f>
        <v/>
      </c>
      <c r="AI51" s="30">
        <f>AI30-AI25</f>
        <v/>
      </c>
      <c r="AJ51" s="30">
        <f>AJ30-AJ25</f>
        <v/>
      </c>
      <c r="AK51" s="30">
        <f>AK30-AK25</f>
        <v/>
      </c>
      <c r="AL51" s="30">
        <f>AL30-AL25</f>
        <v/>
      </c>
      <c r="AM51" s="30">
        <f>AM30-AM25</f>
        <v/>
      </c>
      <c r="AN51" s="30">
        <f>AN30-AN25</f>
        <v/>
      </c>
      <c r="AO51" s="30">
        <f>AO30-AO25</f>
        <v/>
      </c>
      <c r="AP51" s="30">
        <f>AP30-AP25</f>
        <v/>
      </c>
      <c r="AQ51" s="30">
        <f>AQ30-AQ25</f>
        <v/>
      </c>
      <c r="AR51" s="30">
        <f>AR30-AR25</f>
        <v/>
      </c>
      <c r="AS51" s="30">
        <f>AS30-AS25</f>
        <v/>
      </c>
      <c r="AT51" s="30">
        <f>AT30-AT25</f>
        <v/>
      </c>
      <c r="AU51" s="30">
        <f>AU30-AU25</f>
        <v/>
      </c>
      <c r="AV51" s="30">
        <f>AV30-AV25</f>
        <v/>
      </c>
      <c r="AW51" s="30">
        <f>AW30-AW25</f>
        <v/>
      </c>
      <c r="AX51" s="30">
        <f>AX30-AX25</f>
        <v/>
      </c>
      <c r="AY51" s="30">
        <f>AY30-AY25</f>
        <v/>
      </c>
      <c r="AZ51" s="30">
        <f>AZ30-AZ25</f>
        <v/>
      </c>
      <c r="BA51" s="30">
        <f>BA30-BA25</f>
        <v/>
      </c>
      <c r="BB51" s="30">
        <f>BB30-BB25</f>
        <v/>
      </c>
      <c r="BC51" s="30">
        <f>BC30-BC25</f>
        <v/>
      </c>
      <c r="BD51" s="30">
        <f>BD30-BD25</f>
        <v/>
      </c>
      <c r="BE51" s="30">
        <f>BE30-BE25</f>
        <v/>
      </c>
      <c r="BF51" s="30">
        <f>BF30-BF25</f>
        <v/>
      </c>
      <c r="BG51" s="30">
        <f>BG30-BG25</f>
        <v/>
      </c>
      <c r="BH51" s="30">
        <f>BH30-BH25</f>
        <v/>
      </c>
      <c r="BI51" s="30">
        <f>BI30-BI25</f>
        <v/>
      </c>
    </row>
    <row r="52" ht="25" customHeight="1">
      <c r="A52" s="37" t="inlineStr">
        <is>
          <t>GBP NZD</t>
        </is>
      </c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30">
        <f>N30-N29</f>
        <v/>
      </c>
      <c r="O52" s="30">
        <f>O30-O29</f>
        <v/>
      </c>
      <c r="P52" s="30">
        <f>P30-P29</f>
        <v/>
      </c>
      <c r="Q52" s="30">
        <f>Q30-Q29</f>
        <v/>
      </c>
      <c r="R52" s="30">
        <f>R30-R29</f>
        <v/>
      </c>
      <c r="S52" s="30">
        <f>S30-S29</f>
        <v/>
      </c>
      <c r="T52" s="30">
        <f>T30-T29</f>
        <v/>
      </c>
      <c r="U52" s="30">
        <f>U30-U29</f>
        <v/>
      </c>
      <c r="V52" s="30">
        <f>V30-V29</f>
        <v/>
      </c>
      <c r="W52" s="30">
        <f>W30-W29</f>
        <v/>
      </c>
      <c r="X52" s="30">
        <f>X30-X29</f>
        <v/>
      </c>
      <c r="Y52" s="30">
        <f>Y30-Y29</f>
        <v/>
      </c>
      <c r="Z52" s="30">
        <f>Z30-Z29</f>
        <v/>
      </c>
      <c r="AA52" s="30">
        <f>AA30-AA29</f>
        <v/>
      </c>
      <c r="AB52" s="30">
        <f>AB30-AB29</f>
        <v/>
      </c>
      <c r="AC52" s="30">
        <f>AC30-AC29</f>
        <v/>
      </c>
      <c r="AD52" s="30">
        <f>AD30-AD29</f>
        <v/>
      </c>
      <c r="AE52" s="30">
        <f>AE30-AE29</f>
        <v/>
      </c>
      <c r="AF52" s="30">
        <f>AF30-AF29</f>
        <v/>
      </c>
      <c r="AG52" s="30">
        <f>AG30-AG29</f>
        <v/>
      </c>
      <c r="AH52" s="30">
        <f>AH30-AH29</f>
        <v/>
      </c>
      <c r="AI52" s="30">
        <f>AI30-AI29</f>
        <v/>
      </c>
      <c r="AJ52" s="30">
        <f>AJ30-AJ29</f>
        <v/>
      </c>
      <c r="AK52" s="30">
        <f>AK30-AK29</f>
        <v/>
      </c>
      <c r="AL52" s="30">
        <f>AL30-AL29</f>
        <v/>
      </c>
      <c r="AM52" s="30">
        <f>AM30-AM29</f>
        <v/>
      </c>
      <c r="AN52" s="30">
        <f>AN30-AN29</f>
        <v/>
      </c>
      <c r="AO52" s="30">
        <f>AO30-AO29</f>
        <v/>
      </c>
      <c r="AP52" s="30">
        <f>AP30-AP29</f>
        <v/>
      </c>
      <c r="AQ52" s="30">
        <f>AQ30-AQ29</f>
        <v/>
      </c>
      <c r="AR52" s="30">
        <f>AR30-AR29</f>
        <v/>
      </c>
      <c r="AS52" s="30">
        <f>AS30-AS29</f>
        <v/>
      </c>
      <c r="AT52" s="30">
        <f>AT30-AT29</f>
        <v/>
      </c>
      <c r="AU52" s="30">
        <f>AU30-AU29</f>
        <v/>
      </c>
      <c r="AV52" s="30">
        <f>AV30-AV29</f>
        <v/>
      </c>
      <c r="AW52" s="30">
        <f>AW30-AW29</f>
        <v/>
      </c>
      <c r="AX52" s="30">
        <f>AX30-AX29</f>
        <v/>
      </c>
      <c r="AY52" s="30">
        <f>AY30-AY29</f>
        <v/>
      </c>
      <c r="AZ52" s="30">
        <f>AZ30-AZ29</f>
        <v/>
      </c>
      <c r="BA52" s="30">
        <f>BA30-BA29</f>
        <v/>
      </c>
      <c r="BB52" s="30">
        <f>BB30-BB29</f>
        <v/>
      </c>
      <c r="BC52" s="30">
        <f>BC30-BC29</f>
        <v/>
      </c>
      <c r="BD52" s="30">
        <f>BD30-BD29</f>
        <v/>
      </c>
      <c r="BE52" s="30">
        <f>BE30-BE29</f>
        <v/>
      </c>
      <c r="BF52" s="30">
        <f>BF30-BF29</f>
        <v/>
      </c>
      <c r="BG52" s="30">
        <f>BG30-BG29</f>
        <v/>
      </c>
      <c r="BH52" s="30">
        <f>BH30-BH29</f>
        <v/>
      </c>
      <c r="BI52" s="30">
        <f>BI30-BI29</f>
        <v/>
      </c>
    </row>
    <row r="53" ht="25" customHeight="1">
      <c r="A53" s="40" t="inlineStr">
        <is>
          <t xml:space="preserve">CHF JPY </t>
        </is>
      </c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30">
        <f>N28-N27</f>
        <v/>
      </c>
      <c r="O53" s="30">
        <f>O28-O27</f>
        <v/>
      </c>
      <c r="P53" s="30">
        <f>P28-P27</f>
        <v/>
      </c>
      <c r="Q53" s="30">
        <f>Q28-Q27</f>
        <v/>
      </c>
      <c r="R53" s="30">
        <f>R28-R27</f>
        <v/>
      </c>
      <c r="S53" s="30">
        <f>S28-S27</f>
        <v/>
      </c>
      <c r="T53" s="30">
        <f>T28-T27</f>
        <v/>
      </c>
      <c r="U53" s="30">
        <f>U28-U27</f>
        <v/>
      </c>
      <c r="V53" s="30">
        <f>V28-V27</f>
        <v/>
      </c>
      <c r="W53" s="30">
        <f>W28-W27</f>
        <v/>
      </c>
      <c r="X53" s="30">
        <f>X28-X27</f>
        <v/>
      </c>
      <c r="Y53" s="30">
        <f>Y28-Y27</f>
        <v/>
      </c>
      <c r="Z53" s="30">
        <f>Z28-Z27</f>
        <v/>
      </c>
      <c r="AA53" s="30">
        <f>AA28-AA27</f>
        <v/>
      </c>
      <c r="AB53" s="30">
        <f>AB28-AB27</f>
        <v/>
      </c>
      <c r="AC53" s="30">
        <f>AC28-AC27</f>
        <v/>
      </c>
      <c r="AD53" s="30">
        <f>AD28-AD27</f>
        <v/>
      </c>
      <c r="AE53" s="30">
        <f>AE28-AE27</f>
        <v/>
      </c>
      <c r="AF53" s="30">
        <f>AF28-AF27</f>
        <v/>
      </c>
      <c r="AG53" s="30">
        <f>AG28-AG27</f>
        <v/>
      </c>
      <c r="AH53" s="30">
        <f>AH28-AH27</f>
        <v/>
      </c>
      <c r="AI53" s="30">
        <f>AI28-AI27</f>
        <v/>
      </c>
      <c r="AJ53" s="30">
        <f>AJ28-AJ27</f>
        <v/>
      </c>
      <c r="AK53" s="30">
        <f>AK28-AK27</f>
        <v/>
      </c>
      <c r="AL53" s="30">
        <f>AL28-AL27</f>
        <v/>
      </c>
      <c r="AM53" s="30">
        <f>AM28-AM27</f>
        <v/>
      </c>
      <c r="AN53" s="30">
        <f>AN28-AN27</f>
        <v/>
      </c>
      <c r="AO53" s="30">
        <f>AO28-AO27</f>
        <v/>
      </c>
      <c r="AP53" s="30">
        <f>AP28-AP27</f>
        <v/>
      </c>
      <c r="AQ53" s="30">
        <f>AQ28-AQ27</f>
        <v/>
      </c>
      <c r="AR53" s="30">
        <f>AR28-AR27</f>
        <v/>
      </c>
      <c r="AS53" s="30">
        <f>AS28-AS27</f>
        <v/>
      </c>
      <c r="AT53" s="30">
        <f>AT28-AT27</f>
        <v/>
      </c>
      <c r="AU53" s="30">
        <f>AU28-AU27</f>
        <v/>
      </c>
      <c r="AV53" s="30">
        <f>AV28-AV27</f>
        <v/>
      </c>
      <c r="AW53" s="30">
        <f>AW28-AW27</f>
        <v/>
      </c>
      <c r="AX53" s="30">
        <f>AX28-AX27</f>
        <v/>
      </c>
      <c r="AY53" s="30">
        <f>AY28-AY27</f>
        <v/>
      </c>
      <c r="AZ53" s="30">
        <f>AZ28-AZ27</f>
        <v/>
      </c>
      <c r="BA53" s="30">
        <f>BA28-BA27</f>
        <v/>
      </c>
      <c r="BB53" s="30">
        <f>BB28-BB27</f>
        <v/>
      </c>
      <c r="BC53" s="30">
        <f>BC28-BC27</f>
        <v/>
      </c>
      <c r="BD53" s="30">
        <f>BD28-BD27</f>
        <v/>
      </c>
      <c r="BE53" s="30">
        <f>BE28-BE27</f>
        <v/>
      </c>
      <c r="BF53" s="30">
        <f>BF28-BF27</f>
        <v/>
      </c>
      <c r="BG53" s="30">
        <f>BG28-BG27</f>
        <v/>
      </c>
      <c r="BH53" s="30">
        <f>BH28-BH27</f>
        <v/>
      </c>
      <c r="BI53" s="30">
        <f>BI28-BI27</f>
        <v/>
      </c>
    </row>
    <row r="54" ht="25" customHeight="1">
      <c r="A54" s="41" t="inlineStr">
        <is>
          <t>AUD USD</t>
        </is>
      </c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30">
        <f>N25-N31</f>
        <v/>
      </c>
      <c r="O54" s="30">
        <f>O25-O31</f>
        <v/>
      </c>
      <c r="P54" s="30">
        <f>P25-P31</f>
        <v/>
      </c>
      <c r="Q54" s="30">
        <f>Q25-Q31</f>
        <v/>
      </c>
      <c r="R54" s="30">
        <f>R25-R31</f>
        <v/>
      </c>
      <c r="S54" s="30">
        <f>S25-S31</f>
        <v/>
      </c>
      <c r="T54" s="30">
        <f>T25-T31</f>
        <v/>
      </c>
      <c r="U54" s="30">
        <f>U25-U31</f>
        <v/>
      </c>
      <c r="V54" s="30">
        <f>V25-V31</f>
        <v/>
      </c>
      <c r="W54" s="30">
        <f>W25-W31</f>
        <v/>
      </c>
      <c r="X54" s="30">
        <f>X25-X31</f>
        <v/>
      </c>
      <c r="Y54" s="30">
        <f>Y25-Y31</f>
        <v/>
      </c>
      <c r="Z54" s="30">
        <f>Z25-Z31</f>
        <v/>
      </c>
      <c r="AA54" s="30">
        <f>AA25-AA31</f>
        <v/>
      </c>
      <c r="AB54" s="30">
        <f>AB25-AB31</f>
        <v/>
      </c>
      <c r="AC54" s="30">
        <f>AC25-AC31</f>
        <v/>
      </c>
      <c r="AD54" s="30">
        <f>AD25-AD31</f>
        <v/>
      </c>
      <c r="AE54" s="30">
        <f>AE25-AE31</f>
        <v/>
      </c>
      <c r="AF54" s="30">
        <f>AF25-AF31</f>
        <v/>
      </c>
      <c r="AG54" s="30">
        <f>AG25-AG31</f>
        <v/>
      </c>
      <c r="AH54" s="30">
        <f>AH25-AH31</f>
        <v/>
      </c>
      <c r="AI54" s="30">
        <f>AI25-AI31</f>
        <v/>
      </c>
      <c r="AJ54" s="30">
        <f>AJ25-AJ31</f>
        <v/>
      </c>
      <c r="AK54" s="30">
        <f>AK25-AK31</f>
        <v/>
      </c>
      <c r="AL54" s="30">
        <f>AL25-AL31</f>
        <v/>
      </c>
      <c r="AM54" s="30">
        <f>AM25-AM31</f>
        <v/>
      </c>
      <c r="AN54" s="30">
        <f>AN25-AN31</f>
        <v/>
      </c>
      <c r="AO54" s="30">
        <f>AO25-AO31</f>
        <v/>
      </c>
      <c r="AP54" s="30">
        <f>AP25-AP31</f>
        <v/>
      </c>
      <c r="AQ54" s="30">
        <f>AQ25-AQ31</f>
        <v/>
      </c>
      <c r="AR54" s="30">
        <f>AR25-AR31</f>
        <v/>
      </c>
      <c r="AS54" s="30">
        <f>AS25-AS31</f>
        <v/>
      </c>
      <c r="AT54" s="30">
        <f>AT25-AT31</f>
        <v/>
      </c>
      <c r="AU54" s="30">
        <f>AU25-AU31</f>
        <v/>
      </c>
      <c r="AV54" s="30">
        <f>AV25-AV31</f>
        <v/>
      </c>
      <c r="AW54" s="30">
        <f>AW25-AW31</f>
        <v/>
      </c>
      <c r="AX54" s="30">
        <f>AX25-AX31</f>
        <v/>
      </c>
      <c r="AY54" s="30">
        <f>AY25-AY31</f>
        <v/>
      </c>
      <c r="AZ54" s="30">
        <f>AZ25-AZ31</f>
        <v/>
      </c>
      <c r="BA54" s="30">
        <f>BA25-BA31</f>
        <v/>
      </c>
      <c r="BB54" s="30">
        <f>BB25-BB31</f>
        <v/>
      </c>
      <c r="BC54" s="30">
        <f>BC25-BC31</f>
        <v/>
      </c>
      <c r="BD54" s="30">
        <f>BD25-BD31</f>
        <v/>
      </c>
      <c r="BE54" s="30">
        <f>BE25-BE31</f>
        <v/>
      </c>
      <c r="BF54" s="30">
        <f>BF25-BF31</f>
        <v/>
      </c>
      <c r="BG54" s="30">
        <f>BG25-BG31</f>
        <v/>
      </c>
      <c r="BH54" s="30">
        <f>BH25-BH31</f>
        <v/>
      </c>
      <c r="BI54" s="30">
        <f>BI25-BI31</f>
        <v/>
      </c>
    </row>
    <row r="55" ht="25" customHeight="1">
      <c r="A55" s="41" t="inlineStr">
        <is>
          <t>AUD CHF</t>
        </is>
      </c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30">
        <f>N25-N28</f>
        <v/>
      </c>
      <c r="O55" s="30">
        <f>O25-O28</f>
        <v/>
      </c>
      <c r="P55" s="30">
        <f>P25-P28</f>
        <v/>
      </c>
      <c r="Q55" s="30">
        <f>Q25-Q28</f>
        <v/>
      </c>
      <c r="R55" s="30">
        <f>R25-R28</f>
        <v/>
      </c>
      <c r="S55" s="30">
        <f>S25-S28</f>
        <v/>
      </c>
      <c r="T55" s="30">
        <f>T25-T28</f>
        <v/>
      </c>
      <c r="U55" s="30">
        <f>U25-U28</f>
        <v/>
      </c>
      <c r="V55" s="30">
        <f>V25-V28</f>
        <v/>
      </c>
      <c r="W55" s="30">
        <f>W25-W28</f>
        <v/>
      </c>
      <c r="X55" s="30">
        <f>X25-X28</f>
        <v/>
      </c>
      <c r="Y55" s="30">
        <f>Y25-Y28</f>
        <v/>
      </c>
      <c r="Z55" s="30">
        <f>Z25-Z28</f>
        <v/>
      </c>
      <c r="AA55" s="30">
        <f>AA25-AA28</f>
        <v/>
      </c>
      <c r="AB55" s="30">
        <f>AB25-AB28</f>
        <v/>
      </c>
      <c r="AC55" s="30">
        <f>AC25-AC28</f>
        <v/>
      </c>
      <c r="AD55" s="30">
        <f>AD25-AD28</f>
        <v/>
      </c>
      <c r="AE55" s="30">
        <f>AE25-AE28</f>
        <v/>
      </c>
      <c r="AF55" s="30">
        <f>AF25-AF28</f>
        <v/>
      </c>
      <c r="AG55" s="30">
        <f>AG25-AG28</f>
        <v/>
      </c>
      <c r="AH55" s="30">
        <f>AH25-AH28</f>
        <v/>
      </c>
      <c r="AI55" s="30">
        <f>AI25-AI28</f>
        <v/>
      </c>
      <c r="AJ55" s="30">
        <f>AJ25-AJ28</f>
        <v/>
      </c>
      <c r="AK55" s="30">
        <f>AK25-AK28</f>
        <v/>
      </c>
      <c r="AL55" s="30">
        <f>AL25-AL28</f>
        <v/>
      </c>
      <c r="AM55" s="30">
        <f>AM25-AM28</f>
        <v/>
      </c>
      <c r="AN55" s="30">
        <f>AN25-AN28</f>
        <v/>
      </c>
      <c r="AO55" s="30">
        <f>AO25-AO28</f>
        <v/>
      </c>
      <c r="AP55" s="30">
        <f>AP25-AP28</f>
        <v/>
      </c>
      <c r="AQ55" s="30">
        <f>AQ25-AQ28</f>
        <v/>
      </c>
      <c r="AR55" s="30">
        <f>AR25-AR28</f>
        <v/>
      </c>
      <c r="AS55" s="30">
        <f>AS25-AS28</f>
        <v/>
      </c>
      <c r="AT55" s="30">
        <f>AT25-AT28</f>
        <v/>
      </c>
      <c r="AU55" s="30">
        <f>AU25-AU28</f>
        <v/>
      </c>
      <c r="AV55" s="30">
        <f>AV25-AV28</f>
        <v/>
      </c>
      <c r="AW55" s="30">
        <f>AW25-AW28</f>
        <v/>
      </c>
      <c r="AX55" s="30">
        <f>AX25-AX28</f>
        <v/>
      </c>
      <c r="AY55" s="30">
        <f>AY25-AY28</f>
        <v/>
      </c>
      <c r="AZ55" s="30">
        <f>AZ25-AZ28</f>
        <v/>
      </c>
      <c r="BA55" s="30">
        <f>BA25-BA28</f>
        <v/>
      </c>
      <c r="BB55" s="30">
        <f>BB25-BB28</f>
        <v/>
      </c>
      <c r="BC55" s="30">
        <f>BC25-BC28</f>
        <v/>
      </c>
      <c r="BD55" s="30">
        <f>BD25-BD28</f>
        <v/>
      </c>
      <c r="BE55" s="30">
        <f>BE25-BE28</f>
        <v/>
      </c>
      <c r="BF55" s="30">
        <f>BF25-BF28</f>
        <v/>
      </c>
      <c r="BG55" s="30">
        <f>BG25-BG28</f>
        <v/>
      </c>
      <c r="BH55" s="30">
        <f>BH25-BH28</f>
        <v/>
      </c>
      <c r="BI55" s="30">
        <f>BI25-BI28</f>
        <v/>
      </c>
    </row>
    <row r="56" ht="25" customHeight="1">
      <c r="A56" s="41" t="inlineStr">
        <is>
          <t>AUD JPY</t>
        </is>
      </c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30">
        <f>N25-N27</f>
        <v/>
      </c>
      <c r="O56" s="30">
        <f>O25-O27</f>
        <v/>
      </c>
      <c r="P56" s="30">
        <f>P25-P27</f>
        <v/>
      </c>
      <c r="Q56" s="30">
        <f>Q25-Q27</f>
        <v/>
      </c>
      <c r="R56" s="30">
        <f>R25-R27</f>
        <v/>
      </c>
      <c r="S56" s="30">
        <f>S25-S27</f>
        <v/>
      </c>
      <c r="T56" s="30">
        <f>T25-T27</f>
        <v/>
      </c>
      <c r="U56" s="30">
        <f>U25-U27</f>
        <v/>
      </c>
      <c r="V56" s="30">
        <f>V25-V27</f>
        <v/>
      </c>
      <c r="W56" s="30">
        <f>W25-W27</f>
        <v/>
      </c>
      <c r="X56" s="30">
        <f>X25-X27</f>
        <v/>
      </c>
      <c r="Y56" s="30">
        <f>Y25-Y27</f>
        <v/>
      </c>
      <c r="Z56" s="30">
        <f>Z25-Z27</f>
        <v/>
      </c>
      <c r="AA56" s="30">
        <f>AA25-AA27</f>
        <v/>
      </c>
      <c r="AB56" s="30">
        <f>AB25-AB27</f>
        <v/>
      </c>
      <c r="AC56" s="30">
        <f>AC25-AC27</f>
        <v/>
      </c>
      <c r="AD56" s="30">
        <f>AD25-AD27</f>
        <v/>
      </c>
      <c r="AE56" s="30">
        <f>AE25-AE27</f>
        <v/>
      </c>
      <c r="AF56" s="30">
        <f>AF25-AF27</f>
        <v/>
      </c>
      <c r="AG56" s="30">
        <f>AG25-AG27</f>
        <v/>
      </c>
      <c r="AH56" s="30">
        <f>AH25-AH27</f>
        <v/>
      </c>
      <c r="AI56" s="30">
        <f>AI25-AI27</f>
        <v/>
      </c>
      <c r="AJ56" s="30">
        <f>AJ25-AJ27</f>
        <v/>
      </c>
      <c r="AK56" s="30">
        <f>AK25-AK27</f>
        <v/>
      </c>
      <c r="AL56" s="30">
        <f>AL25-AL27</f>
        <v/>
      </c>
      <c r="AM56" s="30">
        <f>AM25-AM27</f>
        <v/>
      </c>
      <c r="AN56" s="30">
        <f>AN25-AN27</f>
        <v/>
      </c>
      <c r="AO56" s="30">
        <f>AO25-AO27</f>
        <v/>
      </c>
      <c r="AP56" s="30">
        <f>AP25-AP27</f>
        <v/>
      </c>
      <c r="AQ56" s="30">
        <f>AQ25-AQ27</f>
        <v/>
      </c>
      <c r="AR56" s="30">
        <f>AR25-AR27</f>
        <v/>
      </c>
      <c r="AS56" s="30">
        <f>AS25-AS27</f>
        <v/>
      </c>
      <c r="AT56" s="30">
        <f>AT25-AT27</f>
        <v/>
      </c>
      <c r="AU56" s="30">
        <f>AU25-AU27</f>
        <v/>
      </c>
      <c r="AV56" s="30">
        <f>AV25-AV27</f>
        <v/>
      </c>
      <c r="AW56" s="30">
        <f>AW25-AW27</f>
        <v/>
      </c>
      <c r="AX56" s="30">
        <f>AX25-AX27</f>
        <v/>
      </c>
      <c r="AY56" s="30">
        <f>AY25-AY27</f>
        <v/>
      </c>
      <c r="AZ56" s="30">
        <f>AZ25-AZ27</f>
        <v/>
      </c>
      <c r="BA56" s="30">
        <f>BA25-BA27</f>
        <v/>
      </c>
      <c r="BB56" s="30">
        <f>BB25-BB27</f>
        <v/>
      </c>
      <c r="BC56" s="30">
        <f>BC25-BC27</f>
        <v/>
      </c>
      <c r="BD56" s="30">
        <f>BD25-BD27</f>
        <v/>
      </c>
      <c r="BE56" s="30">
        <f>BE25-BE27</f>
        <v/>
      </c>
      <c r="BF56" s="30">
        <f>BF25-BF27</f>
        <v/>
      </c>
      <c r="BG56" s="30">
        <f>BG25-BG27</f>
        <v/>
      </c>
      <c r="BH56" s="30">
        <f>BH25-BH27</f>
        <v/>
      </c>
      <c r="BI56" s="30">
        <f>BI25-BI27</f>
        <v/>
      </c>
    </row>
    <row r="57" ht="25" customHeight="1">
      <c r="A57" s="41" t="inlineStr">
        <is>
          <t>AUD NZD</t>
        </is>
      </c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30">
        <f>N25-N29</f>
        <v/>
      </c>
      <c r="O57" s="30">
        <f>O25-O29</f>
        <v/>
      </c>
      <c r="P57" s="30">
        <f>P25-P29</f>
        <v/>
      </c>
      <c r="Q57" s="30">
        <f>Q25-Q29</f>
        <v/>
      </c>
      <c r="R57" s="30">
        <f>R25-R29</f>
        <v/>
      </c>
      <c r="S57" s="30">
        <f>S25-S29</f>
        <v/>
      </c>
      <c r="T57" s="30">
        <f>T25-T29</f>
        <v/>
      </c>
      <c r="U57" s="30">
        <f>U25-U29</f>
        <v/>
      </c>
      <c r="V57" s="30">
        <f>V25-V29</f>
        <v/>
      </c>
      <c r="W57" s="30">
        <f>W25-W29</f>
        <v/>
      </c>
      <c r="X57" s="30">
        <f>X25-X29</f>
        <v/>
      </c>
      <c r="Y57" s="30">
        <f>Y25-Y29</f>
        <v/>
      </c>
      <c r="Z57" s="30">
        <f>Z25-Z29</f>
        <v/>
      </c>
      <c r="AA57" s="30">
        <f>AA25-AA29</f>
        <v/>
      </c>
      <c r="AB57" s="30">
        <f>AB25-AB29</f>
        <v/>
      </c>
      <c r="AC57" s="30">
        <f>AC25-AC29</f>
        <v/>
      </c>
      <c r="AD57" s="30">
        <f>AD25-AD29</f>
        <v/>
      </c>
      <c r="AE57" s="30">
        <f>AE25-AE29</f>
        <v/>
      </c>
      <c r="AF57" s="30">
        <f>AF25-AF29</f>
        <v/>
      </c>
      <c r="AG57" s="30">
        <f>AG25-AG29</f>
        <v/>
      </c>
      <c r="AH57" s="30">
        <f>AH25-AH29</f>
        <v/>
      </c>
      <c r="AI57" s="30">
        <f>AI25-AI29</f>
        <v/>
      </c>
      <c r="AJ57" s="30">
        <f>AJ25-AJ29</f>
        <v/>
      </c>
      <c r="AK57" s="30">
        <f>AK25-AK29</f>
        <v/>
      </c>
      <c r="AL57" s="30">
        <f>AL25-AL29</f>
        <v/>
      </c>
      <c r="AM57" s="30">
        <f>AM25-AM29</f>
        <v/>
      </c>
      <c r="AN57" s="30">
        <f>AN25-AN29</f>
        <v/>
      </c>
      <c r="AO57" s="30">
        <f>AO25-AO29</f>
        <v/>
      </c>
      <c r="AP57" s="30">
        <f>AP25-AP29</f>
        <v/>
      </c>
      <c r="AQ57" s="30">
        <f>AQ25-AQ29</f>
        <v/>
      </c>
      <c r="AR57" s="30">
        <f>AR25-AR29</f>
        <v/>
      </c>
      <c r="AS57" s="30">
        <f>AS25-AS29</f>
        <v/>
      </c>
      <c r="AT57" s="30">
        <f>AT25-AT29</f>
        <v/>
      </c>
      <c r="AU57" s="30">
        <f>AU25-AU29</f>
        <v/>
      </c>
      <c r="AV57" s="30">
        <f>AV25-AV29</f>
        <v/>
      </c>
      <c r="AW57" s="30">
        <f>AW25-AW29</f>
        <v/>
      </c>
      <c r="AX57" s="30">
        <f>AX25-AX29</f>
        <v/>
      </c>
      <c r="AY57" s="30">
        <f>AY25-AY29</f>
        <v/>
      </c>
      <c r="AZ57" s="30">
        <f>AZ25-AZ29</f>
        <v/>
      </c>
      <c r="BA57" s="30">
        <f>BA25-BA29</f>
        <v/>
      </c>
      <c r="BB57" s="30">
        <f>BB25-BB29</f>
        <v/>
      </c>
      <c r="BC57" s="30">
        <f>BC25-BC29</f>
        <v/>
      </c>
      <c r="BD57" s="30">
        <f>BD25-BD29</f>
        <v/>
      </c>
      <c r="BE57" s="30">
        <f>BE25-BE29</f>
        <v/>
      </c>
      <c r="BF57" s="30">
        <f>BF25-BF29</f>
        <v/>
      </c>
      <c r="BG57" s="30">
        <f>BG25-BG29</f>
        <v/>
      </c>
      <c r="BH57" s="30">
        <f>BH25-BH29</f>
        <v/>
      </c>
      <c r="BI57" s="30">
        <f>BI25-BI29</f>
        <v/>
      </c>
    </row>
    <row r="58" ht="25" customHeight="1">
      <c r="A58" s="41" t="inlineStr">
        <is>
          <t>AUD CAD</t>
        </is>
      </c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30">
        <f>N25-N26</f>
        <v/>
      </c>
      <c r="O58" s="30">
        <f>O25-O26</f>
        <v/>
      </c>
      <c r="P58" s="30">
        <f>P25-P26</f>
        <v/>
      </c>
      <c r="Q58" s="30">
        <f>Q25-Q26</f>
        <v/>
      </c>
      <c r="R58" s="30">
        <f>R25-R26</f>
        <v/>
      </c>
      <c r="S58" s="30">
        <f>S25-S26</f>
        <v/>
      </c>
      <c r="T58" s="30">
        <f>T25-T26</f>
        <v/>
      </c>
      <c r="U58" s="30">
        <f>U25-U26</f>
        <v/>
      </c>
      <c r="V58" s="30">
        <f>V25-V26</f>
        <v/>
      </c>
      <c r="W58" s="30">
        <f>W25-W26</f>
        <v/>
      </c>
      <c r="X58" s="30">
        <f>X25-X26</f>
        <v/>
      </c>
      <c r="Y58" s="30">
        <f>Y25-Y26</f>
        <v/>
      </c>
      <c r="Z58" s="30">
        <f>Z25-Z26</f>
        <v/>
      </c>
      <c r="AA58" s="30">
        <f>AA25-AA26</f>
        <v/>
      </c>
      <c r="AB58" s="30">
        <f>AB25-AB26</f>
        <v/>
      </c>
      <c r="AC58" s="30">
        <f>AC25-AC26</f>
        <v/>
      </c>
      <c r="AD58" s="30">
        <f>AD25-AD26</f>
        <v/>
      </c>
      <c r="AE58" s="30">
        <f>AE25-AE26</f>
        <v/>
      </c>
      <c r="AF58" s="30">
        <f>AF25-AF26</f>
        <v/>
      </c>
      <c r="AG58" s="30">
        <f>AG25-AG26</f>
        <v/>
      </c>
      <c r="AH58" s="30">
        <f>AH25-AH26</f>
        <v/>
      </c>
      <c r="AI58" s="30">
        <f>AI25-AI26</f>
        <v/>
      </c>
      <c r="AJ58" s="30">
        <f>AJ25-AJ26</f>
        <v/>
      </c>
      <c r="AK58" s="30">
        <f>AK25-AK26</f>
        <v/>
      </c>
      <c r="AL58" s="30">
        <f>AL25-AL26</f>
        <v/>
      </c>
      <c r="AM58" s="30">
        <f>AM25-AM26</f>
        <v/>
      </c>
      <c r="AN58" s="30">
        <f>AN25-AN26</f>
        <v/>
      </c>
      <c r="AO58" s="30">
        <f>AO25-AO26</f>
        <v/>
      </c>
      <c r="AP58" s="30">
        <f>AP25-AP26</f>
        <v/>
      </c>
      <c r="AQ58" s="30">
        <f>AQ25-AQ26</f>
        <v/>
      </c>
      <c r="AR58" s="30">
        <f>AR25-AR26</f>
        <v/>
      </c>
      <c r="AS58" s="30">
        <f>AS25-AS26</f>
        <v/>
      </c>
      <c r="AT58" s="30">
        <f>AT25-AT26</f>
        <v/>
      </c>
      <c r="AU58" s="30">
        <f>AU25-AU26</f>
        <v/>
      </c>
      <c r="AV58" s="30">
        <f>AV25-AV26</f>
        <v/>
      </c>
      <c r="AW58" s="30">
        <f>AW25-AW26</f>
        <v/>
      </c>
      <c r="AX58" s="30">
        <f>AX25-AX26</f>
        <v/>
      </c>
      <c r="AY58" s="30">
        <f>AY25-AY26</f>
        <v/>
      </c>
      <c r="AZ58" s="30">
        <f>AZ25-AZ26</f>
        <v/>
      </c>
      <c r="BA58" s="30">
        <f>BA25-BA26</f>
        <v/>
      </c>
      <c r="BB58" s="30">
        <f>BB25-BB26</f>
        <v/>
      </c>
      <c r="BC58" s="30">
        <f>BC25-BC26</f>
        <v/>
      </c>
      <c r="BD58" s="30">
        <f>BD25-BD26</f>
        <v/>
      </c>
      <c r="BE58" s="30">
        <f>BE25-BE26</f>
        <v/>
      </c>
      <c r="BF58" s="30">
        <f>BF25-BF26</f>
        <v/>
      </c>
      <c r="BG58" s="30">
        <f>BG25-BG26</f>
        <v/>
      </c>
      <c r="BH58" s="30">
        <f>BH25-BH26</f>
        <v/>
      </c>
      <c r="BI58" s="30">
        <f>BI25-BI26</f>
        <v/>
      </c>
    </row>
    <row r="59" ht="25" customHeight="1">
      <c r="A59" s="42" t="inlineStr">
        <is>
          <t>CAD JPY</t>
        </is>
      </c>
      <c r="B59" s="76" t="n"/>
      <c r="C59" s="76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30">
        <f>N26-N27</f>
        <v/>
      </c>
      <c r="O59" s="30">
        <f>O26-O27</f>
        <v/>
      </c>
      <c r="P59" s="30">
        <f>P26-P27</f>
        <v/>
      </c>
      <c r="Q59" s="30">
        <f>Q26-Q27</f>
        <v/>
      </c>
      <c r="R59" s="30">
        <f>R26-R27</f>
        <v/>
      </c>
      <c r="S59" s="30">
        <f>S26-S27</f>
        <v/>
      </c>
      <c r="T59" s="30">
        <f>T26-T27</f>
        <v/>
      </c>
      <c r="U59" s="30">
        <f>U26-U27</f>
        <v/>
      </c>
      <c r="V59" s="30">
        <f>V26-V27</f>
        <v/>
      </c>
      <c r="W59" s="30">
        <f>W26-W27</f>
        <v/>
      </c>
      <c r="X59" s="30">
        <f>X26-X27</f>
        <v/>
      </c>
      <c r="Y59" s="30">
        <f>Y26-Y27</f>
        <v/>
      </c>
      <c r="Z59" s="30">
        <f>Z26-Z27</f>
        <v/>
      </c>
      <c r="AA59" s="30">
        <f>AA26-AA27</f>
        <v/>
      </c>
      <c r="AB59" s="30">
        <f>AB26-AB27</f>
        <v/>
      </c>
      <c r="AC59" s="30">
        <f>AC26-AC27</f>
        <v/>
      </c>
      <c r="AD59" s="30">
        <f>AD26-AD27</f>
        <v/>
      </c>
      <c r="AE59" s="30">
        <f>AE26-AE27</f>
        <v/>
      </c>
      <c r="AF59" s="30">
        <f>AF26-AF27</f>
        <v/>
      </c>
      <c r="AG59" s="30">
        <f>AG26-AG27</f>
        <v/>
      </c>
      <c r="AH59" s="30">
        <f>AH26-AH27</f>
        <v/>
      </c>
      <c r="AI59" s="30">
        <f>AI26-AI27</f>
        <v/>
      </c>
      <c r="AJ59" s="30">
        <f>AJ26-AJ27</f>
        <v/>
      </c>
      <c r="AK59" s="30">
        <f>AK26-AK27</f>
        <v/>
      </c>
      <c r="AL59" s="30">
        <f>AL26-AL27</f>
        <v/>
      </c>
      <c r="AM59" s="30">
        <f>AM26-AM27</f>
        <v/>
      </c>
      <c r="AN59" s="30">
        <f>AN26-AN27</f>
        <v/>
      </c>
      <c r="AO59" s="30">
        <f>AO26-AO27</f>
        <v/>
      </c>
      <c r="AP59" s="30">
        <f>AP26-AP27</f>
        <v/>
      </c>
      <c r="AQ59" s="30">
        <f>AQ26-AQ27</f>
        <v/>
      </c>
      <c r="AR59" s="30">
        <f>AR26-AR27</f>
        <v/>
      </c>
      <c r="AS59" s="30">
        <f>AS26-AS27</f>
        <v/>
      </c>
      <c r="AT59" s="30">
        <f>AT26-AT27</f>
        <v/>
      </c>
      <c r="AU59" s="30">
        <f>AU26-AU27</f>
        <v/>
      </c>
      <c r="AV59" s="30">
        <f>AV26-AV27</f>
        <v/>
      </c>
      <c r="AW59" s="30">
        <f>AW26-AW27</f>
        <v/>
      </c>
      <c r="AX59" s="30">
        <f>AX26-AX27</f>
        <v/>
      </c>
      <c r="AY59" s="30">
        <f>AY26-AY27</f>
        <v/>
      </c>
      <c r="AZ59" s="30">
        <f>AZ26-AZ27</f>
        <v/>
      </c>
      <c r="BA59" s="30">
        <f>BA26-BA27</f>
        <v/>
      </c>
      <c r="BB59" s="30">
        <f>BB26-BB27</f>
        <v/>
      </c>
      <c r="BC59" s="30">
        <f>BC26-BC27</f>
        <v/>
      </c>
      <c r="BD59" s="30">
        <f>BD26-BD27</f>
        <v/>
      </c>
      <c r="BE59" s="30">
        <f>BE26-BE27</f>
        <v/>
      </c>
      <c r="BF59" s="30">
        <f>BF26-BF27</f>
        <v/>
      </c>
      <c r="BG59" s="30">
        <f>BG26-BG27</f>
        <v/>
      </c>
      <c r="BH59" s="30">
        <f>BH26-BH27</f>
        <v/>
      </c>
      <c r="BI59" s="30">
        <f>BI26-BI27</f>
        <v/>
      </c>
    </row>
    <row r="60" ht="25" customHeight="1"/>
    <row r="61" ht="25" customHeight="1"/>
    <row r="62" ht="25" customHeight="1"/>
    <row r="63" ht="25" customHeight="1">
      <c r="A63" s="279" t="inlineStr">
        <is>
          <t>RATING</t>
        </is>
      </c>
    </row>
    <row r="64" ht="25" customHeight="1"/>
    <row r="65" ht="25" customHeight="1">
      <c r="A65" s="28" t="inlineStr">
        <is>
          <t>Paire</t>
        </is>
      </c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95" t="n">
        <v>44927</v>
      </c>
      <c r="O65" s="295" t="n">
        <v>44958</v>
      </c>
      <c r="P65" s="295" t="n">
        <v>44986</v>
      </c>
      <c r="Q65" s="295" t="n">
        <v>45017</v>
      </c>
      <c r="R65" s="295" t="n">
        <v>45047</v>
      </c>
      <c r="S65" s="295" t="n">
        <v>45078</v>
      </c>
      <c r="T65" s="295" t="n">
        <v>45108</v>
      </c>
      <c r="U65" s="295" t="n">
        <v>45139</v>
      </c>
      <c r="V65" s="295" t="n">
        <v>45170</v>
      </c>
      <c r="W65" s="295" t="n">
        <v>45200</v>
      </c>
      <c r="X65" s="295" t="n">
        <v>45231</v>
      </c>
      <c r="Y65" s="295" t="n">
        <v>45261</v>
      </c>
      <c r="Z65" s="295" t="n">
        <v>45292</v>
      </c>
      <c r="AA65" s="295" t="n">
        <v>45323</v>
      </c>
      <c r="AB65" s="295" t="n">
        <v>45352</v>
      </c>
      <c r="AC65" s="295" t="n">
        <v>45383</v>
      </c>
      <c r="AD65" s="295" t="n">
        <v>45413</v>
      </c>
      <c r="AE65" s="295" t="n">
        <v>45444</v>
      </c>
      <c r="AF65" s="295" t="n">
        <v>45474</v>
      </c>
      <c r="AG65" s="295" t="n">
        <v>45505</v>
      </c>
      <c r="AH65" s="295" t="n">
        <v>45536</v>
      </c>
      <c r="AI65" s="295" t="n">
        <v>45566</v>
      </c>
      <c r="AJ65" s="295" t="n">
        <v>45597</v>
      </c>
      <c r="AK65" s="295" t="n">
        <v>45627</v>
      </c>
      <c r="AL65" s="295" t="n">
        <v>45658</v>
      </c>
      <c r="AM65" s="295" t="n">
        <v>45689</v>
      </c>
      <c r="AN65" s="295" t="n">
        <v>45717</v>
      </c>
      <c r="AO65" s="295" t="n">
        <v>45748</v>
      </c>
      <c r="AP65" s="295" t="n">
        <v>45778</v>
      </c>
      <c r="AQ65" s="295" t="n">
        <v>45809</v>
      </c>
      <c r="AR65" s="295" t="n">
        <v>45839</v>
      </c>
      <c r="AS65" s="295" t="n">
        <v>45870</v>
      </c>
      <c r="AT65" s="295" t="n">
        <v>45901</v>
      </c>
      <c r="AU65" s="295" t="n">
        <v>45931</v>
      </c>
      <c r="AV65" s="295" t="n">
        <v>45962</v>
      </c>
      <c r="AW65" s="295" t="n">
        <v>45992</v>
      </c>
      <c r="AX65" s="295" t="n">
        <v>46023</v>
      </c>
      <c r="AY65" s="295" t="n">
        <v>46054</v>
      </c>
      <c r="AZ65" s="295" t="n">
        <v>46082</v>
      </c>
      <c r="BA65" s="295" t="n">
        <v>46113</v>
      </c>
      <c r="BB65" s="295" t="n">
        <v>46143</v>
      </c>
      <c r="BC65" s="295" t="n">
        <v>46174</v>
      </c>
      <c r="BD65" s="295" t="n">
        <v>46204</v>
      </c>
      <c r="BE65" s="295" t="n">
        <v>46235</v>
      </c>
      <c r="BF65" s="295" t="n">
        <v>46266</v>
      </c>
      <c r="BG65" s="295" t="n">
        <v>46296</v>
      </c>
      <c r="BH65" s="295" t="n">
        <v>46327</v>
      </c>
      <c r="BI65" s="295" t="n">
        <v>46357</v>
      </c>
    </row>
    <row r="66" ht="25" customHeight="1">
      <c r="A66" s="43" t="inlineStr">
        <is>
          <t>USD JPY</t>
        </is>
      </c>
      <c r="B66" s="77" t="n"/>
      <c r="C66" s="77" t="n"/>
      <c r="D66" s="77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30">
        <f t="array" ref="N66">_xlfn.XLOOKUP(MIN(ABS($BK$3:$BK$23 - MEDIAN(MIN($BK$3:$BK$23), MAX($BK$3:$BK$23), N37))), ABS($BK$3:$BK$23 - MEDIAN(MIN($BK$3:$BK$23), MAX($BK$3:$BK$23), N37)), $BL$3:$BL$23, "Error", 0)</f>
        <v/>
      </c>
      <c r="O66" s="30">
        <f t="array" ref="O66">_xlfn.XLOOKUP(MIN(ABS($BK$3:$BK$23 - MEDIAN(MIN($BK$3:$BK$23), MAX($BK$3:$BK$23), O37))), ABS($BK$3:$BK$23 - MEDIAN(MIN($BK$3:$BK$23), MAX($BK$3:$BK$23), O37)), $BL$3:$BL$23, "Error", 0)</f>
        <v/>
      </c>
      <c r="P66" s="30">
        <f t="array" ref="P66">_xlfn.XLOOKUP(MIN(ABS($BK$3:$BK$23 - MEDIAN(MIN($BK$3:$BK$23), MAX($BK$3:$BK$23), P37))), ABS($BK$3:$BK$23 - MEDIAN(MIN($BK$3:$BK$23), MAX($BK$3:$BK$23), P37)), $BL$3:$BL$23, "Error", 0)</f>
        <v/>
      </c>
      <c r="Q66" s="30">
        <f t="array" ref="Q66">_xlfn.XLOOKUP(MIN(ABS($BK$3:$BK$23 - MEDIAN(MIN($BK$3:$BK$23), MAX($BK$3:$BK$23), Q37))), ABS($BK$3:$BK$23 - MEDIAN(MIN($BK$3:$BK$23), MAX($BK$3:$BK$23), Q37)), $BL$3:$BL$23, "Error", 0)</f>
        <v/>
      </c>
      <c r="R66" s="30">
        <f t="array" ref="R66">_xlfn.XLOOKUP(MIN(ABS($BK$3:$BK$23 - MEDIAN(MIN($BK$3:$BK$23), MAX($BK$3:$BK$23), R37))), ABS($BK$3:$BK$23 - MEDIAN(MIN($BK$3:$BK$23), MAX($BK$3:$BK$23), R37)), $BL$3:$BL$23, "Error", 0)</f>
        <v/>
      </c>
      <c r="S66" s="30">
        <f t="array" ref="S66">_xlfn.XLOOKUP(MIN(ABS($BK$3:$BK$23 - MEDIAN(MIN($BK$3:$BK$23), MAX($BK$3:$BK$23), S37))), ABS($BK$3:$BK$23 - MEDIAN(MIN($BK$3:$BK$23), MAX($BK$3:$BK$23), S37)), $BL$3:$BL$23, "Error", 0)</f>
        <v/>
      </c>
      <c r="T66" s="30">
        <f t="array" ref="T66">_xlfn.XLOOKUP(MIN(ABS($BK$3:$BK$23 - MEDIAN(MIN($BK$3:$BK$23), MAX($BK$3:$BK$23), T37))), ABS($BK$3:$BK$23 - MEDIAN(MIN($BK$3:$BK$23), MAX($BK$3:$BK$23), T37)), $BL$3:$BL$23, "Error", 0)</f>
        <v/>
      </c>
      <c r="U66" s="30">
        <f t="array" ref="U66">_xlfn.XLOOKUP(MIN(ABS($BK$3:$BK$23 - MEDIAN(MIN($BK$3:$BK$23), MAX($BK$3:$BK$23), U37))), ABS($BK$3:$BK$23 - MEDIAN(MIN($BK$3:$BK$23), MAX($BK$3:$BK$23), U37)), $BL$3:$BL$23, "Error", 0)</f>
        <v/>
      </c>
      <c r="V66" s="30">
        <f t="array" ref="V66">_xlfn.XLOOKUP(MIN(ABS($BK$3:$BK$23 - MEDIAN(MIN($BK$3:$BK$23), MAX($BK$3:$BK$23), V37))), ABS($BK$3:$BK$23 - MEDIAN(MIN($BK$3:$BK$23), MAX($BK$3:$BK$23), V37)), $BL$3:$BL$23, "Error", 0)</f>
        <v/>
      </c>
      <c r="W66" s="30">
        <f t="array" ref="W66">_xlfn.XLOOKUP(MIN(ABS($BK$3:$BK$23 - MEDIAN(MIN($BK$3:$BK$23), MAX($BK$3:$BK$23), W37))), ABS($BK$3:$BK$23 - MEDIAN(MIN($BK$3:$BK$23), MAX($BK$3:$BK$23), W37)), $BL$3:$BL$23, "Error", 0)</f>
        <v/>
      </c>
      <c r="X66" s="30">
        <f t="array" ref="X66">_xlfn.XLOOKUP(MIN(ABS($BK$3:$BK$23 - MEDIAN(MIN($BK$3:$BK$23), MAX($BK$3:$BK$23), X37))), ABS($BK$3:$BK$23 - MEDIAN(MIN($BK$3:$BK$23), MAX($BK$3:$BK$23), X37)), $BL$3:$BL$23, "Error", 0)</f>
        <v/>
      </c>
      <c r="Y66" s="30">
        <f t="array" ref="Y66">_xlfn.XLOOKUP(MIN(ABS($BK$3:$BK$23 - MEDIAN(MIN($BK$3:$BK$23), MAX($BK$3:$BK$23), Y37))), ABS($BK$3:$BK$23 - MEDIAN(MIN($BK$3:$BK$23), MAX($BK$3:$BK$23), Y37)), $BL$3:$BL$23, "Error", 0)</f>
        <v/>
      </c>
      <c r="Z66" s="30">
        <f t="array" ref="Z66">_xlfn.XLOOKUP(MIN(ABS($BK$3:$BK$23 - MEDIAN(MIN($BK$3:$BK$23), MAX($BK$3:$BK$23), Z37))), ABS($BK$3:$BK$23 - MEDIAN(MIN($BK$3:$BK$23), MAX($BK$3:$BK$23), Z37)), $BL$3:$BL$23, "Error", 0)</f>
        <v/>
      </c>
      <c r="AA66" s="30">
        <f t="array" ref="AA66">_xlfn.XLOOKUP(MIN(ABS($BK$3:$BK$23 - MEDIAN(MIN($BK$3:$BK$23), MAX($BK$3:$BK$23), AA37))), ABS($BK$3:$BK$23 - MEDIAN(MIN($BK$3:$BK$23), MAX($BK$3:$BK$23), AA37)), $BL$3:$BL$23, "Error", 0)</f>
        <v/>
      </c>
      <c r="AB66" s="30">
        <f t="array" ref="AB66">_xlfn.XLOOKUP(MIN(ABS($BK$3:$BK$23 - MEDIAN(MIN($BK$3:$BK$23), MAX($BK$3:$BK$23), AB37))), ABS($BK$3:$BK$23 - MEDIAN(MIN($BK$3:$BK$23), MAX($BK$3:$BK$23), AB37)), $BL$3:$BL$23, "Error", 0)</f>
        <v/>
      </c>
      <c r="AC66" s="30">
        <f t="array" ref="AC66">_xlfn.XLOOKUP(MIN(ABS($BK$3:$BK$23 - MEDIAN(MIN($BK$3:$BK$23), MAX($BK$3:$BK$23), AC37))), ABS($BK$3:$BK$23 - MEDIAN(MIN($BK$3:$BK$23), MAX($BK$3:$BK$23), AC37)), $BL$3:$BL$23, "Error", 0)</f>
        <v/>
      </c>
      <c r="AD66" s="30">
        <f t="array" ref="AD66">_xlfn.XLOOKUP(MIN(ABS($BK$3:$BK$23 - MEDIAN(MIN($BK$3:$BK$23), MAX($BK$3:$BK$23), AD37))), ABS($BK$3:$BK$23 - MEDIAN(MIN($BK$3:$BK$23), MAX($BK$3:$BK$23), AD37)), $BL$3:$BL$23, "Error", 0)</f>
        <v/>
      </c>
      <c r="AE66" s="30">
        <f t="array" ref="AE66">_xlfn.XLOOKUP(MIN(ABS($BK$3:$BK$23 - MEDIAN(MIN($BK$3:$BK$23), MAX($BK$3:$BK$23), AE37))), ABS($BK$3:$BK$23 - MEDIAN(MIN($BK$3:$BK$23), MAX($BK$3:$BK$23), AE37)), $BL$3:$BL$23, "Error", 0)</f>
        <v/>
      </c>
      <c r="AF66" s="30">
        <f t="array" ref="AF66">_xlfn.XLOOKUP(MIN(ABS($BK$3:$BK$23 - MEDIAN(MIN($BK$3:$BK$23), MAX($BK$3:$BK$23), AF37))), ABS($BK$3:$BK$23 - MEDIAN(MIN($BK$3:$BK$23), MAX($BK$3:$BK$23), AF37)), $BL$3:$BL$23, "Error", 0)</f>
        <v/>
      </c>
      <c r="AG66" s="30">
        <f t="array" ref="AG66">_xlfn.XLOOKUP(MIN(ABS($BK$3:$BK$23 - MEDIAN(MIN($BK$3:$BK$23), MAX($BK$3:$BK$23), AG37))), ABS($BK$3:$BK$23 - MEDIAN(MIN($BK$3:$BK$23), MAX($BK$3:$BK$23), AG37)), $BL$3:$BL$23, "Error", 0)</f>
        <v/>
      </c>
      <c r="AH66" s="30">
        <f t="array" ref="AH66">_xlfn.XLOOKUP(MIN(ABS($BK$3:$BK$23 - MEDIAN(MIN($BK$3:$BK$23), MAX($BK$3:$BK$23), AH37))), ABS($BK$3:$BK$23 - MEDIAN(MIN($BK$3:$BK$23), MAX($BK$3:$BK$23), AH37)), $BL$3:$BL$23, "Error", 0)</f>
        <v/>
      </c>
      <c r="AI66" s="30">
        <f t="array" ref="AI66">_xlfn.XLOOKUP(MIN(ABS($BK$3:$BK$23 - MEDIAN(MIN($BK$3:$BK$23), MAX($BK$3:$BK$23), AI37))), ABS($BK$3:$BK$23 - MEDIAN(MIN($BK$3:$BK$23), MAX($BK$3:$BK$23), AI37)), $BL$3:$BL$23, "Error", 0)</f>
        <v/>
      </c>
      <c r="AJ66" s="30">
        <f t="array" ref="AJ66">_xlfn.XLOOKUP(MIN(ABS($BK$3:$BK$23 - MEDIAN(MIN($BK$3:$BK$23), MAX($BK$3:$BK$23), AJ37))), ABS($BK$3:$BK$23 - MEDIAN(MIN($BK$3:$BK$23), MAX($BK$3:$BK$23), AJ37)), $BL$3:$BL$23, "Error", 0)</f>
        <v/>
      </c>
      <c r="AK66" s="30">
        <f t="array" ref="AK66">_xlfn.XLOOKUP(MIN(ABS($BK$3:$BK$23 - MEDIAN(MIN($BK$3:$BK$23), MAX($BK$3:$BK$23), AK37))), ABS($BK$3:$BK$23 - MEDIAN(MIN($BK$3:$BK$23), MAX($BK$3:$BK$23), AK37)), $BL$3:$BL$23, "Error", 0)</f>
        <v/>
      </c>
      <c r="AL66" s="30">
        <f t="array" ref="AL66">_xlfn.XLOOKUP(MIN(ABS($BK$3:$BK$23 - MEDIAN(MIN($BK$3:$BK$23), MAX($BK$3:$BK$23), AL37))), ABS($BK$3:$BK$23 - MEDIAN(MIN($BK$3:$BK$23), MAX($BK$3:$BK$23), AL37)), $BL$3:$BL$23, "Error", 0)</f>
        <v/>
      </c>
      <c r="AM66" s="30">
        <f t="array" ref="AM66">_xlfn.XLOOKUP(MIN(ABS($BK$3:$BK$23 - MEDIAN(MIN($BK$3:$BK$23), MAX($BK$3:$BK$23), AM37))), ABS($BK$3:$BK$23 - MEDIAN(MIN($BK$3:$BK$23), MAX($BK$3:$BK$23), AM37)), $BL$3:$BL$23, "Error", 0)</f>
        <v/>
      </c>
      <c r="AN66" s="30">
        <f t="array" ref="AN66">_xlfn.XLOOKUP(MIN(ABS($BK$3:$BK$23 - MEDIAN(MIN($BK$3:$BK$23), MAX($BK$3:$BK$23), AN37))), ABS($BK$3:$BK$23 - MEDIAN(MIN($BK$3:$BK$23), MAX($BK$3:$BK$23), AN37)), $BL$3:$BL$23, "Error", 0)</f>
        <v/>
      </c>
      <c r="AO66" s="30">
        <f t="array" ref="AO66">_xlfn.XLOOKUP(MIN(ABS($BK$3:$BK$23 - MEDIAN(MIN($BK$3:$BK$23), MAX($BK$3:$BK$23), AO37))), ABS($BK$3:$BK$23 - MEDIAN(MIN($BK$3:$BK$23), MAX($BK$3:$BK$23), AO37)), $BL$3:$BL$23, "Error", 0)</f>
        <v/>
      </c>
      <c r="AP66" s="30">
        <f t="array" ref="AP66">_xlfn.XLOOKUP(MIN(ABS($BK$3:$BK$23 - MEDIAN(MIN($BK$3:$BK$23), MAX($BK$3:$BK$23), AP37))), ABS($BK$3:$BK$23 - MEDIAN(MIN($BK$3:$BK$23), MAX($BK$3:$BK$23), AP37)), $BL$3:$BL$23, "Error", 0)</f>
        <v/>
      </c>
      <c r="AQ66" s="30">
        <f t="array" ref="AQ66">_xlfn.XLOOKUP(MIN(ABS($BK$3:$BK$23 - MEDIAN(MIN($BK$3:$BK$23), MAX($BK$3:$BK$23), AQ37))), ABS($BK$3:$BK$23 - MEDIAN(MIN($BK$3:$BK$23), MAX($BK$3:$BK$23), AQ37)), $BL$3:$BL$23, "Error", 0)</f>
        <v/>
      </c>
      <c r="AR66" s="30">
        <f t="array" ref="AR66">_xlfn.XLOOKUP(MIN(ABS($BK$3:$BK$23 - MEDIAN(MIN($BK$3:$BK$23), MAX($BK$3:$BK$23), AR37))), ABS($BK$3:$BK$23 - MEDIAN(MIN($BK$3:$BK$23), MAX($BK$3:$BK$23), AR37)), $BL$3:$BL$23, "Error", 0)</f>
        <v/>
      </c>
      <c r="AS66" s="30">
        <f t="array" ref="AS66">_xlfn.XLOOKUP(MIN(ABS($BK$3:$BK$23 - MEDIAN(MIN($BK$3:$BK$23), MAX($BK$3:$BK$23), AS37))), ABS($BK$3:$BK$23 - MEDIAN(MIN($BK$3:$BK$23), MAX($BK$3:$BK$23), AS37)), $BL$3:$BL$23, "Error", 0)</f>
        <v/>
      </c>
      <c r="AT66" s="30">
        <f t="array" ref="AT66">_xlfn.XLOOKUP(MIN(ABS($BK$3:$BK$23 - MEDIAN(MIN($BK$3:$BK$23), MAX($BK$3:$BK$23), AT37))), ABS($BK$3:$BK$23 - MEDIAN(MIN($BK$3:$BK$23), MAX($BK$3:$BK$23), AT37)), $BL$3:$BL$23, "Error", 0)</f>
        <v/>
      </c>
      <c r="AU66" s="30">
        <f t="array" ref="AU66">_xlfn.XLOOKUP(MIN(ABS($BK$3:$BK$23 - MEDIAN(MIN($BK$3:$BK$23), MAX($BK$3:$BK$23), AU37))), ABS($BK$3:$BK$23 - MEDIAN(MIN($BK$3:$BK$23), MAX($BK$3:$BK$23), AU37)), $BL$3:$BL$23, "Error", 0)</f>
        <v/>
      </c>
      <c r="AV66" s="30">
        <f t="array" ref="AV66">_xlfn.XLOOKUP(MIN(ABS($BK$3:$BK$23 - MEDIAN(MIN($BK$3:$BK$23), MAX($BK$3:$BK$23), AV37))), ABS($BK$3:$BK$23 - MEDIAN(MIN($BK$3:$BK$23), MAX($BK$3:$BK$23), AV37)), $BL$3:$BL$23, "Error", 0)</f>
        <v/>
      </c>
      <c r="AW66" s="30">
        <f t="array" ref="AW66">_xlfn.XLOOKUP(MIN(ABS($BK$3:$BK$23 - MEDIAN(MIN($BK$3:$BK$23), MAX($BK$3:$BK$23), AW37))), ABS($BK$3:$BK$23 - MEDIAN(MIN($BK$3:$BK$23), MAX($BK$3:$BK$23), AW37)), $BL$3:$BL$23, "Error", 0)</f>
        <v/>
      </c>
      <c r="AX66" s="30">
        <f t="array" ref="AX66">_xlfn.XLOOKUP(MIN(ABS($BK$3:$BK$23 - MEDIAN(MIN($BK$3:$BK$23), MAX($BK$3:$BK$23), AX37))), ABS($BK$3:$BK$23 - MEDIAN(MIN($BK$3:$BK$23), MAX($BK$3:$BK$23), AX37)), $BL$3:$BL$23, "Error", 0)</f>
        <v/>
      </c>
      <c r="AY66" s="30">
        <f t="array" ref="AY66">_xlfn.XLOOKUP(MIN(ABS($BK$3:$BK$23 - MEDIAN(MIN($BK$3:$BK$23), MAX($BK$3:$BK$23), AY37))), ABS($BK$3:$BK$23 - MEDIAN(MIN($BK$3:$BK$23), MAX($BK$3:$BK$23), AY37)), $BL$3:$BL$23, "Error", 0)</f>
        <v/>
      </c>
      <c r="AZ66" s="30">
        <f t="array" ref="AZ66">_xlfn.XLOOKUP(MIN(ABS($BK$3:$BK$23 - MEDIAN(MIN($BK$3:$BK$23), MAX($BK$3:$BK$23), AZ37))), ABS($BK$3:$BK$23 - MEDIAN(MIN($BK$3:$BK$23), MAX($BK$3:$BK$23), AZ37)), $BL$3:$BL$23, "Error", 0)</f>
        <v/>
      </c>
      <c r="BA66" s="30">
        <f t="array" ref="BA66">_xlfn.XLOOKUP(MIN(ABS($BK$3:$BK$23 - MEDIAN(MIN($BK$3:$BK$23), MAX($BK$3:$BK$23), BA37))), ABS($BK$3:$BK$23 - MEDIAN(MIN($BK$3:$BK$23), MAX($BK$3:$BK$23), BA37)), $BL$3:$BL$23, "Error", 0)</f>
        <v/>
      </c>
      <c r="BB66" s="30">
        <f t="array" ref="BB66">_xlfn.XLOOKUP(MIN(ABS($BK$3:$BK$23 - MEDIAN(MIN($BK$3:$BK$23), MAX($BK$3:$BK$23), BB37))), ABS($BK$3:$BK$23 - MEDIAN(MIN($BK$3:$BK$23), MAX($BK$3:$BK$23), BB37)), $BL$3:$BL$23, "Error", 0)</f>
        <v/>
      </c>
      <c r="BC66" s="30">
        <f t="array" ref="BC66">_xlfn.XLOOKUP(MIN(ABS($BK$3:$BK$23 - MEDIAN(MIN($BK$3:$BK$23), MAX($BK$3:$BK$23), BC37))), ABS($BK$3:$BK$23 - MEDIAN(MIN($BK$3:$BK$23), MAX($BK$3:$BK$23), BC37)), $BL$3:$BL$23, "Error", 0)</f>
        <v/>
      </c>
      <c r="BD66" s="30">
        <f t="array" ref="BD66">_xlfn.XLOOKUP(MIN(ABS($BK$3:$BK$23 - MEDIAN(MIN($BK$3:$BK$23), MAX($BK$3:$BK$23), BD37))), ABS($BK$3:$BK$23 - MEDIAN(MIN($BK$3:$BK$23), MAX($BK$3:$BK$23), BD37)), $BL$3:$BL$23, "Error", 0)</f>
        <v/>
      </c>
      <c r="BE66" s="30">
        <f t="array" ref="BE66">_xlfn.XLOOKUP(MIN(ABS($BK$3:$BK$23 - MEDIAN(MIN($BK$3:$BK$23), MAX($BK$3:$BK$23), BE37))), ABS($BK$3:$BK$23 - MEDIAN(MIN($BK$3:$BK$23), MAX($BK$3:$BK$23), BE37)), $BL$3:$BL$23, "Error", 0)</f>
        <v/>
      </c>
      <c r="BF66" s="30">
        <f t="array" ref="BF66">_xlfn.XLOOKUP(MIN(ABS($BK$3:$BK$23 - MEDIAN(MIN($BK$3:$BK$23), MAX($BK$3:$BK$23), BF37))), ABS($BK$3:$BK$23 - MEDIAN(MIN($BK$3:$BK$23), MAX($BK$3:$BK$23), BF37)), $BL$3:$BL$23, "Error", 0)</f>
        <v/>
      </c>
      <c r="BG66" s="30">
        <f t="array" ref="BG66">_xlfn.XLOOKUP(MIN(ABS($BK$3:$BK$23 - MEDIAN(MIN($BK$3:$BK$23), MAX($BK$3:$BK$23), BG37))), ABS($BK$3:$BK$23 - MEDIAN(MIN($BK$3:$BK$23), MAX($BK$3:$BK$23), BG37)), $BL$3:$BL$23, "Error", 0)</f>
        <v/>
      </c>
      <c r="BH66" s="30">
        <f t="array" ref="BH66">_xlfn.XLOOKUP(MIN(ABS($BK$3:$BK$23 - MEDIAN(MIN($BK$3:$BK$23), MAX($BK$3:$BK$23), BH37))), ABS($BK$3:$BK$23 - MEDIAN(MIN($BK$3:$BK$23), MAX($BK$3:$BK$23), BH37)), $BL$3:$BL$23, "Error", 0)</f>
        <v/>
      </c>
      <c r="BI66" s="30">
        <f t="array" ref="BI66">_xlfn.XLOOKUP(MIN(ABS($BK$3:$BK$23 - MEDIAN(MIN($BK$3:$BK$23), MAX($BK$3:$BK$23), BI37))), ABS($BK$3:$BK$23 - MEDIAN(MIN($BK$3:$BK$23), MAX($BK$3:$BK$23), BI37)), $BL$3:$BL$23, "Error", 0)</f>
        <v/>
      </c>
    </row>
    <row r="67" ht="25" customHeight="1">
      <c r="A67" s="45" t="inlineStr">
        <is>
          <t>USD CHF</t>
        </is>
      </c>
      <c r="B67" s="78" t="n"/>
      <c r="C67" s="78" t="n"/>
      <c r="D67" s="78" t="n"/>
      <c r="E67" s="78" t="n"/>
      <c r="F67" s="78" t="n"/>
      <c r="G67" s="78" t="n"/>
      <c r="H67" s="78" t="n"/>
      <c r="I67" s="78" t="n"/>
      <c r="J67" s="78" t="n"/>
      <c r="K67" s="78" t="n"/>
      <c r="L67" s="78" t="n"/>
      <c r="M67" s="78" t="n"/>
      <c r="N67" s="30">
        <f t="array" ref="N67">_xlfn.XLOOKUP(MIN(ABS($BK$3:$BK$23 - MEDIAN(MIN($BK$3:$BK$23), MAX($BK$3:$BK$23), N38))), ABS($BK$3:$BK$23 - MEDIAN(MIN($BK$3:$BK$23), MAX($BK$3:$BK$23), N38)), $BL$3:$BL$23, "Error", 0)</f>
        <v/>
      </c>
      <c r="O67" s="30">
        <f t="array" ref="O67">_xlfn.XLOOKUP(MIN(ABS($BK$3:$BK$23 - MEDIAN(MIN($BK$3:$BK$23), MAX($BK$3:$BK$23), O38))), ABS($BK$3:$BK$23 - MEDIAN(MIN($BK$3:$BK$23), MAX($BK$3:$BK$23), O38)), $BL$3:$BL$23, "Error", 0)</f>
        <v/>
      </c>
      <c r="P67" s="30">
        <f t="array" ref="P67">_xlfn.XLOOKUP(MIN(ABS($BK$3:$BK$23 - MEDIAN(MIN($BK$3:$BK$23), MAX($BK$3:$BK$23), P38))), ABS($BK$3:$BK$23 - MEDIAN(MIN($BK$3:$BK$23), MAX($BK$3:$BK$23), P38)), $BL$3:$BL$23, "Error", 0)</f>
        <v/>
      </c>
      <c r="Q67" s="30">
        <f t="array" ref="Q67">_xlfn.XLOOKUP(MIN(ABS($BK$3:$BK$23 - MEDIAN(MIN($BK$3:$BK$23), MAX($BK$3:$BK$23), Q38))), ABS($BK$3:$BK$23 - MEDIAN(MIN($BK$3:$BK$23), MAX($BK$3:$BK$23), Q38)), $BL$3:$BL$23, "Error", 0)</f>
        <v/>
      </c>
      <c r="R67" s="30">
        <f t="array" ref="R67">_xlfn.XLOOKUP(MIN(ABS($BK$3:$BK$23 - MEDIAN(MIN($BK$3:$BK$23), MAX($BK$3:$BK$23), R38))), ABS($BK$3:$BK$23 - MEDIAN(MIN($BK$3:$BK$23), MAX($BK$3:$BK$23), R38)), $BL$3:$BL$23, "Error", 0)</f>
        <v/>
      </c>
      <c r="S67" s="30">
        <f t="array" ref="S67">_xlfn.XLOOKUP(MIN(ABS($BK$3:$BK$23 - MEDIAN(MIN($BK$3:$BK$23), MAX($BK$3:$BK$23), S38))), ABS($BK$3:$BK$23 - MEDIAN(MIN($BK$3:$BK$23), MAX($BK$3:$BK$23), S38)), $BL$3:$BL$23, "Error", 0)</f>
        <v/>
      </c>
      <c r="T67" s="30">
        <f t="array" ref="T67">_xlfn.XLOOKUP(MIN(ABS($BK$3:$BK$23 - MEDIAN(MIN($BK$3:$BK$23), MAX($BK$3:$BK$23), T38))), ABS($BK$3:$BK$23 - MEDIAN(MIN($BK$3:$BK$23), MAX($BK$3:$BK$23), T38)), $BL$3:$BL$23, "Error", 0)</f>
        <v/>
      </c>
      <c r="U67" s="30">
        <f t="array" ref="U67">_xlfn.XLOOKUP(MIN(ABS($BK$3:$BK$23 - MEDIAN(MIN($BK$3:$BK$23), MAX($BK$3:$BK$23), U38))), ABS($BK$3:$BK$23 - MEDIAN(MIN($BK$3:$BK$23), MAX($BK$3:$BK$23), U38)), $BL$3:$BL$23, "Error", 0)</f>
        <v/>
      </c>
      <c r="V67" s="30">
        <f t="array" ref="V67">_xlfn.XLOOKUP(MIN(ABS($BK$3:$BK$23 - MEDIAN(MIN($BK$3:$BK$23), MAX($BK$3:$BK$23), V38))), ABS($BK$3:$BK$23 - MEDIAN(MIN($BK$3:$BK$23), MAX($BK$3:$BK$23), V38)), $BL$3:$BL$23, "Error", 0)</f>
        <v/>
      </c>
      <c r="W67" s="30">
        <f t="array" ref="W67">_xlfn.XLOOKUP(MIN(ABS($BK$3:$BK$23 - MEDIAN(MIN($BK$3:$BK$23), MAX($BK$3:$BK$23), W38))), ABS($BK$3:$BK$23 - MEDIAN(MIN($BK$3:$BK$23), MAX($BK$3:$BK$23), W38)), $BL$3:$BL$23, "Error", 0)</f>
        <v/>
      </c>
      <c r="X67" s="30">
        <f t="array" ref="X67">_xlfn.XLOOKUP(MIN(ABS($BK$3:$BK$23 - MEDIAN(MIN($BK$3:$BK$23), MAX($BK$3:$BK$23), X38))), ABS($BK$3:$BK$23 - MEDIAN(MIN($BK$3:$BK$23), MAX($BK$3:$BK$23), X38)), $BL$3:$BL$23, "Error", 0)</f>
        <v/>
      </c>
      <c r="Y67" s="30">
        <f t="array" ref="Y67">_xlfn.XLOOKUP(MIN(ABS($BK$3:$BK$23 - MEDIAN(MIN($BK$3:$BK$23), MAX($BK$3:$BK$23), Y38))), ABS($BK$3:$BK$23 - MEDIAN(MIN($BK$3:$BK$23), MAX($BK$3:$BK$23), Y38)), $BL$3:$BL$23, "Error", 0)</f>
        <v/>
      </c>
      <c r="Z67" s="30">
        <f t="array" ref="Z67">_xlfn.XLOOKUP(MIN(ABS($BK$3:$BK$23 - MEDIAN(MIN($BK$3:$BK$23), MAX($BK$3:$BK$23), Z38))), ABS($BK$3:$BK$23 - MEDIAN(MIN($BK$3:$BK$23), MAX($BK$3:$BK$23), Z38)), $BL$3:$BL$23, "Error", 0)</f>
        <v/>
      </c>
      <c r="AA67" s="30">
        <f t="array" ref="AA67">_xlfn.XLOOKUP(MIN(ABS($BK$3:$BK$23 - MEDIAN(MIN($BK$3:$BK$23), MAX($BK$3:$BK$23), AA38))), ABS($BK$3:$BK$23 - MEDIAN(MIN($BK$3:$BK$23), MAX($BK$3:$BK$23), AA38)), $BL$3:$BL$23, "Error", 0)</f>
        <v/>
      </c>
      <c r="AB67" s="30">
        <f t="array" ref="AB67">_xlfn.XLOOKUP(MIN(ABS($BK$3:$BK$23 - MEDIAN(MIN($BK$3:$BK$23), MAX($BK$3:$BK$23), AB38))), ABS($BK$3:$BK$23 - MEDIAN(MIN($BK$3:$BK$23), MAX($BK$3:$BK$23), AB38)), $BL$3:$BL$23, "Error", 0)</f>
        <v/>
      </c>
      <c r="AC67" s="30">
        <f t="array" ref="AC67">_xlfn.XLOOKUP(MIN(ABS($BK$3:$BK$23 - MEDIAN(MIN($BK$3:$BK$23), MAX($BK$3:$BK$23), AC38))), ABS($BK$3:$BK$23 - MEDIAN(MIN($BK$3:$BK$23), MAX($BK$3:$BK$23), AC38)), $BL$3:$BL$23, "Error", 0)</f>
        <v/>
      </c>
      <c r="AD67" s="30">
        <f t="array" ref="AD67">_xlfn.XLOOKUP(MIN(ABS($BK$3:$BK$23 - MEDIAN(MIN($BK$3:$BK$23), MAX($BK$3:$BK$23), AD38))), ABS($BK$3:$BK$23 - MEDIAN(MIN($BK$3:$BK$23), MAX($BK$3:$BK$23), AD38)), $BL$3:$BL$23, "Error", 0)</f>
        <v/>
      </c>
      <c r="AE67" s="30">
        <f t="array" ref="AE67">_xlfn.XLOOKUP(MIN(ABS($BK$3:$BK$23 - MEDIAN(MIN($BK$3:$BK$23), MAX($BK$3:$BK$23), AE38))), ABS($BK$3:$BK$23 - MEDIAN(MIN($BK$3:$BK$23), MAX($BK$3:$BK$23), AE38)), $BL$3:$BL$23, "Error", 0)</f>
        <v/>
      </c>
      <c r="AF67" s="30">
        <f t="array" ref="AF67">_xlfn.XLOOKUP(MIN(ABS($BK$3:$BK$23 - MEDIAN(MIN($BK$3:$BK$23), MAX($BK$3:$BK$23), AF38))), ABS($BK$3:$BK$23 - MEDIAN(MIN($BK$3:$BK$23), MAX($BK$3:$BK$23), AF38)), $BL$3:$BL$23, "Error", 0)</f>
        <v/>
      </c>
      <c r="AG67" s="30">
        <f t="array" ref="AG67">_xlfn.XLOOKUP(MIN(ABS($BK$3:$BK$23 - MEDIAN(MIN($BK$3:$BK$23), MAX($BK$3:$BK$23), AG38))), ABS($BK$3:$BK$23 - MEDIAN(MIN($BK$3:$BK$23), MAX($BK$3:$BK$23), AG38)), $BL$3:$BL$23, "Error", 0)</f>
        <v/>
      </c>
      <c r="AH67" s="30">
        <f t="array" ref="AH67">_xlfn.XLOOKUP(MIN(ABS($BK$3:$BK$23 - MEDIAN(MIN($BK$3:$BK$23), MAX($BK$3:$BK$23), AH38))), ABS($BK$3:$BK$23 - MEDIAN(MIN($BK$3:$BK$23), MAX($BK$3:$BK$23), AH38)), $BL$3:$BL$23, "Error", 0)</f>
        <v/>
      </c>
      <c r="AI67" s="30">
        <f t="array" ref="AI67">_xlfn.XLOOKUP(MIN(ABS($BK$3:$BK$23 - MEDIAN(MIN($BK$3:$BK$23), MAX($BK$3:$BK$23), AI38))), ABS($BK$3:$BK$23 - MEDIAN(MIN($BK$3:$BK$23), MAX($BK$3:$BK$23), AI38)), $BL$3:$BL$23, "Error", 0)</f>
        <v/>
      </c>
      <c r="AJ67" s="30">
        <f t="array" ref="AJ67">_xlfn.XLOOKUP(MIN(ABS($BK$3:$BK$23 - MEDIAN(MIN($BK$3:$BK$23), MAX($BK$3:$BK$23), AJ38))), ABS($BK$3:$BK$23 - MEDIAN(MIN($BK$3:$BK$23), MAX($BK$3:$BK$23), AJ38)), $BL$3:$BL$23, "Error", 0)</f>
        <v/>
      </c>
      <c r="AK67" s="30">
        <f t="array" ref="AK67">_xlfn.XLOOKUP(MIN(ABS($BK$3:$BK$23 - MEDIAN(MIN($BK$3:$BK$23), MAX($BK$3:$BK$23), AK38))), ABS($BK$3:$BK$23 - MEDIAN(MIN($BK$3:$BK$23), MAX($BK$3:$BK$23), AK38)), $BL$3:$BL$23, "Error", 0)</f>
        <v/>
      </c>
      <c r="AL67" s="30">
        <f t="array" ref="AL67">_xlfn.XLOOKUP(MIN(ABS($BK$3:$BK$23 - MEDIAN(MIN($BK$3:$BK$23), MAX($BK$3:$BK$23), AL38))), ABS($BK$3:$BK$23 - MEDIAN(MIN($BK$3:$BK$23), MAX($BK$3:$BK$23), AL38)), $BL$3:$BL$23, "Error", 0)</f>
        <v/>
      </c>
      <c r="AM67" s="30">
        <f t="array" ref="AM67">_xlfn.XLOOKUP(MIN(ABS($BK$3:$BK$23 - MEDIAN(MIN($BK$3:$BK$23), MAX($BK$3:$BK$23), AM38))), ABS($BK$3:$BK$23 - MEDIAN(MIN($BK$3:$BK$23), MAX($BK$3:$BK$23), AM38)), $BL$3:$BL$23, "Error", 0)</f>
        <v/>
      </c>
      <c r="AN67" s="30">
        <f t="array" ref="AN67">_xlfn.XLOOKUP(MIN(ABS($BK$3:$BK$23 - MEDIAN(MIN($BK$3:$BK$23), MAX($BK$3:$BK$23), AN38))), ABS($BK$3:$BK$23 - MEDIAN(MIN($BK$3:$BK$23), MAX($BK$3:$BK$23), AN38)), $BL$3:$BL$23, "Error", 0)</f>
        <v/>
      </c>
      <c r="AO67" s="30">
        <f t="array" ref="AO67">_xlfn.XLOOKUP(MIN(ABS($BK$3:$BK$23 - MEDIAN(MIN($BK$3:$BK$23), MAX($BK$3:$BK$23), AO38))), ABS($BK$3:$BK$23 - MEDIAN(MIN($BK$3:$BK$23), MAX($BK$3:$BK$23), AO38)), $BL$3:$BL$23, "Error", 0)</f>
        <v/>
      </c>
      <c r="AP67" s="30">
        <f t="array" ref="AP67">_xlfn.XLOOKUP(MIN(ABS($BK$3:$BK$23 - MEDIAN(MIN($BK$3:$BK$23), MAX($BK$3:$BK$23), AP38))), ABS($BK$3:$BK$23 - MEDIAN(MIN($BK$3:$BK$23), MAX($BK$3:$BK$23), AP38)), $BL$3:$BL$23, "Error", 0)</f>
        <v/>
      </c>
      <c r="AQ67" s="30">
        <f t="array" ref="AQ67">_xlfn.XLOOKUP(MIN(ABS($BK$3:$BK$23 - MEDIAN(MIN($BK$3:$BK$23), MAX($BK$3:$BK$23), AQ38))), ABS($BK$3:$BK$23 - MEDIAN(MIN($BK$3:$BK$23), MAX($BK$3:$BK$23), AQ38)), $BL$3:$BL$23, "Error", 0)</f>
        <v/>
      </c>
      <c r="AR67" s="30">
        <f t="array" ref="AR67">_xlfn.XLOOKUP(MIN(ABS($BK$3:$BK$23 - MEDIAN(MIN($BK$3:$BK$23), MAX($BK$3:$BK$23), AR38))), ABS($BK$3:$BK$23 - MEDIAN(MIN($BK$3:$BK$23), MAX($BK$3:$BK$23), AR38)), $BL$3:$BL$23, "Error", 0)</f>
        <v/>
      </c>
      <c r="AS67" s="30">
        <f t="array" ref="AS67">_xlfn.XLOOKUP(MIN(ABS($BK$3:$BK$23 - MEDIAN(MIN($BK$3:$BK$23), MAX($BK$3:$BK$23), AS38))), ABS($BK$3:$BK$23 - MEDIAN(MIN($BK$3:$BK$23), MAX($BK$3:$BK$23), AS38)), $BL$3:$BL$23, "Error", 0)</f>
        <v/>
      </c>
      <c r="AT67" s="30">
        <f t="array" ref="AT67">_xlfn.XLOOKUP(MIN(ABS($BK$3:$BK$23 - MEDIAN(MIN($BK$3:$BK$23), MAX($BK$3:$BK$23), AT38))), ABS($BK$3:$BK$23 - MEDIAN(MIN($BK$3:$BK$23), MAX($BK$3:$BK$23), AT38)), $BL$3:$BL$23, "Error", 0)</f>
        <v/>
      </c>
      <c r="AU67" s="30">
        <f t="array" ref="AU67">_xlfn.XLOOKUP(MIN(ABS($BK$3:$BK$23 - MEDIAN(MIN($BK$3:$BK$23), MAX($BK$3:$BK$23), AU38))), ABS($BK$3:$BK$23 - MEDIAN(MIN($BK$3:$BK$23), MAX($BK$3:$BK$23), AU38)), $BL$3:$BL$23, "Error", 0)</f>
        <v/>
      </c>
      <c r="AV67" s="30">
        <f t="array" ref="AV67">_xlfn.XLOOKUP(MIN(ABS($BK$3:$BK$23 - MEDIAN(MIN($BK$3:$BK$23), MAX($BK$3:$BK$23), AV38))), ABS($BK$3:$BK$23 - MEDIAN(MIN($BK$3:$BK$23), MAX($BK$3:$BK$23), AV38)), $BL$3:$BL$23, "Error", 0)</f>
        <v/>
      </c>
      <c r="AW67" s="30">
        <f t="array" ref="AW67">_xlfn.XLOOKUP(MIN(ABS($BK$3:$BK$23 - MEDIAN(MIN($BK$3:$BK$23), MAX($BK$3:$BK$23), AW38))), ABS($BK$3:$BK$23 - MEDIAN(MIN($BK$3:$BK$23), MAX($BK$3:$BK$23), AW38)), $BL$3:$BL$23, "Error", 0)</f>
        <v/>
      </c>
      <c r="AX67" s="30">
        <f t="array" ref="AX67">_xlfn.XLOOKUP(MIN(ABS($BK$3:$BK$23 - MEDIAN(MIN($BK$3:$BK$23), MAX($BK$3:$BK$23), AX38))), ABS($BK$3:$BK$23 - MEDIAN(MIN($BK$3:$BK$23), MAX($BK$3:$BK$23), AX38)), $BL$3:$BL$23, "Error", 0)</f>
        <v/>
      </c>
      <c r="AY67" s="30">
        <f t="array" ref="AY67">_xlfn.XLOOKUP(MIN(ABS($BK$3:$BK$23 - MEDIAN(MIN($BK$3:$BK$23), MAX($BK$3:$BK$23), AY38))), ABS($BK$3:$BK$23 - MEDIAN(MIN($BK$3:$BK$23), MAX($BK$3:$BK$23), AY38)), $BL$3:$BL$23, "Error", 0)</f>
        <v/>
      </c>
      <c r="AZ67" s="30">
        <f t="array" ref="AZ67">_xlfn.XLOOKUP(MIN(ABS($BK$3:$BK$23 - MEDIAN(MIN($BK$3:$BK$23), MAX($BK$3:$BK$23), AZ38))), ABS($BK$3:$BK$23 - MEDIAN(MIN($BK$3:$BK$23), MAX($BK$3:$BK$23), AZ38)), $BL$3:$BL$23, "Error", 0)</f>
        <v/>
      </c>
      <c r="BA67" s="30">
        <f t="array" ref="BA67">_xlfn.XLOOKUP(MIN(ABS($BK$3:$BK$23 - MEDIAN(MIN($BK$3:$BK$23), MAX($BK$3:$BK$23), BA38))), ABS($BK$3:$BK$23 - MEDIAN(MIN($BK$3:$BK$23), MAX($BK$3:$BK$23), BA38)), $BL$3:$BL$23, "Error", 0)</f>
        <v/>
      </c>
      <c r="BB67" s="30">
        <f t="array" ref="BB67">_xlfn.XLOOKUP(MIN(ABS($BK$3:$BK$23 - MEDIAN(MIN($BK$3:$BK$23), MAX($BK$3:$BK$23), BB38))), ABS($BK$3:$BK$23 - MEDIAN(MIN($BK$3:$BK$23), MAX($BK$3:$BK$23), BB38)), $BL$3:$BL$23, "Error", 0)</f>
        <v/>
      </c>
      <c r="BC67" s="30">
        <f t="array" ref="BC67">_xlfn.XLOOKUP(MIN(ABS($BK$3:$BK$23 - MEDIAN(MIN($BK$3:$BK$23), MAX($BK$3:$BK$23), BC38))), ABS($BK$3:$BK$23 - MEDIAN(MIN($BK$3:$BK$23), MAX($BK$3:$BK$23), BC38)), $BL$3:$BL$23, "Error", 0)</f>
        <v/>
      </c>
      <c r="BD67" s="30">
        <f t="array" ref="BD67">_xlfn.XLOOKUP(MIN(ABS($BK$3:$BK$23 - MEDIAN(MIN($BK$3:$BK$23), MAX($BK$3:$BK$23), BD38))), ABS($BK$3:$BK$23 - MEDIAN(MIN($BK$3:$BK$23), MAX($BK$3:$BK$23), BD38)), $BL$3:$BL$23, "Error", 0)</f>
        <v/>
      </c>
      <c r="BE67" s="30">
        <f t="array" ref="BE67">_xlfn.XLOOKUP(MIN(ABS($BK$3:$BK$23 - MEDIAN(MIN($BK$3:$BK$23), MAX($BK$3:$BK$23), BE38))), ABS($BK$3:$BK$23 - MEDIAN(MIN($BK$3:$BK$23), MAX($BK$3:$BK$23), BE38)), $BL$3:$BL$23, "Error", 0)</f>
        <v/>
      </c>
      <c r="BF67" s="30">
        <f t="array" ref="BF67">_xlfn.XLOOKUP(MIN(ABS($BK$3:$BK$23 - MEDIAN(MIN($BK$3:$BK$23), MAX($BK$3:$BK$23), BF38))), ABS($BK$3:$BK$23 - MEDIAN(MIN($BK$3:$BK$23), MAX($BK$3:$BK$23), BF38)), $BL$3:$BL$23, "Error", 0)</f>
        <v/>
      </c>
      <c r="BG67" s="30">
        <f t="array" ref="BG67">_xlfn.XLOOKUP(MIN(ABS($BK$3:$BK$23 - MEDIAN(MIN($BK$3:$BK$23), MAX($BK$3:$BK$23), BG38))), ABS($BK$3:$BK$23 - MEDIAN(MIN($BK$3:$BK$23), MAX($BK$3:$BK$23), BG38)), $BL$3:$BL$23, "Error", 0)</f>
        <v/>
      </c>
      <c r="BH67" s="30">
        <f t="array" ref="BH67">_xlfn.XLOOKUP(MIN(ABS($BK$3:$BK$23 - MEDIAN(MIN($BK$3:$BK$23), MAX($BK$3:$BK$23), BH38))), ABS($BK$3:$BK$23 - MEDIAN(MIN($BK$3:$BK$23), MAX($BK$3:$BK$23), BH38)), $BL$3:$BL$23, "Error", 0)</f>
        <v/>
      </c>
      <c r="BI67" s="30">
        <f t="array" ref="BI67">_xlfn.XLOOKUP(MIN(ABS($BK$3:$BK$23 - MEDIAN(MIN($BK$3:$BK$23), MAX($BK$3:$BK$23), BI38))), ABS($BK$3:$BK$23 - MEDIAN(MIN($BK$3:$BK$23), MAX($BK$3:$BK$23), BI38)), $BL$3:$BL$23, "Error", 0)</f>
        <v/>
      </c>
    </row>
    <row r="68" ht="25" customHeight="1">
      <c r="A68" s="45" t="inlineStr">
        <is>
          <t>USD CAD</t>
        </is>
      </c>
      <c r="B68" s="78" t="n"/>
      <c r="C68" s="78" t="n"/>
      <c r="D68" s="78" t="n"/>
      <c r="E68" s="78" t="n"/>
      <c r="F68" s="78" t="n"/>
      <c r="G68" s="78" t="n"/>
      <c r="H68" s="78" t="n"/>
      <c r="I68" s="78" t="n"/>
      <c r="J68" s="78" t="n"/>
      <c r="K68" s="78" t="n"/>
      <c r="L68" s="78" t="n"/>
      <c r="M68" s="78" t="n"/>
      <c r="N68" s="30">
        <f t="array" ref="N68">_xlfn.XLOOKUP(MIN(ABS($BK$3:$BK$23 - MEDIAN(MIN($BK$3:$BK$23), MAX($BK$3:$BK$23), N39))), ABS($BK$3:$BK$23 - MEDIAN(MIN($BK$3:$BK$23), MAX($BK$3:$BK$23), N39)), $BL$3:$BL$23, "Error", 0)</f>
        <v/>
      </c>
      <c r="O68" s="30">
        <f t="array" ref="O68">_xlfn.XLOOKUP(MIN(ABS($BK$3:$BK$23 - MEDIAN(MIN($BK$3:$BK$23), MAX($BK$3:$BK$23), O39))), ABS($BK$3:$BK$23 - MEDIAN(MIN($BK$3:$BK$23), MAX($BK$3:$BK$23), O39)), $BL$3:$BL$23, "Error", 0)</f>
        <v/>
      </c>
      <c r="P68" s="30">
        <f t="array" ref="P68">_xlfn.XLOOKUP(MIN(ABS($BK$3:$BK$23 - MEDIAN(MIN($BK$3:$BK$23), MAX($BK$3:$BK$23), P39))), ABS($BK$3:$BK$23 - MEDIAN(MIN($BK$3:$BK$23), MAX($BK$3:$BK$23), P39)), $BL$3:$BL$23, "Error", 0)</f>
        <v/>
      </c>
      <c r="Q68" s="30">
        <f t="array" ref="Q68">_xlfn.XLOOKUP(MIN(ABS($BK$3:$BK$23 - MEDIAN(MIN($BK$3:$BK$23), MAX($BK$3:$BK$23), Q39))), ABS($BK$3:$BK$23 - MEDIAN(MIN($BK$3:$BK$23), MAX($BK$3:$BK$23), Q39)), $BL$3:$BL$23, "Error", 0)</f>
        <v/>
      </c>
      <c r="R68" s="30">
        <f t="array" ref="R68">_xlfn.XLOOKUP(MIN(ABS($BK$3:$BK$23 - MEDIAN(MIN($BK$3:$BK$23), MAX($BK$3:$BK$23), R39))), ABS($BK$3:$BK$23 - MEDIAN(MIN($BK$3:$BK$23), MAX($BK$3:$BK$23), R39)), $BL$3:$BL$23, "Error", 0)</f>
        <v/>
      </c>
      <c r="S68" s="30">
        <f t="array" ref="S68">_xlfn.XLOOKUP(MIN(ABS($BK$3:$BK$23 - MEDIAN(MIN($BK$3:$BK$23), MAX($BK$3:$BK$23), S39))), ABS($BK$3:$BK$23 - MEDIAN(MIN($BK$3:$BK$23), MAX($BK$3:$BK$23), S39)), $BL$3:$BL$23, "Error", 0)</f>
        <v/>
      </c>
      <c r="T68" s="30">
        <f t="array" ref="T68">_xlfn.XLOOKUP(MIN(ABS($BK$3:$BK$23 - MEDIAN(MIN($BK$3:$BK$23), MAX($BK$3:$BK$23), T39))), ABS($BK$3:$BK$23 - MEDIAN(MIN($BK$3:$BK$23), MAX($BK$3:$BK$23), T39)), $BL$3:$BL$23, "Error", 0)</f>
        <v/>
      </c>
      <c r="U68" s="30">
        <f t="array" ref="U68">_xlfn.XLOOKUP(MIN(ABS($BK$3:$BK$23 - MEDIAN(MIN($BK$3:$BK$23), MAX($BK$3:$BK$23), U39))), ABS($BK$3:$BK$23 - MEDIAN(MIN($BK$3:$BK$23), MAX($BK$3:$BK$23), U39)), $BL$3:$BL$23, "Error", 0)</f>
        <v/>
      </c>
      <c r="V68" s="30">
        <f t="array" ref="V68">_xlfn.XLOOKUP(MIN(ABS($BK$3:$BK$23 - MEDIAN(MIN($BK$3:$BK$23), MAX($BK$3:$BK$23), V39))), ABS($BK$3:$BK$23 - MEDIAN(MIN($BK$3:$BK$23), MAX($BK$3:$BK$23), V39)), $BL$3:$BL$23, "Error", 0)</f>
        <v/>
      </c>
      <c r="W68" s="30">
        <f t="array" ref="W68">_xlfn.XLOOKUP(MIN(ABS($BK$3:$BK$23 - MEDIAN(MIN($BK$3:$BK$23), MAX($BK$3:$BK$23), W39))), ABS($BK$3:$BK$23 - MEDIAN(MIN($BK$3:$BK$23), MAX($BK$3:$BK$23), W39)), $BL$3:$BL$23, "Error", 0)</f>
        <v/>
      </c>
      <c r="X68" s="30">
        <f t="array" ref="X68">_xlfn.XLOOKUP(MIN(ABS($BK$3:$BK$23 - MEDIAN(MIN($BK$3:$BK$23), MAX($BK$3:$BK$23), X39))), ABS($BK$3:$BK$23 - MEDIAN(MIN($BK$3:$BK$23), MAX($BK$3:$BK$23), X39)), $BL$3:$BL$23, "Error", 0)</f>
        <v/>
      </c>
      <c r="Y68" s="30">
        <f t="array" ref="Y68">_xlfn.XLOOKUP(MIN(ABS($BK$3:$BK$23 - MEDIAN(MIN($BK$3:$BK$23), MAX($BK$3:$BK$23), Y39))), ABS($BK$3:$BK$23 - MEDIAN(MIN($BK$3:$BK$23), MAX($BK$3:$BK$23), Y39)), $BL$3:$BL$23, "Error", 0)</f>
        <v/>
      </c>
      <c r="Z68" s="30">
        <f t="array" ref="Z68">_xlfn.XLOOKUP(MIN(ABS($BK$3:$BK$23 - MEDIAN(MIN($BK$3:$BK$23), MAX($BK$3:$BK$23), Z39))), ABS($BK$3:$BK$23 - MEDIAN(MIN($BK$3:$BK$23), MAX($BK$3:$BK$23), Z39)), $BL$3:$BL$23, "Error", 0)</f>
        <v/>
      </c>
      <c r="AA68" s="30">
        <f t="array" ref="AA68">_xlfn.XLOOKUP(MIN(ABS($BK$3:$BK$23 - MEDIAN(MIN($BK$3:$BK$23), MAX($BK$3:$BK$23), AA39))), ABS($BK$3:$BK$23 - MEDIAN(MIN($BK$3:$BK$23), MAX($BK$3:$BK$23), AA39)), $BL$3:$BL$23, "Error", 0)</f>
        <v/>
      </c>
      <c r="AB68" s="30">
        <f t="array" ref="AB68">_xlfn.XLOOKUP(MIN(ABS($BK$3:$BK$23 - MEDIAN(MIN($BK$3:$BK$23), MAX($BK$3:$BK$23), AB39))), ABS($BK$3:$BK$23 - MEDIAN(MIN($BK$3:$BK$23), MAX($BK$3:$BK$23), AB39)), $BL$3:$BL$23, "Error", 0)</f>
        <v/>
      </c>
      <c r="AC68" s="30">
        <f t="array" ref="AC68">_xlfn.XLOOKUP(MIN(ABS($BK$3:$BK$23 - MEDIAN(MIN($BK$3:$BK$23), MAX($BK$3:$BK$23), AC39))), ABS($BK$3:$BK$23 - MEDIAN(MIN($BK$3:$BK$23), MAX($BK$3:$BK$23), AC39)), $BL$3:$BL$23, "Error", 0)</f>
        <v/>
      </c>
      <c r="AD68" s="30">
        <f t="array" ref="AD68">_xlfn.XLOOKUP(MIN(ABS($BK$3:$BK$23 - MEDIAN(MIN($BK$3:$BK$23), MAX($BK$3:$BK$23), AD39))), ABS($BK$3:$BK$23 - MEDIAN(MIN($BK$3:$BK$23), MAX($BK$3:$BK$23), AD39)), $BL$3:$BL$23, "Error", 0)</f>
        <v/>
      </c>
      <c r="AE68" s="30">
        <f t="array" ref="AE68">_xlfn.XLOOKUP(MIN(ABS($BK$3:$BK$23 - MEDIAN(MIN($BK$3:$BK$23), MAX($BK$3:$BK$23), AE39))), ABS($BK$3:$BK$23 - MEDIAN(MIN($BK$3:$BK$23), MAX($BK$3:$BK$23), AE39)), $BL$3:$BL$23, "Error", 0)</f>
        <v/>
      </c>
      <c r="AF68" s="30">
        <f t="array" ref="AF68">_xlfn.XLOOKUP(MIN(ABS($BK$3:$BK$23 - MEDIAN(MIN($BK$3:$BK$23), MAX($BK$3:$BK$23), AF39))), ABS($BK$3:$BK$23 - MEDIAN(MIN($BK$3:$BK$23), MAX($BK$3:$BK$23), AF39)), $BL$3:$BL$23, "Error", 0)</f>
        <v/>
      </c>
      <c r="AG68" s="30">
        <f t="array" ref="AG68">_xlfn.XLOOKUP(MIN(ABS($BK$3:$BK$23 - MEDIAN(MIN($BK$3:$BK$23), MAX($BK$3:$BK$23), AG39))), ABS($BK$3:$BK$23 - MEDIAN(MIN($BK$3:$BK$23), MAX($BK$3:$BK$23), AG39)), $BL$3:$BL$23, "Error", 0)</f>
        <v/>
      </c>
      <c r="AH68" s="30">
        <f t="array" ref="AH68">_xlfn.XLOOKUP(MIN(ABS($BK$3:$BK$23 - MEDIAN(MIN($BK$3:$BK$23), MAX($BK$3:$BK$23), AH39))), ABS($BK$3:$BK$23 - MEDIAN(MIN($BK$3:$BK$23), MAX($BK$3:$BK$23), AH39)), $BL$3:$BL$23, "Error", 0)</f>
        <v/>
      </c>
      <c r="AI68" s="30">
        <f t="array" ref="AI68">_xlfn.XLOOKUP(MIN(ABS($BK$3:$BK$23 - MEDIAN(MIN($BK$3:$BK$23), MAX($BK$3:$BK$23), AI39))), ABS($BK$3:$BK$23 - MEDIAN(MIN($BK$3:$BK$23), MAX($BK$3:$BK$23), AI39)), $BL$3:$BL$23, "Error", 0)</f>
        <v/>
      </c>
      <c r="AJ68" s="30">
        <f t="array" ref="AJ68">_xlfn.XLOOKUP(MIN(ABS($BK$3:$BK$23 - MEDIAN(MIN($BK$3:$BK$23), MAX($BK$3:$BK$23), AJ39))), ABS($BK$3:$BK$23 - MEDIAN(MIN($BK$3:$BK$23), MAX($BK$3:$BK$23), AJ39)), $BL$3:$BL$23, "Error", 0)</f>
        <v/>
      </c>
      <c r="AK68" s="30">
        <f t="array" ref="AK68">_xlfn.XLOOKUP(MIN(ABS($BK$3:$BK$23 - MEDIAN(MIN($BK$3:$BK$23), MAX($BK$3:$BK$23), AK39))), ABS($BK$3:$BK$23 - MEDIAN(MIN($BK$3:$BK$23), MAX($BK$3:$BK$23), AK39)), $BL$3:$BL$23, "Error", 0)</f>
        <v/>
      </c>
      <c r="AL68" s="30">
        <f t="array" ref="AL68">_xlfn.XLOOKUP(MIN(ABS($BK$3:$BK$23 - MEDIAN(MIN($BK$3:$BK$23), MAX($BK$3:$BK$23), AL39))), ABS($BK$3:$BK$23 - MEDIAN(MIN($BK$3:$BK$23), MAX($BK$3:$BK$23), AL39)), $BL$3:$BL$23, "Error", 0)</f>
        <v/>
      </c>
      <c r="AM68" s="30">
        <f t="array" ref="AM68">_xlfn.XLOOKUP(MIN(ABS($BK$3:$BK$23 - MEDIAN(MIN($BK$3:$BK$23), MAX($BK$3:$BK$23), AM39))), ABS($BK$3:$BK$23 - MEDIAN(MIN($BK$3:$BK$23), MAX($BK$3:$BK$23), AM39)), $BL$3:$BL$23, "Error", 0)</f>
        <v/>
      </c>
      <c r="AN68" s="30">
        <f t="array" ref="AN68">_xlfn.XLOOKUP(MIN(ABS($BK$3:$BK$23 - MEDIAN(MIN($BK$3:$BK$23), MAX($BK$3:$BK$23), AN39))), ABS($BK$3:$BK$23 - MEDIAN(MIN($BK$3:$BK$23), MAX($BK$3:$BK$23), AN39)), $BL$3:$BL$23, "Error", 0)</f>
        <v/>
      </c>
      <c r="AO68" s="30">
        <f t="array" ref="AO68">_xlfn.XLOOKUP(MIN(ABS($BK$3:$BK$23 - MEDIAN(MIN($BK$3:$BK$23), MAX($BK$3:$BK$23), AO39))), ABS($BK$3:$BK$23 - MEDIAN(MIN($BK$3:$BK$23), MAX($BK$3:$BK$23), AO39)), $BL$3:$BL$23, "Error", 0)</f>
        <v/>
      </c>
      <c r="AP68" s="30">
        <f t="array" ref="AP68">_xlfn.XLOOKUP(MIN(ABS($BK$3:$BK$23 - MEDIAN(MIN($BK$3:$BK$23), MAX($BK$3:$BK$23), AP39))), ABS($BK$3:$BK$23 - MEDIAN(MIN($BK$3:$BK$23), MAX($BK$3:$BK$23), AP39)), $BL$3:$BL$23, "Error", 0)</f>
        <v/>
      </c>
      <c r="AQ68" s="30">
        <f t="array" ref="AQ68">_xlfn.XLOOKUP(MIN(ABS($BK$3:$BK$23 - MEDIAN(MIN($BK$3:$BK$23), MAX($BK$3:$BK$23), AQ39))), ABS($BK$3:$BK$23 - MEDIAN(MIN($BK$3:$BK$23), MAX($BK$3:$BK$23), AQ39)), $BL$3:$BL$23, "Error", 0)</f>
        <v/>
      </c>
      <c r="AR68" s="30">
        <f t="array" ref="AR68">_xlfn.XLOOKUP(MIN(ABS($BK$3:$BK$23 - MEDIAN(MIN($BK$3:$BK$23), MAX($BK$3:$BK$23), AR39))), ABS($BK$3:$BK$23 - MEDIAN(MIN($BK$3:$BK$23), MAX($BK$3:$BK$23), AR39)), $BL$3:$BL$23, "Error", 0)</f>
        <v/>
      </c>
      <c r="AS68" s="30">
        <f t="array" ref="AS68">_xlfn.XLOOKUP(MIN(ABS($BK$3:$BK$23 - MEDIAN(MIN($BK$3:$BK$23), MAX($BK$3:$BK$23), AS39))), ABS($BK$3:$BK$23 - MEDIAN(MIN($BK$3:$BK$23), MAX($BK$3:$BK$23), AS39)), $BL$3:$BL$23, "Error", 0)</f>
        <v/>
      </c>
      <c r="AT68" s="30">
        <f t="array" ref="AT68">_xlfn.XLOOKUP(MIN(ABS($BK$3:$BK$23 - MEDIAN(MIN($BK$3:$BK$23), MAX($BK$3:$BK$23), AT39))), ABS($BK$3:$BK$23 - MEDIAN(MIN($BK$3:$BK$23), MAX($BK$3:$BK$23), AT39)), $BL$3:$BL$23, "Error", 0)</f>
        <v/>
      </c>
      <c r="AU68" s="30">
        <f t="array" ref="AU68">_xlfn.XLOOKUP(MIN(ABS($BK$3:$BK$23 - MEDIAN(MIN($BK$3:$BK$23), MAX($BK$3:$BK$23), AU39))), ABS($BK$3:$BK$23 - MEDIAN(MIN($BK$3:$BK$23), MAX($BK$3:$BK$23), AU39)), $BL$3:$BL$23, "Error", 0)</f>
        <v/>
      </c>
      <c r="AV68" s="30">
        <f t="array" ref="AV68">_xlfn.XLOOKUP(MIN(ABS($BK$3:$BK$23 - MEDIAN(MIN($BK$3:$BK$23), MAX($BK$3:$BK$23), AV39))), ABS($BK$3:$BK$23 - MEDIAN(MIN($BK$3:$BK$23), MAX($BK$3:$BK$23), AV39)), $BL$3:$BL$23, "Error", 0)</f>
        <v/>
      </c>
      <c r="AW68" s="30">
        <f t="array" ref="AW68">_xlfn.XLOOKUP(MIN(ABS($BK$3:$BK$23 - MEDIAN(MIN($BK$3:$BK$23), MAX($BK$3:$BK$23), AW39))), ABS($BK$3:$BK$23 - MEDIAN(MIN($BK$3:$BK$23), MAX($BK$3:$BK$23), AW39)), $BL$3:$BL$23, "Error", 0)</f>
        <v/>
      </c>
      <c r="AX68" s="30">
        <f t="array" ref="AX68">_xlfn.XLOOKUP(MIN(ABS($BK$3:$BK$23 - MEDIAN(MIN($BK$3:$BK$23), MAX($BK$3:$BK$23), AX39))), ABS($BK$3:$BK$23 - MEDIAN(MIN($BK$3:$BK$23), MAX($BK$3:$BK$23), AX39)), $BL$3:$BL$23, "Error", 0)</f>
        <v/>
      </c>
      <c r="AY68" s="30">
        <f t="array" ref="AY68">_xlfn.XLOOKUP(MIN(ABS($BK$3:$BK$23 - MEDIAN(MIN($BK$3:$BK$23), MAX($BK$3:$BK$23), AY39))), ABS($BK$3:$BK$23 - MEDIAN(MIN($BK$3:$BK$23), MAX($BK$3:$BK$23), AY39)), $BL$3:$BL$23, "Error", 0)</f>
        <v/>
      </c>
      <c r="AZ68" s="30">
        <f t="array" ref="AZ68">_xlfn.XLOOKUP(MIN(ABS($BK$3:$BK$23 - MEDIAN(MIN($BK$3:$BK$23), MAX($BK$3:$BK$23), AZ39))), ABS($BK$3:$BK$23 - MEDIAN(MIN($BK$3:$BK$23), MAX($BK$3:$BK$23), AZ39)), $BL$3:$BL$23, "Error", 0)</f>
        <v/>
      </c>
      <c r="BA68" s="30">
        <f t="array" ref="BA68">_xlfn.XLOOKUP(MIN(ABS($BK$3:$BK$23 - MEDIAN(MIN($BK$3:$BK$23), MAX($BK$3:$BK$23), BA39))), ABS($BK$3:$BK$23 - MEDIAN(MIN($BK$3:$BK$23), MAX($BK$3:$BK$23), BA39)), $BL$3:$BL$23, "Error", 0)</f>
        <v/>
      </c>
      <c r="BB68" s="30">
        <f t="array" ref="BB68">_xlfn.XLOOKUP(MIN(ABS($BK$3:$BK$23 - MEDIAN(MIN($BK$3:$BK$23), MAX($BK$3:$BK$23), BB39))), ABS($BK$3:$BK$23 - MEDIAN(MIN($BK$3:$BK$23), MAX($BK$3:$BK$23), BB39)), $BL$3:$BL$23, "Error", 0)</f>
        <v/>
      </c>
      <c r="BC68" s="30">
        <f t="array" ref="BC68">_xlfn.XLOOKUP(MIN(ABS($BK$3:$BK$23 - MEDIAN(MIN($BK$3:$BK$23), MAX($BK$3:$BK$23), BC39))), ABS($BK$3:$BK$23 - MEDIAN(MIN($BK$3:$BK$23), MAX($BK$3:$BK$23), BC39)), $BL$3:$BL$23, "Error", 0)</f>
        <v/>
      </c>
      <c r="BD68" s="30">
        <f t="array" ref="BD68">_xlfn.XLOOKUP(MIN(ABS($BK$3:$BK$23 - MEDIAN(MIN($BK$3:$BK$23), MAX($BK$3:$BK$23), BD39))), ABS($BK$3:$BK$23 - MEDIAN(MIN($BK$3:$BK$23), MAX($BK$3:$BK$23), BD39)), $BL$3:$BL$23, "Error", 0)</f>
        <v/>
      </c>
      <c r="BE68" s="30">
        <f t="array" ref="BE68">_xlfn.XLOOKUP(MIN(ABS($BK$3:$BK$23 - MEDIAN(MIN($BK$3:$BK$23), MAX($BK$3:$BK$23), BE39))), ABS($BK$3:$BK$23 - MEDIAN(MIN($BK$3:$BK$23), MAX($BK$3:$BK$23), BE39)), $BL$3:$BL$23, "Error", 0)</f>
        <v/>
      </c>
      <c r="BF68" s="30">
        <f t="array" ref="BF68">_xlfn.XLOOKUP(MIN(ABS($BK$3:$BK$23 - MEDIAN(MIN($BK$3:$BK$23), MAX($BK$3:$BK$23), BF39))), ABS($BK$3:$BK$23 - MEDIAN(MIN($BK$3:$BK$23), MAX($BK$3:$BK$23), BF39)), $BL$3:$BL$23, "Error", 0)</f>
        <v/>
      </c>
      <c r="BG68" s="30">
        <f t="array" ref="BG68">_xlfn.XLOOKUP(MIN(ABS($BK$3:$BK$23 - MEDIAN(MIN($BK$3:$BK$23), MAX($BK$3:$BK$23), BG39))), ABS($BK$3:$BK$23 - MEDIAN(MIN($BK$3:$BK$23), MAX($BK$3:$BK$23), BG39)), $BL$3:$BL$23, "Error", 0)</f>
        <v/>
      </c>
      <c r="BH68" s="30">
        <f t="array" ref="BH68">_xlfn.XLOOKUP(MIN(ABS($BK$3:$BK$23 - MEDIAN(MIN($BK$3:$BK$23), MAX($BK$3:$BK$23), BH39))), ABS($BK$3:$BK$23 - MEDIAN(MIN($BK$3:$BK$23), MAX($BK$3:$BK$23), BH39)), $BL$3:$BL$23, "Error", 0)</f>
        <v/>
      </c>
      <c r="BI68" s="30">
        <f t="array" ref="BI68">_xlfn.XLOOKUP(MIN(ABS($BK$3:$BK$23 - MEDIAN(MIN($BK$3:$BK$23), MAX($BK$3:$BK$23), BI39))), ABS($BK$3:$BK$23 - MEDIAN(MIN($BK$3:$BK$23), MAX($BK$3:$BK$23), BI39)), $BL$3:$BL$23, "Error", 0)</f>
        <v/>
      </c>
    </row>
    <row r="69" ht="25" customHeight="1">
      <c r="A69" s="46" t="inlineStr">
        <is>
          <t>EUR USD</t>
        </is>
      </c>
      <c r="B69" s="78" t="n"/>
      <c r="C69" s="78" t="n"/>
      <c r="D69" s="78" t="n"/>
      <c r="E69" s="78" t="n"/>
      <c r="F69" s="78" t="n"/>
      <c r="G69" s="78" t="n"/>
      <c r="H69" s="78" t="n"/>
      <c r="I69" s="78" t="n"/>
      <c r="J69" s="78" t="n"/>
      <c r="K69" s="78" t="n"/>
      <c r="L69" s="78" t="n"/>
      <c r="M69" s="78" t="n"/>
      <c r="N69" s="30">
        <f t="array" ref="N69">_xlfn.XLOOKUP(MIN(ABS($BK$3:$BK$23 - MEDIAN(MIN($BK$3:$BK$23), MAX($BK$3:$BK$23), N40))), ABS($BK$3:$BK$23 - MEDIAN(MIN($BK$3:$BK$23), MAX($BK$3:$BK$23), N40)), $BL$3:$BL$23, "Error", 0)</f>
        <v/>
      </c>
      <c r="O69" s="30">
        <f t="array" ref="O69">_xlfn.XLOOKUP(MIN(ABS($BK$3:$BK$23 - MEDIAN(MIN($BK$3:$BK$23), MAX($BK$3:$BK$23), O40))), ABS($BK$3:$BK$23 - MEDIAN(MIN($BK$3:$BK$23), MAX($BK$3:$BK$23), O40)), $BL$3:$BL$23, "Error", 0)</f>
        <v/>
      </c>
      <c r="P69" s="30">
        <f t="array" ref="P69">_xlfn.XLOOKUP(MIN(ABS($BK$3:$BK$23 - MEDIAN(MIN($BK$3:$BK$23), MAX($BK$3:$BK$23), P40))), ABS($BK$3:$BK$23 - MEDIAN(MIN($BK$3:$BK$23), MAX($BK$3:$BK$23), P40)), $BL$3:$BL$23, "Error", 0)</f>
        <v/>
      </c>
      <c r="Q69" s="30">
        <f t="array" ref="Q69">_xlfn.XLOOKUP(MIN(ABS($BK$3:$BK$23 - MEDIAN(MIN($BK$3:$BK$23), MAX($BK$3:$BK$23), Q40))), ABS($BK$3:$BK$23 - MEDIAN(MIN($BK$3:$BK$23), MAX($BK$3:$BK$23), Q40)), $BL$3:$BL$23, "Error", 0)</f>
        <v/>
      </c>
      <c r="R69" s="30">
        <f t="array" ref="R69">_xlfn.XLOOKUP(MIN(ABS($BK$3:$BK$23 - MEDIAN(MIN($BK$3:$BK$23), MAX($BK$3:$BK$23), R40))), ABS($BK$3:$BK$23 - MEDIAN(MIN($BK$3:$BK$23), MAX($BK$3:$BK$23), R40)), $BL$3:$BL$23, "Error", 0)</f>
        <v/>
      </c>
      <c r="S69" s="30">
        <f t="array" ref="S69">_xlfn.XLOOKUP(MIN(ABS($BK$3:$BK$23 - MEDIAN(MIN($BK$3:$BK$23), MAX($BK$3:$BK$23), S40))), ABS($BK$3:$BK$23 - MEDIAN(MIN($BK$3:$BK$23), MAX($BK$3:$BK$23), S40)), $BL$3:$BL$23, "Error", 0)</f>
        <v/>
      </c>
      <c r="T69" s="30">
        <f t="array" ref="T69">_xlfn.XLOOKUP(MIN(ABS($BK$3:$BK$23 - MEDIAN(MIN($BK$3:$BK$23), MAX($BK$3:$BK$23), T40))), ABS($BK$3:$BK$23 - MEDIAN(MIN($BK$3:$BK$23), MAX($BK$3:$BK$23), T40)), $BL$3:$BL$23, "Error", 0)</f>
        <v/>
      </c>
      <c r="U69" s="30">
        <f t="array" ref="U69">_xlfn.XLOOKUP(MIN(ABS($BK$3:$BK$23 - MEDIAN(MIN($BK$3:$BK$23), MAX($BK$3:$BK$23), U40))), ABS($BK$3:$BK$23 - MEDIAN(MIN($BK$3:$BK$23), MAX($BK$3:$BK$23), U40)), $BL$3:$BL$23, "Error", 0)</f>
        <v/>
      </c>
      <c r="V69" s="30">
        <f t="array" ref="V69">_xlfn.XLOOKUP(MIN(ABS($BK$3:$BK$23 - MEDIAN(MIN($BK$3:$BK$23), MAX($BK$3:$BK$23), V40))), ABS($BK$3:$BK$23 - MEDIAN(MIN($BK$3:$BK$23), MAX($BK$3:$BK$23), V40)), $BL$3:$BL$23, "Error", 0)</f>
        <v/>
      </c>
      <c r="W69" s="30">
        <f t="array" ref="W69">_xlfn.XLOOKUP(MIN(ABS($BK$3:$BK$23 - MEDIAN(MIN($BK$3:$BK$23), MAX($BK$3:$BK$23), W40))), ABS($BK$3:$BK$23 - MEDIAN(MIN($BK$3:$BK$23), MAX($BK$3:$BK$23), W40)), $BL$3:$BL$23, "Error", 0)</f>
        <v/>
      </c>
      <c r="X69" s="30">
        <f t="array" ref="X69">_xlfn.XLOOKUP(MIN(ABS($BK$3:$BK$23 - MEDIAN(MIN($BK$3:$BK$23), MAX($BK$3:$BK$23), X40))), ABS($BK$3:$BK$23 - MEDIAN(MIN($BK$3:$BK$23), MAX($BK$3:$BK$23), X40)), $BL$3:$BL$23, "Error", 0)</f>
        <v/>
      </c>
      <c r="Y69" s="30">
        <f t="array" ref="Y69">_xlfn.XLOOKUP(MIN(ABS($BK$3:$BK$23 - MEDIAN(MIN($BK$3:$BK$23), MAX($BK$3:$BK$23), Y40))), ABS($BK$3:$BK$23 - MEDIAN(MIN($BK$3:$BK$23), MAX($BK$3:$BK$23), Y40)), $BL$3:$BL$23, "Error", 0)</f>
        <v/>
      </c>
      <c r="Z69" s="30">
        <f t="array" ref="Z69">_xlfn.XLOOKUP(MIN(ABS($BK$3:$BK$23 - MEDIAN(MIN($BK$3:$BK$23), MAX($BK$3:$BK$23), Z40))), ABS($BK$3:$BK$23 - MEDIAN(MIN($BK$3:$BK$23), MAX($BK$3:$BK$23), Z40)), $BL$3:$BL$23, "Error", 0)</f>
        <v/>
      </c>
      <c r="AA69" s="30">
        <f t="array" ref="AA69">_xlfn.XLOOKUP(MIN(ABS($BK$3:$BK$23 - MEDIAN(MIN($BK$3:$BK$23), MAX($BK$3:$BK$23), AA40))), ABS($BK$3:$BK$23 - MEDIAN(MIN($BK$3:$BK$23), MAX($BK$3:$BK$23), AA40)), $BL$3:$BL$23, "Error", 0)</f>
        <v/>
      </c>
      <c r="AB69" s="30">
        <f t="array" ref="AB69">_xlfn.XLOOKUP(MIN(ABS($BK$3:$BK$23 - MEDIAN(MIN($BK$3:$BK$23), MAX($BK$3:$BK$23), AB40))), ABS($BK$3:$BK$23 - MEDIAN(MIN($BK$3:$BK$23), MAX($BK$3:$BK$23), AB40)), $BL$3:$BL$23, "Error", 0)</f>
        <v/>
      </c>
      <c r="AC69" s="30">
        <f t="array" ref="AC69">_xlfn.XLOOKUP(MIN(ABS($BK$3:$BK$23 - MEDIAN(MIN($BK$3:$BK$23), MAX($BK$3:$BK$23), AC40))), ABS($BK$3:$BK$23 - MEDIAN(MIN($BK$3:$BK$23), MAX($BK$3:$BK$23), AC40)), $BL$3:$BL$23, "Error", 0)</f>
        <v/>
      </c>
      <c r="AD69" s="30">
        <f t="array" ref="AD69">_xlfn.XLOOKUP(MIN(ABS($BK$3:$BK$23 - MEDIAN(MIN($BK$3:$BK$23), MAX($BK$3:$BK$23), AD40))), ABS($BK$3:$BK$23 - MEDIAN(MIN($BK$3:$BK$23), MAX($BK$3:$BK$23), AD40)), $BL$3:$BL$23, "Error", 0)</f>
        <v/>
      </c>
      <c r="AE69" s="30">
        <f t="array" ref="AE69">_xlfn.XLOOKUP(MIN(ABS($BK$3:$BK$23 - MEDIAN(MIN($BK$3:$BK$23), MAX($BK$3:$BK$23), AE40))), ABS($BK$3:$BK$23 - MEDIAN(MIN($BK$3:$BK$23), MAX($BK$3:$BK$23), AE40)), $BL$3:$BL$23, "Error", 0)</f>
        <v/>
      </c>
      <c r="AF69" s="30">
        <f t="array" ref="AF69">_xlfn.XLOOKUP(MIN(ABS($BK$3:$BK$23 - MEDIAN(MIN($BK$3:$BK$23), MAX($BK$3:$BK$23), AF40))), ABS($BK$3:$BK$23 - MEDIAN(MIN($BK$3:$BK$23), MAX($BK$3:$BK$23), AF40)), $BL$3:$BL$23, "Error", 0)</f>
        <v/>
      </c>
      <c r="AG69" s="30">
        <f t="array" ref="AG69">_xlfn.XLOOKUP(MIN(ABS($BK$3:$BK$23 - MEDIAN(MIN($BK$3:$BK$23), MAX($BK$3:$BK$23), AG40))), ABS($BK$3:$BK$23 - MEDIAN(MIN($BK$3:$BK$23), MAX($BK$3:$BK$23), AG40)), $BL$3:$BL$23, "Error", 0)</f>
        <v/>
      </c>
      <c r="AH69" s="30">
        <f t="array" ref="AH69">_xlfn.XLOOKUP(MIN(ABS($BK$3:$BK$23 - MEDIAN(MIN($BK$3:$BK$23), MAX($BK$3:$BK$23), AH40))), ABS($BK$3:$BK$23 - MEDIAN(MIN($BK$3:$BK$23), MAX($BK$3:$BK$23), AH40)), $BL$3:$BL$23, "Error", 0)</f>
        <v/>
      </c>
      <c r="AI69" s="30">
        <f t="array" ref="AI69">_xlfn.XLOOKUP(MIN(ABS($BK$3:$BK$23 - MEDIAN(MIN($BK$3:$BK$23), MAX($BK$3:$BK$23), AI40))), ABS($BK$3:$BK$23 - MEDIAN(MIN($BK$3:$BK$23), MAX($BK$3:$BK$23), AI40)), $BL$3:$BL$23, "Error", 0)</f>
        <v/>
      </c>
      <c r="AJ69" s="30">
        <f t="array" ref="AJ69">_xlfn.XLOOKUP(MIN(ABS($BK$3:$BK$23 - MEDIAN(MIN($BK$3:$BK$23), MAX($BK$3:$BK$23), AJ40))), ABS($BK$3:$BK$23 - MEDIAN(MIN($BK$3:$BK$23), MAX($BK$3:$BK$23), AJ40)), $BL$3:$BL$23, "Error", 0)</f>
        <v/>
      </c>
      <c r="AK69" s="30">
        <f t="array" ref="AK69">_xlfn.XLOOKUP(MIN(ABS($BK$3:$BK$23 - MEDIAN(MIN($BK$3:$BK$23), MAX($BK$3:$BK$23), AK40))), ABS($BK$3:$BK$23 - MEDIAN(MIN($BK$3:$BK$23), MAX($BK$3:$BK$23), AK40)), $BL$3:$BL$23, "Error", 0)</f>
        <v/>
      </c>
      <c r="AL69" s="30">
        <f t="array" ref="AL69">_xlfn.XLOOKUP(MIN(ABS($BK$3:$BK$23 - MEDIAN(MIN($BK$3:$BK$23), MAX($BK$3:$BK$23), AL40))), ABS($BK$3:$BK$23 - MEDIAN(MIN($BK$3:$BK$23), MAX($BK$3:$BK$23), AL40)), $BL$3:$BL$23, "Error", 0)</f>
        <v/>
      </c>
      <c r="AM69" s="30">
        <f t="array" ref="AM69">_xlfn.XLOOKUP(MIN(ABS($BK$3:$BK$23 - MEDIAN(MIN($BK$3:$BK$23), MAX($BK$3:$BK$23), AM40))), ABS($BK$3:$BK$23 - MEDIAN(MIN($BK$3:$BK$23), MAX($BK$3:$BK$23), AM40)), $BL$3:$BL$23, "Error", 0)</f>
        <v/>
      </c>
      <c r="AN69" s="30">
        <f t="array" ref="AN69">_xlfn.XLOOKUP(MIN(ABS($BK$3:$BK$23 - MEDIAN(MIN($BK$3:$BK$23), MAX($BK$3:$BK$23), AN40))), ABS($BK$3:$BK$23 - MEDIAN(MIN($BK$3:$BK$23), MAX($BK$3:$BK$23), AN40)), $BL$3:$BL$23, "Error", 0)</f>
        <v/>
      </c>
      <c r="AO69" s="30">
        <f t="array" ref="AO69">_xlfn.XLOOKUP(MIN(ABS($BK$3:$BK$23 - MEDIAN(MIN($BK$3:$BK$23), MAX($BK$3:$BK$23), AO40))), ABS($BK$3:$BK$23 - MEDIAN(MIN($BK$3:$BK$23), MAX($BK$3:$BK$23), AO40)), $BL$3:$BL$23, "Error", 0)</f>
        <v/>
      </c>
      <c r="AP69" s="30">
        <f t="array" ref="AP69">_xlfn.XLOOKUP(MIN(ABS($BK$3:$BK$23 - MEDIAN(MIN($BK$3:$BK$23), MAX($BK$3:$BK$23), AP40))), ABS($BK$3:$BK$23 - MEDIAN(MIN($BK$3:$BK$23), MAX($BK$3:$BK$23), AP40)), $BL$3:$BL$23, "Error", 0)</f>
        <v/>
      </c>
      <c r="AQ69" s="30">
        <f t="array" ref="AQ69">_xlfn.XLOOKUP(MIN(ABS($BK$3:$BK$23 - MEDIAN(MIN($BK$3:$BK$23), MAX($BK$3:$BK$23), AQ40))), ABS($BK$3:$BK$23 - MEDIAN(MIN($BK$3:$BK$23), MAX($BK$3:$BK$23), AQ40)), $BL$3:$BL$23, "Error", 0)</f>
        <v/>
      </c>
      <c r="AR69" s="30">
        <f t="array" ref="AR69">_xlfn.XLOOKUP(MIN(ABS($BK$3:$BK$23 - MEDIAN(MIN($BK$3:$BK$23), MAX($BK$3:$BK$23), AR40))), ABS($BK$3:$BK$23 - MEDIAN(MIN($BK$3:$BK$23), MAX($BK$3:$BK$23), AR40)), $BL$3:$BL$23, "Error", 0)</f>
        <v/>
      </c>
      <c r="AS69" s="30">
        <f t="array" ref="AS69">_xlfn.XLOOKUP(MIN(ABS($BK$3:$BK$23 - MEDIAN(MIN($BK$3:$BK$23), MAX($BK$3:$BK$23), AS40))), ABS($BK$3:$BK$23 - MEDIAN(MIN($BK$3:$BK$23), MAX($BK$3:$BK$23), AS40)), $BL$3:$BL$23, "Error", 0)</f>
        <v/>
      </c>
      <c r="AT69" s="30">
        <f t="array" ref="AT69">_xlfn.XLOOKUP(MIN(ABS($BK$3:$BK$23 - MEDIAN(MIN($BK$3:$BK$23), MAX($BK$3:$BK$23), AT40))), ABS($BK$3:$BK$23 - MEDIAN(MIN($BK$3:$BK$23), MAX($BK$3:$BK$23), AT40)), $BL$3:$BL$23, "Error", 0)</f>
        <v/>
      </c>
      <c r="AU69" s="30">
        <f t="array" ref="AU69">_xlfn.XLOOKUP(MIN(ABS($BK$3:$BK$23 - MEDIAN(MIN($BK$3:$BK$23), MAX($BK$3:$BK$23), AU40))), ABS($BK$3:$BK$23 - MEDIAN(MIN($BK$3:$BK$23), MAX($BK$3:$BK$23), AU40)), $BL$3:$BL$23, "Error", 0)</f>
        <v/>
      </c>
      <c r="AV69" s="30">
        <f t="array" ref="AV69">_xlfn.XLOOKUP(MIN(ABS($BK$3:$BK$23 - MEDIAN(MIN($BK$3:$BK$23), MAX($BK$3:$BK$23), AV40))), ABS($BK$3:$BK$23 - MEDIAN(MIN($BK$3:$BK$23), MAX($BK$3:$BK$23), AV40)), $BL$3:$BL$23, "Error", 0)</f>
        <v/>
      </c>
      <c r="AW69" s="30">
        <f t="array" ref="AW69">_xlfn.XLOOKUP(MIN(ABS($BK$3:$BK$23 - MEDIAN(MIN($BK$3:$BK$23), MAX($BK$3:$BK$23), AW40))), ABS($BK$3:$BK$23 - MEDIAN(MIN($BK$3:$BK$23), MAX($BK$3:$BK$23), AW40)), $BL$3:$BL$23, "Error", 0)</f>
        <v/>
      </c>
      <c r="AX69" s="30">
        <f t="array" ref="AX69">_xlfn.XLOOKUP(MIN(ABS($BK$3:$BK$23 - MEDIAN(MIN($BK$3:$BK$23), MAX($BK$3:$BK$23), AX40))), ABS($BK$3:$BK$23 - MEDIAN(MIN($BK$3:$BK$23), MAX($BK$3:$BK$23), AX40)), $BL$3:$BL$23, "Error", 0)</f>
        <v/>
      </c>
      <c r="AY69" s="30">
        <f t="array" ref="AY69">_xlfn.XLOOKUP(MIN(ABS($BK$3:$BK$23 - MEDIAN(MIN($BK$3:$BK$23), MAX($BK$3:$BK$23), AY40))), ABS($BK$3:$BK$23 - MEDIAN(MIN($BK$3:$BK$23), MAX($BK$3:$BK$23), AY40)), $BL$3:$BL$23, "Error", 0)</f>
        <v/>
      </c>
      <c r="AZ69" s="30">
        <f t="array" ref="AZ69">_xlfn.XLOOKUP(MIN(ABS($BK$3:$BK$23 - MEDIAN(MIN($BK$3:$BK$23), MAX($BK$3:$BK$23), AZ40))), ABS($BK$3:$BK$23 - MEDIAN(MIN($BK$3:$BK$23), MAX($BK$3:$BK$23), AZ40)), $BL$3:$BL$23, "Error", 0)</f>
        <v/>
      </c>
      <c r="BA69" s="30">
        <f t="array" ref="BA69">_xlfn.XLOOKUP(MIN(ABS($BK$3:$BK$23 - MEDIAN(MIN($BK$3:$BK$23), MAX($BK$3:$BK$23), BA40))), ABS($BK$3:$BK$23 - MEDIAN(MIN($BK$3:$BK$23), MAX($BK$3:$BK$23), BA40)), $BL$3:$BL$23, "Error", 0)</f>
        <v/>
      </c>
      <c r="BB69" s="30">
        <f t="array" ref="BB69">_xlfn.XLOOKUP(MIN(ABS($BK$3:$BK$23 - MEDIAN(MIN($BK$3:$BK$23), MAX($BK$3:$BK$23), BB40))), ABS($BK$3:$BK$23 - MEDIAN(MIN($BK$3:$BK$23), MAX($BK$3:$BK$23), BB40)), $BL$3:$BL$23, "Error", 0)</f>
        <v/>
      </c>
      <c r="BC69" s="30">
        <f t="array" ref="BC69">_xlfn.XLOOKUP(MIN(ABS($BK$3:$BK$23 - MEDIAN(MIN($BK$3:$BK$23), MAX($BK$3:$BK$23), BC40))), ABS($BK$3:$BK$23 - MEDIAN(MIN($BK$3:$BK$23), MAX($BK$3:$BK$23), BC40)), $BL$3:$BL$23, "Error", 0)</f>
        <v/>
      </c>
      <c r="BD69" s="30">
        <f t="array" ref="BD69">_xlfn.XLOOKUP(MIN(ABS($BK$3:$BK$23 - MEDIAN(MIN($BK$3:$BK$23), MAX($BK$3:$BK$23), BD40))), ABS($BK$3:$BK$23 - MEDIAN(MIN($BK$3:$BK$23), MAX($BK$3:$BK$23), BD40)), $BL$3:$BL$23, "Error", 0)</f>
        <v/>
      </c>
      <c r="BE69" s="30">
        <f t="array" ref="BE69">_xlfn.XLOOKUP(MIN(ABS($BK$3:$BK$23 - MEDIAN(MIN($BK$3:$BK$23), MAX($BK$3:$BK$23), BE40))), ABS($BK$3:$BK$23 - MEDIAN(MIN($BK$3:$BK$23), MAX($BK$3:$BK$23), BE40)), $BL$3:$BL$23, "Error", 0)</f>
        <v/>
      </c>
      <c r="BF69" s="30">
        <f t="array" ref="BF69">_xlfn.XLOOKUP(MIN(ABS($BK$3:$BK$23 - MEDIAN(MIN($BK$3:$BK$23), MAX($BK$3:$BK$23), BF40))), ABS($BK$3:$BK$23 - MEDIAN(MIN($BK$3:$BK$23), MAX($BK$3:$BK$23), BF40)), $BL$3:$BL$23, "Error", 0)</f>
        <v/>
      </c>
      <c r="BG69" s="30">
        <f t="array" ref="BG69">_xlfn.XLOOKUP(MIN(ABS($BK$3:$BK$23 - MEDIAN(MIN($BK$3:$BK$23), MAX($BK$3:$BK$23), BG40))), ABS($BK$3:$BK$23 - MEDIAN(MIN($BK$3:$BK$23), MAX($BK$3:$BK$23), BG40)), $BL$3:$BL$23, "Error", 0)</f>
        <v/>
      </c>
      <c r="BH69" s="30">
        <f t="array" ref="BH69">_xlfn.XLOOKUP(MIN(ABS($BK$3:$BK$23 - MEDIAN(MIN($BK$3:$BK$23), MAX($BK$3:$BK$23), BH40))), ABS($BK$3:$BK$23 - MEDIAN(MIN($BK$3:$BK$23), MAX($BK$3:$BK$23), BH40)), $BL$3:$BL$23, "Error", 0)</f>
        <v/>
      </c>
      <c r="BI69" s="30">
        <f t="array" ref="BI69">_xlfn.XLOOKUP(MIN(ABS($BK$3:$BK$23 - MEDIAN(MIN($BK$3:$BK$23), MAX($BK$3:$BK$23), BI40))), ABS($BK$3:$BK$23 - MEDIAN(MIN($BK$3:$BK$23), MAX($BK$3:$BK$23), BI40)), $BL$3:$BL$23, "Error", 0)</f>
        <v/>
      </c>
    </row>
    <row r="70" ht="25" customHeight="1">
      <c r="A70" s="46" t="inlineStr">
        <is>
          <t>EUR JPY</t>
        </is>
      </c>
      <c r="B70" s="78" t="n"/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30">
        <f t="array" ref="N70">_xlfn.XLOOKUP(MIN(ABS($BK$3:$BK$23 - MEDIAN(MIN($BK$3:$BK$23), MAX($BK$3:$BK$23), N41))), ABS($BK$3:$BK$23 - MEDIAN(MIN($BK$3:$BK$23), MAX($BK$3:$BK$23), N41)), $BL$3:$BL$23, "Error", 0)</f>
        <v/>
      </c>
      <c r="O70" s="30">
        <f t="array" ref="O70">_xlfn.XLOOKUP(MIN(ABS($BK$3:$BK$23 - MEDIAN(MIN($BK$3:$BK$23), MAX($BK$3:$BK$23), O41))), ABS($BK$3:$BK$23 - MEDIAN(MIN($BK$3:$BK$23), MAX($BK$3:$BK$23), O41)), $BL$3:$BL$23, "Error", 0)</f>
        <v/>
      </c>
      <c r="P70" s="30">
        <f t="array" ref="P70">_xlfn.XLOOKUP(MIN(ABS($BK$3:$BK$23 - MEDIAN(MIN($BK$3:$BK$23), MAX($BK$3:$BK$23), P41))), ABS($BK$3:$BK$23 - MEDIAN(MIN($BK$3:$BK$23), MAX($BK$3:$BK$23), P41)), $BL$3:$BL$23, "Error", 0)</f>
        <v/>
      </c>
      <c r="Q70" s="30">
        <f t="array" ref="Q70">_xlfn.XLOOKUP(MIN(ABS($BK$3:$BK$23 - MEDIAN(MIN($BK$3:$BK$23), MAX($BK$3:$BK$23), Q41))), ABS($BK$3:$BK$23 - MEDIAN(MIN($BK$3:$BK$23), MAX($BK$3:$BK$23), Q41)), $BL$3:$BL$23, "Error", 0)</f>
        <v/>
      </c>
      <c r="R70" s="30">
        <f t="array" ref="R70">_xlfn.XLOOKUP(MIN(ABS($BK$3:$BK$23 - MEDIAN(MIN($BK$3:$BK$23), MAX($BK$3:$BK$23), R41))), ABS($BK$3:$BK$23 - MEDIAN(MIN($BK$3:$BK$23), MAX($BK$3:$BK$23), R41)), $BL$3:$BL$23, "Error", 0)</f>
        <v/>
      </c>
      <c r="S70" s="30">
        <f t="array" ref="S70">_xlfn.XLOOKUP(MIN(ABS($BK$3:$BK$23 - MEDIAN(MIN($BK$3:$BK$23), MAX($BK$3:$BK$23), S41))), ABS($BK$3:$BK$23 - MEDIAN(MIN($BK$3:$BK$23), MAX($BK$3:$BK$23), S41)), $BL$3:$BL$23, "Error", 0)</f>
        <v/>
      </c>
      <c r="T70" s="30">
        <f t="array" ref="T70">_xlfn.XLOOKUP(MIN(ABS($BK$3:$BK$23 - MEDIAN(MIN($BK$3:$BK$23), MAX($BK$3:$BK$23), T41))), ABS($BK$3:$BK$23 - MEDIAN(MIN($BK$3:$BK$23), MAX($BK$3:$BK$23), T41)), $BL$3:$BL$23, "Error", 0)</f>
        <v/>
      </c>
      <c r="U70" s="30">
        <f t="array" ref="U70">_xlfn.XLOOKUP(MIN(ABS($BK$3:$BK$23 - MEDIAN(MIN($BK$3:$BK$23), MAX($BK$3:$BK$23), U41))), ABS($BK$3:$BK$23 - MEDIAN(MIN($BK$3:$BK$23), MAX($BK$3:$BK$23), U41)), $BL$3:$BL$23, "Error", 0)</f>
        <v/>
      </c>
      <c r="V70" s="30">
        <f t="array" ref="V70">_xlfn.XLOOKUP(MIN(ABS($BK$3:$BK$23 - MEDIAN(MIN($BK$3:$BK$23), MAX($BK$3:$BK$23), V41))), ABS($BK$3:$BK$23 - MEDIAN(MIN($BK$3:$BK$23), MAX($BK$3:$BK$23), V41)), $BL$3:$BL$23, "Error", 0)</f>
        <v/>
      </c>
      <c r="W70" s="30">
        <f t="array" ref="W70">_xlfn.XLOOKUP(MIN(ABS($BK$3:$BK$23 - MEDIAN(MIN($BK$3:$BK$23), MAX($BK$3:$BK$23), W41))), ABS($BK$3:$BK$23 - MEDIAN(MIN($BK$3:$BK$23), MAX($BK$3:$BK$23), W41)), $BL$3:$BL$23, "Error", 0)</f>
        <v/>
      </c>
      <c r="X70" s="30">
        <f t="array" ref="X70">_xlfn.XLOOKUP(MIN(ABS($BK$3:$BK$23 - MEDIAN(MIN($BK$3:$BK$23), MAX($BK$3:$BK$23), X41))), ABS($BK$3:$BK$23 - MEDIAN(MIN($BK$3:$BK$23), MAX($BK$3:$BK$23), X41)), $BL$3:$BL$23, "Error", 0)</f>
        <v/>
      </c>
      <c r="Y70" s="30">
        <f t="array" ref="Y70">_xlfn.XLOOKUP(MIN(ABS($BK$3:$BK$23 - MEDIAN(MIN($BK$3:$BK$23), MAX($BK$3:$BK$23), Y41))), ABS($BK$3:$BK$23 - MEDIAN(MIN($BK$3:$BK$23), MAX($BK$3:$BK$23), Y41)), $BL$3:$BL$23, "Error", 0)</f>
        <v/>
      </c>
      <c r="Z70" s="30">
        <f t="array" ref="Z70">_xlfn.XLOOKUP(MIN(ABS($BK$3:$BK$23 - MEDIAN(MIN($BK$3:$BK$23), MAX($BK$3:$BK$23), Z41))), ABS($BK$3:$BK$23 - MEDIAN(MIN($BK$3:$BK$23), MAX($BK$3:$BK$23), Z41)), $BL$3:$BL$23, "Error", 0)</f>
        <v/>
      </c>
      <c r="AA70" s="30">
        <f t="array" ref="AA70">_xlfn.XLOOKUP(MIN(ABS($BK$3:$BK$23 - MEDIAN(MIN($BK$3:$BK$23), MAX($BK$3:$BK$23), AA41))), ABS($BK$3:$BK$23 - MEDIAN(MIN($BK$3:$BK$23), MAX($BK$3:$BK$23), AA41)), $BL$3:$BL$23, "Error", 0)</f>
        <v/>
      </c>
      <c r="AB70" s="30">
        <f t="array" ref="AB70">_xlfn.XLOOKUP(MIN(ABS($BK$3:$BK$23 - MEDIAN(MIN($BK$3:$BK$23), MAX($BK$3:$BK$23), AB41))), ABS($BK$3:$BK$23 - MEDIAN(MIN($BK$3:$BK$23), MAX($BK$3:$BK$23), AB41)), $BL$3:$BL$23, "Error", 0)</f>
        <v/>
      </c>
      <c r="AC70" s="30">
        <f t="array" ref="AC70">_xlfn.XLOOKUP(MIN(ABS($BK$3:$BK$23 - MEDIAN(MIN($BK$3:$BK$23), MAX($BK$3:$BK$23), AC41))), ABS($BK$3:$BK$23 - MEDIAN(MIN($BK$3:$BK$23), MAX($BK$3:$BK$23), AC41)), $BL$3:$BL$23, "Error", 0)</f>
        <v/>
      </c>
      <c r="AD70" s="30">
        <f t="array" ref="AD70">_xlfn.XLOOKUP(MIN(ABS($BK$3:$BK$23 - MEDIAN(MIN($BK$3:$BK$23), MAX($BK$3:$BK$23), AD41))), ABS($BK$3:$BK$23 - MEDIAN(MIN($BK$3:$BK$23), MAX($BK$3:$BK$23), AD41)), $BL$3:$BL$23, "Error", 0)</f>
        <v/>
      </c>
      <c r="AE70" s="30">
        <f t="array" ref="AE70">_xlfn.XLOOKUP(MIN(ABS($BK$3:$BK$23 - MEDIAN(MIN($BK$3:$BK$23), MAX($BK$3:$BK$23), AE41))), ABS($BK$3:$BK$23 - MEDIAN(MIN($BK$3:$BK$23), MAX($BK$3:$BK$23), AE41)), $BL$3:$BL$23, "Error", 0)</f>
        <v/>
      </c>
      <c r="AF70" s="30">
        <f t="array" ref="AF70">_xlfn.XLOOKUP(MIN(ABS($BK$3:$BK$23 - MEDIAN(MIN($BK$3:$BK$23), MAX($BK$3:$BK$23), AF41))), ABS($BK$3:$BK$23 - MEDIAN(MIN($BK$3:$BK$23), MAX($BK$3:$BK$23), AF41)), $BL$3:$BL$23, "Error", 0)</f>
        <v/>
      </c>
      <c r="AG70" s="30">
        <f t="array" ref="AG70">_xlfn.XLOOKUP(MIN(ABS($BK$3:$BK$23 - MEDIAN(MIN($BK$3:$BK$23), MAX($BK$3:$BK$23), AG41))), ABS($BK$3:$BK$23 - MEDIAN(MIN($BK$3:$BK$23), MAX($BK$3:$BK$23), AG41)), $BL$3:$BL$23, "Error", 0)</f>
        <v/>
      </c>
      <c r="AH70" s="30">
        <f t="array" ref="AH70">_xlfn.XLOOKUP(MIN(ABS($BK$3:$BK$23 - MEDIAN(MIN($BK$3:$BK$23), MAX($BK$3:$BK$23), AH41))), ABS($BK$3:$BK$23 - MEDIAN(MIN($BK$3:$BK$23), MAX($BK$3:$BK$23), AH41)), $BL$3:$BL$23, "Error", 0)</f>
        <v/>
      </c>
      <c r="AI70" s="30">
        <f t="array" ref="AI70">_xlfn.XLOOKUP(MIN(ABS($BK$3:$BK$23 - MEDIAN(MIN($BK$3:$BK$23), MAX($BK$3:$BK$23), AI41))), ABS($BK$3:$BK$23 - MEDIAN(MIN($BK$3:$BK$23), MAX($BK$3:$BK$23), AI41)), $BL$3:$BL$23, "Error", 0)</f>
        <v/>
      </c>
      <c r="AJ70" s="30">
        <f t="array" ref="AJ70">_xlfn.XLOOKUP(MIN(ABS($BK$3:$BK$23 - MEDIAN(MIN($BK$3:$BK$23), MAX($BK$3:$BK$23), AJ41))), ABS($BK$3:$BK$23 - MEDIAN(MIN($BK$3:$BK$23), MAX($BK$3:$BK$23), AJ41)), $BL$3:$BL$23, "Error", 0)</f>
        <v/>
      </c>
      <c r="AK70" s="30">
        <f t="array" ref="AK70">_xlfn.XLOOKUP(MIN(ABS($BK$3:$BK$23 - MEDIAN(MIN($BK$3:$BK$23), MAX($BK$3:$BK$23), AK41))), ABS($BK$3:$BK$23 - MEDIAN(MIN($BK$3:$BK$23), MAX($BK$3:$BK$23), AK41)), $BL$3:$BL$23, "Error", 0)</f>
        <v/>
      </c>
      <c r="AL70" s="30">
        <f t="array" ref="AL70">_xlfn.XLOOKUP(MIN(ABS($BK$3:$BK$23 - MEDIAN(MIN($BK$3:$BK$23), MAX($BK$3:$BK$23), AL41))), ABS($BK$3:$BK$23 - MEDIAN(MIN($BK$3:$BK$23), MAX($BK$3:$BK$23), AL41)), $BL$3:$BL$23, "Error", 0)</f>
        <v/>
      </c>
      <c r="AM70" s="30">
        <f t="array" ref="AM70">_xlfn.XLOOKUP(MIN(ABS($BK$3:$BK$23 - MEDIAN(MIN($BK$3:$BK$23), MAX($BK$3:$BK$23), AM41))), ABS($BK$3:$BK$23 - MEDIAN(MIN($BK$3:$BK$23), MAX($BK$3:$BK$23), AM41)), $BL$3:$BL$23, "Error", 0)</f>
        <v/>
      </c>
      <c r="AN70" s="30">
        <f t="array" ref="AN70">_xlfn.XLOOKUP(MIN(ABS($BK$3:$BK$23 - MEDIAN(MIN($BK$3:$BK$23), MAX($BK$3:$BK$23), AN41))), ABS($BK$3:$BK$23 - MEDIAN(MIN($BK$3:$BK$23), MAX($BK$3:$BK$23), AN41)), $BL$3:$BL$23, "Error", 0)</f>
        <v/>
      </c>
      <c r="AO70" s="30">
        <f t="array" ref="AO70">_xlfn.XLOOKUP(MIN(ABS($BK$3:$BK$23 - MEDIAN(MIN($BK$3:$BK$23), MAX($BK$3:$BK$23), AO41))), ABS($BK$3:$BK$23 - MEDIAN(MIN($BK$3:$BK$23), MAX($BK$3:$BK$23), AO41)), $BL$3:$BL$23, "Error", 0)</f>
        <v/>
      </c>
      <c r="AP70" s="30">
        <f t="array" ref="AP70">_xlfn.XLOOKUP(MIN(ABS($BK$3:$BK$23 - MEDIAN(MIN($BK$3:$BK$23), MAX($BK$3:$BK$23), AP41))), ABS($BK$3:$BK$23 - MEDIAN(MIN($BK$3:$BK$23), MAX($BK$3:$BK$23), AP41)), $BL$3:$BL$23, "Error", 0)</f>
        <v/>
      </c>
      <c r="AQ70" s="30">
        <f t="array" ref="AQ70">_xlfn.XLOOKUP(MIN(ABS($BK$3:$BK$23 - MEDIAN(MIN($BK$3:$BK$23), MAX($BK$3:$BK$23), AQ41))), ABS($BK$3:$BK$23 - MEDIAN(MIN($BK$3:$BK$23), MAX($BK$3:$BK$23), AQ41)), $BL$3:$BL$23, "Error", 0)</f>
        <v/>
      </c>
      <c r="AR70" s="30">
        <f t="array" ref="AR70">_xlfn.XLOOKUP(MIN(ABS($BK$3:$BK$23 - MEDIAN(MIN($BK$3:$BK$23), MAX($BK$3:$BK$23), AR41))), ABS($BK$3:$BK$23 - MEDIAN(MIN($BK$3:$BK$23), MAX($BK$3:$BK$23), AR41)), $BL$3:$BL$23, "Error", 0)</f>
        <v/>
      </c>
      <c r="AS70" s="30">
        <f t="array" ref="AS70">_xlfn.XLOOKUP(MIN(ABS($BK$3:$BK$23 - MEDIAN(MIN($BK$3:$BK$23), MAX($BK$3:$BK$23), AS41))), ABS($BK$3:$BK$23 - MEDIAN(MIN($BK$3:$BK$23), MAX($BK$3:$BK$23), AS41)), $BL$3:$BL$23, "Error", 0)</f>
        <v/>
      </c>
      <c r="AT70" s="30">
        <f t="array" ref="AT70">_xlfn.XLOOKUP(MIN(ABS($BK$3:$BK$23 - MEDIAN(MIN($BK$3:$BK$23), MAX($BK$3:$BK$23), AT41))), ABS($BK$3:$BK$23 - MEDIAN(MIN($BK$3:$BK$23), MAX($BK$3:$BK$23), AT41)), $BL$3:$BL$23, "Error", 0)</f>
        <v/>
      </c>
      <c r="AU70" s="30">
        <f t="array" ref="AU70">_xlfn.XLOOKUP(MIN(ABS($BK$3:$BK$23 - MEDIAN(MIN($BK$3:$BK$23), MAX($BK$3:$BK$23), AU41))), ABS($BK$3:$BK$23 - MEDIAN(MIN($BK$3:$BK$23), MAX($BK$3:$BK$23), AU41)), $BL$3:$BL$23, "Error", 0)</f>
        <v/>
      </c>
      <c r="AV70" s="30">
        <f t="array" ref="AV70">_xlfn.XLOOKUP(MIN(ABS($BK$3:$BK$23 - MEDIAN(MIN($BK$3:$BK$23), MAX($BK$3:$BK$23), AV41))), ABS($BK$3:$BK$23 - MEDIAN(MIN($BK$3:$BK$23), MAX($BK$3:$BK$23), AV41)), $BL$3:$BL$23, "Error", 0)</f>
        <v/>
      </c>
      <c r="AW70" s="30">
        <f t="array" ref="AW70">_xlfn.XLOOKUP(MIN(ABS($BK$3:$BK$23 - MEDIAN(MIN($BK$3:$BK$23), MAX($BK$3:$BK$23), AW41))), ABS($BK$3:$BK$23 - MEDIAN(MIN($BK$3:$BK$23), MAX($BK$3:$BK$23), AW41)), $BL$3:$BL$23, "Error", 0)</f>
        <v/>
      </c>
      <c r="AX70" s="30">
        <f t="array" ref="AX70">_xlfn.XLOOKUP(MIN(ABS($BK$3:$BK$23 - MEDIAN(MIN($BK$3:$BK$23), MAX($BK$3:$BK$23), AX41))), ABS($BK$3:$BK$23 - MEDIAN(MIN($BK$3:$BK$23), MAX($BK$3:$BK$23), AX41)), $BL$3:$BL$23, "Error", 0)</f>
        <v/>
      </c>
      <c r="AY70" s="30">
        <f t="array" ref="AY70">_xlfn.XLOOKUP(MIN(ABS($BK$3:$BK$23 - MEDIAN(MIN($BK$3:$BK$23), MAX($BK$3:$BK$23), AY41))), ABS($BK$3:$BK$23 - MEDIAN(MIN($BK$3:$BK$23), MAX($BK$3:$BK$23), AY41)), $BL$3:$BL$23, "Error", 0)</f>
        <v/>
      </c>
      <c r="AZ70" s="30">
        <f t="array" ref="AZ70">_xlfn.XLOOKUP(MIN(ABS($BK$3:$BK$23 - MEDIAN(MIN($BK$3:$BK$23), MAX($BK$3:$BK$23), AZ41))), ABS($BK$3:$BK$23 - MEDIAN(MIN($BK$3:$BK$23), MAX($BK$3:$BK$23), AZ41)), $BL$3:$BL$23, "Error", 0)</f>
        <v/>
      </c>
      <c r="BA70" s="30">
        <f t="array" ref="BA70">_xlfn.XLOOKUP(MIN(ABS($BK$3:$BK$23 - MEDIAN(MIN($BK$3:$BK$23), MAX($BK$3:$BK$23), BA41))), ABS($BK$3:$BK$23 - MEDIAN(MIN($BK$3:$BK$23), MAX($BK$3:$BK$23), BA41)), $BL$3:$BL$23, "Error", 0)</f>
        <v/>
      </c>
      <c r="BB70" s="30">
        <f t="array" ref="BB70">_xlfn.XLOOKUP(MIN(ABS($BK$3:$BK$23 - MEDIAN(MIN($BK$3:$BK$23), MAX($BK$3:$BK$23), BB41))), ABS($BK$3:$BK$23 - MEDIAN(MIN($BK$3:$BK$23), MAX($BK$3:$BK$23), BB41)), $BL$3:$BL$23, "Error", 0)</f>
        <v/>
      </c>
      <c r="BC70" s="30">
        <f t="array" ref="BC70">_xlfn.XLOOKUP(MIN(ABS($BK$3:$BK$23 - MEDIAN(MIN($BK$3:$BK$23), MAX($BK$3:$BK$23), BC41))), ABS($BK$3:$BK$23 - MEDIAN(MIN($BK$3:$BK$23), MAX($BK$3:$BK$23), BC41)), $BL$3:$BL$23, "Error", 0)</f>
        <v/>
      </c>
      <c r="BD70" s="30">
        <f t="array" ref="BD70">_xlfn.XLOOKUP(MIN(ABS($BK$3:$BK$23 - MEDIAN(MIN($BK$3:$BK$23), MAX($BK$3:$BK$23), BD41))), ABS($BK$3:$BK$23 - MEDIAN(MIN($BK$3:$BK$23), MAX($BK$3:$BK$23), BD41)), $BL$3:$BL$23, "Error", 0)</f>
        <v/>
      </c>
      <c r="BE70" s="30">
        <f t="array" ref="BE70">_xlfn.XLOOKUP(MIN(ABS($BK$3:$BK$23 - MEDIAN(MIN($BK$3:$BK$23), MAX($BK$3:$BK$23), BE41))), ABS($BK$3:$BK$23 - MEDIAN(MIN($BK$3:$BK$23), MAX($BK$3:$BK$23), BE41)), $BL$3:$BL$23, "Error", 0)</f>
        <v/>
      </c>
      <c r="BF70" s="30">
        <f t="array" ref="BF70">_xlfn.XLOOKUP(MIN(ABS($BK$3:$BK$23 - MEDIAN(MIN($BK$3:$BK$23), MAX($BK$3:$BK$23), BF41))), ABS($BK$3:$BK$23 - MEDIAN(MIN($BK$3:$BK$23), MAX($BK$3:$BK$23), BF41)), $BL$3:$BL$23, "Error", 0)</f>
        <v/>
      </c>
      <c r="BG70" s="30">
        <f t="array" ref="BG70">_xlfn.XLOOKUP(MIN(ABS($BK$3:$BK$23 - MEDIAN(MIN($BK$3:$BK$23), MAX($BK$3:$BK$23), BG41))), ABS($BK$3:$BK$23 - MEDIAN(MIN($BK$3:$BK$23), MAX($BK$3:$BK$23), BG41)), $BL$3:$BL$23, "Error", 0)</f>
        <v/>
      </c>
      <c r="BH70" s="30">
        <f t="array" ref="BH70">_xlfn.XLOOKUP(MIN(ABS($BK$3:$BK$23 - MEDIAN(MIN($BK$3:$BK$23), MAX($BK$3:$BK$23), BH41))), ABS($BK$3:$BK$23 - MEDIAN(MIN($BK$3:$BK$23), MAX($BK$3:$BK$23), BH41)), $BL$3:$BL$23, "Error", 0)</f>
        <v/>
      </c>
      <c r="BI70" s="30">
        <f t="array" ref="BI70">_xlfn.XLOOKUP(MIN(ABS($BK$3:$BK$23 - MEDIAN(MIN($BK$3:$BK$23), MAX($BK$3:$BK$23), BI41))), ABS($BK$3:$BK$23 - MEDIAN(MIN($BK$3:$BK$23), MAX($BK$3:$BK$23), BI41)), $BL$3:$BL$23, "Error", 0)</f>
        <v/>
      </c>
    </row>
    <row r="71" ht="25" customHeight="1">
      <c r="A71" s="46" t="inlineStr">
        <is>
          <t>EUR CHF</t>
        </is>
      </c>
      <c r="B71" s="78" t="n"/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30">
        <f t="array" ref="N71">_xlfn.XLOOKUP(MIN(ABS($BK$3:$BK$23 - MEDIAN(MIN($BK$3:$BK$23), MAX($BK$3:$BK$23), N42))), ABS($BK$3:$BK$23 - MEDIAN(MIN($BK$3:$BK$23), MAX($BK$3:$BK$23), N42)), $BL$3:$BL$23, "Error", 0)</f>
        <v/>
      </c>
      <c r="O71" s="30">
        <f t="array" ref="O71">_xlfn.XLOOKUP(MIN(ABS($BK$3:$BK$23 - MEDIAN(MIN($BK$3:$BK$23), MAX($BK$3:$BK$23), O42))), ABS($BK$3:$BK$23 - MEDIAN(MIN($BK$3:$BK$23), MAX($BK$3:$BK$23), O42)), $BL$3:$BL$23, "Error", 0)</f>
        <v/>
      </c>
      <c r="P71" s="30">
        <f t="array" ref="P71">_xlfn.XLOOKUP(MIN(ABS($BK$3:$BK$23 - MEDIAN(MIN($BK$3:$BK$23), MAX($BK$3:$BK$23), P42))), ABS($BK$3:$BK$23 - MEDIAN(MIN($BK$3:$BK$23), MAX($BK$3:$BK$23), P42)), $BL$3:$BL$23, "Error", 0)</f>
        <v/>
      </c>
      <c r="Q71" s="30">
        <f t="array" ref="Q71">_xlfn.XLOOKUP(MIN(ABS($BK$3:$BK$23 - MEDIAN(MIN($BK$3:$BK$23), MAX($BK$3:$BK$23), Q42))), ABS($BK$3:$BK$23 - MEDIAN(MIN($BK$3:$BK$23), MAX($BK$3:$BK$23), Q42)), $BL$3:$BL$23, "Error", 0)</f>
        <v/>
      </c>
      <c r="R71" s="30">
        <f t="array" ref="R71">_xlfn.XLOOKUP(MIN(ABS($BK$3:$BK$23 - MEDIAN(MIN($BK$3:$BK$23), MAX($BK$3:$BK$23), R42))), ABS($BK$3:$BK$23 - MEDIAN(MIN($BK$3:$BK$23), MAX($BK$3:$BK$23), R42)), $BL$3:$BL$23, "Error", 0)</f>
        <v/>
      </c>
      <c r="S71" s="30">
        <f t="array" ref="S71">_xlfn.XLOOKUP(MIN(ABS($BK$3:$BK$23 - MEDIAN(MIN($BK$3:$BK$23), MAX($BK$3:$BK$23), S42))), ABS($BK$3:$BK$23 - MEDIAN(MIN($BK$3:$BK$23), MAX($BK$3:$BK$23), S42)), $BL$3:$BL$23, "Error", 0)</f>
        <v/>
      </c>
      <c r="T71" s="30">
        <f t="array" ref="T71">_xlfn.XLOOKUP(MIN(ABS($BK$3:$BK$23 - MEDIAN(MIN($BK$3:$BK$23), MAX($BK$3:$BK$23), T42))), ABS($BK$3:$BK$23 - MEDIAN(MIN($BK$3:$BK$23), MAX($BK$3:$BK$23), T42)), $BL$3:$BL$23, "Error", 0)</f>
        <v/>
      </c>
      <c r="U71" s="30">
        <f t="array" ref="U71">_xlfn.XLOOKUP(MIN(ABS($BK$3:$BK$23 - MEDIAN(MIN($BK$3:$BK$23), MAX($BK$3:$BK$23), U42))), ABS($BK$3:$BK$23 - MEDIAN(MIN($BK$3:$BK$23), MAX($BK$3:$BK$23), U42)), $BL$3:$BL$23, "Error", 0)</f>
        <v/>
      </c>
      <c r="V71" s="30">
        <f t="array" ref="V71">_xlfn.XLOOKUP(MIN(ABS($BK$3:$BK$23 - MEDIAN(MIN($BK$3:$BK$23), MAX($BK$3:$BK$23), V42))), ABS($BK$3:$BK$23 - MEDIAN(MIN($BK$3:$BK$23), MAX($BK$3:$BK$23), V42)), $BL$3:$BL$23, "Error", 0)</f>
        <v/>
      </c>
      <c r="W71" s="30">
        <f t="array" ref="W71">_xlfn.XLOOKUP(MIN(ABS($BK$3:$BK$23 - MEDIAN(MIN($BK$3:$BK$23), MAX($BK$3:$BK$23), W42))), ABS($BK$3:$BK$23 - MEDIAN(MIN($BK$3:$BK$23), MAX($BK$3:$BK$23), W42)), $BL$3:$BL$23, "Error", 0)</f>
        <v/>
      </c>
      <c r="X71" s="30">
        <f t="array" ref="X71">_xlfn.XLOOKUP(MIN(ABS($BK$3:$BK$23 - MEDIAN(MIN($BK$3:$BK$23), MAX($BK$3:$BK$23), X42))), ABS($BK$3:$BK$23 - MEDIAN(MIN($BK$3:$BK$23), MAX($BK$3:$BK$23), X42)), $BL$3:$BL$23, "Error", 0)</f>
        <v/>
      </c>
      <c r="Y71" s="30">
        <f t="array" ref="Y71">_xlfn.XLOOKUP(MIN(ABS($BK$3:$BK$23 - MEDIAN(MIN($BK$3:$BK$23), MAX($BK$3:$BK$23), Y42))), ABS($BK$3:$BK$23 - MEDIAN(MIN($BK$3:$BK$23), MAX($BK$3:$BK$23), Y42)), $BL$3:$BL$23, "Error", 0)</f>
        <v/>
      </c>
      <c r="Z71" s="30">
        <f t="array" ref="Z71">_xlfn.XLOOKUP(MIN(ABS($BK$3:$BK$23 - MEDIAN(MIN($BK$3:$BK$23), MAX($BK$3:$BK$23), Z42))), ABS($BK$3:$BK$23 - MEDIAN(MIN($BK$3:$BK$23), MAX($BK$3:$BK$23), Z42)), $BL$3:$BL$23, "Error", 0)</f>
        <v/>
      </c>
      <c r="AA71" s="30">
        <f t="array" ref="AA71">_xlfn.XLOOKUP(MIN(ABS($BK$3:$BK$23 - MEDIAN(MIN($BK$3:$BK$23), MAX($BK$3:$BK$23), AA42))), ABS($BK$3:$BK$23 - MEDIAN(MIN($BK$3:$BK$23), MAX($BK$3:$BK$23), AA42)), $BL$3:$BL$23, "Error", 0)</f>
        <v/>
      </c>
      <c r="AB71" s="30">
        <f t="array" ref="AB71">_xlfn.XLOOKUP(MIN(ABS($BK$3:$BK$23 - MEDIAN(MIN($BK$3:$BK$23), MAX($BK$3:$BK$23), AB42))), ABS($BK$3:$BK$23 - MEDIAN(MIN($BK$3:$BK$23), MAX($BK$3:$BK$23), AB42)), $BL$3:$BL$23, "Error", 0)</f>
        <v/>
      </c>
      <c r="AC71" s="30">
        <f t="array" ref="AC71">_xlfn.XLOOKUP(MIN(ABS($BK$3:$BK$23 - MEDIAN(MIN($BK$3:$BK$23), MAX($BK$3:$BK$23), AC42))), ABS($BK$3:$BK$23 - MEDIAN(MIN($BK$3:$BK$23), MAX($BK$3:$BK$23), AC42)), $BL$3:$BL$23, "Error", 0)</f>
        <v/>
      </c>
      <c r="AD71" s="30">
        <f t="array" ref="AD71">_xlfn.XLOOKUP(MIN(ABS($BK$3:$BK$23 - MEDIAN(MIN($BK$3:$BK$23), MAX($BK$3:$BK$23), AD42))), ABS($BK$3:$BK$23 - MEDIAN(MIN($BK$3:$BK$23), MAX($BK$3:$BK$23), AD42)), $BL$3:$BL$23, "Error", 0)</f>
        <v/>
      </c>
      <c r="AE71" s="30">
        <f t="array" ref="AE71">_xlfn.XLOOKUP(MIN(ABS($BK$3:$BK$23 - MEDIAN(MIN($BK$3:$BK$23), MAX($BK$3:$BK$23), AE42))), ABS($BK$3:$BK$23 - MEDIAN(MIN($BK$3:$BK$23), MAX($BK$3:$BK$23), AE42)), $BL$3:$BL$23, "Error", 0)</f>
        <v/>
      </c>
      <c r="AF71" s="30">
        <f t="array" ref="AF71">_xlfn.XLOOKUP(MIN(ABS($BK$3:$BK$23 - MEDIAN(MIN($BK$3:$BK$23), MAX($BK$3:$BK$23), AF42))), ABS($BK$3:$BK$23 - MEDIAN(MIN($BK$3:$BK$23), MAX($BK$3:$BK$23), AF42)), $BL$3:$BL$23, "Error", 0)</f>
        <v/>
      </c>
      <c r="AG71" s="30">
        <f t="array" ref="AG71">_xlfn.XLOOKUP(MIN(ABS($BK$3:$BK$23 - MEDIAN(MIN($BK$3:$BK$23), MAX($BK$3:$BK$23), AG42))), ABS($BK$3:$BK$23 - MEDIAN(MIN($BK$3:$BK$23), MAX($BK$3:$BK$23), AG42)), $BL$3:$BL$23, "Error", 0)</f>
        <v/>
      </c>
      <c r="AH71" s="30">
        <f t="array" ref="AH71">_xlfn.XLOOKUP(MIN(ABS($BK$3:$BK$23 - MEDIAN(MIN($BK$3:$BK$23), MAX($BK$3:$BK$23), AH42))), ABS($BK$3:$BK$23 - MEDIAN(MIN($BK$3:$BK$23), MAX($BK$3:$BK$23), AH42)), $BL$3:$BL$23, "Error", 0)</f>
        <v/>
      </c>
      <c r="AI71" s="30">
        <f t="array" ref="AI71">_xlfn.XLOOKUP(MIN(ABS($BK$3:$BK$23 - MEDIAN(MIN($BK$3:$BK$23), MAX($BK$3:$BK$23), AI42))), ABS($BK$3:$BK$23 - MEDIAN(MIN($BK$3:$BK$23), MAX($BK$3:$BK$23), AI42)), $BL$3:$BL$23, "Error", 0)</f>
        <v/>
      </c>
      <c r="AJ71" s="30">
        <f t="array" ref="AJ71">_xlfn.XLOOKUP(MIN(ABS($BK$3:$BK$23 - MEDIAN(MIN($BK$3:$BK$23), MAX($BK$3:$BK$23), AJ42))), ABS($BK$3:$BK$23 - MEDIAN(MIN($BK$3:$BK$23), MAX($BK$3:$BK$23), AJ42)), $BL$3:$BL$23, "Error", 0)</f>
        <v/>
      </c>
      <c r="AK71" s="30">
        <f t="array" ref="AK71">_xlfn.XLOOKUP(MIN(ABS($BK$3:$BK$23 - MEDIAN(MIN($BK$3:$BK$23), MAX($BK$3:$BK$23), AK42))), ABS($BK$3:$BK$23 - MEDIAN(MIN($BK$3:$BK$23), MAX($BK$3:$BK$23), AK42)), $BL$3:$BL$23, "Error", 0)</f>
        <v/>
      </c>
      <c r="AL71" s="30">
        <f t="array" ref="AL71">_xlfn.XLOOKUP(MIN(ABS($BK$3:$BK$23 - MEDIAN(MIN($BK$3:$BK$23), MAX($BK$3:$BK$23), AL42))), ABS($BK$3:$BK$23 - MEDIAN(MIN($BK$3:$BK$23), MAX($BK$3:$BK$23), AL42)), $BL$3:$BL$23, "Error", 0)</f>
        <v/>
      </c>
      <c r="AM71" s="30">
        <f t="array" ref="AM71">_xlfn.XLOOKUP(MIN(ABS($BK$3:$BK$23 - MEDIAN(MIN($BK$3:$BK$23), MAX($BK$3:$BK$23), AM42))), ABS($BK$3:$BK$23 - MEDIAN(MIN($BK$3:$BK$23), MAX($BK$3:$BK$23), AM42)), $BL$3:$BL$23, "Error", 0)</f>
        <v/>
      </c>
      <c r="AN71" s="30">
        <f t="array" ref="AN71">_xlfn.XLOOKUP(MIN(ABS($BK$3:$BK$23 - MEDIAN(MIN($BK$3:$BK$23), MAX($BK$3:$BK$23), AN42))), ABS($BK$3:$BK$23 - MEDIAN(MIN($BK$3:$BK$23), MAX($BK$3:$BK$23), AN42)), $BL$3:$BL$23, "Error", 0)</f>
        <v/>
      </c>
      <c r="AO71" s="30">
        <f t="array" ref="AO71">_xlfn.XLOOKUP(MIN(ABS($BK$3:$BK$23 - MEDIAN(MIN($BK$3:$BK$23), MAX($BK$3:$BK$23), AO42))), ABS($BK$3:$BK$23 - MEDIAN(MIN($BK$3:$BK$23), MAX($BK$3:$BK$23), AO42)), $BL$3:$BL$23, "Error", 0)</f>
        <v/>
      </c>
      <c r="AP71" s="30">
        <f t="array" ref="AP71">_xlfn.XLOOKUP(MIN(ABS($BK$3:$BK$23 - MEDIAN(MIN($BK$3:$BK$23), MAX($BK$3:$BK$23), AP42))), ABS($BK$3:$BK$23 - MEDIAN(MIN($BK$3:$BK$23), MAX($BK$3:$BK$23), AP42)), $BL$3:$BL$23, "Error", 0)</f>
        <v/>
      </c>
      <c r="AQ71" s="30">
        <f t="array" ref="AQ71">_xlfn.XLOOKUP(MIN(ABS($BK$3:$BK$23 - MEDIAN(MIN($BK$3:$BK$23), MAX($BK$3:$BK$23), AQ42))), ABS($BK$3:$BK$23 - MEDIAN(MIN($BK$3:$BK$23), MAX($BK$3:$BK$23), AQ42)), $BL$3:$BL$23, "Error", 0)</f>
        <v/>
      </c>
      <c r="AR71" s="30">
        <f t="array" ref="AR71">_xlfn.XLOOKUP(MIN(ABS($BK$3:$BK$23 - MEDIAN(MIN($BK$3:$BK$23), MAX($BK$3:$BK$23), AR42))), ABS($BK$3:$BK$23 - MEDIAN(MIN($BK$3:$BK$23), MAX($BK$3:$BK$23), AR42)), $BL$3:$BL$23, "Error", 0)</f>
        <v/>
      </c>
      <c r="AS71" s="30">
        <f t="array" ref="AS71">_xlfn.XLOOKUP(MIN(ABS($BK$3:$BK$23 - MEDIAN(MIN($BK$3:$BK$23), MAX($BK$3:$BK$23), AS42))), ABS($BK$3:$BK$23 - MEDIAN(MIN($BK$3:$BK$23), MAX($BK$3:$BK$23), AS42)), $BL$3:$BL$23, "Error", 0)</f>
        <v/>
      </c>
      <c r="AT71" s="30">
        <f t="array" ref="AT71">_xlfn.XLOOKUP(MIN(ABS($BK$3:$BK$23 - MEDIAN(MIN($BK$3:$BK$23), MAX($BK$3:$BK$23), AT42))), ABS($BK$3:$BK$23 - MEDIAN(MIN($BK$3:$BK$23), MAX($BK$3:$BK$23), AT42)), $BL$3:$BL$23, "Error", 0)</f>
        <v/>
      </c>
      <c r="AU71" s="30">
        <f t="array" ref="AU71">_xlfn.XLOOKUP(MIN(ABS($BK$3:$BK$23 - MEDIAN(MIN($BK$3:$BK$23), MAX($BK$3:$BK$23), AU42))), ABS($BK$3:$BK$23 - MEDIAN(MIN($BK$3:$BK$23), MAX($BK$3:$BK$23), AU42)), $BL$3:$BL$23, "Error", 0)</f>
        <v/>
      </c>
      <c r="AV71" s="30">
        <f t="array" ref="AV71">_xlfn.XLOOKUP(MIN(ABS($BK$3:$BK$23 - MEDIAN(MIN($BK$3:$BK$23), MAX($BK$3:$BK$23), AV42))), ABS($BK$3:$BK$23 - MEDIAN(MIN($BK$3:$BK$23), MAX($BK$3:$BK$23), AV42)), $BL$3:$BL$23, "Error", 0)</f>
        <v/>
      </c>
      <c r="AW71" s="30">
        <f t="array" ref="AW71">_xlfn.XLOOKUP(MIN(ABS($BK$3:$BK$23 - MEDIAN(MIN($BK$3:$BK$23), MAX($BK$3:$BK$23), AW42))), ABS($BK$3:$BK$23 - MEDIAN(MIN($BK$3:$BK$23), MAX($BK$3:$BK$23), AW42)), $BL$3:$BL$23, "Error", 0)</f>
        <v/>
      </c>
      <c r="AX71" s="30">
        <f t="array" ref="AX71">_xlfn.XLOOKUP(MIN(ABS($BK$3:$BK$23 - MEDIAN(MIN($BK$3:$BK$23), MAX($BK$3:$BK$23), AX42))), ABS($BK$3:$BK$23 - MEDIAN(MIN($BK$3:$BK$23), MAX($BK$3:$BK$23), AX42)), $BL$3:$BL$23, "Error", 0)</f>
        <v/>
      </c>
      <c r="AY71" s="30">
        <f t="array" ref="AY71">_xlfn.XLOOKUP(MIN(ABS($BK$3:$BK$23 - MEDIAN(MIN($BK$3:$BK$23), MAX($BK$3:$BK$23), AY42))), ABS($BK$3:$BK$23 - MEDIAN(MIN($BK$3:$BK$23), MAX($BK$3:$BK$23), AY42)), $BL$3:$BL$23, "Error", 0)</f>
        <v/>
      </c>
      <c r="AZ71" s="30">
        <f t="array" ref="AZ71">_xlfn.XLOOKUP(MIN(ABS($BK$3:$BK$23 - MEDIAN(MIN($BK$3:$BK$23), MAX($BK$3:$BK$23), AZ42))), ABS($BK$3:$BK$23 - MEDIAN(MIN($BK$3:$BK$23), MAX($BK$3:$BK$23), AZ42)), $BL$3:$BL$23, "Error", 0)</f>
        <v/>
      </c>
      <c r="BA71" s="30">
        <f t="array" ref="BA71">_xlfn.XLOOKUP(MIN(ABS($BK$3:$BK$23 - MEDIAN(MIN($BK$3:$BK$23), MAX($BK$3:$BK$23), BA42))), ABS($BK$3:$BK$23 - MEDIAN(MIN($BK$3:$BK$23), MAX($BK$3:$BK$23), BA42)), $BL$3:$BL$23, "Error", 0)</f>
        <v/>
      </c>
      <c r="BB71" s="30">
        <f t="array" ref="BB71">_xlfn.XLOOKUP(MIN(ABS($BK$3:$BK$23 - MEDIAN(MIN($BK$3:$BK$23), MAX($BK$3:$BK$23), BB42))), ABS($BK$3:$BK$23 - MEDIAN(MIN($BK$3:$BK$23), MAX($BK$3:$BK$23), BB42)), $BL$3:$BL$23, "Error", 0)</f>
        <v/>
      </c>
      <c r="BC71" s="30">
        <f t="array" ref="BC71">_xlfn.XLOOKUP(MIN(ABS($BK$3:$BK$23 - MEDIAN(MIN($BK$3:$BK$23), MAX($BK$3:$BK$23), BC42))), ABS($BK$3:$BK$23 - MEDIAN(MIN($BK$3:$BK$23), MAX($BK$3:$BK$23), BC42)), $BL$3:$BL$23, "Error", 0)</f>
        <v/>
      </c>
      <c r="BD71" s="30">
        <f t="array" ref="BD71">_xlfn.XLOOKUP(MIN(ABS($BK$3:$BK$23 - MEDIAN(MIN($BK$3:$BK$23), MAX($BK$3:$BK$23), BD42))), ABS($BK$3:$BK$23 - MEDIAN(MIN($BK$3:$BK$23), MAX($BK$3:$BK$23), BD42)), $BL$3:$BL$23, "Error", 0)</f>
        <v/>
      </c>
      <c r="BE71" s="30">
        <f t="array" ref="BE71">_xlfn.XLOOKUP(MIN(ABS($BK$3:$BK$23 - MEDIAN(MIN($BK$3:$BK$23), MAX($BK$3:$BK$23), BE42))), ABS($BK$3:$BK$23 - MEDIAN(MIN($BK$3:$BK$23), MAX($BK$3:$BK$23), BE42)), $BL$3:$BL$23, "Error", 0)</f>
        <v/>
      </c>
      <c r="BF71" s="30">
        <f t="array" ref="BF71">_xlfn.XLOOKUP(MIN(ABS($BK$3:$BK$23 - MEDIAN(MIN($BK$3:$BK$23), MAX($BK$3:$BK$23), BF42))), ABS($BK$3:$BK$23 - MEDIAN(MIN($BK$3:$BK$23), MAX($BK$3:$BK$23), BF42)), $BL$3:$BL$23, "Error", 0)</f>
        <v/>
      </c>
      <c r="BG71" s="30">
        <f t="array" ref="BG71">_xlfn.XLOOKUP(MIN(ABS($BK$3:$BK$23 - MEDIAN(MIN($BK$3:$BK$23), MAX($BK$3:$BK$23), BG42))), ABS($BK$3:$BK$23 - MEDIAN(MIN($BK$3:$BK$23), MAX($BK$3:$BK$23), BG42)), $BL$3:$BL$23, "Error", 0)</f>
        <v/>
      </c>
      <c r="BH71" s="30">
        <f t="array" ref="BH71">_xlfn.XLOOKUP(MIN(ABS($BK$3:$BK$23 - MEDIAN(MIN($BK$3:$BK$23), MAX($BK$3:$BK$23), BH42))), ABS($BK$3:$BK$23 - MEDIAN(MIN($BK$3:$BK$23), MAX($BK$3:$BK$23), BH42)), $BL$3:$BL$23, "Error", 0)</f>
        <v/>
      </c>
      <c r="BI71" s="30">
        <f t="array" ref="BI71">_xlfn.XLOOKUP(MIN(ABS($BK$3:$BK$23 - MEDIAN(MIN($BK$3:$BK$23), MAX($BK$3:$BK$23), BI42))), ABS($BK$3:$BK$23 - MEDIAN(MIN($BK$3:$BK$23), MAX($BK$3:$BK$23), BI42)), $BL$3:$BL$23, "Error", 0)</f>
        <v/>
      </c>
    </row>
    <row r="72" ht="25" customHeight="1">
      <c r="A72" s="46" t="inlineStr">
        <is>
          <t>EUR GBP</t>
        </is>
      </c>
      <c r="B72" s="78" t="n"/>
      <c r="C72" s="78" t="n"/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30">
        <f t="array" ref="N72">_xlfn.XLOOKUP(MIN(ABS($BK$3:$BK$23 - MEDIAN(MIN($BK$3:$BK$23), MAX($BK$3:$BK$23), N43))), ABS($BK$3:$BK$23 - MEDIAN(MIN($BK$3:$BK$23), MAX($BK$3:$BK$23), N43)), $BL$3:$BL$23, "Error", 0)</f>
        <v/>
      </c>
      <c r="O72" s="30">
        <f t="array" ref="O72">_xlfn.XLOOKUP(MIN(ABS($BK$3:$BK$23 - MEDIAN(MIN($BK$3:$BK$23), MAX($BK$3:$BK$23), O43))), ABS($BK$3:$BK$23 - MEDIAN(MIN($BK$3:$BK$23), MAX($BK$3:$BK$23), O43)), $BL$3:$BL$23, "Error", 0)</f>
        <v/>
      </c>
      <c r="P72" s="30">
        <f t="array" ref="P72">_xlfn.XLOOKUP(MIN(ABS($BK$3:$BK$23 - MEDIAN(MIN($BK$3:$BK$23), MAX($BK$3:$BK$23), P43))), ABS($BK$3:$BK$23 - MEDIAN(MIN($BK$3:$BK$23), MAX($BK$3:$BK$23), P43)), $BL$3:$BL$23, "Error", 0)</f>
        <v/>
      </c>
      <c r="Q72" s="30">
        <f t="array" ref="Q72">_xlfn.XLOOKUP(MIN(ABS($BK$3:$BK$23 - MEDIAN(MIN($BK$3:$BK$23), MAX($BK$3:$BK$23), Q43))), ABS($BK$3:$BK$23 - MEDIAN(MIN($BK$3:$BK$23), MAX($BK$3:$BK$23), Q43)), $BL$3:$BL$23, "Error", 0)</f>
        <v/>
      </c>
      <c r="R72" s="30">
        <f t="array" ref="R72">_xlfn.XLOOKUP(MIN(ABS($BK$3:$BK$23 - MEDIAN(MIN($BK$3:$BK$23), MAX($BK$3:$BK$23), R43))), ABS($BK$3:$BK$23 - MEDIAN(MIN($BK$3:$BK$23), MAX($BK$3:$BK$23), R43)), $BL$3:$BL$23, "Error", 0)</f>
        <v/>
      </c>
      <c r="S72" s="30">
        <f t="array" ref="S72">_xlfn.XLOOKUP(MIN(ABS($BK$3:$BK$23 - MEDIAN(MIN($BK$3:$BK$23), MAX($BK$3:$BK$23), S43))), ABS($BK$3:$BK$23 - MEDIAN(MIN($BK$3:$BK$23), MAX($BK$3:$BK$23), S43)), $BL$3:$BL$23, "Error", 0)</f>
        <v/>
      </c>
      <c r="T72" s="30">
        <f t="array" ref="T72">_xlfn.XLOOKUP(MIN(ABS($BK$3:$BK$23 - MEDIAN(MIN($BK$3:$BK$23), MAX($BK$3:$BK$23), T43))), ABS($BK$3:$BK$23 - MEDIAN(MIN($BK$3:$BK$23), MAX($BK$3:$BK$23), T43)), $BL$3:$BL$23, "Error", 0)</f>
        <v/>
      </c>
      <c r="U72" s="30">
        <f t="array" ref="U72">_xlfn.XLOOKUP(MIN(ABS($BK$3:$BK$23 - MEDIAN(MIN($BK$3:$BK$23), MAX($BK$3:$BK$23), U43))), ABS($BK$3:$BK$23 - MEDIAN(MIN($BK$3:$BK$23), MAX($BK$3:$BK$23), U43)), $BL$3:$BL$23, "Error", 0)</f>
        <v/>
      </c>
      <c r="V72" s="30">
        <f t="array" ref="V72">_xlfn.XLOOKUP(MIN(ABS($BK$3:$BK$23 - MEDIAN(MIN($BK$3:$BK$23), MAX($BK$3:$BK$23), V43))), ABS($BK$3:$BK$23 - MEDIAN(MIN($BK$3:$BK$23), MAX($BK$3:$BK$23), V43)), $BL$3:$BL$23, "Error", 0)</f>
        <v/>
      </c>
      <c r="W72" s="30">
        <f t="array" ref="W72">_xlfn.XLOOKUP(MIN(ABS($BK$3:$BK$23 - MEDIAN(MIN($BK$3:$BK$23), MAX($BK$3:$BK$23), W43))), ABS($BK$3:$BK$23 - MEDIAN(MIN($BK$3:$BK$23), MAX($BK$3:$BK$23), W43)), $BL$3:$BL$23, "Error", 0)</f>
        <v/>
      </c>
      <c r="X72" s="30">
        <f t="array" ref="X72">_xlfn.XLOOKUP(MIN(ABS($BK$3:$BK$23 - MEDIAN(MIN($BK$3:$BK$23), MAX($BK$3:$BK$23), X43))), ABS($BK$3:$BK$23 - MEDIAN(MIN($BK$3:$BK$23), MAX($BK$3:$BK$23), X43)), $BL$3:$BL$23, "Error", 0)</f>
        <v/>
      </c>
      <c r="Y72" s="30">
        <f t="array" ref="Y72">_xlfn.XLOOKUP(MIN(ABS($BK$3:$BK$23 - MEDIAN(MIN($BK$3:$BK$23), MAX($BK$3:$BK$23), Y43))), ABS($BK$3:$BK$23 - MEDIAN(MIN($BK$3:$BK$23), MAX($BK$3:$BK$23), Y43)), $BL$3:$BL$23, "Error", 0)</f>
        <v/>
      </c>
      <c r="Z72" s="30">
        <f t="array" ref="Z72">_xlfn.XLOOKUP(MIN(ABS($BK$3:$BK$23 - MEDIAN(MIN($BK$3:$BK$23), MAX($BK$3:$BK$23), Z43))), ABS($BK$3:$BK$23 - MEDIAN(MIN($BK$3:$BK$23), MAX($BK$3:$BK$23), Z43)), $BL$3:$BL$23, "Error", 0)</f>
        <v/>
      </c>
      <c r="AA72" s="30">
        <f t="array" ref="AA72">_xlfn.XLOOKUP(MIN(ABS($BK$3:$BK$23 - MEDIAN(MIN($BK$3:$BK$23), MAX($BK$3:$BK$23), AA43))), ABS($BK$3:$BK$23 - MEDIAN(MIN($BK$3:$BK$23), MAX($BK$3:$BK$23), AA43)), $BL$3:$BL$23, "Error", 0)</f>
        <v/>
      </c>
      <c r="AB72" s="30">
        <f t="array" ref="AB72">_xlfn.XLOOKUP(MIN(ABS($BK$3:$BK$23 - MEDIAN(MIN($BK$3:$BK$23), MAX($BK$3:$BK$23), AB43))), ABS($BK$3:$BK$23 - MEDIAN(MIN($BK$3:$BK$23), MAX($BK$3:$BK$23), AB43)), $BL$3:$BL$23, "Error", 0)</f>
        <v/>
      </c>
      <c r="AC72" s="30">
        <f t="array" ref="AC72">_xlfn.XLOOKUP(MIN(ABS($BK$3:$BK$23 - MEDIAN(MIN($BK$3:$BK$23), MAX($BK$3:$BK$23), AC43))), ABS($BK$3:$BK$23 - MEDIAN(MIN($BK$3:$BK$23), MAX($BK$3:$BK$23), AC43)), $BL$3:$BL$23, "Error", 0)</f>
        <v/>
      </c>
      <c r="AD72" s="30">
        <f t="array" ref="AD72">_xlfn.XLOOKUP(MIN(ABS($BK$3:$BK$23 - MEDIAN(MIN($BK$3:$BK$23), MAX($BK$3:$BK$23), AD43))), ABS($BK$3:$BK$23 - MEDIAN(MIN($BK$3:$BK$23), MAX($BK$3:$BK$23), AD43)), $BL$3:$BL$23, "Error", 0)</f>
        <v/>
      </c>
      <c r="AE72" s="30">
        <f t="array" ref="AE72">_xlfn.XLOOKUP(MIN(ABS($BK$3:$BK$23 - MEDIAN(MIN($BK$3:$BK$23), MAX($BK$3:$BK$23), AE43))), ABS($BK$3:$BK$23 - MEDIAN(MIN($BK$3:$BK$23), MAX($BK$3:$BK$23), AE43)), $BL$3:$BL$23, "Error", 0)</f>
        <v/>
      </c>
      <c r="AF72" s="30">
        <f t="array" ref="AF72">_xlfn.XLOOKUP(MIN(ABS($BK$3:$BK$23 - MEDIAN(MIN($BK$3:$BK$23), MAX($BK$3:$BK$23), AF43))), ABS($BK$3:$BK$23 - MEDIAN(MIN($BK$3:$BK$23), MAX($BK$3:$BK$23), AF43)), $BL$3:$BL$23, "Error", 0)</f>
        <v/>
      </c>
      <c r="AG72" s="30">
        <f t="array" ref="AG72">_xlfn.XLOOKUP(MIN(ABS($BK$3:$BK$23 - MEDIAN(MIN($BK$3:$BK$23), MAX($BK$3:$BK$23), AG43))), ABS($BK$3:$BK$23 - MEDIAN(MIN($BK$3:$BK$23), MAX($BK$3:$BK$23), AG43)), $BL$3:$BL$23, "Error", 0)</f>
        <v/>
      </c>
      <c r="AH72" s="30">
        <f t="array" ref="AH72">_xlfn.XLOOKUP(MIN(ABS($BK$3:$BK$23 - MEDIAN(MIN($BK$3:$BK$23), MAX($BK$3:$BK$23), AH43))), ABS($BK$3:$BK$23 - MEDIAN(MIN($BK$3:$BK$23), MAX($BK$3:$BK$23), AH43)), $BL$3:$BL$23, "Error", 0)</f>
        <v/>
      </c>
      <c r="AI72" s="30">
        <f t="array" ref="AI72">_xlfn.XLOOKUP(MIN(ABS($BK$3:$BK$23 - MEDIAN(MIN($BK$3:$BK$23), MAX($BK$3:$BK$23), AI43))), ABS($BK$3:$BK$23 - MEDIAN(MIN($BK$3:$BK$23), MAX($BK$3:$BK$23), AI43)), $BL$3:$BL$23, "Error", 0)</f>
        <v/>
      </c>
      <c r="AJ72" s="30">
        <f t="array" ref="AJ72">_xlfn.XLOOKUP(MIN(ABS($BK$3:$BK$23 - MEDIAN(MIN($BK$3:$BK$23), MAX($BK$3:$BK$23), AJ43))), ABS($BK$3:$BK$23 - MEDIAN(MIN($BK$3:$BK$23), MAX($BK$3:$BK$23), AJ43)), $BL$3:$BL$23, "Error", 0)</f>
        <v/>
      </c>
      <c r="AK72" s="30">
        <f t="array" ref="AK72">_xlfn.XLOOKUP(MIN(ABS($BK$3:$BK$23 - MEDIAN(MIN($BK$3:$BK$23), MAX($BK$3:$BK$23), AK43))), ABS($BK$3:$BK$23 - MEDIAN(MIN($BK$3:$BK$23), MAX($BK$3:$BK$23), AK43)), $BL$3:$BL$23, "Error", 0)</f>
        <v/>
      </c>
      <c r="AL72" s="30">
        <f t="array" ref="AL72">_xlfn.XLOOKUP(MIN(ABS($BK$3:$BK$23 - MEDIAN(MIN($BK$3:$BK$23), MAX($BK$3:$BK$23), AL43))), ABS($BK$3:$BK$23 - MEDIAN(MIN($BK$3:$BK$23), MAX($BK$3:$BK$23), AL43)), $BL$3:$BL$23, "Error", 0)</f>
        <v/>
      </c>
      <c r="AM72" s="30">
        <f t="array" ref="AM72">_xlfn.XLOOKUP(MIN(ABS($BK$3:$BK$23 - MEDIAN(MIN($BK$3:$BK$23), MAX($BK$3:$BK$23), AM43))), ABS($BK$3:$BK$23 - MEDIAN(MIN($BK$3:$BK$23), MAX($BK$3:$BK$23), AM43)), $BL$3:$BL$23, "Error", 0)</f>
        <v/>
      </c>
      <c r="AN72" s="30">
        <f t="array" ref="AN72">_xlfn.XLOOKUP(MIN(ABS($BK$3:$BK$23 - MEDIAN(MIN($BK$3:$BK$23), MAX($BK$3:$BK$23), AN43))), ABS($BK$3:$BK$23 - MEDIAN(MIN($BK$3:$BK$23), MAX($BK$3:$BK$23), AN43)), $BL$3:$BL$23, "Error", 0)</f>
        <v/>
      </c>
      <c r="AO72" s="30">
        <f t="array" ref="AO72">_xlfn.XLOOKUP(MIN(ABS($BK$3:$BK$23 - MEDIAN(MIN($BK$3:$BK$23), MAX($BK$3:$BK$23), AO43))), ABS($BK$3:$BK$23 - MEDIAN(MIN($BK$3:$BK$23), MAX($BK$3:$BK$23), AO43)), $BL$3:$BL$23, "Error", 0)</f>
        <v/>
      </c>
      <c r="AP72" s="30">
        <f t="array" ref="AP72">_xlfn.XLOOKUP(MIN(ABS($BK$3:$BK$23 - MEDIAN(MIN($BK$3:$BK$23), MAX($BK$3:$BK$23), AP43))), ABS($BK$3:$BK$23 - MEDIAN(MIN($BK$3:$BK$23), MAX($BK$3:$BK$23), AP43)), $BL$3:$BL$23, "Error", 0)</f>
        <v/>
      </c>
      <c r="AQ72" s="30">
        <f t="array" ref="AQ72">_xlfn.XLOOKUP(MIN(ABS($BK$3:$BK$23 - MEDIAN(MIN($BK$3:$BK$23), MAX($BK$3:$BK$23), AQ43))), ABS($BK$3:$BK$23 - MEDIAN(MIN($BK$3:$BK$23), MAX($BK$3:$BK$23), AQ43)), $BL$3:$BL$23, "Error", 0)</f>
        <v/>
      </c>
      <c r="AR72" s="30">
        <f t="array" ref="AR72">_xlfn.XLOOKUP(MIN(ABS($BK$3:$BK$23 - MEDIAN(MIN($BK$3:$BK$23), MAX($BK$3:$BK$23), AR43))), ABS($BK$3:$BK$23 - MEDIAN(MIN($BK$3:$BK$23), MAX($BK$3:$BK$23), AR43)), $BL$3:$BL$23, "Error", 0)</f>
        <v/>
      </c>
      <c r="AS72" s="30">
        <f t="array" ref="AS72">_xlfn.XLOOKUP(MIN(ABS($BK$3:$BK$23 - MEDIAN(MIN($BK$3:$BK$23), MAX($BK$3:$BK$23), AS43))), ABS($BK$3:$BK$23 - MEDIAN(MIN($BK$3:$BK$23), MAX($BK$3:$BK$23), AS43)), $BL$3:$BL$23, "Error", 0)</f>
        <v/>
      </c>
      <c r="AT72" s="30">
        <f t="array" ref="AT72">_xlfn.XLOOKUP(MIN(ABS($BK$3:$BK$23 - MEDIAN(MIN($BK$3:$BK$23), MAX($BK$3:$BK$23), AT43))), ABS($BK$3:$BK$23 - MEDIAN(MIN($BK$3:$BK$23), MAX($BK$3:$BK$23), AT43)), $BL$3:$BL$23, "Error", 0)</f>
        <v/>
      </c>
      <c r="AU72" s="30">
        <f t="array" ref="AU72">_xlfn.XLOOKUP(MIN(ABS($BK$3:$BK$23 - MEDIAN(MIN($BK$3:$BK$23), MAX($BK$3:$BK$23), AU43))), ABS($BK$3:$BK$23 - MEDIAN(MIN($BK$3:$BK$23), MAX($BK$3:$BK$23), AU43)), $BL$3:$BL$23, "Error", 0)</f>
        <v/>
      </c>
      <c r="AV72" s="30">
        <f t="array" ref="AV72">_xlfn.XLOOKUP(MIN(ABS($BK$3:$BK$23 - MEDIAN(MIN($BK$3:$BK$23), MAX($BK$3:$BK$23), AV43))), ABS($BK$3:$BK$23 - MEDIAN(MIN($BK$3:$BK$23), MAX($BK$3:$BK$23), AV43)), $BL$3:$BL$23, "Error", 0)</f>
        <v/>
      </c>
      <c r="AW72" s="30">
        <f t="array" ref="AW72">_xlfn.XLOOKUP(MIN(ABS($BK$3:$BK$23 - MEDIAN(MIN($BK$3:$BK$23), MAX($BK$3:$BK$23), AW43))), ABS($BK$3:$BK$23 - MEDIAN(MIN($BK$3:$BK$23), MAX($BK$3:$BK$23), AW43)), $BL$3:$BL$23, "Error", 0)</f>
        <v/>
      </c>
      <c r="AX72" s="30">
        <f t="array" ref="AX72">_xlfn.XLOOKUP(MIN(ABS($BK$3:$BK$23 - MEDIAN(MIN($BK$3:$BK$23), MAX($BK$3:$BK$23), AX43))), ABS($BK$3:$BK$23 - MEDIAN(MIN($BK$3:$BK$23), MAX($BK$3:$BK$23), AX43)), $BL$3:$BL$23, "Error", 0)</f>
        <v/>
      </c>
      <c r="AY72" s="30">
        <f t="array" ref="AY72">_xlfn.XLOOKUP(MIN(ABS($BK$3:$BK$23 - MEDIAN(MIN($BK$3:$BK$23), MAX($BK$3:$BK$23), AY43))), ABS($BK$3:$BK$23 - MEDIAN(MIN($BK$3:$BK$23), MAX($BK$3:$BK$23), AY43)), $BL$3:$BL$23, "Error", 0)</f>
        <v/>
      </c>
      <c r="AZ72" s="30">
        <f t="array" ref="AZ72">_xlfn.XLOOKUP(MIN(ABS($BK$3:$BK$23 - MEDIAN(MIN($BK$3:$BK$23), MAX($BK$3:$BK$23), AZ43))), ABS($BK$3:$BK$23 - MEDIAN(MIN($BK$3:$BK$23), MAX($BK$3:$BK$23), AZ43)), $BL$3:$BL$23, "Error", 0)</f>
        <v/>
      </c>
      <c r="BA72" s="30">
        <f t="array" ref="BA72">_xlfn.XLOOKUP(MIN(ABS($BK$3:$BK$23 - MEDIAN(MIN($BK$3:$BK$23), MAX($BK$3:$BK$23), BA43))), ABS($BK$3:$BK$23 - MEDIAN(MIN($BK$3:$BK$23), MAX($BK$3:$BK$23), BA43)), $BL$3:$BL$23, "Error", 0)</f>
        <v/>
      </c>
      <c r="BB72" s="30">
        <f t="array" ref="BB72">_xlfn.XLOOKUP(MIN(ABS($BK$3:$BK$23 - MEDIAN(MIN($BK$3:$BK$23), MAX($BK$3:$BK$23), BB43))), ABS($BK$3:$BK$23 - MEDIAN(MIN($BK$3:$BK$23), MAX($BK$3:$BK$23), BB43)), $BL$3:$BL$23, "Error", 0)</f>
        <v/>
      </c>
      <c r="BC72" s="30">
        <f t="array" ref="BC72">_xlfn.XLOOKUP(MIN(ABS($BK$3:$BK$23 - MEDIAN(MIN($BK$3:$BK$23), MAX($BK$3:$BK$23), BC43))), ABS($BK$3:$BK$23 - MEDIAN(MIN($BK$3:$BK$23), MAX($BK$3:$BK$23), BC43)), $BL$3:$BL$23, "Error", 0)</f>
        <v/>
      </c>
      <c r="BD72" s="30">
        <f t="array" ref="BD72">_xlfn.XLOOKUP(MIN(ABS($BK$3:$BK$23 - MEDIAN(MIN($BK$3:$BK$23), MAX($BK$3:$BK$23), BD43))), ABS($BK$3:$BK$23 - MEDIAN(MIN($BK$3:$BK$23), MAX($BK$3:$BK$23), BD43)), $BL$3:$BL$23, "Error", 0)</f>
        <v/>
      </c>
      <c r="BE72" s="30">
        <f t="array" ref="BE72">_xlfn.XLOOKUP(MIN(ABS($BK$3:$BK$23 - MEDIAN(MIN($BK$3:$BK$23), MAX($BK$3:$BK$23), BE43))), ABS($BK$3:$BK$23 - MEDIAN(MIN($BK$3:$BK$23), MAX($BK$3:$BK$23), BE43)), $BL$3:$BL$23, "Error", 0)</f>
        <v/>
      </c>
      <c r="BF72" s="30">
        <f t="array" ref="BF72">_xlfn.XLOOKUP(MIN(ABS($BK$3:$BK$23 - MEDIAN(MIN($BK$3:$BK$23), MAX($BK$3:$BK$23), BF43))), ABS($BK$3:$BK$23 - MEDIAN(MIN($BK$3:$BK$23), MAX($BK$3:$BK$23), BF43)), $BL$3:$BL$23, "Error", 0)</f>
        <v/>
      </c>
      <c r="BG72" s="30">
        <f t="array" ref="BG72">_xlfn.XLOOKUP(MIN(ABS($BK$3:$BK$23 - MEDIAN(MIN($BK$3:$BK$23), MAX($BK$3:$BK$23), BG43))), ABS($BK$3:$BK$23 - MEDIAN(MIN($BK$3:$BK$23), MAX($BK$3:$BK$23), BG43)), $BL$3:$BL$23, "Error", 0)</f>
        <v/>
      </c>
      <c r="BH72" s="30">
        <f t="array" ref="BH72">_xlfn.XLOOKUP(MIN(ABS($BK$3:$BK$23 - MEDIAN(MIN($BK$3:$BK$23), MAX($BK$3:$BK$23), BH43))), ABS($BK$3:$BK$23 - MEDIAN(MIN($BK$3:$BK$23), MAX($BK$3:$BK$23), BH43)), $BL$3:$BL$23, "Error", 0)</f>
        <v/>
      </c>
      <c r="BI72" s="30">
        <f t="array" ref="BI72">_xlfn.XLOOKUP(MIN(ABS($BK$3:$BK$23 - MEDIAN(MIN($BK$3:$BK$23), MAX($BK$3:$BK$23), BI43))), ABS($BK$3:$BK$23 - MEDIAN(MIN($BK$3:$BK$23), MAX($BK$3:$BK$23), BI43)), $BL$3:$BL$23, "Error", 0)</f>
        <v/>
      </c>
    </row>
    <row r="73" ht="25" customHeight="1">
      <c r="A73" s="46" t="inlineStr">
        <is>
          <t>EUR CAD</t>
        </is>
      </c>
      <c r="B73" s="78" t="n"/>
      <c r="C73" s="78" t="n"/>
      <c r="D73" s="78" t="n"/>
      <c r="E73" s="78" t="n"/>
      <c r="F73" s="78" t="n"/>
      <c r="G73" s="78" t="n"/>
      <c r="H73" s="78" t="n"/>
      <c r="I73" s="78" t="n"/>
      <c r="J73" s="78" t="n"/>
      <c r="K73" s="78" t="n"/>
      <c r="L73" s="78" t="n"/>
      <c r="M73" s="78" t="n"/>
      <c r="N73" s="30">
        <f t="array" ref="N73">_xlfn.XLOOKUP(MIN(ABS($BK$3:$BK$23 - MEDIAN(MIN($BK$3:$BK$23), MAX($BK$3:$BK$23), N44))), ABS($BK$3:$BK$23 - MEDIAN(MIN($BK$3:$BK$23), MAX($BK$3:$BK$23), N44)), $BL$3:$BL$23, "Error", 0)</f>
        <v/>
      </c>
      <c r="O73" s="30">
        <f t="array" ref="O73">_xlfn.XLOOKUP(MIN(ABS($BK$3:$BK$23 - MEDIAN(MIN($BK$3:$BK$23), MAX($BK$3:$BK$23), O44))), ABS($BK$3:$BK$23 - MEDIAN(MIN($BK$3:$BK$23), MAX($BK$3:$BK$23), O44)), $BL$3:$BL$23, "Error", 0)</f>
        <v/>
      </c>
      <c r="P73" s="30">
        <f t="array" ref="P73">_xlfn.XLOOKUP(MIN(ABS($BK$3:$BK$23 - MEDIAN(MIN($BK$3:$BK$23), MAX($BK$3:$BK$23), P44))), ABS($BK$3:$BK$23 - MEDIAN(MIN($BK$3:$BK$23), MAX($BK$3:$BK$23), P44)), $BL$3:$BL$23, "Error", 0)</f>
        <v/>
      </c>
      <c r="Q73" s="30">
        <f t="array" ref="Q73">_xlfn.XLOOKUP(MIN(ABS($BK$3:$BK$23 - MEDIAN(MIN($BK$3:$BK$23), MAX($BK$3:$BK$23), Q44))), ABS($BK$3:$BK$23 - MEDIAN(MIN($BK$3:$BK$23), MAX($BK$3:$BK$23), Q44)), $BL$3:$BL$23, "Error", 0)</f>
        <v/>
      </c>
      <c r="R73" s="30">
        <f t="array" ref="R73">_xlfn.XLOOKUP(MIN(ABS($BK$3:$BK$23 - MEDIAN(MIN($BK$3:$BK$23), MAX($BK$3:$BK$23), R44))), ABS($BK$3:$BK$23 - MEDIAN(MIN($BK$3:$BK$23), MAX($BK$3:$BK$23), R44)), $BL$3:$BL$23, "Error", 0)</f>
        <v/>
      </c>
      <c r="S73" s="30">
        <f t="array" ref="S73">_xlfn.XLOOKUP(MIN(ABS($BK$3:$BK$23 - MEDIAN(MIN($BK$3:$BK$23), MAX($BK$3:$BK$23), S44))), ABS($BK$3:$BK$23 - MEDIAN(MIN($BK$3:$BK$23), MAX($BK$3:$BK$23), S44)), $BL$3:$BL$23, "Error", 0)</f>
        <v/>
      </c>
      <c r="T73" s="30">
        <f t="array" ref="T73">_xlfn.XLOOKUP(MIN(ABS($BK$3:$BK$23 - MEDIAN(MIN($BK$3:$BK$23), MAX($BK$3:$BK$23), T44))), ABS($BK$3:$BK$23 - MEDIAN(MIN($BK$3:$BK$23), MAX($BK$3:$BK$23), T44)), $BL$3:$BL$23, "Error", 0)</f>
        <v/>
      </c>
      <c r="U73" s="30">
        <f t="array" ref="U73">_xlfn.XLOOKUP(MIN(ABS($BK$3:$BK$23 - MEDIAN(MIN($BK$3:$BK$23), MAX($BK$3:$BK$23), U44))), ABS($BK$3:$BK$23 - MEDIAN(MIN($BK$3:$BK$23), MAX($BK$3:$BK$23), U44)), $BL$3:$BL$23, "Error", 0)</f>
        <v/>
      </c>
      <c r="V73" s="30">
        <f t="array" ref="V73">_xlfn.XLOOKUP(MIN(ABS($BK$3:$BK$23 - MEDIAN(MIN($BK$3:$BK$23), MAX($BK$3:$BK$23), V44))), ABS($BK$3:$BK$23 - MEDIAN(MIN($BK$3:$BK$23), MAX($BK$3:$BK$23), V44)), $BL$3:$BL$23, "Error", 0)</f>
        <v/>
      </c>
      <c r="W73" s="30">
        <f t="array" ref="W73">_xlfn.XLOOKUP(MIN(ABS($BK$3:$BK$23 - MEDIAN(MIN($BK$3:$BK$23), MAX($BK$3:$BK$23), W44))), ABS($BK$3:$BK$23 - MEDIAN(MIN($BK$3:$BK$23), MAX($BK$3:$BK$23), W44)), $BL$3:$BL$23, "Error", 0)</f>
        <v/>
      </c>
      <c r="X73" s="30">
        <f t="array" ref="X73">_xlfn.XLOOKUP(MIN(ABS($BK$3:$BK$23 - MEDIAN(MIN($BK$3:$BK$23), MAX($BK$3:$BK$23), X44))), ABS($BK$3:$BK$23 - MEDIAN(MIN($BK$3:$BK$23), MAX($BK$3:$BK$23), X44)), $BL$3:$BL$23, "Error", 0)</f>
        <v/>
      </c>
      <c r="Y73" s="30">
        <f t="array" ref="Y73">_xlfn.XLOOKUP(MIN(ABS($BK$3:$BK$23 - MEDIAN(MIN($BK$3:$BK$23), MAX($BK$3:$BK$23), Y44))), ABS($BK$3:$BK$23 - MEDIAN(MIN($BK$3:$BK$23), MAX($BK$3:$BK$23), Y44)), $BL$3:$BL$23, "Error", 0)</f>
        <v/>
      </c>
      <c r="Z73" s="30">
        <f t="array" ref="Z73">_xlfn.XLOOKUP(MIN(ABS($BK$3:$BK$23 - MEDIAN(MIN($BK$3:$BK$23), MAX($BK$3:$BK$23), Z44))), ABS($BK$3:$BK$23 - MEDIAN(MIN($BK$3:$BK$23), MAX($BK$3:$BK$23), Z44)), $BL$3:$BL$23, "Error", 0)</f>
        <v/>
      </c>
      <c r="AA73" s="30">
        <f t="array" ref="AA73">_xlfn.XLOOKUP(MIN(ABS($BK$3:$BK$23 - MEDIAN(MIN($BK$3:$BK$23), MAX($BK$3:$BK$23), AA44))), ABS($BK$3:$BK$23 - MEDIAN(MIN($BK$3:$BK$23), MAX($BK$3:$BK$23), AA44)), $BL$3:$BL$23, "Error", 0)</f>
        <v/>
      </c>
      <c r="AB73" s="30">
        <f t="array" ref="AB73">_xlfn.XLOOKUP(MIN(ABS($BK$3:$BK$23 - MEDIAN(MIN($BK$3:$BK$23), MAX($BK$3:$BK$23), AB44))), ABS($BK$3:$BK$23 - MEDIAN(MIN($BK$3:$BK$23), MAX($BK$3:$BK$23), AB44)), $BL$3:$BL$23, "Error", 0)</f>
        <v/>
      </c>
      <c r="AC73" s="30">
        <f t="array" ref="AC73">_xlfn.XLOOKUP(MIN(ABS($BK$3:$BK$23 - MEDIAN(MIN($BK$3:$BK$23), MAX($BK$3:$BK$23), AC44))), ABS($BK$3:$BK$23 - MEDIAN(MIN($BK$3:$BK$23), MAX($BK$3:$BK$23), AC44)), $BL$3:$BL$23, "Error", 0)</f>
        <v/>
      </c>
      <c r="AD73" s="30">
        <f t="array" ref="AD73">_xlfn.XLOOKUP(MIN(ABS($BK$3:$BK$23 - MEDIAN(MIN($BK$3:$BK$23), MAX($BK$3:$BK$23), AD44))), ABS($BK$3:$BK$23 - MEDIAN(MIN($BK$3:$BK$23), MAX($BK$3:$BK$23), AD44)), $BL$3:$BL$23, "Error", 0)</f>
        <v/>
      </c>
      <c r="AE73" s="30">
        <f t="array" ref="AE73">_xlfn.XLOOKUP(MIN(ABS($BK$3:$BK$23 - MEDIAN(MIN($BK$3:$BK$23), MAX($BK$3:$BK$23), AE44))), ABS($BK$3:$BK$23 - MEDIAN(MIN($BK$3:$BK$23), MAX($BK$3:$BK$23), AE44)), $BL$3:$BL$23, "Error", 0)</f>
        <v/>
      </c>
      <c r="AF73" s="30">
        <f t="array" ref="AF73">_xlfn.XLOOKUP(MIN(ABS($BK$3:$BK$23 - MEDIAN(MIN($BK$3:$BK$23), MAX($BK$3:$BK$23), AF44))), ABS($BK$3:$BK$23 - MEDIAN(MIN($BK$3:$BK$23), MAX($BK$3:$BK$23), AF44)), $BL$3:$BL$23, "Error", 0)</f>
        <v/>
      </c>
      <c r="AG73" s="30">
        <f t="array" ref="AG73">_xlfn.XLOOKUP(MIN(ABS($BK$3:$BK$23 - MEDIAN(MIN($BK$3:$BK$23), MAX($BK$3:$BK$23), AG44))), ABS($BK$3:$BK$23 - MEDIAN(MIN($BK$3:$BK$23), MAX($BK$3:$BK$23), AG44)), $BL$3:$BL$23, "Error", 0)</f>
        <v/>
      </c>
      <c r="AH73" s="30">
        <f t="array" ref="AH73">_xlfn.XLOOKUP(MIN(ABS($BK$3:$BK$23 - MEDIAN(MIN($BK$3:$BK$23), MAX($BK$3:$BK$23), AH44))), ABS($BK$3:$BK$23 - MEDIAN(MIN($BK$3:$BK$23), MAX($BK$3:$BK$23), AH44)), $BL$3:$BL$23, "Error", 0)</f>
        <v/>
      </c>
      <c r="AI73" s="30">
        <f t="array" ref="AI73">_xlfn.XLOOKUP(MIN(ABS($BK$3:$BK$23 - MEDIAN(MIN($BK$3:$BK$23), MAX($BK$3:$BK$23), AI44))), ABS($BK$3:$BK$23 - MEDIAN(MIN($BK$3:$BK$23), MAX($BK$3:$BK$23), AI44)), $BL$3:$BL$23, "Error", 0)</f>
        <v/>
      </c>
      <c r="AJ73" s="30">
        <f t="array" ref="AJ73">_xlfn.XLOOKUP(MIN(ABS($BK$3:$BK$23 - MEDIAN(MIN($BK$3:$BK$23), MAX($BK$3:$BK$23), AJ44))), ABS($BK$3:$BK$23 - MEDIAN(MIN($BK$3:$BK$23), MAX($BK$3:$BK$23), AJ44)), $BL$3:$BL$23, "Error", 0)</f>
        <v/>
      </c>
      <c r="AK73" s="30">
        <f t="array" ref="AK73">_xlfn.XLOOKUP(MIN(ABS($BK$3:$BK$23 - MEDIAN(MIN($BK$3:$BK$23), MAX($BK$3:$BK$23), AK44))), ABS($BK$3:$BK$23 - MEDIAN(MIN($BK$3:$BK$23), MAX($BK$3:$BK$23), AK44)), $BL$3:$BL$23, "Error", 0)</f>
        <v/>
      </c>
      <c r="AL73" s="30">
        <f t="array" ref="AL73">_xlfn.XLOOKUP(MIN(ABS($BK$3:$BK$23 - MEDIAN(MIN($BK$3:$BK$23), MAX($BK$3:$BK$23), AL44))), ABS($BK$3:$BK$23 - MEDIAN(MIN($BK$3:$BK$23), MAX($BK$3:$BK$23), AL44)), $BL$3:$BL$23, "Error", 0)</f>
        <v/>
      </c>
      <c r="AM73" s="30">
        <f t="array" ref="AM73">_xlfn.XLOOKUP(MIN(ABS($BK$3:$BK$23 - MEDIAN(MIN($BK$3:$BK$23), MAX($BK$3:$BK$23), AM44))), ABS($BK$3:$BK$23 - MEDIAN(MIN($BK$3:$BK$23), MAX($BK$3:$BK$23), AM44)), $BL$3:$BL$23, "Error", 0)</f>
        <v/>
      </c>
      <c r="AN73" s="30">
        <f t="array" ref="AN73">_xlfn.XLOOKUP(MIN(ABS($BK$3:$BK$23 - MEDIAN(MIN($BK$3:$BK$23), MAX($BK$3:$BK$23), AN44))), ABS($BK$3:$BK$23 - MEDIAN(MIN($BK$3:$BK$23), MAX($BK$3:$BK$23), AN44)), $BL$3:$BL$23, "Error", 0)</f>
        <v/>
      </c>
      <c r="AO73" s="30">
        <f t="array" ref="AO73">_xlfn.XLOOKUP(MIN(ABS($BK$3:$BK$23 - MEDIAN(MIN($BK$3:$BK$23), MAX($BK$3:$BK$23), AO44))), ABS($BK$3:$BK$23 - MEDIAN(MIN($BK$3:$BK$23), MAX($BK$3:$BK$23), AO44)), $BL$3:$BL$23, "Error", 0)</f>
        <v/>
      </c>
      <c r="AP73" s="30">
        <f t="array" ref="AP73">_xlfn.XLOOKUP(MIN(ABS($BK$3:$BK$23 - MEDIAN(MIN($BK$3:$BK$23), MAX($BK$3:$BK$23), AP44))), ABS($BK$3:$BK$23 - MEDIAN(MIN($BK$3:$BK$23), MAX($BK$3:$BK$23), AP44)), $BL$3:$BL$23, "Error", 0)</f>
        <v/>
      </c>
      <c r="AQ73" s="30">
        <f t="array" ref="AQ73">_xlfn.XLOOKUP(MIN(ABS($BK$3:$BK$23 - MEDIAN(MIN($BK$3:$BK$23), MAX($BK$3:$BK$23), AQ44))), ABS($BK$3:$BK$23 - MEDIAN(MIN($BK$3:$BK$23), MAX($BK$3:$BK$23), AQ44)), $BL$3:$BL$23, "Error", 0)</f>
        <v/>
      </c>
      <c r="AR73" s="30">
        <f t="array" ref="AR73">_xlfn.XLOOKUP(MIN(ABS($BK$3:$BK$23 - MEDIAN(MIN($BK$3:$BK$23), MAX($BK$3:$BK$23), AR44))), ABS($BK$3:$BK$23 - MEDIAN(MIN($BK$3:$BK$23), MAX($BK$3:$BK$23), AR44)), $BL$3:$BL$23, "Error", 0)</f>
        <v/>
      </c>
      <c r="AS73" s="30">
        <f t="array" ref="AS73">_xlfn.XLOOKUP(MIN(ABS($BK$3:$BK$23 - MEDIAN(MIN($BK$3:$BK$23), MAX($BK$3:$BK$23), AS44))), ABS($BK$3:$BK$23 - MEDIAN(MIN($BK$3:$BK$23), MAX($BK$3:$BK$23), AS44)), $BL$3:$BL$23, "Error", 0)</f>
        <v/>
      </c>
      <c r="AT73" s="30">
        <f t="array" ref="AT73">_xlfn.XLOOKUP(MIN(ABS($BK$3:$BK$23 - MEDIAN(MIN($BK$3:$BK$23), MAX($BK$3:$BK$23), AT44))), ABS($BK$3:$BK$23 - MEDIAN(MIN($BK$3:$BK$23), MAX($BK$3:$BK$23), AT44)), $BL$3:$BL$23, "Error", 0)</f>
        <v/>
      </c>
      <c r="AU73" s="30">
        <f t="array" ref="AU73">_xlfn.XLOOKUP(MIN(ABS($BK$3:$BK$23 - MEDIAN(MIN($BK$3:$BK$23), MAX($BK$3:$BK$23), AU44))), ABS($BK$3:$BK$23 - MEDIAN(MIN($BK$3:$BK$23), MAX($BK$3:$BK$23), AU44)), $BL$3:$BL$23, "Error", 0)</f>
        <v/>
      </c>
      <c r="AV73" s="30">
        <f t="array" ref="AV73">_xlfn.XLOOKUP(MIN(ABS($BK$3:$BK$23 - MEDIAN(MIN($BK$3:$BK$23), MAX($BK$3:$BK$23), AV44))), ABS($BK$3:$BK$23 - MEDIAN(MIN($BK$3:$BK$23), MAX($BK$3:$BK$23), AV44)), $BL$3:$BL$23, "Error", 0)</f>
        <v/>
      </c>
      <c r="AW73" s="30">
        <f t="array" ref="AW73">_xlfn.XLOOKUP(MIN(ABS($BK$3:$BK$23 - MEDIAN(MIN($BK$3:$BK$23), MAX($BK$3:$BK$23), AW44))), ABS($BK$3:$BK$23 - MEDIAN(MIN($BK$3:$BK$23), MAX($BK$3:$BK$23), AW44)), $BL$3:$BL$23, "Error", 0)</f>
        <v/>
      </c>
      <c r="AX73" s="30">
        <f t="array" ref="AX73">_xlfn.XLOOKUP(MIN(ABS($BK$3:$BK$23 - MEDIAN(MIN($BK$3:$BK$23), MAX($BK$3:$BK$23), AX44))), ABS($BK$3:$BK$23 - MEDIAN(MIN($BK$3:$BK$23), MAX($BK$3:$BK$23), AX44)), $BL$3:$BL$23, "Error", 0)</f>
        <v/>
      </c>
      <c r="AY73" s="30">
        <f t="array" ref="AY73">_xlfn.XLOOKUP(MIN(ABS($BK$3:$BK$23 - MEDIAN(MIN($BK$3:$BK$23), MAX($BK$3:$BK$23), AY44))), ABS($BK$3:$BK$23 - MEDIAN(MIN($BK$3:$BK$23), MAX($BK$3:$BK$23), AY44)), $BL$3:$BL$23, "Error", 0)</f>
        <v/>
      </c>
      <c r="AZ73" s="30">
        <f t="array" ref="AZ73">_xlfn.XLOOKUP(MIN(ABS($BK$3:$BK$23 - MEDIAN(MIN($BK$3:$BK$23), MAX($BK$3:$BK$23), AZ44))), ABS($BK$3:$BK$23 - MEDIAN(MIN($BK$3:$BK$23), MAX($BK$3:$BK$23), AZ44)), $BL$3:$BL$23, "Error", 0)</f>
        <v/>
      </c>
      <c r="BA73" s="30">
        <f t="array" ref="BA73">_xlfn.XLOOKUP(MIN(ABS($BK$3:$BK$23 - MEDIAN(MIN($BK$3:$BK$23), MAX($BK$3:$BK$23), BA44))), ABS($BK$3:$BK$23 - MEDIAN(MIN($BK$3:$BK$23), MAX($BK$3:$BK$23), BA44)), $BL$3:$BL$23, "Error", 0)</f>
        <v/>
      </c>
      <c r="BB73" s="30">
        <f t="array" ref="BB73">_xlfn.XLOOKUP(MIN(ABS($BK$3:$BK$23 - MEDIAN(MIN($BK$3:$BK$23), MAX($BK$3:$BK$23), BB44))), ABS($BK$3:$BK$23 - MEDIAN(MIN($BK$3:$BK$23), MAX($BK$3:$BK$23), BB44)), $BL$3:$BL$23, "Error", 0)</f>
        <v/>
      </c>
      <c r="BC73" s="30">
        <f t="array" ref="BC73">_xlfn.XLOOKUP(MIN(ABS($BK$3:$BK$23 - MEDIAN(MIN($BK$3:$BK$23), MAX($BK$3:$BK$23), BC44))), ABS($BK$3:$BK$23 - MEDIAN(MIN($BK$3:$BK$23), MAX($BK$3:$BK$23), BC44)), $BL$3:$BL$23, "Error", 0)</f>
        <v/>
      </c>
      <c r="BD73" s="30">
        <f t="array" ref="BD73">_xlfn.XLOOKUP(MIN(ABS($BK$3:$BK$23 - MEDIAN(MIN($BK$3:$BK$23), MAX($BK$3:$BK$23), BD44))), ABS($BK$3:$BK$23 - MEDIAN(MIN($BK$3:$BK$23), MAX($BK$3:$BK$23), BD44)), $BL$3:$BL$23, "Error", 0)</f>
        <v/>
      </c>
      <c r="BE73" s="30">
        <f t="array" ref="BE73">_xlfn.XLOOKUP(MIN(ABS($BK$3:$BK$23 - MEDIAN(MIN($BK$3:$BK$23), MAX($BK$3:$BK$23), BE44))), ABS($BK$3:$BK$23 - MEDIAN(MIN($BK$3:$BK$23), MAX($BK$3:$BK$23), BE44)), $BL$3:$BL$23, "Error", 0)</f>
        <v/>
      </c>
      <c r="BF73" s="30">
        <f t="array" ref="BF73">_xlfn.XLOOKUP(MIN(ABS($BK$3:$BK$23 - MEDIAN(MIN($BK$3:$BK$23), MAX($BK$3:$BK$23), BF44))), ABS($BK$3:$BK$23 - MEDIAN(MIN($BK$3:$BK$23), MAX($BK$3:$BK$23), BF44)), $BL$3:$BL$23, "Error", 0)</f>
        <v/>
      </c>
      <c r="BG73" s="30">
        <f t="array" ref="BG73">_xlfn.XLOOKUP(MIN(ABS($BK$3:$BK$23 - MEDIAN(MIN($BK$3:$BK$23), MAX($BK$3:$BK$23), BG44))), ABS($BK$3:$BK$23 - MEDIAN(MIN($BK$3:$BK$23), MAX($BK$3:$BK$23), BG44)), $BL$3:$BL$23, "Error", 0)</f>
        <v/>
      </c>
      <c r="BH73" s="30">
        <f t="array" ref="BH73">_xlfn.XLOOKUP(MIN(ABS($BK$3:$BK$23 - MEDIAN(MIN($BK$3:$BK$23), MAX($BK$3:$BK$23), BH44))), ABS($BK$3:$BK$23 - MEDIAN(MIN($BK$3:$BK$23), MAX($BK$3:$BK$23), BH44)), $BL$3:$BL$23, "Error", 0)</f>
        <v/>
      </c>
      <c r="BI73" s="30">
        <f t="array" ref="BI73">_xlfn.XLOOKUP(MIN(ABS($BK$3:$BK$23 - MEDIAN(MIN($BK$3:$BK$23), MAX($BK$3:$BK$23), BI44))), ABS($BK$3:$BK$23 - MEDIAN(MIN($BK$3:$BK$23), MAX($BK$3:$BK$23), BI44)), $BL$3:$BL$23, "Error", 0)</f>
        <v/>
      </c>
    </row>
    <row r="74" ht="25" customHeight="1">
      <c r="A74" s="46" t="inlineStr">
        <is>
          <t>EUR AUD</t>
        </is>
      </c>
      <c r="B74" s="78" t="n"/>
      <c r="C74" s="78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30">
        <f t="array" ref="N74">_xlfn.XLOOKUP(MIN(ABS($BK$3:$BK$23 - MEDIAN(MIN($BK$3:$BK$23), MAX($BK$3:$BK$23), N45))), ABS($BK$3:$BK$23 - MEDIAN(MIN($BK$3:$BK$23), MAX($BK$3:$BK$23), N45)), $BL$3:$BL$23, "Error", 0)</f>
        <v/>
      </c>
      <c r="O74" s="30">
        <f t="array" ref="O74">_xlfn.XLOOKUP(MIN(ABS($BK$3:$BK$23 - MEDIAN(MIN($BK$3:$BK$23), MAX($BK$3:$BK$23), O45))), ABS($BK$3:$BK$23 - MEDIAN(MIN($BK$3:$BK$23), MAX($BK$3:$BK$23), O45)), $BL$3:$BL$23, "Error", 0)</f>
        <v/>
      </c>
      <c r="P74" s="30">
        <f t="array" ref="P74">_xlfn.XLOOKUP(MIN(ABS($BK$3:$BK$23 - MEDIAN(MIN($BK$3:$BK$23), MAX($BK$3:$BK$23), P45))), ABS($BK$3:$BK$23 - MEDIAN(MIN($BK$3:$BK$23), MAX($BK$3:$BK$23), P45)), $BL$3:$BL$23, "Error", 0)</f>
        <v/>
      </c>
      <c r="Q74" s="30">
        <f t="array" ref="Q74">_xlfn.XLOOKUP(MIN(ABS($BK$3:$BK$23 - MEDIAN(MIN($BK$3:$BK$23), MAX($BK$3:$BK$23), Q45))), ABS($BK$3:$BK$23 - MEDIAN(MIN($BK$3:$BK$23), MAX($BK$3:$BK$23), Q45)), $BL$3:$BL$23, "Error", 0)</f>
        <v/>
      </c>
      <c r="R74" s="30">
        <f t="array" ref="R74">_xlfn.XLOOKUP(MIN(ABS($BK$3:$BK$23 - MEDIAN(MIN($BK$3:$BK$23), MAX($BK$3:$BK$23), R45))), ABS($BK$3:$BK$23 - MEDIAN(MIN($BK$3:$BK$23), MAX($BK$3:$BK$23), R45)), $BL$3:$BL$23, "Error", 0)</f>
        <v/>
      </c>
      <c r="S74" s="30">
        <f t="array" ref="S74">_xlfn.XLOOKUP(MIN(ABS($BK$3:$BK$23 - MEDIAN(MIN($BK$3:$BK$23), MAX($BK$3:$BK$23), S45))), ABS($BK$3:$BK$23 - MEDIAN(MIN($BK$3:$BK$23), MAX($BK$3:$BK$23), S45)), $BL$3:$BL$23, "Error", 0)</f>
        <v/>
      </c>
      <c r="T74" s="30">
        <f t="array" ref="T74">_xlfn.XLOOKUP(MIN(ABS($BK$3:$BK$23 - MEDIAN(MIN($BK$3:$BK$23), MAX($BK$3:$BK$23), T45))), ABS($BK$3:$BK$23 - MEDIAN(MIN($BK$3:$BK$23), MAX($BK$3:$BK$23), T45)), $BL$3:$BL$23, "Error", 0)</f>
        <v/>
      </c>
      <c r="U74" s="30">
        <f t="array" ref="U74">_xlfn.XLOOKUP(MIN(ABS($BK$3:$BK$23 - MEDIAN(MIN($BK$3:$BK$23), MAX($BK$3:$BK$23), U45))), ABS($BK$3:$BK$23 - MEDIAN(MIN($BK$3:$BK$23), MAX($BK$3:$BK$23), U45)), $BL$3:$BL$23, "Error", 0)</f>
        <v/>
      </c>
      <c r="V74" s="30">
        <f t="array" ref="V74">_xlfn.XLOOKUP(MIN(ABS($BK$3:$BK$23 - MEDIAN(MIN($BK$3:$BK$23), MAX($BK$3:$BK$23), V45))), ABS($BK$3:$BK$23 - MEDIAN(MIN($BK$3:$BK$23), MAX($BK$3:$BK$23), V45)), $BL$3:$BL$23, "Error", 0)</f>
        <v/>
      </c>
      <c r="W74" s="30">
        <f t="array" ref="W74">_xlfn.XLOOKUP(MIN(ABS($BK$3:$BK$23 - MEDIAN(MIN($BK$3:$BK$23), MAX($BK$3:$BK$23), W45))), ABS($BK$3:$BK$23 - MEDIAN(MIN($BK$3:$BK$23), MAX($BK$3:$BK$23), W45)), $BL$3:$BL$23, "Error", 0)</f>
        <v/>
      </c>
      <c r="X74" s="30">
        <f t="array" ref="X74">_xlfn.XLOOKUP(MIN(ABS($BK$3:$BK$23 - MEDIAN(MIN($BK$3:$BK$23), MAX($BK$3:$BK$23), X45))), ABS($BK$3:$BK$23 - MEDIAN(MIN($BK$3:$BK$23), MAX($BK$3:$BK$23), X45)), $BL$3:$BL$23, "Error", 0)</f>
        <v/>
      </c>
      <c r="Y74" s="30">
        <f t="array" ref="Y74">_xlfn.XLOOKUP(MIN(ABS($BK$3:$BK$23 - MEDIAN(MIN($BK$3:$BK$23), MAX($BK$3:$BK$23), Y45))), ABS($BK$3:$BK$23 - MEDIAN(MIN($BK$3:$BK$23), MAX($BK$3:$BK$23), Y45)), $BL$3:$BL$23, "Error", 0)</f>
        <v/>
      </c>
      <c r="Z74" s="30">
        <f t="array" ref="Z74">_xlfn.XLOOKUP(MIN(ABS($BK$3:$BK$23 - MEDIAN(MIN($BK$3:$BK$23), MAX($BK$3:$BK$23), Z45))), ABS($BK$3:$BK$23 - MEDIAN(MIN($BK$3:$BK$23), MAX($BK$3:$BK$23), Z45)), $BL$3:$BL$23, "Error", 0)</f>
        <v/>
      </c>
      <c r="AA74" s="30">
        <f t="array" ref="AA74">_xlfn.XLOOKUP(MIN(ABS($BK$3:$BK$23 - MEDIAN(MIN($BK$3:$BK$23), MAX($BK$3:$BK$23), AA45))), ABS($BK$3:$BK$23 - MEDIAN(MIN($BK$3:$BK$23), MAX($BK$3:$BK$23), AA45)), $BL$3:$BL$23, "Error", 0)</f>
        <v/>
      </c>
      <c r="AB74" s="30">
        <f t="array" ref="AB74">_xlfn.XLOOKUP(MIN(ABS($BK$3:$BK$23 - MEDIAN(MIN($BK$3:$BK$23), MAX($BK$3:$BK$23), AB45))), ABS($BK$3:$BK$23 - MEDIAN(MIN($BK$3:$BK$23), MAX($BK$3:$BK$23), AB45)), $BL$3:$BL$23, "Error", 0)</f>
        <v/>
      </c>
      <c r="AC74" s="30">
        <f t="array" ref="AC74">_xlfn.XLOOKUP(MIN(ABS($BK$3:$BK$23 - MEDIAN(MIN($BK$3:$BK$23), MAX($BK$3:$BK$23), AC45))), ABS($BK$3:$BK$23 - MEDIAN(MIN($BK$3:$BK$23), MAX($BK$3:$BK$23), AC45)), $BL$3:$BL$23, "Error", 0)</f>
        <v/>
      </c>
      <c r="AD74" s="30">
        <f t="array" ref="AD74">_xlfn.XLOOKUP(MIN(ABS($BK$3:$BK$23 - MEDIAN(MIN($BK$3:$BK$23), MAX($BK$3:$BK$23), AD45))), ABS($BK$3:$BK$23 - MEDIAN(MIN($BK$3:$BK$23), MAX($BK$3:$BK$23), AD45)), $BL$3:$BL$23, "Error", 0)</f>
        <v/>
      </c>
      <c r="AE74" s="30">
        <f t="array" ref="AE74">_xlfn.XLOOKUP(MIN(ABS($BK$3:$BK$23 - MEDIAN(MIN($BK$3:$BK$23), MAX($BK$3:$BK$23), AE45))), ABS($BK$3:$BK$23 - MEDIAN(MIN($BK$3:$BK$23), MAX($BK$3:$BK$23), AE45)), $BL$3:$BL$23, "Error", 0)</f>
        <v/>
      </c>
      <c r="AF74" s="30">
        <f t="array" ref="AF74">_xlfn.XLOOKUP(MIN(ABS($BK$3:$BK$23 - MEDIAN(MIN($BK$3:$BK$23), MAX($BK$3:$BK$23), AF45))), ABS($BK$3:$BK$23 - MEDIAN(MIN($BK$3:$BK$23), MAX($BK$3:$BK$23), AF45)), $BL$3:$BL$23, "Error", 0)</f>
        <v/>
      </c>
      <c r="AG74" s="30">
        <f t="array" ref="AG74">_xlfn.XLOOKUP(MIN(ABS($BK$3:$BK$23 - MEDIAN(MIN($BK$3:$BK$23), MAX($BK$3:$BK$23), AG45))), ABS($BK$3:$BK$23 - MEDIAN(MIN($BK$3:$BK$23), MAX($BK$3:$BK$23), AG45)), $BL$3:$BL$23, "Error", 0)</f>
        <v/>
      </c>
      <c r="AH74" s="30">
        <f t="array" ref="AH74">_xlfn.XLOOKUP(MIN(ABS($BK$3:$BK$23 - MEDIAN(MIN($BK$3:$BK$23), MAX($BK$3:$BK$23), AH45))), ABS($BK$3:$BK$23 - MEDIAN(MIN($BK$3:$BK$23), MAX($BK$3:$BK$23), AH45)), $BL$3:$BL$23, "Error", 0)</f>
        <v/>
      </c>
      <c r="AI74" s="30">
        <f t="array" ref="AI74">_xlfn.XLOOKUP(MIN(ABS($BK$3:$BK$23 - MEDIAN(MIN($BK$3:$BK$23), MAX($BK$3:$BK$23), AI45))), ABS($BK$3:$BK$23 - MEDIAN(MIN($BK$3:$BK$23), MAX($BK$3:$BK$23), AI45)), $BL$3:$BL$23, "Error", 0)</f>
        <v/>
      </c>
      <c r="AJ74" s="30">
        <f t="array" ref="AJ74">_xlfn.XLOOKUP(MIN(ABS($BK$3:$BK$23 - MEDIAN(MIN($BK$3:$BK$23), MAX($BK$3:$BK$23), AJ45))), ABS($BK$3:$BK$23 - MEDIAN(MIN($BK$3:$BK$23), MAX($BK$3:$BK$23), AJ45)), $BL$3:$BL$23, "Error", 0)</f>
        <v/>
      </c>
      <c r="AK74" s="30">
        <f t="array" ref="AK74">_xlfn.XLOOKUP(MIN(ABS($BK$3:$BK$23 - MEDIAN(MIN($BK$3:$BK$23), MAX($BK$3:$BK$23), AK45))), ABS($BK$3:$BK$23 - MEDIAN(MIN($BK$3:$BK$23), MAX($BK$3:$BK$23), AK45)), $BL$3:$BL$23, "Error", 0)</f>
        <v/>
      </c>
      <c r="AL74" s="30">
        <f t="array" ref="AL74">_xlfn.XLOOKUP(MIN(ABS($BK$3:$BK$23 - MEDIAN(MIN($BK$3:$BK$23), MAX($BK$3:$BK$23), AL45))), ABS($BK$3:$BK$23 - MEDIAN(MIN($BK$3:$BK$23), MAX($BK$3:$BK$23), AL45)), $BL$3:$BL$23, "Error", 0)</f>
        <v/>
      </c>
      <c r="AM74" s="30">
        <f t="array" ref="AM74">_xlfn.XLOOKUP(MIN(ABS($BK$3:$BK$23 - MEDIAN(MIN($BK$3:$BK$23), MAX($BK$3:$BK$23), AM45))), ABS($BK$3:$BK$23 - MEDIAN(MIN($BK$3:$BK$23), MAX($BK$3:$BK$23), AM45)), $BL$3:$BL$23, "Error", 0)</f>
        <v/>
      </c>
      <c r="AN74" s="30">
        <f t="array" ref="AN74">_xlfn.XLOOKUP(MIN(ABS($BK$3:$BK$23 - MEDIAN(MIN($BK$3:$BK$23), MAX($BK$3:$BK$23), AN45))), ABS($BK$3:$BK$23 - MEDIAN(MIN($BK$3:$BK$23), MAX($BK$3:$BK$23), AN45)), $BL$3:$BL$23, "Error", 0)</f>
        <v/>
      </c>
      <c r="AO74" s="30">
        <f t="array" ref="AO74">_xlfn.XLOOKUP(MIN(ABS($BK$3:$BK$23 - MEDIAN(MIN($BK$3:$BK$23), MAX($BK$3:$BK$23), AO45))), ABS($BK$3:$BK$23 - MEDIAN(MIN($BK$3:$BK$23), MAX($BK$3:$BK$23), AO45)), $BL$3:$BL$23, "Error", 0)</f>
        <v/>
      </c>
      <c r="AP74" s="30">
        <f t="array" ref="AP74">_xlfn.XLOOKUP(MIN(ABS($BK$3:$BK$23 - MEDIAN(MIN($BK$3:$BK$23), MAX($BK$3:$BK$23), AP45))), ABS($BK$3:$BK$23 - MEDIAN(MIN($BK$3:$BK$23), MAX($BK$3:$BK$23), AP45)), $BL$3:$BL$23, "Error", 0)</f>
        <v/>
      </c>
      <c r="AQ74" s="30">
        <f t="array" ref="AQ74">_xlfn.XLOOKUP(MIN(ABS($BK$3:$BK$23 - MEDIAN(MIN($BK$3:$BK$23), MAX($BK$3:$BK$23), AQ45))), ABS($BK$3:$BK$23 - MEDIAN(MIN($BK$3:$BK$23), MAX($BK$3:$BK$23), AQ45)), $BL$3:$BL$23, "Error", 0)</f>
        <v/>
      </c>
      <c r="AR74" s="30">
        <f t="array" ref="AR74">_xlfn.XLOOKUP(MIN(ABS($BK$3:$BK$23 - MEDIAN(MIN($BK$3:$BK$23), MAX($BK$3:$BK$23), AR45))), ABS($BK$3:$BK$23 - MEDIAN(MIN($BK$3:$BK$23), MAX($BK$3:$BK$23), AR45)), $BL$3:$BL$23, "Error", 0)</f>
        <v/>
      </c>
      <c r="AS74" s="30">
        <f t="array" ref="AS74">_xlfn.XLOOKUP(MIN(ABS($BK$3:$BK$23 - MEDIAN(MIN($BK$3:$BK$23), MAX($BK$3:$BK$23), AS45))), ABS($BK$3:$BK$23 - MEDIAN(MIN($BK$3:$BK$23), MAX($BK$3:$BK$23), AS45)), $BL$3:$BL$23, "Error", 0)</f>
        <v/>
      </c>
      <c r="AT74" s="30">
        <f t="array" ref="AT74">_xlfn.XLOOKUP(MIN(ABS($BK$3:$BK$23 - MEDIAN(MIN($BK$3:$BK$23), MAX($BK$3:$BK$23), AT45))), ABS($BK$3:$BK$23 - MEDIAN(MIN($BK$3:$BK$23), MAX($BK$3:$BK$23), AT45)), $BL$3:$BL$23, "Error", 0)</f>
        <v/>
      </c>
      <c r="AU74" s="30">
        <f t="array" ref="AU74">_xlfn.XLOOKUP(MIN(ABS($BK$3:$BK$23 - MEDIAN(MIN($BK$3:$BK$23), MAX($BK$3:$BK$23), AU45))), ABS($BK$3:$BK$23 - MEDIAN(MIN($BK$3:$BK$23), MAX($BK$3:$BK$23), AU45)), $BL$3:$BL$23, "Error", 0)</f>
        <v/>
      </c>
      <c r="AV74" s="30">
        <f t="array" ref="AV74">_xlfn.XLOOKUP(MIN(ABS($BK$3:$BK$23 - MEDIAN(MIN($BK$3:$BK$23), MAX($BK$3:$BK$23), AV45))), ABS($BK$3:$BK$23 - MEDIAN(MIN($BK$3:$BK$23), MAX($BK$3:$BK$23), AV45)), $BL$3:$BL$23, "Error", 0)</f>
        <v/>
      </c>
      <c r="AW74" s="30">
        <f t="array" ref="AW74">_xlfn.XLOOKUP(MIN(ABS($BK$3:$BK$23 - MEDIAN(MIN($BK$3:$BK$23), MAX($BK$3:$BK$23), AW45))), ABS($BK$3:$BK$23 - MEDIAN(MIN($BK$3:$BK$23), MAX($BK$3:$BK$23), AW45)), $BL$3:$BL$23, "Error", 0)</f>
        <v/>
      </c>
      <c r="AX74" s="30">
        <f t="array" ref="AX74">_xlfn.XLOOKUP(MIN(ABS($BK$3:$BK$23 - MEDIAN(MIN($BK$3:$BK$23), MAX($BK$3:$BK$23), AX45))), ABS($BK$3:$BK$23 - MEDIAN(MIN($BK$3:$BK$23), MAX($BK$3:$BK$23), AX45)), $BL$3:$BL$23, "Error", 0)</f>
        <v/>
      </c>
      <c r="AY74" s="30">
        <f t="array" ref="AY74">_xlfn.XLOOKUP(MIN(ABS($BK$3:$BK$23 - MEDIAN(MIN($BK$3:$BK$23), MAX($BK$3:$BK$23), AY45))), ABS($BK$3:$BK$23 - MEDIAN(MIN($BK$3:$BK$23), MAX($BK$3:$BK$23), AY45)), $BL$3:$BL$23, "Error", 0)</f>
        <v/>
      </c>
      <c r="AZ74" s="30">
        <f t="array" ref="AZ74">_xlfn.XLOOKUP(MIN(ABS($BK$3:$BK$23 - MEDIAN(MIN($BK$3:$BK$23), MAX($BK$3:$BK$23), AZ45))), ABS($BK$3:$BK$23 - MEDIAN(MIN($BK$3:$BK$23), MAX($BK$3:$BK$23), AZ45)), $BL$3:$BL$23, "Error", 0)</f>
        <v/>
      </c>
      <c r="BA74" s="30">
        <f t="array" ref="BA74">_xlfn.XLOOKUP(MIN(ABS($BK$3:$BK$23 - MEDIAN(MIN($BK$3:$BK$23), MAX($BK$3:$BK$23), BA45))), ABS($BK$3:$BK$23 - MEDIAN(MIN($BK$3:$BK$23), MAX($BK$3:$BK$23), BA45)), $BL$3:$BL$23, "Error", 0)</f>
        <v/>
      </c>
      <c r="BB74" s="30">
        <f t="array" ref="BB74">_xlfn.XLOOKUP(MIN(ABS($BK$3:$BK$23 - MEDIAN(MIN($BK$3:$BK$23), MAX($BK$3:$BK$23), BB45))), ABS($BK$3:$BK$23 - MEDIAN(MIN($BK$3:$BK$23), MAX($BK$3:$BK$23), BB45)), $BL$3:$BL$23, "Error", 0)</f>
        <v/>
      </c>
      <c r="BC74" s="30">
        <f t="array" ref="BC74">_xlfn.XLOOKUP(MIN(ABS($BK$3:$BK$23 - MEDIAN(MIN($BK$3:$BK$23), MAX($BK$3:$BK$23), BC45))), ABS($BK$3:$BK$23 - MEDIAN(MIN($BK$3:$BK$23), MAX($BK$3:$BK$23), BC45)), $BL$3:$BL$23, "Error", 0)</f>
        <v/>
      </c>
      <c r="BD74" s="30">
        <f t="array" ref="BD74">_xlfn.XLOOKUP(MIN(ABS($BK$3:$BK$23 - MEDIAN(MIN($BK$3:$BK$23), MAX($BK$3:$BK$23), BD45))), ABS($BK$3:$BK$23 - MEDIAN(MIN($BK$3:$BK$23), MAX($BK$3:$BK$23), BD45)), $BL$3:$BL$23, "Error", 0)</f>
        <v/>
      </c>
      <c r="BE74" s="30">
        <f t="array" ref="BE74">_xlfn.XLOOKUP(MIN(ABS($BK$3:$BK$23 - MEDIAN(MIN($BK$3:$BK$23), MAX($BK$3:$BK$23), BE45))), ABS($BK$3:$BK$23 - MEDIAN(MIN($BK$3:$BK$23), MAX($BK$3:$BK$23), BE45)), $BL$3:$BL$23, "Error", 0)</f>
        <v/>
      </c>
      <c r="BF74" s="30">
        <f t="array" ref="BF74">_xlfn.XLOOKUP(MIN(ABS($BK$3:$BK$23 - MEDIAN(MIN($BK$3:$BK$23), MAX($BK$3:$BK$23), BF45))), ABS($BK$3:$BK$23 - MEDIAN(MIN($BK$3:$BK$23), MAX($BK$3:$BK$23), BF45)), $BL$3:$BL$23, "Error", 0)</f>
        <v/>
      </c>
      <c r="BG74" s="30">
        <f t="array" ref="BG74">_xlfn.XLOOKUP(MIN(ABS($BK$3:$BK$23 - MEDIAN(MIN($BK$3:$BK$23), MAX($BK$3:$BK$23), BG45))), ABS($BK$3:$BK$23 - MEDIAN(MIN($BK$3:$BK$23), MAX($BK$3:$BK$23), BG45)), $BL$3:$BL$23, "Error", 0)</f>
        <v/>
      </c>
      <c r="BH74" s="30">
        <f t="array" ref="BH74">_xlfn.XLOOKUP(MIN(ABS($BK$3:$BK$23 - MEDIAN(MIN($BK$3:$BK$23), MAX($BK$3:$BK$23), BH45))), ABS($BK$3:$BK$23 - MEDIAN(MIN($BK$3:$BK$23), MAX($BK$3:$BK$23), BH45)), $BL$3:$BL$23, "Error", 0)</f>
        <v/>
      </c>
      <c r="BI74" s="30">
        <f t="array" ref="BI74">_xlfn.XLOOKUP(MIN(ABS($BK$3:$BK$23 - MEDIAN(MIN($BK$3:$BK$23), MAX($BK$3:$BK$23), BI45))), ABS($BK$3:$BK$23 - MEDIAN(MIN($BK$3:$BK$23), MAX($BK$3:$BK$23), BI45)), $BL$3:$BL$23, "Error", 0)</f>
        <v/>
      </c>
    </row>
    <row r="75" ht="25" customHeight="1">
      <c r="A75" s="47" t="inlineStr">
        <is>
          <t>EUR NZD</t>
        </is>
      </c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30">
        <f t="array" ref="N75">_xlfn.XLOOKUP(MIN(ABS($BK$3:$BK$23 - MEDIAN(MIN($BK$3:$BK$23), MAX($BK$3:$BK$23), N46))), ABS($BK$3:$BK$23 - MEDIAN(MIN($BK$3:$BK$23), MAX($BK$3:$BK$23), N46)), $BL$3:$BL$23, "Error", 0)</f>
        <v/>
      </c>
      <c r="O75" s="30">
        <f t="array" ref="O75">_xlfn.XLOOKUP(MIN(ABS($BK$3:$BK$23 - MEDIAN(MIN($BK$3:$BK$23), MAX($BK$3:$BK$23), O46))), ABS($BK$3:$BK$23 - MEDIAN(MIN($BK$3:$BK$23), MAX($BK$3:$BK$23), O46)), $BL$3:$BL$23, "Error", 0)</f>
        <v/>
      </c>
      <c r="P75" s="30">
        <f t="array" ref="P75">_xlfn.XLOOKUP(MIN(ABS($BK$3:$BK$23 - MEDIAN(MIN($BK$3:$BK$23), MAX($BK$3:$BK$23), P46))), ABS($BK$3:$BK$23 - MEDIAN(MIN($BK$3:$BK$23), MAX($BK$3:$BK$23), P46)), $BL$3:$BL$23, "Error", 0)</f>
        <v/>
      </c>
      <c r="Q75" s="30">
        <f t="array" ref="Q75">_xlfn.XLOOKUP(MIN(ABS($BK$3:$BK$23 - MEDIAN(MIN($BK$3:$BK$23), MAX($BK$3:$BK$23), Q46))), ABS($BK$3:$BK$23 - MEDIAN(MIN($BK$3:$BK$23), MAX($BK$3:$BK$23), Q46)), $BL$3:$BL$23, "Error", 0)</f>
        <v/>
      </c>
      <c r="R75" s="30">
        <f t="array" ref="R75">_xlfn.XLOOKUP(MIN(ABS($BK$3:$BK$23 - MEDIAN(MIN($BK$3:$BK$23), MAX($BK$3:$BK$23), R46))), ABS($BK$3:$BK$23 - MEDIAN(MIN($BK$3:$BK$23), MAX($BK$3:$BK$23), R46)), $BL$3:$BL$23, "Error", 0)</f>
        <v/>
      </c>
      <c r="S75" s="30">
        <f t="array" ref="S75">_xlfn.XLOOKUP(MIN(ABS($BK$3:$BK$23 - MEDIAN(MIN($BK$3:$BK$23), MAX($BK$3:$BK$23), S46))), ABS($BK$3:$BK$23 - MEDIAN(MIN($BK$3:$BK$23), MAX($BK$3:$BK$23), S46)), $BL$3:$BL$23, "Error", 0)</f>
        <v/>
      </c>
      <c r="T75" s="30">
        <f t="array" ref="T75">_xlfn.XLOOKUP(MIN(ABS($BK$3:$BK$23 - MEDIAN(MIN($BK$3:$BK$23), MAX($BK$3:$BK$23), T46))), ABS($BK$3:$BK$23 - MEDIAN(MIN($BK$3:$BK$23), MAX($BK$3:$BK$23), T46)), $BL$3:$BL$23, "Error", 0)</f>
        <v/>
      </c>
      <c r="U75" s="30">
        <f t="array" ref="U75">_xlfn.XLOOKUP(MIN(ABS($BK$3:$BK$23 - MEDIAN(MIN($BK$3:$BK$23), MAX($BK$3:$BK$23), U46))), ABS($BK$3:$BK$23 - MEDIAN(MIN($BK$3:$BK$23), MAX($BK$3:$BK$23), U46)), $BL$3:$BL$23, "Error", 0)</f>
        <v/>
      </c>
      <c r="V75" s="30">
        <f t="array" ref="V75">_xlfn.XLOOKUP(MIN(ABS($BK$3:$BK$23 - MEDIAN(MIN($BK$3:$BK$23), MAX($BK$3:$BK$23), V46))), ABS($BK$3:$BK$23 - MEDIAN(MIN($BK$3:$BK$23), MAX($BK$3:$BK$23), V46)), $BL$3:$BL$23, "Error", 0)</f>
        <v/>
      </c>
      <c r="W75" s="30">
        <f t="array" ref="W75">_xlfn.XLOOKUP(MIN(ABS($BK$3:$BK$23 - MEDIAN(MIN($BK$3:$BK$23), MAX($BK$3:$BK$23), W46))), ABS($BK$3:$BK$23 - MEDIAN(MIN($BK$3:$BK$23), MAX($BK$3:$BK$23), W46)), $BL$3:$BL$23, "Error", 0)</f>
        <v/>
      </c>
      <c r="X75" s="30">
        <f t="array" ref="X75">_xlfn.XLOOKUP(MIN(ABS($BK$3:$BK$23 - MEDIAN(MIN($BK$3:$BK$23), MAX($BK$3:$BK$23), X46))), ABS($BK$3:$BK$23 - MEDIAN(MIN($BK$3:$BK$23), MAX($BK$3:$BK$23), X46)), $BL$3:$BL$23, "Error", 0)</f>
        <v/>
      </c>
      <c r="Y75" s="30">
        <f t="array" ref="Y75">_xlfn.XLOOKUP(MIN(ABS($BK$3:$BK$23 - MEDIAN(MIN($BK$3:$BK$23), MAX($BK$3:$BK$23), Y46))), ABS($BK$3:$BK$23 - MEDIAN(MIN($BK$3:$BK$23), MAX($BK$3:$BK$23), Y46)), $BL$3:$BL$23, "Error", 0)</f>
        <v/>
      </c>
      <c r="Z75" s="30">
        <f t="array" ref="Z75">_xlfn.XLOOKUP(MIN(ABS($BK$3:$BK$23 - MEDIAN(MIN($BK$3:$BK$23), MAX($BK$3:$BK$23), Z46))), ABS($BK$3:$BK$23 - MEDIAN(MIN($BK$3:$BK$23), MAX($BK$3:$BK$23), Z46)), $BL$3:$BL$23, "Error", 0)</f>
        <v/>
      </c>
      <c r="AA75" s="30">
        <f t="array" ref="AA75">_xlfn.XLOOKUP(MIN(ABS($BK$3:$BK$23 - MEDIAN(MIN($BK$3:$BK$23), MAX($BK$3:$BK$23), AA46))), ABS($BK$3:$BK$23 - MEDIAN(MIN($BK$3:$BK$23), MAX($BK$3:$BK$23), AA46)), $BL$3:$BL$23, "Error", 0)</f>
        <v/>
      </c>
      <c r="AB75" s="30">
        <f t="array" ref="AB75">_xlfn.XLOOKUP(MIN(ABS($BK$3:$BK$23 - MEDIAN(MIN($BK$3:$BK$23), MAX($BK$3:$BK$23), AB46))), ABS($BK$3:$BK$23 - MEDIAN(MIN($BK$3:$BK$23), MAX($BK$3:$BK$23), AB46)), $BL$3:$BL$23, "Error", 0)</f>
        <v/>
      </c>
      <c r="AC75" s="30">
        <f t="array" ref="AC75">_xlfn.XLOOKUP(MIN(ABS($BK$3:$BK$23 - MEDIAN(MIN($BK$3:$BK$23), MAX($BK$3:$BK$23), AC46))), ABS($BK$3:$BK$23 - MEDIAN(MIN($BK$3:$BK$23), MAX($BK$3:$BK$23), AC46)), $BL$3:$BL$23, "Error", 0)</f>
        <v/>
      </c>
      <c r="AD75" s="30">
        <f t="array" ref="AD75">_xlfn.XLOOKUP(MIN(ABS($BK$3:$BK$23 - MEDIAN(MIN($BK$3:$BK$23), MAX($BK$3:$BK$23), AD46))), ABS($BK$3:$BK$23 - MEDIAN(MIN($BK$3:$BK$23), MAX($BK$3:$BK$23), AD46)), $BL$3:$BL$23, "Error", 0)</f>
        <v/>
      </c>
      <c r="AE75" s="30">
        <f t="array" ref="AE75">_xlfn.XLOOKUP(MIN(ABS($BK$3:$BK$23 - MEDIAN(MIN($BK$3:$BK$23), MAX($BK$3:$BK$23), AE46))), ABS($BK$3:$BK$23 - MEDIAN(MIN($BK$3:$BK$23), MAX($BK$3:$BK$23), AE46)), $BL$3:$BL$23, "Error", 0)</f>
        <v/>
      </c>
      <c r="AF75" s="30">
        <f t="array" ref="AF75">_xlfn.XLOOKUP(MIN(ABS($BK$3:$BK$23 - MEDIAN(MIN($BK$3:$BK$23), MAX($BK$3:$BK$23), AF46))), ABS($BK$3:$BK$23 - MEDIAN(MIN($BK$3:$BK$23), MAX($BK$3:$BK$23), AF46)), $BL$3:$BL$23, "Error", 0)</f>
        <v/>
      </c>
      <c r="AG75" s="30">
        <f t="array" ref="AG75">_xlfn.XLOOKUP(MIN(ABS($BK$3:$BK$23 - MEDIAN(MIN($BK$3:$BK$23), MAX($BK$3:$BK$23), AG46))), ABS($BK$3:$BK$23 - MEDIAN(MIN($BK$3:$BK$23), MAX($BK$3:$BK$23), AG46)), $BL$3:$BL$23, "Error", 0)</f>
        <v/>
      </c>
      <c r="AH75" s="30">
        <f t="array" ref="AH75">_xlfn.XLOOKUP(MIN(ABS($BK$3:$BK$23 - MEDIAN(MIN($BK$3:$BK$23), MAX($BK$3:$BK$23), AH46))), ABS($BK$3:$BK$23 - MEDIAN(MIN($BK$3:$BK$23), MAX($BK$3:$BK$23), AH46)), $BL$3:$BL$23, "Error", 0)</f>
        <v/>
      </c>
      <c r="AI75" s="30">
        <f t="array" ref="AI75">_xlfn.XLOOKUP(MIN(ABS($BK$3:$BK$23 - MEDIAN(MIN($BK$3:$BK$23), MAX($BK$3:$BK$23), AI46))), ABS($BK$3:$BK$23 - MEDIAN(MIN($BK$3:$BK$23), MAX($BK$3:$BK$23), AI46)), $BL$3:$BL$23, "Error", 0)</f>
        <v/>
      </c>
      <c r="AJ75" s="30">
        <f t="array" ref="AJ75">_xlfn.XLOOKUP(MIN(ABS($BK$3:$BK$23 - MEDIAN(MIN($BK$3:$BK$23), MAX($BK$3:$BK$23), AJ46))), ABS($BK$3:$BK$23 - MEDIAN(MIN($BK$3:$BK$23), MAX($BK$3:$BK$23), AJ46)), $BL$3:$BL$23, "Error", 0)</f>
        <v/>
      </c>
      <c r="AK75" s="30">
        <f t="array" ref="AK75">_xlfn.XLOOKUP(MIN(ABS($BK$3:$BK$23 - MEDIAN(MIN($BK$3:$BK$23), MAX($BK$3:$BK$23), AK46))), ABS($BK$3:$BK$23 - MEDIAN(MIN($BK$3:$BK$23), MAX($BK$3:$BK$23), AK46)), $BL$3:$BL$23, "Error", 0)</f>
        <v/>
      </c>
      <c r="AL75" s="30">
        <f t="array" ref="AL75">_xlfn.XLOOKUP(MIN(ABS($BK$3:$BK$23 - MEDIAN(MIN($BK$3:$BK$23), MAX($BK$3:$BK$23), AL46))), ABS($BK$3:$BK$23 - MEDIAN(MIN($BK$3:$BK$23), MAX($BK$3:$BK$23), AL46)), $BL$3:$BL$23, "Error", 0)</f>
        <v/>
      </c>
      <c r="AM75" s="30">
        <f t="array" ref="AM75">_xlfn.XLOOKUP(MIN(ABS($BK$3:$BK$23 - MEDIAN(MIN($BK$3:$BK$23), MAX($BK$3:$BK$23), AM46))), ABS($BK$3:$BK$23 - MEDIAN(MIN($BK$3:$BK$23), MAX($BK$3:$BK$23), AM46)), $BL$3:$BL$23, "Error", 0)</f>
        <v/>
      </c>
      <c r="AN75" s="30">
        <f t="array" ref="AN75">_xlfn.XLOOKUP(MIN(ABS($BK$3:$BK$23 - MEDIAN(MIN($BK$3:$BK$23), MAX($BK$3:$BK$23), AN46))), ABS($BK$3:$BK$23 - MEDIAN(MIN($BK$3:$BK$23), MAX($BK$3:$BK$23), AN46)), $BL$3:$BL$23, "Error", 0)</f>
        <v/>
      </c>
      <c r="AO75" s="30">
        <f t="array" ref="AO75">_xlfn.XLOOKUP(MIN(ABS($BK$3:$BK$23 - MEDIAN(MIN($BK$3:$BK$23), MAX($BK$3:$BK$23), AO46))), ABS($BK$3:$BK$23 - MEDIAN(MIN($BK$3:$BK$23), MAX($BK$3:$BK$23), AO46)), $BL$3:$BL$23, "Error", 0)</f>
        <v/>
      </c>
      <c r="AP75" s="30">
        <f t="array" ref="AP75">_xlfn.XLOOKUP(MIN(ABS($BK$3:$BK$23 - MEDIAN(MIN($BK$3:$BK$23), MAX($BK$3:$BK$23), AP46))), ABS($BK$3:$BK$23 - MEDIAN(MIN($BK$3:$BK$23), MAX($BK$3:$BK$23), AP46)), $BL$3:$BL$23, "Error", 0)</f>
        <v/>
      </c>
      <c r="AQ75" s="30">
        <f t="array" ref="AQ75">_xlfn.XLOOKUP(MIN(ABS($BK$3:$BK$23 - MEDIAN(MIN($BK$3:$BK$23), MAX($BK$3:$BK$23), AQ46))), ABS($BK$3:$BK$23 - MEDIAN(MIN($BK$3:$BK$23), MAX($BK$3:$BK$23), AQ46)), $BL$3:$BL$23, "Error", 0)</f>
        <v/>
      </c>
      <c r="AR75" s="30">
        <f t="array" ref="AR75">_xlfn.XLOOKUP(MIN(ABS($BK$3:$BK$23 - MEDIAN(MIN($BK$3:$BK$23), MAX($BK$3:$BK$23), AR46))), ABS($BK$3:$BK$23 - MEDIAN(MIN($BK$3:$BK$23), MAX($BK$3:$BK$23), AR46)), $BL$3:$BL$23, "Error", 0)</f>
        <v/>
      </c>
      <c r="AS75" s="30">
        <f t="array" ref="AS75">_xlfn.XLOOKUP(MIN(ABS($BK$3:$BK$23 - MEDIAN(MIN($BK$3:$BK$23), MAX($BK$3:$BK$23), AS46))), ABS($BK$3:$BK$23 - MEDIAN(MIN($BK$3:$BK$23), MAX($BK$3:$BK$23), AS46)), $BL$3:$BL$23, "Error", 0)</f>
        <v/>
      </c>
      <c r="AT75" s="30">
        <f t="array" ref="AT75">_xlfn.XLOOKUP(MIN(ABS($BK$3:$BK$23 - MEDIAN(MIN($BK$3:$BK$23), MAX($BK$3:$BK$23), AT46))), ABS($BK$3:$BK$23 - MEDIAN(MIN($BK$3:$BK$23), MAX($BK$3:$BK$23), AT46)), $BL$3:$BL$23, "Error", 0)</f>
        <v/>
      </c>
      <c r="AU75" s="30">
        <f t="array" ref="AU75">_xlfn.XLOOKUP(MIN(ABS($BK$3:$BK$23 - MEDIAN(MIN($BK$3:$BK$23), MAX($BK$3:$BK$23), AU46))), ABS($BK$3:$BK$23 - MEDIAN(MIN($BK$3:$BK$23), MAX($BK$3:$BK$23), AU46)), $BL$3:$BL$23, "Error", 0)</f>
        <v/>
      </c>
      <c r="AV75" s="30">
        <f t="array" ref="AV75">_xlfn.XLOOKUP(MIN(ABS($BK$3:$BK$23 - MEDIAN(MIN($BK$3:$BK$23), MAX($BK$3:$BK$23), AV46))), ABS($BK$3:$BK$23 - MEDIAN(MIN($BK$3:$BK$23), MAX($BK$3:$BK$23), AV46)), $BL$3:$BL$23, "Error", 0)</f>
        <v/>
      </c>
      <c r="AW75" s="30">
        <f t="array" ref="AW75">_xlfn.XLOOKUP(MIN(ABS($BK$3:$BK$23 - MEDIAN(MIN($BK$3:$BK$23), MAX($BK$3:$BK$23), AW46))), ABS($BK$3:$BK$23 - MEDIAN(MIN($BK$3:$BK$23), MAX($BK$3:$BK$23), AW46)), $BL$3:$BL$23, "Error", 0)</f>
        <v/>
      </c>
      <c r="AX75" s="30">
        <f t="array" ref="AX75">_xlfn.XLOOKUP(MIN(ABS($BK$3:$BK$23 - MEDIAN(MIN($BK$3:$BK$23), MAX($BK$3:$BK$23), AX46))), ABS($BK$3:$BK$23 - MEDIAN(MIN($BK$3:$BK$23), MAX($BK$3:$BK$23), AX46)), $BL$3:$BL$23, "Error", 0)</f>
        <v/>
      </c>
      <c r="AY75" s="30">
        <f t="array" ref="AY75">_xlfn.XLOOKUP(MIN(ABS($BK$3:$BK$23 - MEDIAN(MIN($BK$3:$BK$23), MAX($BK$3:$BK$23), AY46))), ABS($BK$3:$BK$23 - MEDIAN(MIN($BK$3:$BK$23), MAX($BK$3:$BK$23), AY46)), $BL$3:$BL$23, "Error", 0)</f>
        <v/>
      </c>
      <c r="AZ75" s="30">
        <f t="array" ref="AZ75">_xlfn.XLOOKUP(MIN(ABS($BK$3:$BK$23 - MEDIAN(MIN($BK$3:$BK$23), MAX($BK$3:$BK$23), AZ46))), ABS($BK$3:$BK$23 - MEDIAN(MIN($BK$3:$BK$23), MAX($BK$3:$BK$23), AZ46)), $BL$3:$BL$23, "Error", 0)</f>
        <v/>
      </c>
      <c r="BA75" s="30">
        <f t="array" ref="BA75">_xlfn.XLOOKUP(MIN(ABS($BK$3:$BK$23 - MEDIAN(MIN($BK$3:$BK$23), MAX($BK$3:$BK$23), BA46))), ABS($BK$3:$BK$23 - MEDIAN(MIN($BK$3:$BK$23), MAX($BK$3:$BK$23), BA46)), $BL$3:$BL$23, "Error", 0)</f>
        <v/>
      </c>
      <c r="BB75" s="30">
        <f t="array" ref="BB75">_xlfn.XLOOKUP(MIN(ABS($BK$3:$BK$23 - MEDIAN(MIN($BK$3:$BK$23), MAX($BK$3:$BK$23), BB46))), ABS($BK$3:$BK$23 - MEDIAN(MIN($BK$3:$BK$23), MAX($BK$3:$BK$23), BB46)), $BL$3:$BL$23, "Error", 0)</f>
        <v/>
      </c>
      <c r="BC75" s="30">
        <f t="array" ref="BC75">_xlfn.XLOOKUP(MIN(ABS($BK$3:$BK$23 - MEDIAN(MIN($BK$3:$BK$23), MAX($BK$3:$BK$23), BC46))), ABS($BK$3:$BK$23 - MEDIAN(MIN($BK$3:$BK$23), MAX($BK$3:$BK$23), BC46)), $BL$3:$BL$23, "Error", 0)</f>
        <v/>
      </c>
      <c r="BD75" s="30">
        <f t="array" ref="BD75">_xlfn.XLOOKUP(MIN(ABS($BK$3:$BK$23 - MEDIAN(MIN($BK$3:$BK$23), MAX($BK$3:$BK$23), BD46))), ABS($BK$3:$BK$23 - MEDIAN(MIN($BK$3:$BK$23), MAX($BK$3:$BK$23), BD46)), $BL$3:$BL$23, "Error", 0)</f>
        <v/>
      </c>
      <c r="BE75" s="30">
        <f t="array" ref="BE75">_xlfn.XLOOKUP(MIN(ABS($BK$3:$BK$23 - MEDIAN(MIN($BK$3:$BK$23), MAX($BK$3:$BK$23), BE46))), ABS($BK$3:$BK$23 - MEDIAN(MIN($BK$3:$BK$23), MAX($BK$3:$BK$23), BE46)), $BL$3:$BL$23, "Error", 0)</f>
        <v/>
      </c>
      <c r="BF75" s="30">
        <f t="array" ref="BF75">_xlfn.XLOOKUP(MIN(ABS($BK$3:$BK$23 - MEDIAN(MIN($BK$3:$BK$23), MAX($BK$3:$BK$23), BF46))), ABS($BK$3:$BK$23 - MEDIAN(MIN($BK$3:$BK$23), MAX($BK$3:$BK$23), BF46)), $BL$3:$BL$23, "Error", 0)</f>
        <v/>
      </c>
      <c r="BG75" s="30">
        <f t="array" ref="BG75">_xlfn.XLOOKUP(MIN(ABS($BK$3:$BK$23 - MEDIAN(MIN($BK$3:$BK$23), MAX($BK$3:$BK$23), BG46))), ABS($BK$3:$BK$23 - MEDIAN(MIN($BK$3:$BK$23), MAX($BK$3:$BK$23), BG46)), $BL$3:$BL$23, "Error", 0)</f>
        <v/>
      </c>
      <c r="BH75" s="30">
        <f t="array" ref="BH75">_xlfn.XLOOKUP(MIN(ABS($BK$3:$BK$23 - MEDIAN(MIN($BK$3:$BK$23), MAX($BK$3:$BK$23), BH46))), ABS($BK$3:$BK$23 - MEDIAN(MIN($BK$3:$BK$23), MAX($BK$3:$BK$23), BH46)), $BL$3:$BL$23, "Error", 0)</f>
        <v/>
      </c>
      <c r="BI75" s="30">
        <f t="array" ref="BI75">_xlfn.XLOOKUP(MIN(ABS($BK$3:$BK$23 - MEDIAN(MIN($BK$3:$BK$23), MAX($BK$3:$BK$23), BI46))), ABS($BK$3:$BK$23 - MEDIAN(MIN($BK$3:$BK$23), MAX($BK$3:$BK$23), BI46)), $BL$3:$BL$23, "Error", 0)</f>
        <v/>
      </c>
    </row>
    <row r="76" ht="25" customHeight="1">
      <c r="A76" s="48" t="inlineStr">
        <is>
          <t>GBP USD</t>
        </is>
      </c>
      <c r="B76" s="78" t="n"/>
      <c r="C76" s="78" t="n"/>
      <c r="D76" s="78" t="n"/>
      <c r="E76" s="78" t="n"/>
      <c r="F76" s="78" t="n"/>
      <c r="G76" s="78" t="n"/>
      <c r="H76" s="78" t="n"/>
      <c r="I76" s="78" t="n"/>
      <c r="J76" s="78" t="n"/>
      <c r="K76" s="78" t="n"/>
      <c r="L76" s="78" t="n"/>
      <c r="M76" s="78" t="n"/>
      <c r="N76" s="30">
        <f t="array" ref="N76">_xlfn.XLOOKUP(MIN(ABS($BK$3:$BK$23 - MEDIAN(MIN($BK$3:$BK$23), MAX($BK$3:$BK$23), N47))), ABS($BK$3:$BK$23 - MEDIAN(MIN($BK$3:$BK$23), MAX($BK$3:$BK$23), N47)), $BL$3:$BL$23, "Error", 0)</f>
        <v/>
      </c>
      <c r="O76" s="30">
        <f t="array" ref="O76">_xlfn.XLOOKUP(MIN(ABS($BK$3:$BK$23 - MEDIAN(MIN($BK$3:$BK$23), MAX($BK$3:$BK$23), O47))), ABS($BK$3:$BK$23 - MEDIAN(MIN($BK$3:$BK$23), MAX($BK$3:$BK$23), O47)), $BL$3:$BL$23, "Error", 0)</f>
        <v/>
      </c>
      <c r="P76" s="30">
        <f t="array" ref="P76">_xlfn.XLOOKUP(MIN(ABS($BK$3:$BK$23 - MEDIAN(MIN($BK$3:$BK$23), MAX($BK$3:$BK$23), P47))), ABS($BK$3:$BK$23 - MEDIAN(MIN($BK$3:$BK$23), MAX($BK$3:$BK$23), P47)), $BL$3:$BL$23, "Error", 0)</f>
        <v/>
      </c>
      <c r="Q76" s="30">
        <f t="array" ref="Q76">_xlfn.XLOOKUP(MIN(ABS($BK$3:$BK$23 - MEDIAN(MIN($BK$3:$BK$23), MAX($BK$3:$BK$23), Q47))), ABS($BK$3:$BK$23 - MEDIAN(MIN($BK$3:$BK$23), MAX($BK$3:$BK$23), Q47)), $BL$3:$BL$23, "Error", 0)</f>
        <v/>
      </c>
      <c r="R76" s="30">
        <f t="array" ref="R76">_xlfn.XLOOKUP(MIN(ABS($BK$3:$BK$23 - MEDIAN(MIN($BK$3:$BK$23), MAX($BK$3:$BK$23), R47))), ABS($BK$3:$BK$23 - MEDIAN(MIN($BK$3:$BK$23), MAX($BK$3:$BK$23), R47)), $BL$3:$BL$23, "Error", 0)</f>
        <v/>
      </c>
      <c r="S76" s="30">
        <f t="array" ref="S76">_xlfn.XLOOKUP(MIN(ABS($BK$3:$BK$23 - MEDIAN(MIN($BK$3:$BK$23), MAX($BK$3:$BK$23), S47))), ABS($BK$3:$BK$23 - MEDIAN(MIN($BK$3:$BK$23), MAX($BK$3:$BK$23), S47)), $BL$3:$BL$23, "Error", 0)</f>
        <v/>
      </c>
      <c r="T76" s="30">
        <f t="array" ref="T76">_xlfn.XLOOKUP(MIN(ABS($BK$3:$BK$23 - MEDIAN(MIN($BK$3:$BK$23), MAX($BK$3:$BK$23), T47))), ABS($BK$3:$BK$23 - MEDIAN(MIN($BK$3:$BK$23), MAX($BK$3:$BK$23), T47)), $BL$3:$BL$23, "Error", 0)</f>
        <v/>
      </c>
      <c r="U76" s="30">
        <f t="array" ref="U76">_xlfn.XLOOKUP(MIN(ABS($BK$3:$BK$23 - MEDIAN(MIN($BK$3:$BK$23), MAX($BK$3:$BK$23), U47))), ABS($BK$3:$BK$23 - MEDIAN(MIN($BK$3:$BK$23), MAX($BK$3:$BK$23), U47)), $BL$3:$BL$23, "Error", 0)</f>
        <v/>
      </c>
      <c r="V76" s="30">
        <f t="array" ref="V76">_xlfn.XLOOKUP(MIN(ABS($BK$3:$BK$23 - MEDIAN(MIN($BK$3:$BK$23), MAX($BK$3:$BK$23), V47))), ABS($BK$3:$BK$23 - MEDIAN(MIN($BK$3:$BK$23), MAX($BK$3:$BK$23), V47)), $BL$3:$BL$23, "Error", 0)</f>
        <v/>
      </c>
      <c r="W76" s="30">
        <f t="array" ref="W76">_xlfn.XLOOKUP(MIN(ABS($BK$3:$BK$23 - MEDIAN(MIN($BK$3:$BK$23), MAX($BK$3:$BK$23), W47))), ABS($BK$3:$BK$23 - MEDIAN(MIN($BK$3:$BK$23), MAX($BK$3:$BK$23), W47)), $BL$3:$BL$23, "Error", 0)</f>
        <v/>
      </c>
      <c r="X76" s="30">
        <f t="array" ref="X76">_xlfn.XLOOKUP(MIN(ABS($BK$3:$BK$23 - MEDIAN(MIN($BK$3:$BK$23), MAX($BK$3:$BK$23), X47))), ABS($BK$3:$BK$23 - MEDIAN(MIN($BK$3:$BK$23), MAX($BK$3:$BK$23), X47)), $BL$3:$BL$23, "Error", 0)</f>
        <v/>
      </c>
      <c r="Y76" s="30">
        <f t="array" ref="Y76">_xlfn.XLOOKUP(MIN(ABS($BK$3:$BK$23 - MEDIAN(MIN($BK$3:$BK$23), MAX($BK$3:$BK$23), Y47))), ABS($BK$3:$BK$23 - MEDIAN(MIN($BK$3:$BK$23), MAX($BK$3:$BK$23), Y47)), $BL$3:$BL$23, "Error", 0)</f>
        <v/>
      </c>
      <c r="Z76" s="30">
        <f t="array" ref="Z76">_xlfn.XLOOKUP(MIN(ABS($BK$3:$BK$23 - MEDIAN(MIN($BK$3:$BK$23), MAX($BK$3:$BK$23), Z47))), ABS($BK$3:$BK$23 - MEDIAN(MIN($BK$3:$BK$23), MAX($BK$3:$BK$23), Z47)), $BL$3:$BL$23, "Error", 0)</f>
        <v/>
      </c>
      <c r="AA76" s="30">
        <f t="array" ref="AA76">_xlfn.XLOOKUP(MIN(ABS($BK$3:$BK$23 - MEDIAN(MIN($BK$3:$BK$23), MAX($BK$3:$BK$23), AA47))), ABS($BK$3:$BK$23 - MEDIAN(MIN($BK$3:$BK$23), MAX($BK$3:$BK$23), AA47)), $BL$3:$BL$23, "Error", 0)</f>
        <v/>
      </c>
      <c r="AB76" s="30">
        <f t="array" ref="AB76">_xlfn.XLOOKUP(MIN(ABS($BK$3:$BK$23 - MEDIAN(MIN($BK$3:$BK$23), MAX($BK$3:$BK$23), AB47))), ABS($BK$3:$BK$23 - MEDIAN(MIN($BK$3:$BK$23), MAX($BK$3:$BK$23), AB47)), $BL$3:$BL$23, "Error", 0)</f>
        <v/>
      </c>
      <c r="AC76" s="30">
        <f t="array" ref="AC76">_xlfn.XLOOKUP(MIN(ABS($BK$3:$BK$23 - MEDIAN(MIN($BK$3:$BK$23), MAX($BK$3:$BK$23), AC47))), ABS($BK$3:$BK$23 - MEDIAN(MIN($BK$3:$BK$23), MAX($BK$3:$BK$23), AC47)), $BL$3:$BL$23, "Error", 0)</f>
        <v/>
      </c>
      <c r="AD76" s="30">
        <f t="array" ref="AD76">_xlfn.XLOOKUP(MIN(ABS($BK$3:$BK$23 - MEDIAN(MIN($BK$3:$BK$23), MAX($BK$3:$BK$23), AD47))), ABS($BK$3:$BK$23 - MEDIAN(MIN($BK$3:$BK$23), MAX($BK$3:$BK$23), AD47)), $BL$3:$BL$23, "Error", 0)</f>
        <v/>
      </c>
      <c r="AE76" s="30">
        <f t="array" ref="AE76">_xlfn.XLOOKUP(MIN(ABS($BK$3:$BK$23 - MEDIAN(MIN($BK$3:$BK$23), MAX($BK$3:$BK$23), AE47))), ABS($BK$3:$BK$23 - MEDIAN(MIN($BK$3:$BK$23), MAX($BK$3:$BK$23), AE47)), $BL$3:$BL$23, "Error", 0)</f>
        <v/>
      </c>
      <c r="AF76" s="30">
        <f t="array" ref="AF76">_xlfn.XLOOKUP(MIN(ABS($BK$3:$BK$23 - MEDIAN(MIN($BK$3:$BK$23), MAX($BK$3:$BK$23), AF47))), ABS($BK$3:$BK$23 - MEDIAN(MIN($BK$3:$BK$23), MAX($BK$3:$BK$23), AF47)), $BL$3:$BL$23, "Error", 0)</f>
        <v/>
      </c>
      <c r="AG76" s="30">
        <f t="array" ref="AG76">_xlfn.XLOOKUP(MIN(ABS($BK$3:$BK$23 - MEDIAN(MIN($BK$3:$BK$23), MAX($BK$3:$BK$23), AG47))), ABS($BK$3:$BK$23 - MEDIAN(MIN($BK$3:$BK$23), MAX($BK$3:$BK$23), AG47)), $BL$3:$BL$23, "Error", 0)</f>
        <v/>
      </c>
      <c r="AH76" s="30">
        <f t="array" ref="AH76">_xlfn.XLOOKUP(MIN(ABS($BK$3:$BK$23 - MEDIAN(MIN($BK$3:$BK$23), MAX($BK$3:$BK$23), AH47))), ABS($BK$3:$BK$23 - MEDIAN(MIN($BK$3:$BK$23), MAX($BK$3:$BK$23), AH47)), $BL$3:$BL$23, "Error", 0)</f>
        <v/>
      </c>
      <c r="AI76" s="30">
        <f t="array" ref="AI76">_xlfn.XLOOKUP(MIN(ABS($BK$3:$BK$23 - MEDIAN(MIN($BK$3:$BK$23), MAX($BK$3:$BK$23), AI47))), ABS($BK$3:$BK$23 - MEDIAN(MIN($BK$3:$BK$23), MAX($BK$3:$BK$23), AI47)), $BL$3:$BL$23, "Error", 0)</f>
        <v/>
      </c>
      <c r="AJ76" s="30">
        <f t="array" ref="AJ76">_xlfn.XLOOKUP(MIN(ABS($BK$3:$BK$23 - MEDIAN(MIN($BK$3:$BK$23), MAX($BK$3:$BK$23), AJ47))), ABS($BK$3:$BK$23 - MEDIAN(MIN($BK$3:$BK$23), MAX($BK$3:$BK$23), AJ47)), $BL$3:$BL$23, "Error", 0)</f>
        <v/>
      </c>
      <c r="AK76" s="30">
        <f t="array" ref="AK76">_xlfn.XLOOKUP(MIN(ABS($BK$3:$BK$23 - MEDIAN(MIN($BK$3:$BK$23), MAX($BK$3:$BK$23), AK47))), ABS($BK$3:$BK$23 - MEDIAN(MIN($BK$3:$BK$23), MAX($BK$3:$BK$23), AK47)), $BL$3:$BL$23, "Error", 0)</f>
        <v/>
      </c>
      <c r="AL76" s="30">
        <f t="array" ref="AL76">_xlfn.XLOOKUP(MIN(ABS($BK$3:$BK$23 - MEDIAN(MIN($BK$3:$BK$23), MAX($BK$3:$BK$23), AL47))), ABS($BK$3:$BK$23 - MEDIAN(MIN($BK$3:$BK$23), MAX($BK$3:$BK$23), AL47)), $BL$3:$BL$23, "Error", 0)</f>
        <v/>
      </c>
      <c r="AM76" s="30">
        <f t="array" ref="AM76">_xlfn.XLOOKUP(MIN(ABS($BK$3:$BK$23 - MEDIAN(MIN($BK$3:$BK$23), MAX($BK$3:$BK$23), AM47))), ABS($BK$3:$BK$23 - MEDIAN(MIN($BK$3:$BK$23), MAX($BK$3:$BK$23), AM47)), $BL$3:$BL$23, "Error", 0)</f>
        <v/>
      </c>
      <c r="AN76" s="30">
        <f t="array" ref="AN76">_xlfn.XLOOKUP(MIN(ABS($BK$3:$BK$23 - MEDIAN(MIN($BK$3:$BK$23), MAX($BK$3:$BK$23), AN47))), ABS($BK$3:$BK$23 - MEDIAN(MIN($BK$3:$BK$23), MAX($BK$3:$BK$23), AN47)), $BL$3:$BL$23, "Error", 0)</f>
        <v/>
      </c>
      <c r="AO76" s="30">
        <f t="array" ref="AO76">_xlfn.XLOOKUP(MIN(ABS($BK$3:$BK$23 - MEDIAN(MIN($BK$3:$BK$23), MAX($BK$3:$BK$23), AO47))), ABS($BK$3:$BK$23 - MEDIAN(MIN($BK$3:$BK$23), MAX($BK$3:$BK$23), AO47)), $BL$3:$BL$23, "Error", 0)</f>
        <v/>
      </c>
      <c r="AP76" s="30">
        <f t="array" ref="AP76">_xlfn.XLOOKUP(MIN(ABS($BK$3:$BK$23 - MEDIAN(MIN($BK$3:$BK$23), MAX($BK$3:$BK$23), AP47))), ABS($BK$3:$BK$23 - MEDIAN(MIN($BK$3:$BK$23), MAX($BK$3:$BK$23), AP47)), $BL$3:$BL$23, "Error", 0)</f>
        <v/>
      </c>
      <c r="AQ76" s="30">
        <f t="array" ref="AQ76">_xlfn.XLOOKUP(MIN(ABS($BK$3:$BK$23 - MEDIAN(MIN($BK$3:$BK$23), MAX($BK$3:$BK$23), AQ47))), ABS($BK$3:$BK$23 - MEDIAN(MIN($BK$3:$BK$23), MAX($BK$3:$BK$23), AQ47)), $BL$3:$BL$23, "Error", 0)</f>
        <v/>
      </c>
      <c r="AR76" s="30">
        <f t="array" ref="AR76">_xlfn.XLOOKUP(MIN(ABS($BK$3:$BK$23 - MEDIAN(MIN($BK$3:$BK$23), MAX($BK$3:$BK$23), AR47))), ABS($BK$3:$BK$23 - MEDIAN(MIN($BK$3:$BK$23), MAX($BK$3:$BK$23), AR47)), $BL$3:$BL$23, "Error", 0)</f>
        <v/>
      </c>
      <c r="AS76" s="30">
        <f t="array" ref="AS76">_xlfn.XLOOKUP(MIN(ABS($BK$3:$BK$23 - MEDIAN(MIN($BK$3:$BK$23), MAX($BK$3:$BK$23), AS47))), ABS($BK$3:$BK$23 - MEDIAN(MIN($BK$3:$BK$23), MAX($BK$3:$BK$23), AS47)), $BL$3:$BL$23, "Error", 0)</f>
        <v/>
      </c>
      <c r="AT76" s="30">
        <f t="array" ref="AT76">_xlfn.XLOOKUP(MIN(ABS($BK$3:$BK$23 - MEDIAN(MIN($BK$3:$BK$23), MAX($BK$3:$BK$23), AT47))), ABS($BK$3:$BK$23 - MEDIAN(MIN($BK$3:$BK$23), MAX($BK$3:$BK$23), AT47)), $BL$3:$BL$23, "Error", 0)</f>
        <v/>
      </c>
      <c r="AU76" s="30">
        <f t="array" ref="AU76">_xlfn.XLOOKUP(MIN(ABS($BK$3:$BK$23 - MEDIAN(MIN($BK$3:$BK$23), MAX($BK$3:$BK$23), AU47))), ABS($BK$3:$BK$23 - MEDIAN(MIN($BK$3:$BK$23), MAX($BK$3:$BK$23), AU47)), $BL$3:$BL$23, "Error", 0)</f>
        <v/>
      </c>
      <c r="AV76" s="30">
        <f t="array" ref="AV76">_xlfn.XLOOKUP(MIN(ABS($BK$3:$BK$23 - MEDIAN(MIN($BK$3:$BK$23), MAX($BK$3:$BK$23), AV47))), ABS($BK$3:$BK$23 - MEDIAN(MIN($BK$3:$BK$23), MAX($BK$3:$BK$23), AV47)), $BL$3:$BL$23, "Error", 0)</f>
        <v/>
      </c>
      <c r="AW76" s="30">
        <f t="array" ref="AW76">_xlfn.XLOOKUP(MIN(ABS($BK$3:$BK$23 - MEDIAN(MIN($BK$3:$BK$23), MAX($BK$3:$BK$23), AW47))), ABS($BK$3:$BK$23 - MEDIAN(MIN($BK$3:$BK$23), MAX($BK$3:$BK$23), AW47)), $BL$3:$BL$23, "Error", 0)</f>
        <v/>
      </c>
      <c r="AX76" s="30">
        <f t="array" ref="AX76">_xlfn.XLOOKUP(MIN(ABS($BK$3:$BK$23 - MEDIAN(MIN($BK$3:$BK$23), MAX($BK$3:$BK$23), AX47))), ABS($BK$3:$BK$23 - MEDIAN(MIN($BK$3:$BK$23), MAX($BK$3:$BK$23), AX47)), $BL$3:$BL$23, "Error", 0)</f>
        <v/>
      </c>
      <c r="AY76" s="30">
        <f t="array" ref="AY76">_xlfn.XLOOKUP(MIN(ABS($BK$3:$BK$23 - MEDIAN(MIN($BK$3:$BK$23), MAX($BK$3:$BK$23), AY47))), ABS($BK$3:$BK$23 - MEDIAN(MIN($BK$3:$BK$23), MAX($BK$3:$BK$23), AY47)), $BL$3:$BL$23, "Error", 0)</f>
        <v/>
      </c>
      <c r="AZ76" s="30">
        <f t="array" ref="AZ76">_xlfn.XLOOKUP(MIN(ABS($BK$3:$BK$23 - MEDIAN(MIN($BK$3:$BK$23), MAX($BK$3:$BK$23), AZ47))), ABS($BK$3:$BK$23 - MEDIAN(MIN($BK$3:$BK$23), MAX($BK$3:$BK$23), AZ47)), $BL$3:$BL$23, "Error", 0)</f>
        <v/>
      </c>
      <c r="BA76" s="30">
        <f t="array" ref="BA76">_xlfn.XLOOKUP(MIN(ABS($BK$3:$BK$23 - MEDIAN(MIN($BK$3:$BK$23), MAX($BK$3:$BK$23), BA47))), ABS($BK$3:$BK$23 - MEDIAN(MIN($BK$3:$BK$23), MAX($BK$3:$BK$23), BA47)), $BL$3:$BL$23, "Error", 0)</f>
        <v/>
      </c>
      <c r="BB76" s="30">
        <f t="array" ref="BB76">_xlfn.XLOOKUP(MIN(ABS($BK$3:$BK$23 - MEDIAN(MIN($BK$3:$BK$23), MAX($BK$3:$BK$23), BB47))), ABS($BK$3:$BK$23 - MEDIAN(MIN($BK$3:$BK$23), MAX($BK$3:$BK$23), BB47)), $BL$3:$BL$23, "Error", 0)</f>
        <v/>
      </c>
      <c r="BC76" s="30">
        <f t="array" ref="BC76">_xlfn.XLOOKUP(MIN(ABS($BK$3:$BK$23 - MEDIAN(MIN($BK$3:$BK$23), MAX($BK$3:$BK$23), BC47))), ABS($BK$3:$BK$23 - MEDIAN(MIN($BK$3:$BK$23), MAX($BK$3:$BK$23), BC47)), $BL$3:$BL$23, "Error", 0)</f>
        <v/>
      </c>
      <c r="BD76" s="30">
        <f t="array" ref="BD76">_xlfn.XLOOKUP(MIN(ABS($BK$3:$BK$23 - MEDIAN(MIN($BK$3:$BK$23), MAX($BK$3:$BK$23), BD47))), ABS($BK$3:$BK$23 - MEDIAN(MIN($BK$3:$BK$23), MAX($BK$3:$BK$23), BD47)), $BL$3:$BL$23, "Error", 0)</f>
        <v/>
      </c>
      <c r="BE76" s="30">
        <f t="array" ref="BE76">_xlfn.XLOOKUP(MIN(ABS($BK$3:$BK$23 - MEDIAN(MIN($BK$3:$BK$23), MAX($BK$3:$BK$23), BE47))), ABS($BK$3:$BK$23 - MEDIAN(MIN($BK$3:$BK$23), MAX($BK$3:$BK$23), BE47)), $BL$3:$BL$23, "Error", 0)</f>
        <v/>
      </c>
      <c r="BF76" s="30">
        <f t="array" ref="BF76">_xlfn.XLOOKUP(MIN(ABS($BK$3:$BK$23 - MEDIAN(MIN($BK$3:$BK$23), MAX($BK$3:$BK$23), BF47))), ABS($BK$3:$BK$23 - MEDIAN(MIN($BK$3:$BK$23), MAX($BK$3:$BK$23), BF47)), $BL$3:$BL$23, "Error", 0)</f>
        <v/>
      </c>
      <c r="BG76" s="30">
        <f t="array" ref="BG76">_xlfn.XLOOKUP(MIN(ABS($BK$3:$BK$23 - MEDIAN(MIN($BK$3:$BK$23), MAX($BK$3:$BK$23), BG47))), ABS($BK$3:$BK$23 - MEDIAN(MIN($BK$3:$BK$23), MAX($BK$3:$BK$23), BG47)), $BL$3:$BL$23, "Error", 0)</f>
        <v/>
      </c>
      <c r="BH76" s="30">
        <f t="array" ref="BH76">_xlfn.XLOOKUP(MIN(ABS($BK$3:$BK$23 - MEDIAN(MIN($BK$3:$BK$23), MAX($BK$3:$BK$23), BH47))), ABS($BK$3:$BK$23 - MEDIAN(MIN($BK$3:$BK$23), MAX($BK$3:$BK$23), BH47)), $BL$3:$BL$23, "Error", 0)</f>
        <v/>
      </c>
      <c r="BI76" s="30">
        <f t="array" ref="BI76">_xlfn.XLOOKUP(MIN(ABS($BK$3:$BK$23 - MEDIAN(MIN($BK$3:$BK$23), MAX($BK$3:$BK$23), BI47))), ABS($BK$3:$BK$23 - MEDIAN(MIN($BK$3:$BK$23), MAX($BK$3:$BK$23), BI47)), $BL$3:$BL$23, "Error", 0)</f>
        <v/>
      </c>
    </row>
    <row r="77" ht="25" customHeight="1">
      <c r="A77" s="48" t="inlineStr">
        <is>
          <t>GBP JPY</t>
        </is>
      </c>
      <c r="B77" s="78" t="n"/>
      <c r="C77" s="78" t="n"/>
      <c r="D77" s="78" t="n"/>
      <c r="E77" s="78" t="n"/>
      <c r="F77" s="78" t="n"/>
      <c r="G77" s="78" t="n"/>
      <c r="H77" s="78" t="n"/>
      <c r="I77" s="78" t="n"/>
      <c r="J77" s="78" t="n"/>
      <c r="K77" s="78" t="n"/>
      <c r="L77" s="78" t="n"/>
      <c r="M77" s="78" t="n"/>
      <c r="N77" s="30">
        <f t="array" ref="N77">_xlfn.XLOOKUP(MIN(ABS($BK$3:$BK$23 - MEDIAN(MIN($BK$3:$BK$23), MAX($BK$3:$BK$23), N48))), ABS($BK$3:$BK$23 - MEDIAN(MIN($BK$3:$BK$23), MAX($BK$3:$BK$23), N48)), $BL$3:$BL$23, "Error", 0)</f>
        <v/>
      </c>
      <c r="O77" s="30">
        <f t="array" ref="O77">_xlfn.XLOOKUP(MIN(ABS($BK$3:$BK$23 - MEDIAN(MIN($BK$3:$BK$23), MAX($BK$3:$BK$23), O48))), ABS($BK$3:$BK$23 - MEDIAN(MIN($BK$3:$BK$23), MAX($BK$3:$BK$23), O48)), $BL$3:$BL$23, "Error", 0)</f>
        <v/>
      </c>
      <c r="P77" s="30">
        <f t="array" ref="P77">_xlfn.XLOOKUP(MIN(ABS($BK$3:$BK$23 - MEDIAN(MIN($BK$3:$BK$23), MAX($BK$3:$BK$23), P48))), ABS($BK$3:$BK$23 - MEDIAN(MIN($BK$3:$BK$23), MAX($BK$3:$BK$23), P48)), $BL$3:$BL$23, "Error", 0)</f>
        <v/>
      </c>
      <c r="Q77" s="30">
        <f t="array" ref="Q77">_xlfn.XLOOKUP(MIN(ABS($BK$3:$BK$23 - MEDIAN(MIN($BK$3:$BK$23), MAX($BK$3:$BK$23), Q48))), ABS($BK$3:$BK$23 - MEDIAN(MIN($BK$3:$BK$23), MAX($BK$3:$BK$23), Q48)), $BL$3:$BL$23, "Error", 0)</f>
        <v/>
      </c>
      <c r="R77" s="30">
        <f t="array" ref="R77">_xlfn.XLOOKUP(MIN(ABS($BK$3:$BK$23 - MEDIAN(MIN($BK$3:$BK$23), MAX($BK$3:$BK$23), R48))), ABS($BK$3:$BK$23 - MEDIAN(MIN($BK$3:$BK$23), MAX($BK$3:$BK$23), R48)), $BL$3:$BL$23, "Error", 0)</f>
        <v/>
      </c>
      <c r="S77" s="30">
        <f t="array" ref="S77">_xlfn.XLOOKUP(MIN(ABS($BK$3:$BK$23 - MEDIAN(MIN($BK$3:$BK$23), MAX($BK$3:$BK$23), S48))), ABS($BK$3:$BK$23 - MEDIAN(MIN($BK$3:$BK$23), MAX($BK$3:$BK$23), S48)), $BL$3:$BL$23, "Error", 0)</f>
        <v/>
      </c>
      <c r="T77" s="30">
        <f t="array" ref="T77">_xlfn.XLOOKUP(MIN(ABS($BK$3:$BK$23 - MEDIAN(MIN($BK$3:$BK$23), MAX($BK$3:$BK$23), T48))), ABS($BK$3:$BK$23 - MEDIAN(MIN($BK$3:$BK$23), MAX($BK$3:$BK$23), T48)), $BL$3:$BL$23, "Error", 0)</f>
        <v/>
      </c>
      <c r="U77" s="30">
        <f t="array" ref="U77">_xlfn.XLOOKUP(MIN(ABS($BK$3:$BK$23 - MEDIAN(MIN($BK$3:$BK$23), MAX($BK$3:$BK$23), U48))), ABS($BK$3:$BK$23 - MEDIAN(MIN($BK$3:$BK$23), MAX($BK$3:$BK$23), U48)), $BL$3:$BL$23, "Error", 0)</f>
        <v/>
      </c>
      <c r="V77" s="30">
        <f t="array" ref="V77">_xlfn.XLOOKUP(MIN(ABS($BK$3:$BK$23 - MEDIAN(MIN($BK$3:$BK$23), MAX($BK$3:$BK$23), V48))), ABS($BK$3:$BK$23 - MEDIAN(MIN($BK$3:$BK$23), MAX($BK$3:$BK$23), V48)), $BL$3:$BL$23, "Error", 0)</f>
        <v/>
      </c>
      <c r="W77" s="30">
        <f t="array" ref="W77">_xlfn.XLOOKUP(MIN(ABS($BK$3:$BK$23 - MEDIAN(MIN($BK$3:$BK$23), MAX($BK$3:$BK$23), W48))), ABS($BK$3:$BK$23 - MEDIAN(MIN($BK$3:$BK$23), MAX($BK$3:$BK$23), W48)), $BL$3:$BL$23, "Error", 0)</f>
        <v/>
      </c>
      <c r="X77" s="30">
        <f t="array" ref="X77">_xlfn.XLOOKUP(MIN(ABS($BK$3:$BK$23 - MEDIAN(MIN($BK$3:$BK$23), MAX($BK$3:$BK$23), X48))), ABS($BK$3:$BK$23 - MEDIAN(MIN($BK$3:$BK$23), MAX($BK$3:$BK$23), X48)), $BL$3:$BL$23, "Error", 0)</f>
        <v/>
      </c>
      <c r="Y77" s="30">
        <f t="array" ref="Y77">_xlfn.XLOOKUP(MIN(ABS($BK$3:$BK$23 - MEDIAN(MIN($BK$3:$BK$23), MAX($BK$3:$BK$23), Y48))), ABS($BK$3:$BK$23 - MEDIAN(MIN($BK$3:$BK$23), MAX($BK$3:$BK$23), Y48)), $BL$3:$BL$23, "Error", 0)</f>
        <v/>
      </c>
      <c r="Z77" s="30">
        <f t="array" ref="Z77">_xlfn.XLOOKUP(MIN(ABS($BK$3:$BK$23 - MEDIAN(MIN($BK$3:$BK$23), MAX($BK$3:$BK$23), Z48))), ABS($BK$3:$BK$23 - MEDIAN(MIN($BK$3:$BK$23), MAX($BK$3:$BK$23), Z48)), $BL$3:$BL$23, "Error", 0)</f>
        <v/>
      </c>
      <c r="AA77" s="30">
        <f t="array" ref="AA77">_xlfn.XLOOKUP(MIN(ABS($BK$3:$BK$23 - MEDIAN(MIN($BK$3:$BK$23), MAX($BK$3:$BK$23), AA48))), ABS($BK$3:$BK$23 - MEDIAN(MIN($BK$3:$BK$23), MAX($BK$3:$BK$23), AA48)), $BL$3:$BL$23, "Error", 0)</f>
        <v/>
      </c>
      <c r="AB77" s="30">
        <f t="array" ref="AB77">_xlfn.XLOOKUP(MIN(ABS($BK$3:$BK$23 - MEDIAN(MIN($BK$3:$BK$23), MAX($BK$3:$BK$23), AB48))), ABS($BK$3:$BK$23 - MEDIAN(MIN($BK$3:$BK$23), MAX($BK$3:$BK$23), AB48)), $BL$3:$BL$23, "Error", 0)</f>
        <v/>
      </c>
      <c r="AC77" s="30">
        <f t="array" ref="AC77">_xlfn.XLOOKUP(MIN(ABS($BK$3:$BK$23 - MEDIAN(MIN($BK$3:$BK$23), MAX($BK$3:$BK$23), AC48))), ABS($BK$3:$BK$23 - MEDIAN(MIN($BK$3:$BK$23), MAX($BK$3:$BK$23), AC48)), $BL$3:$BL$23, "Error", 0)</f>
        <v/>
      </c>
      <c r="AD77" s="30">
        <f t="array" ref="AD77">_xlfn.XLOOKUP(MIN(ABS($BK$3:$BK$23 - MEDIAN(MIN($BK$3:$BK$23), MAX($BK$3:$BK$23), AD48))), ABS($BK$3:$BK$23 - MEDIAN(MIN($BK$3:$BK$23), MAX($BK$3:$BK$23), AD48)), $BL$3:$BL$23, "Error", 0)</f>
        <v/>
      </c>
      <c r="AE77" s="30">
        <f t="array" ref="AE77">_xlfn.XLOOKUP(MIN(ABS($BK$3:$BK$23 - MEDIAN(MIN($BK$3:$BK$23), MAX($BK$3:$BK$23), AE48))), ABS($BK$3:$BK$23 - MEDIAN(MIN($BK$3:$BK$23), MAX($BK$3:$BK$23), AE48)), $BL$3:$BL$23, "Error", 0)</f>
        <v/>
      </c>
      <c r="AF77" s="30">
        <f t="array" ref="AF77">_xlfn.XLOOKUP(MIN(ABS($BK$3:$BK$23 - MEDIAN(MIN($BK$3:$BK$23), MAX($BK$3:$BK$23), AF48))), ABS($BK$3:$BK$23 - MEDIAN(MIN($BK$3:$BK$23), MAX($BK$3:$BK$23), AF48)), $BL$3:$BL$23, "Error", 0)</f>
        <v/>
      </c>
      <c r="AG77" s="30">
        <f t="array" ref="AG77">_xlfn.XLOOKUP(MIN(ABS($BK$3:$BK$23 - MEDIAN(MIN($BK$3:$BK$23), MAX($BK$3:$BK$23), AG48))), ABS($BK$3:$BK$23 - MEDIAN(MIN($BK$3:$BK$23), MAX($BK$3:$BK$23), AG48)), $BL$3:$BL$23, "Error", 0)</f>
        <v/>
      </c>
      <c r="AH77" s="30">
        <f t="array" ref="AH77">_xlfn.XLOOKUP(MIN(ABS($BK$3:$BK$23 - MEDIAN(MIN($BK$3:$BK$23), MAX($BK$3:$BK$23), AH48))), ABS($BK$3:$BK$23 - MEDIAN(MIN($BK$3:$BK$23), MAX($BK$3:$BK$23), AH48)), $BL$3:$BL$23, "Error", 0)</f>
        <v/>
      </c>
      <c r="AI77" s="30">
        <f t="array" ref="AI77">_xlfn.XLOOKUP(MIN(ABS($BK$3:$BK$23 - MEDIAN(MIN($BK$3:$BK$23), MAX($BK$3:$BK$23), AI48))), ABS($BK$3:$BK$23 - MEDIAN(MIN($BK$3:$BK$23), MAX($BK$3:$BK$23), AI48)), $BL$3:$BL$23, "Error", 0)</f>
        <v/>
      </c>
      <c r="AJ77" s="30">
        <f t="array" ref="AJ77">_xlfn.XLOOKUP(MIN(ABS($BK$3:$BK$23 - MEDIAN(MIN($BK$3:$BK$23), MAX($BK$3:$BK$23), AJ48))), ABS($BK$3:$BK$23 - MEDIAN(MIN($BK$3:$BK$23), MAX($BK$3:$BK$23), AJ48)), $BL$3:$BL$23, "Error", 0)</f>
        <v/>
      </c>
      <c r="AK77" s="30">
        <f t="array" ref="AK77">_xlfn.XLOOKUP(MIN(ABS($BK$3:$BK$23 - MEDIAN(MIN($BK$3:$BK$23), MAX($BK$3:$BK$23), AK48))), ABS($BK$3:$BK$23 - MEDIAN(MIN($BK$3:$BK$23), MAX($BK$3:$BK$23), AK48)), $BL$3:$BL$23, "Error", 0)</f>
        <v/>
      </c>
      <c r="AL77" s="30">
        <f t="array" ref="AL77">_xlfn.XLOOKUP(MIN(ABS($BK$3:$BK$23 - MEDIAN(MIN($BK$3:$BK$23), MAX($BK$3:$BK$23), AL48))), ABS($BK$3:$BK$23 - MEDIAN(MIN($BK$3:$BK$23), MAX($BK$3:$BK$23), AL48)), $BL$3:$BL$23, "Error", 0)</f>
        <v/>
      </c>
      <c r="AM77" s="30">
        <f t="array" ref="AM77">_xlfn.XLOOKUP(MIN(ABS($BK$3:$BK$23 - MEDIAN(MIN($BK$3:$BK$23), MAX($BK$3:$BK$23), AM48))), ABS($BK$3:$BK$23 - MEDIAN(MIN($BK$3:$BK$23), MAX($BK$3:$BK$23), AM48)), $BL$3:$BL$23, "Error", 0)</f>
        <v/>
      </c>
      <c r="AN77" s="30">
        <f t="array" ref="AN77">_xlfn.XLOOKUP(MIN(ABS($BK$3:$BK$23 - MEDIAN(MIN($BK$3:$BK$23), MAX($BK$3:$BK$23), AN48))), ABS($BK$3:$BK$23 - MEDIAN(MIN($BK$3:$BK$23), MAX($BK$3:$BK$23), AN48)), $BL$3:$BL$23, "Error", 0)</f>
        <v/>
      </c>
      <c r="AO77" s="30">
        <f t="array" ref="AO77">_xlfn.XLOOKUP(MIN(ABS($BK$3:$BK$23 - MEDIAN(MIN($BK$3:$BK$23), MAX($BK$3:$BK$23), AO48))), ABS($BK$3:$BK$23 - MEDIAN(MIN($BK$3:$BK$23), MAX($BK$3:$BK$23), AO48)), $BL$3:$BL$23, "Error", 0)</f>
        <v/>
      </c>
      <c r="AP77" s="30">
        <f t="array" ref="AP77">_xlfn.XLOOKUP(MIN(ABS($BK$3:$BK$23 - MEDIAN(MIN($BK$3:$BK$23), MAX($BK$3:$BK$23), AP48))), ABS($BK$3:$BK$23 - MEDIAN(MIN($BK$3:$BK$23), MAX($BK$3:$BK$23), AP48)), $BL$3:$BL$23, "Error", 0)</f>
        <v/>
      </c>
      <c r="AQ77" s="30">
        <f t="array" ref="AQ77">_xlfn.XLOOKUP(MIN(ABS($BK$3:$BK$23 - MEDIAN(MIN($BK$3:$BK$23), MAX($BK$3:$BK$23), AQ48))), ABS($BK$3:$BK$23 - MEDIAN(MIN($BK$3:$BK$23), MAX($BK$3:$BK$23), AQ48)), $BL$3:$BL$23, "Error", 0)</f>
        <v/>
      </c>
      <c r="AR77" s="30">
        <f t="array" ref="AR77">_xlfn.XLOOKUP(MIN(ABS($BK$3:$BK$23 - MEDIAN(MIN($BK$3:$BK$23), MAX($BK$3:$BK$23), AR48))), ABS($BK$3:$BK$23 - MEDIAN(MIN($BK$3:$BK$23), MAX($BK$3:$BK$23), AR48)), $BL$3:$BL$23, "Error", 0)</f>
        <v/>
      </c>
      <c r="AS77" s="30">
        <f t="array" ref="AS77">_xlfn.XLOOKUP(MIN(ABS($BK$3:$BK$23 - MEDIAN(MIN($BK$3:$BK$23), MAX($BK$3:$BK$23), AS48))), ABS($BK$3:$BK$23 - MEDIAN(MIN($BK$3:$BK$23), MAX($BK$3:$BK$23), AS48)), $BL$3:$BL$23, "Error", 0)</f>
        <v/>
      </c>
      <c r="AT77" s="30">
        <f t="array" ref="AT77">_xlfn.XLOOKUP(MIN(ABS($BK$3:$BK$23 - MEDIAN(MIN($BK$3:$BK$23), MAX($BK$3:$BK$23), AT48))), ABS($BK$3:$BK$23 - MEDIAN(MIN($BK$3:$BK$23), MAX($BK$3:$BK$23), AT48)), $BL$3:$BL$23, "Error", 0)</f>
        <v/>
      </c>
      <c r="AU77" s="30">
        <f t="array" ref="AU77">_xlfn.XLOOKUP(MIN(ABS($BK$3:$BK$23 - MEDIAN(MIN($BK$3:$BK$23), MAX($BK$3:$BK$23), AU48))), ABS($BK$3:$BK$23 - MEDIAN(MIN($BK$3:$BK$23), MAX($BK$3:$BK$23), AU48)), $BL$3:$BL$23, "Error", 0)</f>
        <v/>
      </c>
      <c r="AV77" s="30">
        <f t="array" ref="AV77">_xlfn.XLOOKUP(MIN(ABS($BK$3:$BK$23 - MEDIAN(MIN($BK$3:$BK$23), MAX($BK$3:$BK$23), AV48))), ABS($BK$3:$BK$23 - MEDIAN(MIN($BK$3:$BK$23), MAX($BK$3:$BK$23), AV48)), $BL$3:$BL$23, "Error", 0)</f>
        <v/>
      </c>
      <c r="AW77" s="30">
        <f t="array" ref="AW77">_xlfn.XLOOKUP(MIN(ABS($BK$3:$BK$23 - MEDIAN(MIN($BK$3:$BK$23), MAX($BK$3:$BK$23), AW48))), ABS($BK$3:$BK$23 - MEDIAN(MIN($BK$3:$BK$23), MAX($BK$3:$BK$23), AW48)), $BL$3:$BL$23, "Error", 0)</f>
        <v/>
      </c>
      <c r="AX77" s="30">
        <f t="array" ref="AX77">_xlfn.XLOOKUP(MIN(ABS($BK$3:$BK$23 - MEDIAN(MIN($BK$3:$BK$23), MAX($BK$3:$BK$23), AX48))), ABS($BK$3:$BK$23 - MEDIAN(MIN($BK$3:$BK$23), MAX($BK$3:$BK$23), AX48)), $BL$3:$BL$23, "Error", 0)</f>
        <v/>
      </c>
      <c r="AY77" s="30">
        <f t="array" ref="AY77">_xlfn.XLOOKUP(MIN(ABS($BK$3:$BK$23 - MEDIAN(MIN($BK$3:$BK$23), MAX($BK$3:$BK$23), AY48))), ABS($BK$3:$BK$23 - MEDIAN(MIN($BK$3:$BK$23), MAX($BK$3:$BK$23), AY48)), $BL$3:$BL$23, "Error", 0)</f>
        <v/>
      </c>
      <c r="AZ77" s="30">
        <f t="array" ref="AZ77">_xlfn.XLOOKUP(MIN(ABS($BK$3:$BK$23 - MEDIAN(MIN($BK$3:$BK$23), MAX($BK$3:$BK$23), AZ48))), ABS($BK$3:$BK$23 - MEDIAN(MIN($BK$3:$BK$23), MAX($BK$3:$BK$23), AZ48)), $BL$3:$BL$23, "Error", 0)</f>
        <v/>
      </c>
      <c r="BA77" s="30">
        <f t="array" ref="BA77">_xlfn.XLOOKUP(MIN(ABS($BK$3:$BK$23 - MEDIAN(MIN($BK$3:$BK$23), MAX($BK$3:$BK$23), BA48))), ABS($BK$3:$BK$23 - MEDIAN(MIN($BK$3:$BK$23), MAX($BK$3:$BK$23), BA48)), $BL$3:$BL$23, "Error", 0)</f>
        <v/>
      </c>
      <c r="BB77" s="30">
        <f t="array" ref="BB77">_xlfn.XLOOKUP(MIN(ABS($BK$3:$BK$23 - MEDIAN(MIN($BK$3:$BK$23), MAX($BK$3:$BK$23), BB48))), ABS($BK$3:$BK$23 - MEDIAN(MIN($BK$3:$BK$23), MAX($BK$3:$BK$23), BB48)), $BL$3:$BL$23, "Error", 0)</f>
        <v/>
      </c>
      <c r="BC77" s="30">
        <f t="array" ref="BC77">_xlfn.XLOOKUP(MIN(ABS($BK$3:$BK$23 - MEDIAN(MIN($BK$3:$BK$23), MAX($BK$3:$BK$23), BC48))), ABS($BK$3:$BK$23 - MEDIAN(MIN($BK$3:$BK$23), MAX($BK$3:$BK$23), BC48)), $BL$3:$BL$23, "Error", 0)</f>
        <v/>
      </c>
      <c r="BD77" s="30">
        <f t="array" ref="BD77">_xlfn.XLOOKUP(MIN(ABS($BK$3:$BK$23 - MEDIAN(MIN($BK$3:$BK$23), MAX($BK$3:$BK$23), BD48))), ABS($BK$3:$BK$23 - MEDIAN(MIN($BK$3:$BK$23), MAX($BK$3:$BK$23), BD48)), $BL$3:$BL$23, "Error", 0)</f>
        <v/>
      </c>
      <c r="BE77" s="30">
        <f t="array" ref="BE77">_xlfn.XLOOKUP(MIN(ABS($BK$3:$BK$23 - MEDIAN(MIN($BK$3:$BK$23), MAX($BK$3:$BK$23), BE48))), ABS($BK$3:$BK$23 - MEDIAN(MIN($BK$3:$BK$23), MAX($BK$3:$BK$23), BE48)), $BL$3:$BL$23, "Error", 0)</f>
        <v/>
      </c>
      <c r="BF77" s="30">
        <f t="array" ref="BF77">_xlfn.XLOOKUP(MIN(ABS($BK$3:$BK$23 - MEDIAN(MIN($BK$3:$BK$23), MAX($BK$3:$BK$23), BF48))), ABS($BK$3:$BK$23 - MEDIAN(MIN($BK$3:$BK$23), MAX($BK$3:$BK$23), BF48)), $BL$3:$BL$23, "Error", 0)</f>
        <v/>
      </c>
      <c r="BG77" s="30">
        <f t="array" ref="BG77">_xlfn.XLOOKUP(MIN(ABS($BK$3:$BK$23 - MEDIAN(MIN($BK$3:$BK$23), MAX($BK$3:$BK$23), BG48))), ABS($BK$3:$BK$23 - MEDIAN(MIN($BK$3:$BK$23), MAX($BK$3:$BK$23), BG48)), $BL$3:$BL$23, "Error", 0)</f>
        <v/>
      </c>
      <c r="BH77" s="30">
        <f t="array" ref="BH77">_xlfn.XLOOKUP(MIN(ABS($BK$3:$BK$23 - MEDIAN(MIN($BK$3:$BK$23), MAX($BK$3:$BK$23), BH48))), ABS($BK$3:$BK$23 - MEDIAN(MIN($BK$3:$BK$23), MAX($BK$3:$BK$23), BH48)), $BL$3:$BL$23, "Error", 0)</f>
        <v/>
      </c>
      <c r="BI77" s="30">
        <f t="array" ref="BI77">_xlfn.XLOOKUP(MIN(ABS($BK$3:$BK$23 - MEDIAN(MIN($BK$3:$BK$23), MAX($BK$3:$BK$23), BI48))), ABS($BK$3:$BK$23 - MEDIAN(MIN($BK$3:$BK$23), MAX($BK$3:$BK$23), BI48)), $BL$3:$BL$23, "Error", 0)</f>
        <v/>
      </c>
    </row>
    <row r="78" ht="25" customHeight="1">
      <c r="A78" s="48" t="inlineStr">
        <is>
          <t>GBP CHF</t>
        </is>
      </c>
      <c r="B78" s="78" t="n"/>
      <c r="C78" s="78" t="n"/>
      <c r="D78" s="78" t="n"/>
      <c r="E78" s="78" t="n"/>
      <c r="F78" s="78" t="n"/>
      <c r="G78" s="78" t="n"/>
      <c r="H78" s="78" t="n"/>
      <c r="I78" s="78" t="n"/>
      <c r="J78" s="78" t="n"/>
      <c r="K78" s="78" t="n"/>
      <c r="L78" s="78" t="n"/>
      <c r="M78" s="78" t="n"/>
      <c r="N78" s="30">
        <f t="array" ref="N78">_xlfn.XLOOKUP(MIN(ABS($BK$3:$BK$23 - MEDIAN(MIN($BK$3:$BK$23), MAX($BK$3:$BK$23), N49))), ABS($BK$3:$BK$23 - MEDIAN(MIN($BK$3:$BK$23), MAX($BK$3:$BK$23), N49)), $BL$3:$BL$23, "Error", 0)</f>
        <v/>
      </c>
      <c r="O78" s="30">
        <f t="array" ref="O78">_xlfn.XLOOKUP(MIN(ABS($BK$3:$BK$23 - MEDIAN(MIN($BK$3:$BK$23), MAX($BK$3:$BK$23), O49))), ABS($BK$3:$BK$23 - MEDIAN(MIN($BK$3:$BK$23), MAX($BK$3:$BK$23), O49)), $BL$3:$BL$23, "Error", 0)</f>
        <v/>
      </c>
      <c r="P78" s="30">
        <f t="array" ref="P78">_xlfn.XLOOKUP(MIN(ABS($BK$3:$BK$23 - MEDIAN(MIN($BK$3:$BK$23), MAX($BK$3:$BK$23), P49))), ABS($BK$3:$BK$23 - MEDIAN(MIN($BK$3:$BK$23), MAX($BK$3:$BK$23), P49)), $BL$3:$BL$23, "Error", 0)</f>
        <v/>
      </c>
      <c r="Q78" s="30">
        <f t="array" ref="Q78">_xlfn.XLOOKUP(MIN(ABS($BK$3:$BK$23 - MEDIAN(MIN($BK$3:$BK$23), MAX($BK$3:$BK$23), Q49))), ABS($BK$3:$BK$23 - MEDIAN(MIN($BK$3:$BK$23), MAX($BK$3:$BK$23), Q49)), $BL$3:$BL$23, "Error", 0)</f>
        <v/>
      </c>
      <c r="R78" s="30">
        <f t="array" ref="R78">_xlfn.XLOOKUP(MIN(ABS($BK$3:$BK$23 - MEDIAN(MIN($BK$3:$BK$23), MAX($BK$3:$BK$23), R49))), ABS($BK$3:$BK$23 - MEDIAN(MIN($BK$3:$BK$23), MAX($BK$3:$BK$23), R49)), $BL$3:$BL$23, "Error", 0)</f>
        <v/>
      </c>
      <c r="S78" s="30">
        <f t="array" ref="S78">_xlfn.XLOOKUP(MIN(ABS($BK$3:$BK$23 - MEDIAN(MIN($BK$3:$BK$23), MAX($BK$3:$BK$23), S49))), ABS($BK$3:$BK$23 - MEDIAN(MIN($BK$3:$BK$23), MAX($BK$3:$BK$23), S49)), $BL$3:$BL$23, "Error", 0)</f>
        <v/>
      </c>
      <c r="T78" s="30">
        <f t="array" ref="T78">_xlfn.XLOOKUP(MIN(ABS($BK$3:$BK$23 - MEDIAN(MIN($BK$3:$BK$23), MAX($BK$3:$BK$23), T49))), ABS($BK$3:$BK$23 - MEDIAN(MIN($BK$3:$BK$23), MAX($BK$3:$BK$23), T49)), $BL$3:$BL$23, "Error", 0)</f>
        <v/>
      </c>
      <c r="U78" s="30">
        <f t="array" ref="U78">_xlfn.XLOOKUP(MIN(ABS($BK$3:$BK$23 - MEDIAN(MIN($BK$3:$BK$23), MAX($BK$3:$BK$23), U49))), ABS($BK$3:$BK$23 - MEDIAN(MIN($BK$3:$BK$23), MAX($BK$3:$BK$23), U49)), $BL$3:$BL$23, "Error", 0)</f>
        <v/>
      </c>
      <c r="V78" s="30">
        <f t="array" ref="V78">_xlfn.XLOOKUP(MIN(ABS($BK$3:$BK$23 - MEDIAN(MIN($BK$3:$BK$23), MAX($BK$3:$BK$23), V49))), ABS($BK$3:$BK$23 - MEDIAN(MIN($BK$3:$BK$23), MAX($BK$3:$BK$23), V49)), $BL$3:$BL$23, "Error", 0)</f>
        <v/>
      </c>
      <c r="W78" s="30">
        <f t="array" ref="W78">_xlfn.XLOOKUP(MIN(ABS($BK$3:$BK$23 - MEDIAN(MIN($BK$3:$BK$23), MAX($BK$3:$BK$23), W49))), ABS($BK$3:$BK$23 - MEDIAN(MIN($BK$3:$BK$23), MAX($BK$3:$BK$23), W49)), $BL$3:$BL$23, "Error", 0)</f>
        <v/>
      </c>
      <c r="X78" s="30">
        <f t="array" ref="X78">_xlfn.XLOOKUP(MIN(ABS($BK$3:$BK$23 - MEDIAN(MIN($BK$3:$BK$23), MAX($BK$3:$BK$23), X49))), ABS($BK$3:$BK$23 - MEDIAN(MIN($BK$3:$BK$23), MAX($BK$3:$BK$23), X49)), $BL$3:$BL$23, "Error", 0)</f>
        <v/>
      </c>
      <c r="Y78" s="30">
        <f t="array" ref="Y78">_xlfn.XLOOKUP(MIN(ABS($BK$3:$BK$23 - MEDIAN(MIN($BK$3:$BK$23), MAX($BK$3:$BK$23), Y49))), ABS($BK$3:$BK$23 - MEDIAN(MIN($BK$3:$BK$23), MAX($BK$3:$BK$23), Y49)), $BL$3:$BL$23, "Error", 0)</f>
        <v/>
      </c>
      <c r="Z78" s="30">
        <f t="array" ref="Z78">_xlfn.XLOOKUP(MIN(ABS($BK$3:$BK$23 - MEDIAN(MIN($BK$3:$BK$23), MAX($BK$3:$BK$23), Z49))), ABS($BK$3:$BK$23 - MEDIAN(MIN($BK$3:$BK$23), MAX($BK$3:$BK$23), Z49)), $BL$3:$BL$23, "Error", 0)</f>
        <v/>
      </c>
      <c r="AA78" s="30">
        <f t="array" ref="AA78">_xlfn.XLOOKUP(MIN(ABS($BK$3:$BK$23 - MEDIAN(MIN($BK$3:$BK$23), MAX($BK$3:$BK$23), AA49))), ABS($BK$3:$BK$23 - MEDIAN(MIN($BK$3:$BK$23), MAX($BK$3:$BK$23), AA49)), $BL$3:$BL$23, "Error", 0)</f>
        <v/>
      </c>
      <c r="AB78" s="30">
        <f t="array" ref="AB78">_xlfn.XLOOKUP(MIN(ABS($BK$3:$BK$23 - MEDIAN(MIN($BK$3:$BK$23), MAX($BK$3:$BK$23), AB49))), ABS($BK$3:$BK$23 - MEDIAN(MIN($BK$3:$BK$23), MAX($BK$3:$BK$23), AB49)), $BL$3:$BL$23, "Error", 0)</f>
        <v/>
      </c>
      <c r="AC78" s="30">
        <f t="array" ref="AC78">_xlfn.XLOOKUP(MIN(ABS($BK$3:$BK$23 - MEDIAN(MIN($BK$3:$BK$23), MAX($BK$3:$BK$23), AC49))), ABS($BK$3:$BK$23 - MEDIAN(MIN($BK$3:$BK$23), MAX($BK$3:$BK$23), AC49)), $BL$3:$BL$23, "Error", 0)</f>
        <v/>
      </c>
      <c r="AD78" s="30">
        <f t="array" ref="AD78">_xlfn.XLOOKUP(MIN(ABS($BK$3:$BK$23 - MEDIAN(MIN($BK$3:$BK$23), MAX($BK$3:$BK$23), AD49))), ABS($BK$3:$BK$23 - MEDIAN(MIN($BK$3:$BK$23), MAX($BK$3:$BK$23), AD49)), $BL$3:$BL$23, "Error", 0)</f>
        <v/>
      </c>
      <c r="AE78" s="30">
        <f t="array" ref="AE78">_xlfn.XLOOKUP(MIN(ABS($BK$3:$BK$23 - MEDIAN(MIN($BK$3:$BK$23), MAX($BK$3:$BK$23), AE49))), ABS($BK$3:$BK$23 - MEDIAN(MIN($BK$3:$BK$23), MAX($BK$3:$BK$23), AE49)), $BL$3:$BL$23, "Error", 0)</f>
        <v/>
      </c>
      <c r="AF78" s="30">
        <f t="array" ref="AF78">_xlfn.XLOOKUP(MIN(ABS($BK$3:$BK$23 - MEDIAN(MIN($BK$3:$BK$23), MAX($BK$3:$BK$23), AF49))), ABS($BK$3:$BK$23 - MEDIAN(MIN($BK$3:$BK$23), MAX($BK$3:$BK$23), AF49)), $BL$3:$BL$23, "Error", 0)</f>
        <v/>
      </c>
      <c r="AG78" s="30">
        <f t="array" ref="AG78">_xlfn.XLOOKUP(MIN(ABS($BK$3:$BK$23 - MEDIAN(MIN($BK$3:$BK$23), MAX($BK$3:$BK$23), AG49))), ABS($BK$3:$BK$23 - MEDIAN(MIN($BK$3:$BK$23), MAX($BK$3:$BK$23), AG49)), $BL$3:$BL$23, "Error", 0)</f>
        <v/>
      </c>
      <c r="AH78" s="30">
        <f t="array" ref="AH78">_xlfn.XLOOKUP(MIN(ABS($BK$3:$BK$23 - MEDIAN(MIN($BK$3:$BK$23), MAX($BK$3:$BK$23), AH49))), ABS($BK$3:$BK$23 - MEDIAN(MIN($BK$3:$BK$23), MAX($BK$3:$BK$23), AH49)), $BL$3:$BL$23, "Error", 0)</f>
        <v/>
      </c>
      <c r="AI78" s="30">
        <f t="array" ref="AI78">_xlfn.XLOOKUP(MIN(ABS($BK$3:$BK$23 - MEDIAN(MIN($BK$3:$BK$23), MAX($BK$3:$BK$23), AI49))), ABS($BK$3:$BK$23 - MEDIAN(MIN($BK$3:$BK$23), MAX($BK$3:$BK$23), AI49)), $BL$3:$BL$23, "Error", 0)</f>
        <v/>
      </c>
      <c r="AJ78" s="30">
        <f t="array" ref="AJ78">_xlfn.XLOOKUP(MIN(ABS($BK$3:$BK$23 - MEDIAN(MIN($BK$3:$BK$23), MAX($BK$3:$BK$23), AJ49))), ABS($BK$3:$BK$23 - MEDIAN(MIN($BK$3:$BK$23), MAX($BK$3:$BK$23), AJ49)), $BL$3:$BL$23, "Error", 0)</f>
        <v/>
      </c>
      <c r="AK78" s="30">
        <f t="array" ref="AK78">_xlfn.XLOOKUP(MIN(ABS($BK$3:$BK$23 - MEDIAN(MIN($BK$3:$BK$23), MAX($BK$3:$BK$23), AK49))), ABS($BK$3:$BK$23 - MEDIAN(MIN($BK$3:$BK$23), MAX($BK$3:$BK$23), AK49)), $BL$3:$BL$23, "Error", 0)</f>
        <v/>
      </c>
      <c r="AL78" s="30">
        <f t="array" ref="AL78">_xlfn.XLOOKUP(MIN(ABS($BK$3:$BK$23 - MEDIAN(MIN($BK$3:$BK$23), MAX($BK$3:$BK$23), AL49))), ABS($BK$3:$BK$23 - MEDIAN(MIN($BK$3:$BK$23), MAX($BK$3:$BK$23), AL49)), $BL$3:$BL$23, "Error", 0)</f>
        <v/>
      </c>
      <c r="AM78" s="30">
        <f t="array" ref="AM78">_xlfn.XLOOKUP(MIN(ABS($BK$3:$BK$23 - MEDIAN(MIN($BK$3:$BK$23), MAX($BK$3:$BK$23), AM49))), ABS($BK$3:$BK$23 - MEDIAN(MIN($BK$3:$BK$23), MAX($BK$3:$BK$23), AM49)), $BL$3:$BL$23, "Error", 0)</f>
        <v/>
      </c>
      <c r="AN78" s="30">
        <f t="array" ref="AN78">_xlfn.XLOOKUP(MIN(ABS($BK$3:$BK$23 - MEDIAN(MIN($BK$3:$BK$23), MAX($BK$3:$BK$23), AN49))), ABS($BK$3:$BK$23 - MEDIAN(MIN($BK$3:$BK$23), MAX($BK$3:$BK$23), AN49)), $BL$3:$BL$23, "Error", 0)</f>
        <v/>
      </c>
      <c r="AO78" s="30">
        <f t="array" ref="AO78">_xlfn.XLOOKUP(MIN(ABS($BK$3:$BK$23 - MEDIAN(MIN($BK$3:$BK$23), MAX($BK$3:$BK$23), AO49))), ABS($BK$3:$BK$23 - MEDIAN(MIN($BK$3:$BK$23), MAX($BK$3:$BK$23), AO49)), $BL$3:$BL$23, "Error", 0)</f>
        <v/>
      </c>
      <c r="AP78" s="30">
        <f t="array" ref="AP78">_xlfn.XLOOKUP(MIN(ABS($BK$3:$BK$23 - MEDIAN(MIN($BK$3:$BK$23), MAX($BK$3:$BK$23), AP49))), ABS($BK$3:$BK$23 - MEDIAN(MIN($BK$3:$BK$23), MAX($BK$3:$BK$23), AP49)), $BL$3:$BL$23, "Error", 0)</f>
        <v/>
      </c>
      <c r="AQ78" s="30">
        <f t="array" ref="AQ78">_xlfn.XLOOKUP(MIN(ABS($BK$3:$BK$23 - MEDIAN(MIN($BK$3:$BK$23), MAX($BK$3:$BK$23), AQ49))), ABS($BK$3:$BK$23 - MEDIAN(MIN($BK$3:$BK$23), MAX($BK$3:$BK$23), AQ49)), $BL$3:$BL$23, "Error", 0)</f>
        <v/>
      </c>
      <c r="AR78" s="30">
        <f t="array" ref="AR78">_xlfn.XLOOKUP(MIN(ABS($BK$3:$BK$23 - MEDIAN(MIN($BK$3:$BK$23), MAX($BK$3:$BK$23), AR49))), ABS($BK$3:$BK$23 - MEDIAN(MIN($BK$3:$BK$23), MAX($BK$3:$BK$23), AR49)), $BL$3:$BL$23, "Error", 0)</f>
        <v/>
      </c>
      <c r="AS78" s="30">
        <f t="array" ref="AS78">_xlfn.XLOOKUP(MIN(ABS($BK$3:$BK$23 - MEDIAN(MIN($BK$3:$BK$23), MAX($BK$3:$BK$23), AS49))), ABS($BK$3:$BK$23 - MEDIAN(MIN($BK$3:$BK$23), MAX($BK$3:$BK$23), AS49)), $BL$3:$BL$23, "Error", 0)</f>
        <v/>
      </c>
      <c r="AT78" s="30">
        <f t="array" ref="AT78">_xlfn.XLOOKUP(MIN(ABS($BK$3:$BK$23 - MEDIAN(MIN($BK$3:$BK$23), MAX($BK$3:$BK$23), AT49))), ABS($BK$3:$BK$23 - MEDIAN(MIN($BK$3:$BK$23), MAX($BK$3:$BK$23), AT49)), $BL$3:$BL$23, "Error", 0)</f>
        <v/>
      </c>
      <c r="AU78" s="30">
        <f t="array" ref="AU78">_xlfn.XLOOKUP(MIN(ABS($BK$3:$BK$23 - MEDIAN(MIN($BK$3:$BK$23), MAX($BK$3:$BK$23), AU49))), ABS($BK$3:$BK$23 - MEDIAN(MIN($BK$3:$BK$23), MAX($BK$3:$BK$23), AU49)), $BL$3:$BL$23, "Error", 0)</f>
        <v/>
      </c>
      <c r="AV78" s="30">
        <f t="array" ref="AV78">_xlfn.XLOOKUP(MIN(ABS($BK$3:$BK$23 - MEDIAN(MIN($BK$3:$BK$23), MAX($BK$3:$BK$23), AV49))), ABS($BK$3:$BK$23 - MEDIAN(MIN($BK$3:$BK$23), MAX($BK$3:$BK$23), AV49)), $BL$3:$BL$23, "Error", 0)</f>
        <v/>
      </c>
      <c r="AW78" s="30">
        <f t="array" ref="AW78">_xlfn.XLOOKUP(MIN(ABS($BK$3:$BK$23 - MEDIAN(MIN($BK$3:$BK$23), MAX($BK$3:$BK$23), AW49))), ABS($BK$3:$BK$23 - MEDIAN(MIN($BK$3:$BK$23), MAX($BK$3:$BK$23), AW49)), $BL$3:$BL$23, "Error", 0)</f>
        <v/>
      </c>
      <c r="AX78" s="30">
        <f t="array" ref="AX78">_xlfn.XLOOKUP(MIN(ABS($BK$3:$BK$23 - MEDIAN(MIN($BK$3:$BK$23), MAX($BK$3:$BK$23), AX49))), ABS($BK$3:$BK$23 - MEDIAN(MIN($BK$3:$BK$23), MAX($BK$3:$BK$23), AX49)), $BL$3:$BL$23, "Error", 0)</f>
        <v/>
      </c>
      <c r="AY78" s="30">
        <f t="array" ref="AY78">_xlfn.XLOOKUP(MIN(ABS($BK$3:$BK$23 - MEDIAN(MIN($BK$3:$BK$23), MAX($BK$3:$BK$23), AY49))), ABS($BK$3:$BK$23 - MEDIAN(MIN($BK$3:$BK$23), MAX($BK$3:$BK$23), AY49)), $BL$3:$BL$23, "Error", 0)</f>
        <v/>
      </c>
      <c r="AZ78" s="30">
        <f t="array" ref="AZ78">_xlfn.XLOOKUP(MIN(ABS($BK$3:$BK$23 - MEDIAN(MIN($BK$3:$BK$23), MAX($BK$3:$BK$23), AZ49))), ABS($BK$3:$BK$23 - MEDIAN(MIN($BK$3:$BK$23), MAX($BK$3:$BK$23), AZ49)), $BL$3:$BL$23, "Error", 0)</f>
        <v/>
      </c>
      <c r="BA78" s="30">
        <f t="array" ref="BA78">_xlfn.XLOOKUP(MIN(ABS($BK$3:$BK$23 - MEDIAN(MIN($BK$3:$BK$23), MAX($BK$3:$BK$23), BA49))), ABS($BK$3:$BK$23 - MEDIAN(MIN($BK$3:$BK$23), MAX($BK$3:$BK$23), BA49)), $BL$3:$BL$23, "Error", 0)</f>
        <v/>
      </c>
      <c r="BB78" s="30">
        <f t="array" ref="BB78">_xlfn.XLOOKUP(MIN(ABS($BK$3:$BK$23 - MEDIAN(MIN($BK$3:$BK$23), MAX($BK$3:$BK$23), BB49))), ABS($BK$3:$BK$23 - MEDIAN(MIN($BK$3:$BK$23), MAX($BK$3:$BK$23), BB49)), $BL$3:$BL$23, "Error", 0)</f>
        <v/>
      </c>
      <c r="BC78" s="30">
        <f t="array" ref="BC78">_xlfn.XLOOKUP(MIN(ABS($BK$3:$BK$23 - MEDIAN(MIN($BK$3:$BK$23), MAX($BK$3:$BK$23), BC49))), ABS($BK$3:$BK$23 - MEDIAN(MIN($BK$3:$BK$23), MAX($BK$3:$BK$23), BC49)), $BL$3:$BL$23, "Error", 0)</f>
        <v/>
      </c>
      <c r="BD78" s="30">
        <f t="array" ref="BD78">_xlfn.XLOOKUP(MIN(ABS($BK$3:$BK$23 - MEDIAN(MIN($BK$3:$BK$23), MAX($BK$3:$BK$23), BD49))), ABS($BK$3:$BK$23 - MEDIAN(MIN($BK$3:$BK$23), MAX($BK$3:$BK$23), BD49)), $BL$3:$BL$23, "Error", 0)</f>
        <v/>
      </c>
      <c r="BE78" s="30">
        <f t="array" ref="BE78">_xlfn.XLOOKUP(MIN(ABS($BK$3:$BK$23 - MEDIAN(MIN($BK$3:$BK$23), MAX($BK$3:$BK$23), BE49))), ABS($BK$3:$BK$23 - MEDIAN(MIN($BK$3:$BK$23), MAX($BK$3:$BK$23), BE49)), $BL$3:$BL$23, "Error", 0)</f>
        <v/>
      </c>
      <c r="BF78" s="30">
        <f t="array" ref="BF78">_xlfn.XLOOKUP(MIN(ABS($BK$3:$BK$23 - MEDIAN(MIN($BK$3:$BK$23), MAX($BK$3:$BK$23), BF49))), ABS($BK$3:$BK$23 - MEDIAN(MIN($BK$3:$BK$23), MAX($BK$3:$BK$23), BF49)), $BL$3:$BL$23, "Error", 0)</f>
        <v/>
      </c>
      <c r="BG78" s="30">
        <f t="array" ref="BG78">_xlfn.XLOOKUP(MIN(ABS($BK$3:$BK$23 - MEDIAN(MIN($BK$3:$BK$23), MAX($BK$3:$BK$23), BG49))), ABS($BK$3:$BK$23 - MEDIAN(MIN($BK$3:$BK$23), MAX($BK$3:$BK$23), BG49)), $BL$3:$BL$23, "Error", 0)</f>
        <v/>
      </c>
      <c r="BH78" s="30">
        <f t="array" ref="BH78">_xlfn.XLOOKUP(MIN(ABS($BK$3:$BK$23 - MEDIAN(MIN($BK$3:$BK$23), MAX($BK$3:$BK$23), BH49))), ABS($BK$3:$BK$23 - MEDIAN(MIN($BK$3:$BK$23), MAX($BK$3:$BK$23), BH49)), $BL$3:$BL$23, "Error", 0)</f>
        <v/>
      </c>
      <c r="BI78" s="30">
        <f t="array" ref="BI78">_xlfn.XLOOKUP(MIN(ABS($BK$3:$BK$23 - MEDIAN(MIN($BK$3:$BK$23), MAX($BK$3:$BK$23), BI49))), ABS($BK$3:$BK$23 - MEDIAN(MIN($BK$3:$BK$23), MAX($BK$3:$BK$23), BI49)), $BL$3:$BL$23, "Error", 0)</f>
        <v/>
      </c>
    </row>
    <row r="79" ht="25" customHeight="1">
      <c r="A79" s="48" t="inlineStr">
        <is>
          <t>GBP CAD</t>
        </is>
      </c>
      <c r="B79" s="78" t="n"/>
      <c r="C79" s="78" t="n"/>
      <c r="D79" s="78" t="n"/>
      <c r="E79" s="78" t="n"/>
      <c r="F79" s="78" t="n"/>
      <c r="G79" s="78" t="n"/>
      <c r="H79" s="78" t="n"/>
      <c r="I79" s="78" t="n"/>
      <c r="J79" s="78" t="n"/>
      <c r="K79" s="78" t="n"/>
      <c r="L79" s="78" t="n"/>
      <c r="M79" s="78" t="n"/>
      <c r="N79" s="30">
        <f t="array" ref="N79">_xlfn.XLOOKUP(MIN(ABS($BK$3:$BK$23 - MEDIAN(MIN($BK$3:$BK$23), MAX($BK$3:$BK$23), N50))), ABS($BK$3:$BK$23 - MEDIAN(MIN($BK$3:$BK$23), MAX($BK$3:$BK$23), N50)), $BL$3:$BL$23, "Error", 0)</f>
        <v/>
      </c>
      <c r="O79" s="30">
        <f t="array" ref="O79">_xlfn.XLOOKUP(MIN(ABS($BK$3:$BK$23 - MEDIAN(MIN($BK$3:$BK$23), MAX($BK$3:$BK$23), O50))), ABS($BK$3:$BK$23 - MEDIAN(MIN($BK$3:$BK$23), MAX($BK$3:$BK$23), O50)), $BL$3:$BL$23, "Error", 0)</f>
        <v/>
      </c>
      <c r="P79" s="30">
        <f t="array" ref="P79">_xlfn.XLOOKUP(MIN(ABS($BK$3:$BK$23 - MEDIAN(MIN($BK$3:$BK$23), MAX($BK$3:$BK$23), P50))), ABS($BK$3:$BK$23 - MEDIAN(MIN($BK$3:$BK$23), MAX($BK$3:$BK$23), P50)), $BL$3:$BL$23, "Error", 0)</f>
        <v/>
      </c>
      <c r="Q79" s="30">
        <f t="array" ref="Q79">_xlfn.XLOOKUP(MIN(ABS($BK$3:$BK$23 - MEDIAN(MIN($BK$3:$BK$23), MAX($BK$3:$BK$23), Q50))), ABS($BK$3:$BK$23 - MEDIAN(MIN($BK$3:$BK$23), MAX($BK$3:$BK$23), Q50)), $BL$3:$BL$23, "Error", 0)</f>
        <v/>
      </c>
      <c r="R79" s="30">
        <f t="array" ref="R79">_xlfn.XLOOKUP(MIN(ABS($BK$3:$BK$23 - MEDIAN(MIN($BK$3:$BK$23), MAX($BK$3:$BK$23), R50))), ABS($BK$3:$BK$23 - MEDIAN(MIN($BK$3:$BK$23), MAX($BK$3:$BK$23), R50)), $BL$3:$BL$23, "Error", 0)</f>
        <v/>
      </c>
      <c r="S79" s="30">
        <f t="array" ref="S79">_xlfn.XLOOKUP(MIN(ABS($BK$3:$BK$23 - MEDIAN(MIN($BK$3:$BK$23), MAX($BK$3:$BK$23), S50))), ABS($BK$3:$BK$23 - MEDIAN(MIN($BK$3:$BK$23), MAX($BK$3:$BK$23), S50)), $BL$3:$BL$23, "Error", 0)</f>
        <v/>
      </c>
      <c r="T79" s="30">
        <f t="array" ref="T79">_xlfn.XLOOKUP(MIN(ABS($BK$3:$BK$23 - MEDIAN(MIN($BK$3:$BK$23), MAX($BK$3:$BK$23), T50))), ABS($BK$3:$BK$23 - MEDIAN(MIN($BK$3:$BK$23), MAX($BK$3:$BK$23), T50)), $BL$3:$BL$23, "Error", 0)</f>
        <v/>
      </c>
      <c r="U79" s="30">
        <f t="array" ref="U79">_xlfn.XLOOKUP(MIN(ABS($BK$3:$BK$23 - MEDIAN(MIN($BK$3:$BK$23), MAX($BK$3:$BK$23), U50))), ABS($BK$3:$BK$23 - MEDIAN(MIN($BK$3:$BK$23), MAX($BK$3:$BK$23), U50)), $BL$3:$BL$23, "Error", 0)</f>
        <v/>
      </c>
      <c r="V79" s="30">
        <f t="array" ref="V79">_xlfn.XLOOKUP(MIN(ABS($BK$3:$BK$23 - MEDIAN(MIN($BK$3:$BK$23), MAX($BK$3:$BK$23), V50))), ABS($BK$3:$BK$23 - MEDIAN(MIN($BK$3:$BK$23), MAX($BK$3:$BK$23), V50)), $BL$3:$BL$23, "Error", 0)</f>
        <v/>
      </c>
      <c r="W79" s="30">
        <f t="array" ref="W79">_xlfn.XLOOKUP(MIN(ABS($BK$3:$BK$23 - MEDIAN(MIN($BK$3:$BK$23), MAX($BK$3:$BK$23), W50))), ABS($BK$3:$BK$23 - MEDIAN(MIN($BK$3:$BK$23), MAX($BK$3:$BK$23), W50)), $BL$3:$BL$23, "Error", 0)</f>
        <v/>
      </c>
      <c r="X79" s="30">
        <f t="array" ref="X79">_xlfn.XLOOKUP(MIN(ABS($BK$3:$BK$23 - MEDIAN(MIN($BK$3:$BK$23), MAX($BK$3:$BK$23), X50))), ABS($BK$3:$BK$23 - MEDIAN(MIN($BK$3:$BK$23), MAX($BK$3:$BK$23), X50)), $BL$3:$BL$23, "Error", 0)</f>
        <v/>
      </c>
      <c r="Y79" s="30">
        <f t="array" ref="Y79">_xlfn.XLOOKUP(MIN(ABS($BK$3:$BK$23 - MEDIAN(MIN($BK$3:$BK$23), MAX($BK$3:$BK$23), Y50))), ABS($BK$3:$BK$23 - MEDIAN(MIN($BK$3:$BK$23), MAX($BK$3:$BK$23), Y50)), $BL$3:$BL$23, "Error", 0)</f>
        <v/>
      </c>
      <c r="Z79" s="30">
        <f t="array" ref="Z79">_xlfn.XLOOKUP(MIN(ABS($BK$3:$BK$23 - MEDIAN(MIN($BK$3:$BK$23), MAX($BK$3:$BK$23), Z50))), ABS($BK$3:$BK$23 - MEDIAN(MIN($BK$3:$BK$23), MAX($BK$3:$BK$23), Z50)), $BL$3:$BL$23, "Error", 0)</f>
        <v/>
      </c>
      <c r="AA79" s="30">
        <f t="array" ref="AA79">_xlfn.XLOOKUP(MIN(ABS($BK$3:$BK$23 - MEDIAN(MIN($BK$3:$BK$23), MAX($BK$3:$BK$23), AA50))), ABS($BK$3:$BK$23 - MEDIAN(MIN($BK$3:$BK$23), MAX($BK$3:$BK$23), AA50)), $BL$3:$BL$23, "Error", 0)</f>
        <v/>
      </c>
      <c r="AB79" s="30">
        <f t="array" ref="AB79">_xlfn.XLOOKUP(MIN(ABS($BK$3:$BK$23 - MEDIAN(MIN($BK$3:$BK$23), MAX($BK$3:$BK$23), AB50))), ABS($BK$3:$BK$23 - MEDIAN(MIN($BK$3:$BK$23), MAX($BK$3:$BK$23), AB50)), $BL$3:$BL$23, "Error", 0)</f>
        <v/>
      </c>
      <c r="AC79" s="30">
        <f t="array" ref="AC79">_xlfn.XLOOKUP(MIN(ABS($BK$3:$BK$23 - MEDIAN(MIN($BK$3:$BK$23), MAX($BK$3:$BK$23), AC50))), ABS($BK$3:$BK$23 - MEDIAN(MIN($BK$3:$BK$23), MAX($BK$3:$BK$23), AC50)), $BL$3:$BL$23, "Error", 0)</f>
        <v/>
      </c>
      <c r="AD79" s="30">
        <f t="array" ref="AD79">_xlfn.XLOOKUP(MIN(ABS($BK$3:$BK$23 - MEDIAN(MIN($BK$3:$BK$23), MAX($BK$3:$BK$23), AD50))), ABS($BK$3:$BK$23 - MEDIAN(MIN($BK$3:$BK$23), MAX($BK$3:$BK$23), AD50)), $BL$3:$BL$23, "Error", 0)</f>
        <v/>
      </c>
      <c r="AE79" s="30">
        <f t="array" ref="AE79">_xlfn.XLOOKUP(MIN(ABS($BK$3:$BK$23 - MEDIAN(MIN($BK$3:$BK$23), MAX($BK$3:$BK$23), AE50))), ABS($BK$3:$BK$23 - MEDIAN(MIN($BK$3:$BK$23), MAX($BK$3:$BK$23), AE50)), $BL$3:$BL$23, "Error", 0)</f>
        <v/>
      </c>
      <c r="AF79" s="30">
        <f t="array" ref="AF79">_xlfn.XLOOKUP(MIN(ABS($BK$3:$BK$23 - MEDIAN(MIN($BK$3:$BK$23), MAX($BK$3:$BK$23), AF50))), ABS($BK$3:$BK$23 - MEDIAN(MIN($BK$3:$BK$23), MAX($BK$3:$BK$23), AF50)), $BL$3:$BL$23, "Error", 0)</f>
        <v/>
      </c>
      <c r="AG79" s="30">
        <f t="array" ref="AG79">_xlfn.XLOOKUP(MIN(ABS($BK$3:$BK$23 - MEDIAN(MIN($BK$3:$BK$23), MAX($BK$3:$BK$23), AG50))), ABS($BK$3:$BK$23 - MEDIAN(MIN($BK$3:$BK$23), MAX($BK$3:$BK$23), AG50)), $BL$3:$BL$23, "Error", 0)</f>
        <v/>
      </c>
      <c r="AH79" s="30">
        <f t="array" ref="AH79">_xlfn.XLOOKUP(MIN(ABS($BK$3:$BK$23 - MEDIAN(MIN($BK$3:$BK$23), MAX($BK$3:$BK$23), AH50))), ABS($BK$3:$BK$23 - MEDIAN(MIN($BK$3:$BK$23), MAX($BK$3:$BK$23), AH50)), $BL$3:$BL$23, "Error", 0)</f>
        <v/>
      </c>
      <c r="AI79" s="30">
        <f t="array" ref="AI79">_xlfn.XLOOKUP(MIN(ABS($BK$3:$BK$23 - MEDIAN(MIN($BK$3:$BK$23), MAX($BK$3:$BK$23), AI50))), ABS($BK$3:$BK$23 - MEDIAN(MIN($BK$3:$BK$23), MAX($BK$3:$BK$23), AI50)), $BL$3:$BL$23, "Error", 0)</f>
        <v/>
      </c>
      <c r="AJ79" s="30">
        <f t="array" ref="AJ79">_xlfn.XLOOKUP(MIN(ABS($BK$3:$BK$23 - MEDIAN(MIN($BK$3:$BK$23), MAX($BK$3:$BK$23), AJ50))), ABS($BK$3:$BK$23 - MEDIAN(MIN($BK$3:$BK$23), MAX($BK$3:$BK$23), AJ50)), $BL$3:$BL$23, "Error", 0)</f>
        <v/>
      </c>
      <c r="AK79" s="30">
        <f t="array" ref="AK79">_xlfn.XLOOKUP(MIN(ABS($BK$3:$BK$23 - MEDIAN(MIN($BK$3:$BK$23), MAX($BK$3:$BK$23), AK50))), ABS($BK$3:$BK$23 - MEDIAN(MIN($BK$3:$BK$23), MAX($BK$3:$BK$23), AK50)), $BL$3:$BL$23, "Error", 0)</f>
        <v/>
      </c>
      <c r="AL79" s="30">
        <f t="array" ref="AL79">_xlfn.XLOOKUP(MIN(ABS($BK$3:$BK$23 - MEDIAN(MIN($BK$3:$BK$23), MAX($BK$3:$BK$23), AL50))), ABS($BK$3:$BK$23 - MEDIAN(MIN($BK$3:$BK$23), MAX($BK$3:$BK$23), AL50)), $BL$3:$BL$23, "Error", 0)</f>
        <v/>
      </c>
      <c r="AM79" s="30">
        <f t="array" ref="AM79">_xlfn.XLOOKUP(MIN(ABS($BK$3:$BK$23 - MEDIAN(MIN($BK$3:$BK$23), MAX($BK$3:$BK$23), AM50))), ABS($BK$3:$BK$23 - MEDIAN(MIN($BK$3:$BK$23), MAX($BK$3:$BK$23), AM50)), $BL$3:$BL$23, "Error", 0)</f>
        <v/>
      </c>
      <c r="AN79" s="30">
        <f t="array" ref="AN79">_xlfn.XLOOKUP(MIN(ABS($BK$3:$BK$23 - MEDIAN(MIN($BK$3:$BK$23), MAX($BK$3:$BK$23), AN50))), ABS($BK$3:$BK$23 - MEDIAN(MIN($BK$3:$BK$23), MAX($BK$3:$BK$23), AN50)), $BL$3:$BL$23, "Error", 0)</f>
        <v/>
      </c>
      <c r="AO79" s="30">
        <f t="array" ref="AO79">_xlfn.XLOOKUP(MIN(ABS($BK$3:$BK$23 - MEDIAN(MIN($BK$3:$BK$23), MAX($BK$3:$BK$23), AO50))), ABS($BK$3:$BK$23 - MEDIAN(MIN($BK$3:$BK$23), MAX($BK$3:$BK$23), AO50)), $BL$3:$BL$23, "Error", 0)</f>
        <v/>
      </c>
      <c r="AP79" s="30">
        <f t="array" ref="AP79">_xlfn.XLOOKUP(MIN(ABS($BK$3:$BK$23 - MEDIAN(MIN($BK$3:$BK$23), MAX($BK$3:$BK$23), AP50))), ABS($BK$3:$BK$23 - MEDIAN(MIN($BK$3:$BK$23), MAX($BK$3:$BK$23), AP50)), $BL$3:$BL$23, "Error", 0)</f>
        <v/>
      </c>
      <c r="AQ79" s="30">
        <f t="array" ref="AQ79">_xlfn.XLOOKUP(MIN(ABS($BK$3:$BK$23 - MEDIAN(MIN($BK$3:$BK$23), MAX($BK$3:$BK$23), AQ50))), ABS($BK$3:$BK$23 - MEDIAN(MIN($BK$3:$BK$23), MAX($BK$3:$BK$23), AQ50)), $BL$3:$BL$23, "Error", 0)</f>
        <v/>
      </c>
      <c r="AR79" s="30">
        <f t="array" ref="AR79">_xlfn.XLOOKUP(MIN(ABS($BK$3:$BK$23 - MEDIAN(MIN($BK$3:$BK$23), MAX($BK$3:$BK$23), AR50))), ABS($BK$3:$BK$23 - MEDIAN(MIN($BK$3:$BK$23), MAX($BK$3:$BK$23), AR50)), $BL$3:$BL$23, "Error", 0)</f>
        <v/>
      </c>
      <c r="AS79" s="30">
        <f t="array" ref="AS79">_xlfn.XLOOKUP(MIN(ABS($BK$3:$BK$23 - MEDIAN(MIN($BK$3:$BK$23), MAX($BK$3:$BK$23), AS50))), ABS($BK$3:$BK$23 - MEDIAN(MIN($BK$3:$BK$23), MAX($BK$3:$BK$23), AS50)), $BL$3:$BL$23, "Error", 0)</f>
        <v/>
      </c>
      <c r="AT79" s="30">
        <f t="array" ref="AT79">_xlfn.XLOOKUP(MIN(ABS($BK$3:$BK$23 - MEDIAN(MIN($BK$3:$BK$23), MAX($BK$3:$BK$23), AT50))), ABS($BK$3:$BK$23 - MEDIAN(MIN($BK$3:$BK$23), MAX($BK$3:$BK$23), AT50)), $BL$3:$BL$23, "Error", 0)</f>
        <v/>
      </c>
      <c r="AU79" s="30">
        <f t="array" ref="AU79">_xlfn.XLOOKUP(MIN(ABS($BK$3:$BK$23 - MEDIAN(MIN($BK$3:$BK$23), MAX($BK$3:$BK$23), AU50))), ABS($BK$3:$BK$23 - MEDIAN(MIN($BK$3:$BK$23), MAX($BK$3:$BK$23), AU50)), $BL$3:$BL$23, "Error", 0)</f>
        <v/>
      </c>
      <c r="AV79" s="30">
        <f t="array" ref="AV79">_xlfn.XLOOKUP(MIN(ABS($BK$3:$BK$23 - MEDIAN(MIN($BK$3:$BK$23), MAX($BK$3:$BK$23), AV50))), ABS($BK$3:$BK$23 - MEDIAN(MIN($BK$3:$BK$23), MAX($BK$3:$BK$23), AV50)), $BL$3:$BL$23, "Error", 0)</f>
        <v/>
      </c>
      <c r="AW79" s="30">
        <f t="array" ref="AW79">_xlfn.XLOOKUP(MIN(ABS($BK$3:$BK$23 - MEDIAN(MIN($BK$3:$BK$23), MAX($BK$3:$BK$23), AW50))), ABS($BK$3:$BK$23 - MEDIAN(MIN($BK$3:$BK$23), MAX($BK$3:$BK$23), AW50)), $BL$3:$BL$23, "Error", 0)</f>
        <v/>
      </c>
      <c r="AX79" s="30">
        <f t="array" ref="AX79">_xlfn.XLOOKUP(MIN(ABS($BK$3:$BK$23 - MEDIAN(MIN($BK$3:$BK$23), MAX($BK$3:$BK$23), AX50))), ABS($BK$3:$BK$23 - MEDIAN(MIN($BK$3:$BK$23), MAX($BK$3:$BK$23), AX50)), $BL$3:$BL$23, "Error", 0)</f>
        <v/>
      </c>
      <c r="AY79" s="30">
        <f t="array" ref="AY79">_xlfn.XLOOKUP(MIN(ABS($BK$3:$BK$23 - MEDIAN(MIN($BK$3:$BK$23), MAX($BK$3:$BK$23), AY50))), ABS($BK$3:$BK$23 - MEDIAN(MIN($BK$3:$BK$23), MAX($BK$3:$BK$23), AY50)), $BL$3:$BL$23, "Error", 0)</f>
        <v/>
      </c>
      <c r="AZ79" s="30">
        <f t="array" ref="AZ79">_xlfn.XLOOKUP(MIN(ABS($BK$3:$BK$23 - MEDIAN(MIN($BK$3:$BK$23), MAX($BK$3:$BK$23), AZ50))), ABS($BK$3:$BK$23 - MEDIAN(MIN($BK$3:$BK$23), MAX($BK$3:$BK$23), AZ50)), $BL$3:$BL$23, "Error", 0)</f>
        <v/>
      </c>
      <c r="BA79" s="30">
        <f t="array" ref="BA79">_xlfn.XLOOKUP(MIN(ABS($BK$3:$BK$23 - MEDIAN(MIN($BK$3:$BK$23), MAX($BK$3:$BK$23), BA50))), ABS($BK$3:$BK$23 - MEDIAN(MIN($BK$3:$BK$23), MAX($BK$3:$BK$23), BA50)), $BL$3:$BL$23, "Error", 0)</f>
        <v/>
      </c>
      <c r="BB79" s="30">
        <f t="array" ref="BB79">_xlfn.XLOOKUP(MIN(ABS($BK$3:$BK$23 - MEDIAN(MIN($BK$3:$BK$23), MAX($BK$3:$BK$23), BB50))), ABS($BK$3:$BK$23 - MEDIAN(MIN($BK$3:$BK$23), MAX($BK$3:$BK$23), BB50)), $BL$3:$BL$23, "Error", 0)</f>
        <v/>
      </c>
      <c r="BC79" s="30">
        <f t="array" ref="BC79">_xlfn.XLOOKUP(MIN(ABS($BK$3:$BK$23 - MEDIAN(MIN($BK$3:$BK$23), MAX($BK$3:$BK$23), BC50))), ABS($BK$3:$BK$23 - MEDIAN(MIN($BK$3:$BK$23), MAX($BK$3:$BK$23), BC50)), $BL$3:$BL$23, "Error", 0)</f>
        <v/>
      </c>
      <c r="BD79" s="30">
        <f t="array" ref="BD79">_xlfn.XLOOKUP(MIN(ABS($BK$3:$BK$23 - MEDIAN(MIN($BK$3:$BK$23), MAX($BK$3:$BK$23), BD50))), ABS($BK$3:$BK$23 - MEDIAN(MIN($BK$3:$BK$23), MAX($BK$3:$BK$23), BD50)), $BL$3:$BL$23, "Error", 0)</f>
        <v/>
      </c>
      <c r="BE79" s="30">
        <f t="array" ref="BE79">_xlfn.XLOOKUP(MIN(ABS($BK$3:$BK$23 - MEDIAN(MIN($BK$3:$BK$23), MAX($BK$3:$BK$23), BE50))), ABS($BK$3:$BK$23 - MEDIAN(MIN($BK$3:$BK$23), MAX($BK$3:$BK$23), BE50)), $BL$3:$BL$23, "Error", 0)</f>
        <v/>
      </c>
      <c r="BF79" s="30">
        <f t="array" ref="BF79">_xlfn.XLOOKUP(MIN(ABS($BK$3:$BK$23 - MEDIAN(MIN($BK$3:$BK$23), MAX($BK$3:$BK$23), BF50))), ABS($BK$3:$BK$23 - MEDIAN(MIN($BK$3:$BK$23), MAX($BK$3:$BK$23), BF50)), $BL$3:$BL$23, "Error", 0)</f>
        <v/>
      </c>
      <c r="BG79" s="30">
        <f t="array" ref="BG79">_xlfn.XLOOKUP(MIN(ABS($BK$3:$BK$23 - MEDIAN(MIN($BK$3:$BK$23), MAX($BK$3:$BK$23), BG50))), ABS($BK$3:$BK$23 - MEDIAN(MIN($BK$3:$BK$23), MAX($BK$3:$BK$23), BG50)), $BL$3:$BL$23, "Error", 0)</f>
        <v/>
      </c>
      <c r="BH79" s="30">
        <f t="array" ref="BH79">_xlfn.XLOOKUP(MIN(ABS($BK$3:$BK$23 - MEDIAN(MIN($BK$3:$BK$23), MAX($BK$3:$BK$23), BH50))), ABS($BK$3:$BK$23 - MEDIAN(MIN($BK$3:$BK$23), MAX($BK$3:$BK$23), BH50)), $BL$3:$BL$23, "Error", 0)</f>
        <v/>
      </c>
      <c r="BI79" s="30">
        <f t="array" ref="BI79">_xlfn.XLOOKUP(MIN(ABS($BK$3:$BK$23 - MEDIAN(MIN($BK$3:$BK$23), MAX($BK$3:$BK$23), BI50))), ABS($BK$3:$BK$23 - MEDIAN(MIN($BK$3:$BK$23), MAX($BK$3:$BK$23), BI50)), $BL$3:$BL$23, "Error", 0)</f>
        <v/>
      </c>
    </row>
    <row r="80" ht="25" customHeight="1">
      <c r="A80" s="48" t="inlineStr">
        <is>
          <t>GBP AUD</t>
        </is>
      </c>
      <c r="B80" s="78" t="n"/>
      <c r="C80" s="78" t="n"/>
      <c r="D80" s="78" t="n"/>
      <c r="E80" s="78" t="n"/>
      <c r="F80" s="78" t="n"/>
      <c r="G80" s="78" t="n"/>
      <c r="H80" s="78" t="n"/>
      <c r="I80" s="78" t="n"/>
      <c r="J80" s="78" t="n"/>
      <c r="K80" s="78" t="n"/>
      <c r="L80" s="78" t="n"/>
      <c r="M80" s="78" t="n"/>
      <c r="N80" s="30">
        <f t="array" ref="N80">_xlfn.XLOOKUP(MIN(ABS($BK$3:$BK$23 - MEDIAN(MIN($BK$3:$BK$23), MAX($BK$3:$BK$23), N51))), ABS($BK$3:$BK$23 - MEDIAN(MIN($BK$3:$BK$23), MAX($BK$3:$BK$23), N51)), $BL$3:$BL$23, "Error", 0)</f>
        <v/>
      </c>
      <c r="O80" s="30">
        <f t="array" ref="O80">_xlfn.XLOOKUP(MIN(ABS($BK$3:$BK$23 - MEDIAN(MIN($BK$3:$BK$23), MAX($BK$3:$BK$23), O51))), ABS($BK$3:$BK$23 - MEDIAN(MIN($BK$3:$BK$23), MAX($BK$3:$BK$23), O51)), $BL$3:$BL$23, "Error", 0)</f>
        <v/>
      </c>
      <c r="P80" s="30">
        <f t="array" ref="P80">_xlfn.XLOOKUP(MIN(ABS($BK$3:$BK$23 - MEDIAN(MIN($BK$3:$BK$23), MAX($BK$3:$BK$23), P51))), ABS($BK$3:$BK$23 - MEDIAN(MIN($BK$3:$BK$23), MAX($BK$3:$BK$23), P51)), $BL$3:$BL$23, "Error", 0)</f>
        <v/>
      </c>
      <c r="Q80" s="30">
        <f t="array" ref="Q80">_xlfn.XLOOKUP(MIN(ABS($BK$3:$BK$23 - MEDIAN(MIN($BK$3:$BK$23), MAX($BK$3:$BK$23), Q51))), ABS($BK$3:$BK$23 - MEDIAN(MIN($BK$3:$BK$23), MAX($BK$3:$BK$23), Q51)), $BL$3:$BL$23, "Error", 0)</f>
        <v/>
      </c>
      <c r="R80" s="30">
        <f t="array" ref="R80">_xlfn.XLOOKUP(MIN(ABS($BK$3:$BK$23 - MEDIAN(MIN($BK$3:$BK$23), MAX($BK$3:$BK$23), R51))), ABS($BK$3:$BK$23 - MEDIAN(MIN($BK$3:$BK$23), MAX($BK$3:$BK$23), R51)), $BL$3:$BL$23, "Error", 0)</f>
        <v/>
      </c>
      <c r="S80" s="30">
        <f t="array" ref="S80">_xlfn.XLOOKUP(MIN(ABS($BK$3:$BK$23 - MEDIAN(MIN($BK$3:$BK$23), MAX($BK$3:$BK$23), S51))), ABS($BK$3:$BK$23 - MEDIAN(MIN($BK$3:$BK$23), MAX($BK$3:$BK$23), S51)), $BL$3:$BL$23, "Error", 0)</f>
        <v/>
      </c>
      <c r="T80" s="30">
        <f t="array" ref="T80">_xlfn.XLOOKUP(MIN(ABS($BK$3:$BK$23 - MEDIAN(MIN($BK$3:$BK$23), MAX($BK$3:$BK$23), T51))), ABS($BK$3:$BK$23 - MEDIAN(MIN($BK$3:$BK$23), MAX($BK$3:$BK$23), T51)), $BL$3:$BL$23, "Error", 0)</f>
        <v/>
      </c>
      <c r="U80" s="30">
        <f t="array" ref="U80">_xlfn.XLOOKUP(MIN(ABS($BK$3:$BK$23 - MEDIAN(MIN($BK$3:$BK$23), MAX($BK$3:$BK$23), U51))), ABS($BK$3:$BK$23 - MEDIAN(MIN($BK$3:$BK$23), MAX($BK$3:$BK$23), U51)), $BL$3:$BL$23, "Error", 0)</f>
        <v/>
      </c>
      <c r="V80" s="30">
        <f t="array" ref="V80">_xlfn.XLOOKUP(MIN(ABS($BK$3:$BK$23 - MEDIAN(MIN($BK$3:$BK$23), MAX($BK$3:$BK$23), V51))), ABS($BK$3:$BK$23 - MEDIAN(MIN($BK$3:$BK$23), MAX($BK$3:$BK$23), V51)), $BL$3:$BL$23, "Error", 0)</f>
        <v/>
      </c>
      <c r="W80" s="30">
        <f t="array" ref="W80">_xlfn.XLOOKUP(MIN(ABS($BK$3:$BK$23 - MEDIAN(MIN($BK$3:$BK$23), MAX($BK$3:$BK$23), W51))), ABS($BK$3:$BK$23 - MEDIAN(MIN($BK$3:$BK$23), MAX($BK$3:$BK$23), W51)), $BL$3:$BL$23, "Error", 0)</f>
        <v/>
      </c>
      <c r="X80" s="30">
        <f t="array" ref="X80">_xlfn.XLOOKUP(MIN(ABS($BK$3:$BK$23 - MEDIAN(MIN($BK$3:$BK$23), MAX($BK$3:$BK$23), X51))), ABS($BK$3:$BK$23 - MEDIAN(MIN($BK$3:$BK$23), MAX($BK$3:$BK$23), X51)), $BL$3:$BL$23, "Error", 0)</f>
        <v/>
      </c>
      <c r="Y80" s="30">
        <f t="array" ref="Y80">_xlfn.XLOOKUP(MIN(ABS($BK$3:$BK$23 - MEDIAN(MIN($BK$3:$BK$23), MAX($BK$3:$BK$23), Y51))), ABS($BK$3:$BK$23 - MEDIAN(MIN($BK$3:$BK$23), MAX($BK$3:$BK$23), Y51)), $BL$3:$BL$23, "Error", 0)</f>
        <v/>
      </c>
      <c r="Z80" s="30">
        <f t="array" ref="Z80">_xlfn.XLOOKUP(MIN(ABS($BK$3:$BK$23 - MEDIAN(MIN($BK$3:$BK$23), MAX($BK$3:$BK$23), Z51))), ABS($BK$3:$BK$23 - MEDIAN(MIN($BK$3:$BK$23), MAX($BK$3:$BK$23), Z51)), $BL$3:$BL$23, "Error", 0)</f>
        <v/>
      </c>
      <c r="AA80" s="30">
        <f t="array" ref="AA80">_xlfn.XLOOKUP(MIN(ABS($BK$3:$BK$23 - MEDIAN(MIN($BK$3:$BK$23), MAX($BK$3:$BK$23), AA51))), ABS($BK$3:$BK$23 - MEDIAN(MIN($BK$3:$BK$23), MAX($BK$3:$BK$23), AA51)), $BL$3:$BL$23, "Error", 0)</f>
        <v/>
      </c>
      <c r="AB80" s="30">
        <f t="array" ref="AB80">_xlfn.XLOOKUP(MIN(ABS($BK$3:$BK$23 - MEDIAN(MIN($BK$3:$BK$23), MAX($BK$3:$BK$23), AB51))), ABS($BK$3:$BK$23 - MEDIAN(MIN($BK$3:$BK$23), MAX($BK$3:$BK$23), AB51)), $BL$3:$BL$23, "Error", 0)</f>
        <v/>
      </c>
      <c r="AC80" s="30">
        <f t="array" ref="AC80">_xlfn.XLOOKUP(MIN(ABS($BK$3:$BK$23 - MEDIAN(MIN($BK$3:$BK$23), MAX($BK$3:$BK$23), AC51))), ABS($BK$3:$BK$23 - MEDIAN(MIN($BK$3:$BK$23), MAX($BK$3:$BK$23), AC51)), $BL$3:$BL$23, "Error", 0)</f>
        <v/>
      </c>
      <c r="AD80" s="30">
        <f t="array" ref="AD80">_xlfn.XLOOKUP(MIN(ABS($BK$3:$BK$23 - MEDIAN(MIN($BK$3:$BK$23), MAX($BK$3:$BK$23), AD51))), ABS($BK$3:$BK$23 - MEDIAN(MIN($BK$3:$BK$23), MAX($BK$3:$BK$23), AD51)), $BL$3:$BL$23, "Error", 0)</f>
        <v/>
      </c>
      <c r="AE80" s="30">
        <f t="array" ref="AE80">_xlfn.XLOOKUP(MIN(ABS($BK$3:$BK$23 - MEDIAN(MIN($BK$3:$BK$23), MAX($BK$3:$BK$23), AE51))), ABS($BK$3:$BK$23 - MEDIAN(MIN($BK$3:$BK$23), MAX($BK$3:$BK$23), AE51)), $BL$3:$BL$23, "Error", 0)</f>
        <v/>
      </c>
      <c r="AF80" s="30">
        <f t="array" ref="AF80">_xlfn.XLOOKUP(MIN(ABS($BK$3:$BK$23 - MEDIAN(MIN($BK$3:$BK$23), MAX($BK$3:$BK$23), AF51))), ABS($BK$3:$BK$23 - MEDIAN(MIN($BK$3:$BK$23), MAX($BK$3:$BK$23), AF51)), $BL$3:$BL$23, "Error", 0)</f>
        <v/>
      </c>
      <c r="AG80" s="30">
        <f t="array" ref="AG80">_xlfn.XLOOKUP(MIN(ABS($BK$3:$BK$23 - MEDIAN(MIN($BK$3:$BK$23), MAX($BK$3:$BK$23), AG51))), ABS($BK$3:$BK$23 - MEDIAN(MIN($BK$3:$BK$23), MAX($BK$3:$BK$23), AG51)), $BL$3:$BL$23, "Error", 0)</f>
        <v/>
      </c>
      <c r="AH80" s="30">
        <f t="array" ref="AH80">_xlfn.XLOOKUP(MIN(ABS($BK$3:$BK$23 - MEDIAN(MIN($BK$3:$BK$23), MAX($BK$3:$BK$23), AH51))), ABS($BK$3:$BK$23 - MEDIAN(MIN($BK$3:$BK$23), MAX($BK$3:$BK$23), AH51)), $BL$3:$BL$23, "Error", 0)</f>
        <v/>
      </c>
      <c r="AI80" s="30">
        <f t="array" ref="AI80">_xlfn.XLOOKUP(MIN(ABS($BK$3:$BK$23 - MEDIAN(MIN($BK$3:$BK$23), MAX($BK$3:$BK$23), AI51))), ABS($BK$3:$BK$23 - MEDIAN(MIN($BK$3:$BK$23), MAX($BK$3:$BK$23), AI51)), $BL$3:$BL$23, "Error", 0)</f>
        <v/>
      </c>
      <c r="AJ80" s="30">
        <f t="array" ref="AJ80">_xlfn.XLOOKUP(MIN(ABS($BK$3:$BK$23 - MEDIAN(MIN($BK$3:$BK$23), MAX($BK$3:$BK$23), AJ51))), ABS($BK$3:$BK$23 - MEDIAN(MIN($BK$3:$BK$23), MAX($BK$3:$BK$23), AJ51)), $BL$3:$BL$23, "Error", 0)</f>
        <v/>
      </c>
      <c r="AK80" s="30">
        <f t="array" ref="AK80">_xlfn.XLOOKUP(MIN(ABS($BK$3:$BK$23 - MEDIAN(MIN($BK$3:$BK$23), MAX($BK$3:$BK$23), AK51))), ABS($BK$3:$BK$23 - MEDIAN(MIN($BK$3:$BK$23), MAX($BK$3:$BK$23), AK51)), $BL$3:$BL$23, "Error", 0)</f>
        <v/>
      </c>
      <c r="AL80" s="30">
        <f t="array" ref="AL80">_xlfn.XLOOKUP(MIN(ABS($BK$3:$BK$23 - MEDIAN(MIN($BK$3:$BK$23), MAX($BK$3:$BK$23), AL51))), ABS($BK$3:$BK$23 - MEDIAN(MIN($BK$3:$BK$23), MAX($BK$3:$BK$23), AL51)), $BL$3:$BL$23, "Error", 0)</f>
        <v/>
      </c>
      <c r="AM80" s="30">
        <f t="array" ref="AM80">_xlfn.XLOOKUP(MIN(ABS($BK$3:$BK$23 - MEDIAN(MIN($BK$3:$BK$23), MAX($BK$3:$BK$23), AM51))), ABS($BK$3:$BK$23 - MEDIAN(MIN($BK$3:$BK$23), MAX($BK$3:$BK$23), AM51)), $BL$3:$BL$23, "Error", 0)</f>
        <v/>
      </c>
      <c r="AN80" s="30">
        <f t="array" ref="AN80">_xlfn.XLOOKUP(MIN(ABS($BK$3:$BK$23 - MEDIAN(MIN($BK$3:$BK$23), MAX($BK$3:$BK$23), AN51))), ABS($BK$3:$BK$23 - MEDIAN(MIN($BK$3:$BK$23), MAX($BK$3:$BK$23), AN51)), $BL$3:$BL$23, "Error", 0)</f>
        <v/>
      </c>
      <c r="AO80" s="30">
        <f t="array" ref="AO80">_xlfn.XLOOKUP(MIN(ABS($BK$3:$BK$23 - MEDIAN(MIN($BK$3:$BK$23), MAX($BK$3:$BK$23), AO51))), ABS($BK$3:$BK$23 - MEDIAN(MIN($BK$3:$BK$23), MAX($BK$3:$BK$23), AO51)), $BL$3:$BL$23, "Error", 0)</f>
        <v/>
      </c>
      <c r="AP80" s="30">
        <f t="array" ref="AP80">_xlfn.XLOOKUP(MIN(ABS($BK$3:$BK$23 - MEDIAN(MIN($BK$3:$BK$23), MAX($BK$3:$BK$23), AP51))), ABS($BK$3:$BK$23 - MEDIAN(MIN($BK$3:$BK$23), MAX($BK$3:$BK$23), AP51)), $BL$3:$BL$23, "Error", 0)</f>
        <v/>
      </c>
      <c r="AQ80" s="30">
        <f t="array" ref="AQ80">_xlfn.XLOOKUP(MIN(ABS($BK$3:$BK$23 - MEDIAN(MIN($BK$3:$BK$23), MAX($BK$3:$BK$23), AQ51))), ABS($BK$3:$BK$23 - MEDIAN(MIN($BK$3:$BK$23), MAX($BK$3:$BK$23), AQ51)), $BL$3:$BL$23, "Error", 0)</f>
        <v/>
      </c>
      <c r="AR80" s="30">
        <f t="array" ref="AR80">_xlfn.XLOOKUP(MIN(ABS($BK$3:$BK$23 - MEDIAN(MIN($BK$3:$BK$23), MAX($BK$3:$BK$23), AR51))), ABS($BK$3:$BK$23 - MEDIAN(MIN($BK$3:$BK$23), MAX($BK$3:$BK$23), AR51)), $BL$3:$BL$23, "Error", 0)</f>
        <v/>
      </c>
      <c r="AS80" s="30">
        <f t="array" ref="AS80">_xlfn.XLOOKUP(MIN(ABS($BK$3:$BK$23 - MEDIAN(MIN($BK$3:$BK$23), MAX($BK$3:$BK$23), AS51))), ABS($BK$3:$BK$23 - MEDIAN(MIN($BK$3:$BK$23), MAX($BK$3:$BK$23), AS51)), $BL$3:$BL$23, "Error", 0)</f>
        <v/>
      </c>
      <c r="AT80" s="30">
        <f t="array" ref="AT80">_xlfn.XLOOKUP(MIN(ABS($BK$3:$BK$23 - MEDIAN(MIN($BK$3:$BK$23), MAX($BK$3:$BK$23), AT51))), ABS($BK$3:$BK$23 - MEDIAN(MIN($BK$3:$BK$23), MAX($BK$3:$BK$23), AT51)), $BL$3:$BL$23, "Error", 0)</f>
        <v/>
      </c>
      <c r="AU80" s="30">
        <f t="array" ref="AU80">_xlfn.XLOOKUP(MIN(ABS($BK$3:$BK$23 - MEDIAN(MIN($BK$3:$BK$23), MAX($BK$3:$BK$23), AU51))), ABS($BK$3:$BK$23 - MEDIAN(MIN($BK$3:$BK$23), MAX($BK$3:$BK$23), AU51)), $BL$3:$BL$23, "Error", 0)</f>
        <v/>
      </c>
      <c r="AV80" s="30">
        <f t="array" ref="AV80">_xlfn.XLOOKUP(MIN(ABS($BK$3:$BK$23 - MEDIAN(MIN($BK$3:$BK$23), MAX($BK$3:$BK$23), AV51))), ABS($BK$3:$BK$23 - MEDIAN(MIN($BK$3:$BK$23), MAX($BK$3:$BK$23), AV51)), $BL$3:$BL$23, "Error", 0)</f>
        <v/>
      </c>
      <c r="AW80" s="30">
        <f t="array" ref="AW80">_xlfn.XLOOKUP(MIN(ABS($BK$3:$BK$23 - MEDIAN(MIN($BK$3:$BK$23), MAX($BK$3:$BK$23), AW51))), ABS($BK$3:$BK$23 - MEDIAN(MIN($BK$3:$BK$23), MAX($BK$3:$BK$23), AW51)), $BL$3:$BL$23, "Error", 0)</f>
        <v/>
      </c>
      <c r="AX80" s="30">
        <f t="array" ref="AX80">_xlfn.XLOOKUP(MIN(ABS($BK$3:$BK$23 - MEDIAN(MIN($BK$3:$BK$23), MAX($BK$3:$BK$23), AX51))), ABS($BK$3:$BK$23 - MEDIAN(MIN($BK$3:$BK$23), MAX($BK$3:$BK$23), AX51)), $BL$3:$BL$23, "Error", 0)</f>
        <v/>
      </c>
      <c r="AY80" s="30">
        <f t="array" ref="AY80">_xlfn.XLOOKUP(MIN(ABS($BK$3:$BK$23 - MEDIAN(MIN($BK$3:$BK$23), MAX($BK$3:$BK$23), AY51))), ABS($BK$3:$BK$23 - MEDIAN(MIN($BK$3:$BK$23), MAX($BK$3:$BK$23), AY51)), $BL$3:$BL$23, "Error", 0)</f>
        <v/>
      </c>
      <c r="AZ80" s="30">
        <f t="array" ref="AZ80">_xlfn.XLOOKUP(MIN(ABS($BK$3:$BK$23 - MEDIAN(MIN($BK$3:$BK$23), MAX($BK$3:$BK$23), AZ51))), ABS($BK$3:$BK$23 - MEDIAN(MIN($BK$3:$BK$23), MAX($BK$3:$BK$23), AZ51)), $BL$3:$BL$23, "Error", 0)</f>
        <v/>
      </c>
      <c r="BA80" s="30">
        <f t="array" ref="BA80">_xlfn.XLOOKUP(MIN(ABS($BK$3:$BK$23 - MEDIAN(MIN($BK$3:$BK$23), MAX($BK$3:$BK$23), BA51))), ABS($BK$3:$BK$23 - MEDIAN(MIN($BK$3:$BK$23), MAX($BK$3:$BK$23), BA51)), $BL$3:$BL$23, "Error", 0)</f>
        <v/>
      </c>
      <c r="BB80" s="30">
        <f t="array" ref="BB80">_xlfn.XLOOKUP(MIN(ABS($BK$3:$BK$23 - MEDIAN(MIN($BK$3:$BK$23), MAX($BK$3:$BK$23), BB51))), ABS($BK$3:$BK$23 - MEDIAN(MIN($BK$3:$BK$23), MAX($BK$3:$BK$23), BB51)), $BL$3:$BL$23, "Error", 0)</f>
        <v/>
      </c>
      <c r="BC80" s="30">
        <f t="array" ref="BC80">_xlfn.XLOOKUP(MIN(ABS($BK$3:$BK$23 - MEDIAN(MIN($BK$3:$BK$23), MAX($BK$3:$BK$23), BC51))), ABS($BK$3:$BK$23 - MEDIAN(MIN($BK$3:$BK$23), MAX($BK$3:$BK$23), BC51)), $BL$3:$BL$23, "Error", 0)</f>
        <v/>
      </c>
      <c r="BD80" s="30">
        <f t="array" ref="BD80">_xlfn.XLOOKUP(MIN(ABS($BK$3:$BK$23 - MEDIAN(MIN($BK$3:$BK$23), MAX($BK$3:$BK$23), BD51))), ABS($BK$3:$BK$23 - MEDIAN(MIN($BK$3:$BK$23), MAX($BK$3:$BK$23), BD51)), $BL$3:$BL$23, "Error", 0)</f>
        <v/>
      </c>
      <c r="BE80" s="30">
        <f t="array" ref="BE80">_xlfn.XLOOKUP(MIN(ABS($BK$3:$BK$23 - MEDIAN(MIN($BK$3:$BK$23), MAX($BK$3:$BK$23), BE51))), ABS($BK$3:$BK$23 - MEDIAN(MIN($BK$3:$BK$23), MAX($BK$3:$BK$23), BE51)), $BL$3:$BL$23, "Error", 0)</f>
        <v/>
      </c>
      <c r="BF80" s="30">
        <f t="array" ref="BF80">_xlfn.XLOOKUP(MIN(ABS($BK$3:$BK$23 - MEDIAN(MIN($BK$3:$BK$23), MAX($BK$3:$BK$23), BF51))), ABS($BK$3:$BK$23 - MEDIAN(MIN($BK$3:$BK$23), MAX($BK$3:$BK$23), BF51)), $BL$3:$BL$23, "Error", 0)</f>
        <v/>
      </c>
      <c r="BG80" s="30">
        <f t="array" ref="BG80">_xlfn.XLOOKUP(MIN(ABS($BK$3:$BK$23 - MEDIAN(MIN($BK$3:$BK$23), MAX($BK$3:$BK$23), BG51))), ABS($BK$3:$BK$23 - MEDIAN(MIN($BK$3:$BK$23), MAX($BK$3:$BK$23), BG51)), $BL$3:$BL$23, "Error", 0)</f>
        <v/>
      </c>
      <c r="BH80" s="30">
        <f t="array" ref="BH80">_xlfn.XLOOKUP(MIN(ABS($BK$3:$BK$23 - MEDIAN(MIN($BK$3:$BK$23), MAX($BK$3:$BK$23), BH51))), ABS($BK$3:$BK$23 - MEDIAN(MIN($BK$3:$BK$23), MAX($BK$3:$BK$23), BH51)), $BL$3:$BL$23, "Error", 0)</f>
        <v/>
      </c>
      <c r="BI80" s="30">
        <f t="array" ref="BI80">_xlfn.XLOOKUP(MIN(ABS($BK$3:$BK$23 - MEDIAN(MIN($BK$3:$BK$23), MAX($BK$3:$BK$23), BI51))), ABS($BK$3:$BK$23 - MEDIAN(MIN($BK$3:$BK$23), MAX($BK$3:$BK$23), BI51)), $BL$3:$BL$23, "Error", 0)</f>
        <v/>
      </c>
    </row>
    <row r="81" ht="25" customHeight="1">
      <c r="A81" s="48" t="inlineStr">
        <is>
          <t>GBP NZD</t>
        </is>
      </c>
      <c r="B81" s="78" t="n"/>
      <c r="C81" s="78" t="n"/>
      <c r="D81" s="78" t="n"/>
      <c r="E81" s="78" t="n"/>
      <c r="F81" s="78" t="n"/>
      <c r="G81" s="78" t="n"/>
      <c r="H81" s="78" t="n"/>
      <c r="I81" s="78" t="n"/>
      <c r="J81" s="78" t="n"/>
      <c r="K81" s="78" t="n"/>
      <c r="L81" s="78" t="n"/>
      <c r="M81" s="78" t="n"/>
      <c r="N81" s="30">
        <f t="array" ref="N81">_xlfn.XLOOKUP(MIN(ABS($BK$3:$BK$23 - MEDIAN(MIN($BK$3:$BK$23), MAX($BK$3:$BK$23), N52))), ABS($BK$3:$BK$23 - MEDIAN(MIN($BK$3:$BK$23), MAX($BK$3:$BK$23), N52)), $BL$3:$BL$23, "Error", 0)</f>
        <v/>
      </c>
      <c r="O81" s="30">
        <f t="array" ref="O81">_xlfn.XLOOKUP(MIN(ABS($BK$3:$BK$23 - MEDIAN(MIN($BK$3:$BK$23), MAX($BK$3:$BK$23), O52))), ABS($BK$3:$BK$23 - MEDIAN(MIN($BK$3:$BK$23), MAX($BK$3:$BK$23), O52)), $BL$3:$BL$23, "Error", 0)</f>
        <v/>
      </c>
      <c r="P81" s="30">
        <f t="array" ref="P81">_xlfn.XLOOKUP(MIN(ABS($BK$3:$BK$23 - MEDIAN(MIN($BK$3:$BK$23), MAX($BK$3:$BK$23), P52))), ABS($BK$3:$BK$23 - MEDIAN(MIN($BK$3:$BK$23), MAX($BK$3:$BK$23), P52)), $BL$3:$BL$23, "Error", 0)</f>
        <v/>
      </c>
      <c r="Q81" s="30">
        <f t="array" ref="Q81">_xlfn.XLOOKUP(MIN(ABS($BK$3:$BK$23 - MEDIAN(MIN($BK$3:$BK$23), MAX($BK$3:$BK$23), Q52))), ABS($BK$3:$BK$23 - MEDIAN(MIN($BK$3:$BK$23), MAX($BK$3:$BK$23), Q52)), $BL$3:$BL$23, "Error", 0)</f>
        <v/>
      </c>
      <c r="R81" s="30">
        <f t="array" ref="R81">_xlfn.XLOOKUP(MIN(ABS($BK$3:$BK$23 - MEDIAN(MIN($BK$3:$BK$23), MAX($BK$3:$BK$23), R52))), ABS($BK$3:$BK$23 - MEDIAN(MIN($BK$3:$BK$23), MAX($BK$3:$BK$23), R52)), $BL$3:$BL$23, "Error", 0)</f>
        <v/>
      </c>
      <c r="S81" s="30">
        <f t="array" ref="S81">_xlfn.XLOOKUP(MIN(ABS($BK$3:$BK$23 - MEDIAN(MIN($BK$3:$BK$23), MAX($BK$3:$BK$23), S52))), ABS($BK$3:$BK$23 - MEDIAN(MIN($BK$3:$BK$23), MAX($BK$3:$BK$23), S52)), $BL$3:$BL$23, "Error", 0)</f>
        <v/>
      </c>
      <c r="T81" s="30">
        <f t="array" ref="T81">_xlfn.XLOOKUP(MIN(ABS($BK$3:$BK$23 - MEDIAN(MIN($BK$3:$BK$23), MAX($BK$3:$BK$23), T52))), ABS($BK$3:$BK$23 - MEDIAN(MIN($BK$3:$BK$23), MAX($BK$3:$BK$23), T52)), $BL$3:$BL$23, "Error", 0)</f>
        <v/>
      </c>
      <c r="U81" s="30">
        <f t="array" ref="U81">_xlfn.XLOOKUP(MIN(ABS($BK$3:$BK$23 - MEDIAN(MIN($BK$3:$BK$23), MAX($BK$3:$BK$23), U52))), ABS($BK$3:$BK$23 - MEDIAN(MIN($BK$3:$BK$23), MAX($BK$3:$BK$23), U52)), $BL$3:$BL$23, "Error", 0)</f>
        <v/>
      </c>
      <c r="V81" s="30">
        <f t="array" ref="V81">_xlfn.XLOOKUP(MIN(ABS($BK$3:$BK$23 - MEDIAN(MIN($BK$3:$BK$23), MAX($BK$3:$BK$23), V52))), ABS($BK$3:$BK$23 - MEDIAN(MIN($BK$3:$BK$23), MAX($BK$3:$BK$23), V52)), $BL$3:$BL$23, "Error", 0)</f>
        <v/>
      </c>
      <c r="W81" s="30">
        <f t="array" ref="W81">_xlfn.XLOOKUP(MIN(ABS($BK$3:$BK$23 - MEDIAN(MIN($BK$3:$BK$23), MAX($BK$3:$BK$23), W52))), ABS($BK$3:$BK$23 - MEDIAN(MIN($BK$3:$BK$23), MAX($BK$3:$BK$23), W52)), $BL$3:$BL$23, "Error", 0)</f>
        <v/>
      </c>
      <c r="X81" s="30">
        <f t="array" ref="X81">_xlfn.XLOOKUP(MIN(ABS($BK$3:$BK$23 - MEDIAN(MIN($BK$3:$BK$23), MAX($BK$3:$BK$23), X52))), ABS($BK$3:$BK$23 - MEDIAN(MIN($BK$3:$BK$23), MAX($BK$3:$BK$23), X52)), $BL$3:$BL$23, "Error", 0)</f>
        <v/>
      </c>
      <c r="Y81" s="30">
        <f t="array" ref="Y81">_xlfn.XLOOKUP(MIN(ABS($BK$3:$BK$23 - MEDIAN(MIN($BK$3:$BK$23), MAX($BK$3:$BK$23), Y52))), ABS($BK$3:$BK$23 - MEDIAN(MIN($BK$3:$BK$23), MAX($BK$3:$BK$23), Y52)), $BL$3:$BL$23, "Error", 0)</f>
        <v/>
      </c>
      <c r="Z81" s="30">
        <f t="array" ref="Z81">_xlfn.XLOOKUP(MIN(ABS($BK$3:$BK$23 - MEDIAN(MIN($BK$3:$BK$23), MAX($BK$3:$BK$23), Z52))), ABS($BK$3:$BK$23 - MEDIAN(MIN($BK$3:$BK$23), MAX($BK$3:$BK$23), Z52)), $BL$3:$BL$23, "Error", 0)</f>
        <v/>
      </c>
      <c r="AA81" s="30">
        <f t="array" ref="AA81">_xlfn.XLOOKUP(MIN(ABS($BK$3:$BK$23 - MEDIAN(MIN($BK$3:$BK$23), MAX($BK$3:$BK$23), AA52))), ABS($BK$3:$BK$23 - MEDIAN(MIN($BK$3:$BK$23), MAX($BK$3:$BK$23), AA52)), $BL$3:$BL$23, "Error", 0)</f>
        <v/>
      </c>
      <c r="AB81" s="30">
        <f t="array" ref="AB81">_xlfn.XLOOKUP(MIN(ABS($BK$3:$BK$23 - MEDIAN(MIN($BK$3:$BK$23), MAX($BK$3:$BK$23), AB52))), ABS($BK$3:$BK$23 - MEDIAN(MIN($BK$3:$BK$23), MAX($BK$3:$BK$23), AB52)), $BL$3:$BL$23, "Error", 0)</f>
        <v/>
      </c>
      <c r="AC81" s="30">
        <f t="array" ref="AC81">_xlfn.XLOOKUP(MIN(ABS($BK$3:$BK$23 - MEDIAN(MIN($BK$3:$BK$23), MAX($BK$3:$BK$23), AC52))), ABS($BK$3:$BK$23 - MEDIAN(MIN($BK$3:$BK$23), MAX($BK$3:$BK$23), AC52)), $BL$3:$BL$23, "Error", 0)</f>
        <v/>
      </c>
      <c r="AD81" s="30">
        <f t="array" ref="AD81">_xlfn.XLOOKUP(MIN(ABS($BK$3:$BK$23 - MEDIAN(MIN($BK$3:$BK$23), MAX($BK$3:$BK$23), AD52))), ABS($BK$3:$BK$23 - MEDIAN(MIN($BK$3:$BK$23), MAX($BK$3:$BK$23), AD52)), $BL$3:$BL$23, "Error", 0)</f>
        <v/>
      </c>
      <c r="AE81" s="30">
        <f t="array" ref="AE81">_xlfn.XLOOKUP(MIN(ABS($BK$3:$BK$23 - MEDIAN(MIN($BK$3:$BK$23), MAX($BK$3:$BK$23), AE52))), ABS($BK$3:$BK$23 - MEDIAN(MIN($BK$3:$BK$23), MAX($BK$3:$BK$23), AE52)), $BL$3:$BL$23, "Error", 0)</f>
        <v/>
      </c>
      <c r="AF81" s="30">
        <f t="array" ref="AF81">_xlfn.XLOOKUP(MIN(ABS($BK$3:$BK$23 - MEDIAN(MIN($BK$3:$BK$23), MAX($BK$3:$BK$23), AF52))), ABS($BK$3:$BK$23 - MEDIAN(MIN($BK$3:$BK$23), MAX($BK$3:$BK$23), AF52)), $BL$3:$BL$23, "Error", 0)</f>
        <v/>
      </c>
      <c r="AG81" s="30">
        <f t="array" ref="AG81">_xlfn.XLOOKUP(MIN(ABS($BK$3:$BK$23 - MEDIAN(MIN($BK$3:$BK$23), MAX($BK$3:$BK$23), AG52))), ABS($BK$3:$BK$23 - MEDIAN(MIN($BK$3:$BK$23), MAX($BK$3:$BK$23), AG52)), $BL$3:$BL$23, "Error", 0)</f>
        <v/>
      </c>
      <c r="AH81" s="30">
        <f t="array" ref="AH81">_xlfn.XLOOKUP(MIN(ABS($BK$3:$BK$23 - MEDIAN(MIN($BK$3:$BK$23), MAX($BK$3:$BK$23), AH52))), ABS($BK$3:$BK$23 - MEDIAN(MIN($BK$3:$BK$23), MAX($BK$3:$BK$23), AH52)), $BL$3:$BL$23, "Error", 0)</f>
        <v/>
      </c>
      <c r="AI81" s="30">
        <f t="array" ref="AI81">_xlfn.XLOOKUP(MIN(ABS($BK$3:$BK$23 - MEDIAN(MIN($BK$3:$BK$23), MAX($BK$3:$BK$23), AI52))), ABS($BK$3:$BK$23 - MEDIAN(MIN($BK$3:$BK$23), MAX($BK$3:$BK$23), AI52)), $BL$3:$BL$23, "Error", 0)</f>
        <v/>
      </c>
      <c r="AJ81" s="30">
        <f t="array" ref="AJ81">_xlfn.XLOOKUP(MIN(ABS($BK$3:$BK$23 - MEDIAN(MIN($BK$3:$BK$23), MAX($BK$3:$BK$23), AJ52))), ABS($BK$3:$BK$23 - MEDIAN(MIN($BK$3:$BK$23), MAX($BK$3:$BK$23), AJ52)), $BL$3:$BL$23, "Error", 0)</f>
        <v/>
      </c>
      <c r="AK81" s="30">
        <f t="array" ref="AK81">_xlfn.XLOOKUP(MIN(ABS($BK$3:$BK$23 - MEDIAN(MIN($BK$3:$BK$23), MAX($BK$3:$BK$23), AK52))), ABS($BK$3:$BK$23 - MEDIAN(MIN($BK$3:$BK$23), MAX($BK$3:$BK$23), AK52)), $BL$3:$BL$23, "Error", 0)</f>
        <v/>
      </c>
      <c r="AL81" s="30">
        <f t="array" ref="AL81">_xlfn.XLOOKUP(MIN(ABS($BK$3:$BK$23 - MEDIAN(MIN($BK$3:$BK$23), MAX($BK$3:$BK$23), AL52))), ABS($BK$3:$BK$23 - MEDIAN(MIN($BK$3:$BK$23), MAX($BK$3:$BK$23), AL52)), $BL$3:$BL$23, "Error", 0)</f>
        <v/>
      </c>
      <c r="AM81" s="30">
        <f t="array" ref="AM81">_xlfn.XLOOKUP(MIN(ABS($BK$3:$BK$23 - MEDIAN(MIN($BK$3:$BK$23), MAX($BK$3:$BK$23), AM52))), ABS($BK$3:$BK$23 - MEDIAN(MIN($BK$3:$BK$23), MAX($BK$3:$BK$23), AM52)), $BL$3:$BL$23, "Error", 0)</f>
        <v/>
      </c>
      <c r="AN81" s="30">
        <f t="array" ref="AN81">_xlfn.XLOOKUP(MIN(ABS($BK$3:$BK$23 - MEDIAN(MIN($BK$3:$BK$23), MAX($BK$3:$BK$23), AN52))), ABS($BK$3:$BK$23 - MEDIAN(MIN($BK$3:$BK$23), MAX($BK$3:$BK$23), AN52)), $BL$3:$BL$23, "Error", 0)</f>
        <v/>
      </c>
      <c r="AO81" s="30">
        <f t="array" ref="AO81">_xlfn.XLOOKUP(MIN(ABS($BK$3:$BK$23 - MEDIAN(MIN($BK$3:$BK$23), MAX($BK$3:$BK$23), AO52))), ABS($BK$3:$BK$23 - MEDIAN(MIN($BK$3:$BK$23), MAX($BK$3:$BK$23), AO52)), $BL$3:$BL$23, "Error", 0)</f>
        <v/>
      </c>
      <c r="AP81" s="30">
        <f t="array" ref="AP81">_xlfn.XLOOKUP(MIN(ABS($BK$3:$BK$23 - MEDIAN(MIN($BK$3:$BK$23), MAX($BK$3:$BK$23), AP52))), ABS($BK$3:$BK$23 - MEDIAN(MIN($BK$3:$BK$23), MAX($BK$3:$BK$23), AP52)), $BL$3:$BL$23, "Error", 0)</f>
        <v/>
      </c>
      <c r="AQ81" s="30">
        <f t="array" ref="AQ81">_xlfn.XLOOKUP(MIN(ABS($BK$3:$BK$23 - MEDIAN(MIN($BK$3:$BK$23), MAX($BK$3:$BK$23), AQ52))), ABS($BK$3:$BK$23 - MEDIAN(MIN($BK$3:$BK$23), MAX($BK$3:$BK$23), AQ52)), $BL$3:$BL$23, "Error", 0)</f>
        <v/>
      </c>
      <c r="AR81" s="30">
        <f t="array" ref="AR81">_xlfn.XLOOKUP(MIN(ABS($BK$3:$BK$23 - MEDIAN(MIN($BK$3:$BK$23), MAX($BK$3:$BK$23), AR52))), ABS($BK$3:$BK$23 - MEDIAN(MIN($BK$3:$BK$23), MAX($BK$3:$BK$23), AR52)), $BL$3:$BL$23, "Error", 0)</f>
        <v/>
      </c>
      <c r="AS81" s="30">
        <f t="array" ref="AS81">_xlfn.XLOOKUP(MIN(ABS($BK$3:$BK$23 - MEDIAN(MIN($BK$3:$BK$23), MAX($BK$3:$BK$23), AS52))), ABS($BK$3:$BK$23 - MEDIAN(MIN($BK$3:$BK$23), MAX($BK$3:$BK$23), AS52)), $BL$3:$BL$23, "Error", 0)</f>
        <v/>
      </c>
      <c r="AT81" s="30">
        <f t="array" ref="AT81">_xlfn.XLOOKUP(MIN(ABS($BK$3:$BK$23 - MEDIAN(MIN($BK$3:$BK$23), MAX($BK$3:$BK$23), AT52))), ABS($BK$3:$BK$23 - MEDIAN(MIN($BK$3:$BK$23), MAX($BK$3:$BK$23), AT52)), $BL$3:$BL$23, "Error", 0)</f>
        <v/>
      </c>
      <c r="AU81" s="30">
        <f t="array" ref="AU81">_xlfn.XLOOKUP(MIN(ABS($BK$3:$BK$23 - MEDIAN(MIN($BK$3:$BK$23), MAX($BK$3:$BK$23), AU52))), ABS($BK$3:$BK$23 - MEDIAN(MIN($BK$3:$BK$23), MAX($BK$3:$BK$23), AU52)), $BL$3:$BL$23, "Error", 0)</f>
        <v/>
      </c>
      <c r="AV81" s="30">
        <f t="array" ref="AV81">_xlfn.XLOOKUP(MIN(ABS($BK$3:$BK$23 - MEDIAN(MIN($BK$3:$BK$23), MAX($BK$3:$BK$23), AV52))), ABS($BK$3:$BK$23 - MEDIAN(MIN($BK$3:$BK$23), MAX($BK$3:$BK$23), AV52)), $BL$3:$BL$23, "Error", 0)</f>
        <v/>
      </c>
      <c r="AW81" s="30">
        <f t="array" ref="AW81">_xlfn.XLOOKUP(MIN(ABS($BK$3:$BK$23 - MEDIAN(MIN($BK$3:$BK$23), MAX($BK$3:$BK$23), AW52))), ABS($BK$3:$BK$23 - MEDIAN(MIN($BK$3:$BK$23), MAX($BK$3:$BK$23), AW52)), $BL$3:$BL$23, "Error", 0)</f>
        <v/>
      </c>
      <c r="AX81" s="30">
        <f t="array" ref="AX81">_xlfn.XLOOKUP(MIN(ABS($BK$3:$BK$23 - MEDIAN(MIN($BK$3:$BK$23), MAX($BK$3:$BK$23), AX52))), ABS($BK$3:$BK$23 - MEDIAN(MIN($BK$3:$BK$23), MAX($BK$3:$BK$23), AX52)), $BL$3:$BL$23, "Error", 0)</f>
        <v/>
      </c>
      <c r="AY81" s="30">
        <f t="array" ref="AY81">_xlfn.XLOOKUP(MIN(ABS($BK$3:$BK$23 - MEDIAN(MIN($BK$3:$BK$23), MAX($BK$3:$BK$23), AY52))), ABS($BK$3:$BK$23 - MEDIAN(MIN($BK$3:$BK$23), MAX($BK$3:$BK$23), AY52)), $BL$3:$BL$23, "Error", 0)</f>
        <v/>
      </c>
      <c r="AZ81" s="30">
        <f t="array" ref="AZ81">_xlfn.XLOOKUP(MIN(ABS($BK$3:$BK$23 - MEDIAN(MIN($BK$3:$BK$23), MAX($BK$3:$BK$23), AZ52))), ABS($BK$3:$BK$23 - MEDIAN(MIN($BK$3:$BK$23), MAX($BK$3:$BK$23), AZ52)), $BL$3:$BL$23, "Error", 0)</f>
        <v/>
      </c>
      <c r="BA81" s="30">
        <f t="array" ref="BA81">_xlfn.XLOOKUP(MIN(ABS($BK$3:$BK$23 - MEDIAN(MIN($BK$3:$BK$23), MAX($BK$3:$BK$23), BA52))), ABS($BK$3:$BK$23 - MEDIAN(MIN($BK$3:$BK$23), MAX($BK$3:$BK$23), BA52)), $BL$3:$BL$23, "Error", 0)</f>
        <v/>
      </c>
      <c r="BB81" s="30">
        <f t="array" ref="BB81">_xlfn.XLOOKUP(MIN(ABS($BK$3:$BK$23 - MEDIAN(MIN($BK$3:$BK$23), MAX($BK$3:$BK$23), BB52))), ABS($BK$3:$BK$23 - MEDIAN(MIN($BK$3:$BK$23), MAX($BK$3:$BK$23), BB52)), $BL$3:$BL$23, "Error", 0)</f>
        <v/>
      </c>
      <c r="BC81" s="30">
        <f t="array" ref="BC81">_xlfn.XLOOKUP(MIN(ABS($BK$3:$BK$23 - MEDIAN(MIN($BK$3:$BK$23), MAX($BK$3:$BK$23), BC52))), ABS($BK$3:$BK$23 - MEDIAN(MIN($BK$3:$BK$23), MAX($BK$3:$BK$23), BC52)), $BL$3:$BL$23, "Error", 0)</f>
        <v/>
      </c>
      <c r="BD81" s="30">
        <f t="array" ref="BD81">_xlfn.XLOOKUP(MIN(ABS($BK$3:$BK$23 - MEDIAN(MIN($BK$3:$BK$23), MAX($BK$3:$BK$23), BD52))), ABS($BK$3:$BK$23 - MEDIAN(MIN($BK$3:$BK$23), MAX($BK$3:$BK$23), BD52)), $BL$3:$BL$23, "Error", 0)</f>
        <v/>
      </c>
      <c r="BE81" s="30">
        <f t="array" ref="BE81">_xlfn.XLOOKUP(MIN(ABS($BK$3:$BK$23 - MEDIAN(MIN($BK$3:$BK$23), MAX($BK$3:$BK$23), BE52))), ABS($BK$3:$BK$23 - MEDIAN(MIN($BK$3:$BK$23), MAX($BK$3:$BK$23), BE52)), $BL$3:$BL$23, "Error", 0)</f>
        <v/>
      </c>
      <c r="BF81" s="30">
        <f t="array" ref="BF81">_xlfn.XLOOKUP(MIN(ABS($BK$3:$BK$23 - MEDIAN(MIN($BK$3:$BK$23), MAX($BK$3:$BK$23), BF52))), ABS($BK$3:$BK$23 - MEDIAN(MIN($BK$3:$BK$23), MAX($BK$3:$BK$23), BF52)), $BL$3:$BL$23, "Error", 0)</f>
        <v/>
      </c>
      <c r="BG81" s="30">
        <f t="array" ref="BG81">_xlfn.XLOOKUP(MIN(ABS($BK$3:$BK$23 - MEDIAN(MIN($BK$3:$BK$23), MAX($BK$3:$BK$23), BG52))), ABS($BK$3:$BK$23 - MEDIAN(MIN($BK$3:$BK$23), MAX($BK$3:$BK$23), BG52)), $BL$3:$BL$23, "Error", 0)</f>
        <v/>
      </c>
      <c r="BH81" s="30">
        <f t="array" ref="BH81">_xlfn.XLOOKUP(MIN(ABS($BK$3:$BK$23 - MEDIAN(MIN($BK$3:$BK$23), MAX($BK$3:$BK$23), BH52))), ABS($BK$3:$BK$23 - MEDIAN(MIN($BK$3:$BK$23), MAX($BK$3:$BK$23), BH52)), $BL$3:$BL$23, "Error", 0)</f>
        <v/>
      </c>
      <c r="BI81" s="30">
        <f t="array" ref="BI81">_xlfn.XLOOKUP(MIN(ABS($BK$3:$BK$23 - MEDIAN(MIN($BK$3:$BK$23), MAX($BK$3:$BK$23), BI52))), ABS($BK$3:$BK$23 - MEDIAN(MIN($BK$3:$BK$23), MAX($BK$3:$BK$23), BI52)), $BL$3:$BL$23, "Error", 0)</f>
        <v/>
      </c>
    </row>
    <row r="82" ht="25" customHeight="1">
      <c r="A82" s="49" t="inlineStr">
        <is>
          <t xml:space="preserve">CHF JPY </t>
        </is>
      </c>
      <c r="B82" s="78" t="n"/>
      <c r="C82" s="78" t="n"/>
      <c r="D82" s="78" t="n"/>
      <c r="E82" s="78" t="n"/>
      <c r="F82" s="78" t="n"/>
      <c r="G82" s="78" t="n"/>
      <c r="H82" s="78" t="n"/>
      <c r="I82" s="78" t="n"/>
      <c r="J82" s="78" t="n"/>
      <c r="K82" s="78" t="n"/>
      <c r="L82" s="78" t="n"/>
      <c r="M82" s="78" t="n"/>
      <c r="N82" s="30">
        <f t="array" ref="N82">_xlfn.XLOOKUP(MIN(ABS($BK$3:$BK$23 - MEDIAN(MIN($BK$3:$BK$23), MAX($BK$3:$BK$23), N53))), ABS($BK$3:$BK$23 - MEDIAN(MIN($BK$3:$BK$23), MAX($BK$3:$BK$23), N53)), $BL$3:$BL$23, "Error", 0)</f>
        <v/>
      </c>
      <c r="O82" s="30">
        <f t="array" ref="O82">_xlfn.XLOOKUP(MIN(ABS($BK$3:$BK$23 - MEDIAN(MIN($BK$3:$BK$23), MAX($BK$3:$BK$23), O53))), ABS($BK$3:$BK$23 - MEDIAN(MIN($BK$3:$BK$23), MAX($BK$3:$BK$23), O53)), $BL$3:$BL$23, "Error", 0)</f>
        <v/>
      </c>
      <c r="P82" s="30">
        <f t="array" ref="P82">_xlfn.XLOOKUP(MIN(ABS($BK$3:$BK$23 - MEDIAN(MIN($BK$3:$BK$23), MAX($BK$3:$BK$23), P53))), ABS($BK$3:$BK$23 - MEDIAN(MIN($BK$3:$BK$23), MAX($BK$3:$BK$23), P53)), $BL$3:$BL$23, "Error", 0)</f>
        <v/>
      </c>
      <c r="Q82" s="30">
        <f t="array" ref="Q82">_xlfn.XLOOKUP(MIN(ABS($BK$3:$BK$23 - MEDIAN(MIN($BK$3:$BK$23), MAX($BK$3:$BK$23), Q53))), ABS($BK$3:$BK$23 - MEDIAN(MIN($BK$3:$BK$23), MAX($BK$3:$BK$23), Q53)), $BL$3:$BL$23, "Error", 0)</f>
        <v/>
      </c>
      <c r="R82" s="30">
        <f t="array" ref="R82">_xlfn.XLOOKUP(MIN(ABS($BK$3:$BK$23 - MEDIAN(MIN($BK$3:$BK$23), MAX($BK$3:$BK$23), R53))), ABS($BK$3:$BK$23 - MEDIAN(MIN($BK$3:$BK$23), MAX($BK$3:$BK$23), R53)), $BL$3:$BL$23, "Error", 0)</f>
        <v/>
      </c>
      <c r="S82" s="30">
        <f t="array" ref="S82">_xlfn.XLOOKUP(MIN(ABS($BK$3:$BK$23 - MEDIAN(MIN($BK$3:$BK$23), MAX($BK$3:$BK$23), S53))), ABS($BK$3:$BK$23 - MEDIAN(MIN($BK$3:$BK$23), MAX($BK$3:$BK$23), S53)), $BL$3:$BL$23, "Error", 0)</f>
        <v/>
      </c>
      <c r="T82" s="30">
        <f t="array" ref="T82">_xlfn.XLOOKUP(MIN(ABS($BK$3:$BK$23 - MEDIAN(MIN($BK$3:$BK$23), MAX($BK$3:$BK$23), T53))), ABS($BK$3:$BK$23 - MEDIAN(MIN($BK$3:$BK$23), MAX($BK$3:$BK$23), T53)), $BL$3:$BL$23, "Error", 0)</f>
        <v/>
      </c>
      <c r="U82" s="30">
        <f t="array" ref="U82">_xlfn.XLOOKUP(MIN(ABS($BK$3:$BK$23 - MEDIAN(MIN($BK$3:$BK$23), MAX($BK$3:$BK$23), U53))), ABS($BK$3:$BK$23 - MEDIAN(MIN($BK$3:$BK$23), MAX($BK$3:$BK$23), U53)), $BL$3:$BL$23, "Error", 0)</f>
        <v/>
      </c>
      <c r="V82" s="30">
        <f t="array" ref="V82">_xlfn.XLOOKUP(MIN(ABS($BK$3:$BK$23 - MEDIAN(MIN($BK$3:$BK$23), MAX($BK$3:$BK$23), V53))), ABS($BK$3:$BK$23 - MEDIAN(MIN($BK$3:$BK$23), MAX($BK$3:$BK$23), V53)), $BL$3:$BL$23, "Error", 0)</f>
        <v/>
      </c>
      <c r="W82" s="30">
        <f t="array" ref="W82">_xlfn.XLOOKUP(MIN(ABS($BK$3:$BK$23 - MEDIAN(MIN($BK$3:$BK$23), MAX($BK$3:$BK$23), W53))), ABS($BK$3:$BK$23 - MEDIAN(MIN($BK$3:$BK$23), MAX($BK$3:$BK$23), W53)), $BL$3:$BL$23, "Error", 0)</f>
        <v/>
      </c>
      <c r="X82" s="30">
        <f t="array" ref="X82">_xlfn.XLOOKUP(MIN(ABS($BK$3:$BK$23 - MEDIAN(MIN($BK$3:$BK$23), MAX($BK$3:$BK$23), X53))), ABS($BK$3:$BK$23 - MEDIAN(MIN($BK$3:$BK$23), MAX($BK$3:$BK$23), X53)), $BL$3:$BL$23, "Error", 0)</f>
        <v/>
      </c>
      <c r="Y82" s="30">
        <f t="array" ref="Y82">_xlfn.XLOOKUP(MIN(ABS($BK$3:$BK$23 - MEDIAN(MIN($BK$3:$BK$23), MAX($BK$3:$BK$23), Y53))), ABS($BK$3:$BK$23 - MEDIAN(MIN($BK$3:$BK$23), MAX($BK$3:$BK$23), Y53)), $BL$3:$BL$23, "Error", 0)</f>
        <v/>
      </c>
      <c r="Z82" s="30">
        <f t="array" ref="Z82">_xlfn.XLOOKUP(MIN(ABS($BK$3:$BK$23 - MEDIAN(MIN($BK$3:$BK$23), MAX($BK$3:$BK$23), Z53))), ABS($BK$3:$BK$23 - MEDIAN(MIN($BK$3:$BK$23), MAX($BK$3:$BK$23), Z53)), $BL$3:$BL$23, "Error", 0)</f>
        <v/>
      </c>
      <c r="AA82" s="30">
        <f t="array" ref="AA82">_xlfn.XLOOKUP(MIN(ABS($BK$3:$BK$23 - MEDIAN(MIN($BK$3:$BK$23), MAX($BK$3:$BK$23), AA53))), ABS($BK$3:$BK$23 - MEDIAN(MIN($BK$3:$BK$23), MAX($BK$3:$BK$23), AA53)), $BL$3:$BL$23, "Error", 0)</f>
        <v/>
      </c>
      <c r="AB82" s="30">
        <f t="array" ref="AB82">_xlfn.XLOOKUP(MIN(ABS($BK$3:$BK$23 - MEDIAN(MIN($BK$3:$BK$23), MAX($BK$3:$BK$23), AB53))), ABS($BK$3:$BK$23 - MEDIAN(MIN($BK$3:$BK$23), MAX($BK$3:$BK$23), AB53)), $BL$3:$BL$23, "Error", 0)</f>
        <v/>
      </c>
      <c r="AC82" s="30">
        <f t="array" ref="AC82">_xlfn.XLOOKUP(MIN(ABS($BK$3:$BK$23 - MEDIAN(MIN($BK$3:$BK$23), MAX($BK$3:$BK$23), AC53))), ABS($BK$3:$BK$23 - MEDIAN(MIN($BK$3:$BK$23), MAX($BK$3:$BK$23), AC53)), $BL$3:$BL$23, "Error", 0)</f>
        <v/>
      </c>
      <c r="AD82" s="30">
        <f t="array" ref="AD82">_xlfn.XLOOKUP(MIN(ABS($BK$3:$BK$23 - MEDIAN(MIN($BK$3:$BK$23), MAX($BK$3:$BK$23), AD53))), ABS($BK$3:$BK$23 - MEDIAN(MIN($BK$3:$BK$23), MAX($BK$3:$BK$23), AD53)), $BL$3:$BL$23, "Error", 0)</f>
        <v/>
      </c>
      <c r="AE82" s="30">
        <f t="array" ref="AE82">_xlfn.XLOOKUP(MIN(ABS($BK$3:$BK$23 - MEDIAN(MIN($BK$3:$BK$23), MAX($BK$3:$BK$23), AE53))), ABS($BK$3:$BK$23 - MEDIAN(MIN($BK$3:$BK$23), MAX($BK$3:$BK$23), AE53)), $BL$3:$BL$23, "Error", 0)</f>
        <v/>
      </c>
      <c r="AF82" s="30">
        <f t="array" ref="AF82">_xlfn.XLOOKUP(MIN(ABS($BK$3:$BK$23 - MEDIAN(MIN($BK$3:$BK$23), MAX($BK$3:$BK$23), AF53))), ABS($BK$3:$BK$23 - MEDIAN(MIN($BK$3:$BK$23), MAX($BK$3:$BK$23), AF53)), $BL$3:$BL$23, "Error", 0)</f>
        <v/>
      </c>
      <c r="AG82" s="30">
        <f t="array" ref="AG82">_xlfn.XLOOKUP(MIN(ABS($BK$3:$BK$23 - MEDIAN(MIN($BK$3:$BK$23), MAX($BK$3:$BK$23), AG53))), ABS($BK$3:$BK$23 - MEDIAN(MIN($BK$3:$BK$23), MAX($BK$3:$BK$23), AG53)), $BL$3:$BL$23, "Error", 0)</f>
        <v/>
      </c>
      <c r="AH82" s="30">
        <f t="array" ref="AH82">_xlfn.XLOOKUP(MIN(ABS($BK$3:$BK$23 - MEDIAN(MIN($BK$3:$BK$23), MAX($BK$3:$BK$23), AH53))), ABS($BK$3:$BK$23 - MEDIAN(MIN($BK$3:$BK$23), MAX($BK$3:$BK$23), AH53)), $BL$3:$BL$23, "Error", 0)</f>
        <v/>
      </c>
      <c r="AI82" s="30">
        <f t="array" ref="AI82">_xlfn.XLOOKUP(MIN(ABS($BK$3:$BK$23 - MEDIAN(MIN($BK$3:$BK$23), MAX($BK$3:$BK$23), AI53))), ABS($BK$3:$BK$23 - MEDIAN(MIN($BK$3:$BK$23), MAX($BK$3:$BK$23), AI53)), $BL$3:$BL$23, "Error", 0)</f>
        <v/>
      </c>
      <c r="AJ82" s="30">
        <f t="array" ref="AJ82">_xlfn.XLOOKUP(MIN(ABS($BK$3:$BK$23 - MEDIAN(MIN($BK$3:$BK$23), MAX($BK$3:$BK$23), AJ53))), ABS($BK$3:$BK$23 - MEDIAN(MIN($BK$3:$BK$23), MAX($BK$3:$BK$23), AJ53)), $BL$3:$BL$23, "Error", 0)</f>
        <v/>
      </c>
      <c r="AK82" s="30">
        <f t="array" ref="AK82">_xlfn.XLOOKUP(MIN(ABS($BK$3:$BK$23 - MEDIAN(MIN($BK$3:$BK$23), MAX($BK$3:$BK$23), AK53))), ABS($BK$3:$BK$23 - MEDIAN(MIN($BK$3:$BK$23), MAX($BK$3:$BK$23), AK53)), $BL$3:$BL$23, "Error", 0)</f>
        <v/>
      </c>
      <c r="AL82" s="30">
        <f t="array" ref="AL82">_xlfn.XLOOKUP(MIN(ABS($BK$3:$BK$23 - MEDIAN(MIN($BK$3:$BK$23), MAX($BK$3:$BK$23), AL53))), ABS($BK$3:$BK$23 - MEDIAN(MIN($BK$3:$BK$23), MAX($BK$3:$BK$23), AL53)), $BL$3:$BL$23, "Error", 0)</f>
        <v/>
      </c>
      <c r="AM82" s="30">
        <f t="array" ref="AM82">_xlfn.XLOOKUP(MIN(ABS($BK$3:$BK$23 - MEDIAN(MIN($BK$3:$BK$23), MAX($BK$3:$BK$23), AM53))), ABS($BK$3:$BK$23 - MEDIAN(MIN($BK$3:$BK$23), MAX($BK$3:$BK$23), AM53)), $BL$3:$BL$23, "Error", 0)</f>
        <v/>
      </c>
      <c r="AN82" s="30">
        <f t="array" ref="AN82">_xlfn.XLOOKUP(MIN(ABS($BK$3:$BK$23 - MEDIAN(MIN($BK$3:$BK$23), MAX($BK$3:$BK$23), AN53))), ABS($BK$3:$BK$23 - MEDIAN(MIN($BK$3:$BK$23), MAX($BK$3:$BK$23), AN53)), $BL$3:$BL$23, "Error", 0)</f>
        <v/>
      </c>
      <c r="AO82" s="30">
        <f t="array" ref="AO82">_xlfn.XLOOKUP(MIN(ABS($BK$3:$BK$23 - MEDIAN(MIN($BK$3:$BK$23), MAX($BK$3:$BK$23), AO53))), ABS($BK$3:$BK$23 - MEDIAN(MIN($BK$3:$BK$23), MAX($BK$3:$BK$23), AO53)), $BL$3:$BL$23, "Error", 0)</f>
        <v/>
      </c>
      <c r="AP82" s="30">
        <f t="array" ref="AP82">_xlfn.XLOOKUP(MIN(ABS($BK$3:$BK$23 - MEDIAN(MIN($BK$3:$BK$23), MAX($BK$3:$BK$23), AP53))), ABS($BK$3:$BK$23 - MEDIAN(MIN($BK$3:$BK$23), MAX($BK$3:$BK$23), AP53)), $BL$3:$BL$23, "Error", 0)</f>
        <v/>
      </c>
      <c r="AQ82" s="30">
        <f t="array" ref="AQ82">_xlfn.XLOOKUP(MIN(ABS($BK$3:$BK$23 - MEDIAN(MIN($BK$3:$BK$23), MAX($BK$3:$BK$23), AQ53))), ABS($BK$3:$BK$23 - MEDIAN(MIN($BK$3:$BK$23), MAX($BK$3:$BK$23), AQ53)), $BL$3:$BL$23, "Error", 0)</f>
        <v/>
      </c>
      <c r="AR82" s="30">
        <f t="array" ref="AR82">_xlfn.XLOOKUP(MIN(ABS($BK$3:$BK$23 - MEDIAN(MIN($BK$3:$BK$23), MAX($BK$3:$BK$23), AR53))), ABS($BK$3:$BK$23 - MEDIAN(MIN($BK$3:$BK$23), MAX($BK$3:$BK$23), AR53)), $BL$3:$BL$23, "Error", 0)</f>
        <v/>
      </c>
      <c r="AS82" s="30">
        <f t="array" ref="AS82">_xlfn.XLOOKUP(MIN(ABS($BK$3:$BK$23 - MEDIAN(MIN($BK$3:$BK$23), MAX($BK$3:$BK$23), AS53))), ABS($BK$3:$BK$23 - MEDIAN(MIN($BK$3:$BK$23), MAX($BK$3:$BK$23), AS53)), $BL$3:$BL$23, "Error", 0)</f>
        <v/>
      </c>
      <c r="AT82" s="30">
        <f t="array" ref="AT82">_xlfn.XLOOKUP(MIN(ABS($BK$3:$BK$23 - MEDIAN(MIN($BK$3:$BK$23), MAX($BK$3:$BK$23), AT53))), ABS($BK$3:$BK$23 - MEDIAN(MIN($BK$3:$BK$23), MAX($BK$3:$BK$23), AT53)), $BL$3:$BL$23, "Error", 0)</f>
        <v/>
      </c>
      <c r="AU82" s="30">
        <f t="array" ref="AU82">_xlfn.XLOOKUP(MIN(ABS($BK$3:$BK$23 - MEDIAN(MIN($BK$3:$BK$23), MAX($BK$3:$BK$23), AU53))), ABS($BK$3:$BK$23 - MEDIAN(MIN($BK$3:$BK$23), MAX($BK$3:$BK$23), AU53)), $BL$3:$BL$23, "Error", 0)</f>
        <v/>
      </c>
      <c r="AV82" s="30">
        <f t="array" ref="AV82">_xlfn.XLOOKUP(MIN(ABS($BK$3:$BK$23 - MEDIAN(MIN($BK$3:$BK$23), MAX($BK$3:$BK$23), AV53))), ABS($BK$3:$BK$23 - MEDIAN(MIN($BK$3:$BK$23), MAX($BK$3:$BK$23), AV53)), $BL$3:$BL$23, "Error", 0)</f>
        <v/>
      </c>
      <c r="AW82" s="30">
        <f t="array" ref="AW82">_xlfn.XLOOKUP(MIN(ABS($BK$3:$BK$23 - MEDIAN(MIN($BK$3:$BK$23), MAX($BK$3:$BK$23), AW53))), ABS($BK$3:$BK$23 - MEDIAN(MIN($BK$3:$BK$23), MAX($BK$3:$BK$23), AW53)), $BL$3:$BL$23, "Error", 0)</f>
        <v/>
      </c>
      <c r="AX82" s="30">
        <f t="array" ref="AX82">_xlfn.XLOOKUP(MIN(ABS($BK$3:$BK$23 - MEDIAN(MIN($BK$3:$BK$23), MAX($BK$3:$BK$23), AX53))), ABS($BK$3:$BK$23 - MEDIAN(MIN($BK$3:$BK$23), MAX($BK$3:$BK$23), AX53)), $BL$3:$BL$23, "Error", 0)</f>
        <v/>
      </c>
      <c r="AY82" s="30">
        <f t="array" ref="AY82">_xlfn.XLOOKUP(MIN(ABS($BK$3:$BK$23 - MEDIAN(MIN($BK$3:$BK$23), MAX($BK$3:$BK$23), AY53))), ABS($BK$3:$BK$23 - MEDIAN(MIN($BK$3:$BK$23), MAX($BK$3:$BK$23), AY53)), $BL$3:$BL$23, "Error", 0)</f>
        <v/>
      </c>
      <c r="AZ82" s="30">
        <f t="array" ref="AZ82">_xlfn.XLOOKUP(MIN(ABS($BK$3:$BK$23 - MEDIAN(MIN($BK$3:$BK$23), MAX($BK$3:$BK$23), AZ53))), ABS($BK$3:$BK$23 - MEDIAN(MIN($BK$3:$BK$23), MAX($BK$3:$BK$23), AZ53)), $BL$3:$BL$23, "Error", 0)</f>
        <v/>
      </c>
      <c r="BA82" s="30">
        <f t="array" ref="BA82">_xlfn.XLOOKUP(MIN(ABS($BK$3:$BK$23 - MEDIAN(MIN($BK$3:$BK$23), MAX($BK$3:$BK$23), BA53))), ABS($BK$3:$BK$23 - MEDIAN(MIN($BK$3:$BK$23), MAX($BK$3:$BK$23), BA53)), $BL$3:$BL$23, "Error", 0)</f>
        <v/>
      </c>
      <c r="BB82" s="30">
        <f t="array" ref="BB82">_xlfn.XLOOKUP(MIN(ABS($BK$3:$BK$23 - MEDIAN(MIN($BK$3:$BK$23), MAX($BK$3:$BK$23), BB53))), ABS($BK$3:$BK$23 - MEDIAN(MIN($BK$3:$BK$23), MAX($BK$3:$BK$23), BB53)), $BL$3:$BL$23, "Error", 0)</f>
        <v/>
      </c>
      <c r="BC82" s="30">
        <f t="array" ref="BC82">_xlfn.XLOOKUP(MIN(ABS($BK$3:$BK$23 - MEDIAN(MIN($BK$3:$BK$23), MAX($BK$3:$BK$23), BC53))), ABS($BK$3:$BK$23 - MEDIAN(MIN($BK$3:$BK$23), MAX($BK$3:$BK$23), BC53)), $BL$3:$BL$23, "Error", 0)</f>
        <v/>
      </c>
      <c r="BD82" s="30">
        <f t="array" ref="BD82">_xlfn.XLOOKUP(MIN(ABS($BK$3:$BK$23 - MEDIAN(MIN($BK$3:$BK$23), MAX($BK$3:$BK$23), BD53))), ABS($BK$3:$BK$23 - MEDIAN(MIN($BK$3:$BK$23), MAX($BK$3:$BK$23), BD53)), $BL$3:$BL$23, "Error", 0)</f>
        <v/>
      </c>
      <c r="BE82" s="30">
        <f t="array" ref="BE82">_xlfn.XLOOKUP(MIN(ABS($BK$3:$BK$23 - MEDIAN(MIN($BK$3:$BK$23), MAX($BK$3:$BK$23), BE53))), ABS($BK$3:$BK$23 - MEDIAN(MIN($BK$3:$BK$23), MAX($BK$3:$BK$23), BE53)), $BL$3:$BL$23, "Error", 0)</f>
        <v/>
      </c>
      <c r="BF82" s="30">
        <f t="array" ref="BF82">_xlfn.XLOOKUP(MIN(ABS($BK$3:$BK$23 - MEDIAN(MIN($BK$3:$BK$23), MAX($BK$3:$BK$23), BF53))), ABS($BK$3:$BK$23 - MEDIAN(MIN($BK$3:$BK$23), MAX($BK$3:$BK$23), BF53)), $BL$3:$BL$23, "Error", 0)</f>
        <v/>
      </c>
      <c r="BG82" s="30">
        <f t="array" ref="BG82">_xlfn.XLOOKUP(MIN(ABS($BK$3:$BK$23 - MEDIAN(MIN($BK$3:$BK$23), MAX($BK$3:$BK$23), BG53))), ABS($BK$3:$BK$23 - MEDIAN(MIN($BK$3:$BK$23), MAX($BK$3:$BK$23), BG53)), $BL$3:$BL$23, "Error", 0)</f>
        <v/>
      </c>
      <c r="BH82" s="30">
        <f t="array" ref="BH82">_xlfn.XLOOKUP(MIN(ABS($BK$3:$BK$23 - MEDIAN(MIN($BK$3:$BK$23), MAX($BK$3:$BK$23), BH53))), ABS($BK$3:$BK$23 - MEDIAN(MIN($BK$3:$BK$23), MAX($BK$3:$BK$23), BH53)), $BL$3:$BL$23, "Error", 0)</f>
        <v/>
      </c>
      <c r="BI82" s="30">
        <f t="array" ref="BI82">_xlfn.XLOOKUP(MIN(ABS($BK$3:$BK$23 - MEDIAN(MIN($BK$3:$BK$23), MAX($BK$3:$BK$23), BI53))), ABS($BK$3:$BK$23 - MEDIAN(MIN($BK$3:$BK$23), MAX($BK$3:$BK$23), BI53)), $BL$3:$BL$23, "Error", 0)</f>
        <v/>
      </c>
    </row>
    <row r="83" ht="25" customHeight="1">
      <c r="A83" s="50" t="inlineStr">
        <is>
          <t>AUD USD</t>
        </is>
      </c>
      <c r="B83" s="78" t="n"/>
      <c r="C83" s="78" t="n"/>
      <c r="D83" s="78" t="n"/>
      <c r="E83" s="78" t="n"/>
      <c r="F83" s="78" t="n"/>
      <c r="G83" s="78" t="n"/>
      <c r="H83" s="78" t="n"/>
      <c r="I83" s="78" t="n"/>
      <c r="J83" s="78" t="n"/>
      <c r="K83" s="78" t="n"/>
      <c r="L83" s="78" t="n"/>
      <c r="M83" s="78" t="n"/>
      <c r="N83" s="30">
        <f t="array" ref="N83">_xlfn.XLOOKUP(MIN(ABS($BK$3:$BK$23 - MEDIAN(MIN($BK$3:$BK$23), MAX($BK$3:$BK$23), N54))), ABS($BK$3:$BK$23 - MEDIAN(MIN($BK$3:$BK$23), MAX($BK$3:$BK$23), N54)), $BL$3:$BL$23, "Error", 0)</f>
        <v/>
      </c>
      <c r="O83" s="30">
        <f t="array" ref="O83">_xlfn.XLOOKUP(MIN(ABS($BK$3:$BK$23 - MEDIAN(MIN($BK$3:$BK$23), MAX($BK$3:$BK$23), O54))), ABS($BK$3:$BK$23 - MEDIAN(MIN($BK$3:$BK$23), MAX($BK$3:$BK$23), O54)), $BL$3:$BL$23, "Error", 0)</f>
        <v/>
      </c>
      <c r="P83" s="30">
        <f t="array" ref="P83">_xlfn.XLOOKUP(MIN(ABS($BK$3:$BK$23 - MEDIAN(MIN($BK$3:$BK$23), MAX($BK$3:$BK$23), P54))), ABS($BK$3:$BK$23 - MEDIAN(MIN($BK$3:$BK$23), MAX($BK$3:$BK$23), P54)), $BL$3:$BL$23, "Error", 0)</f>
        <v/>
      </c>
      <c r="Q83" s="30">
        <f t="array" ref="Q83">_xlfn.XLOOKUP(MIN(ABS($BK$3:$BK$23 - MEDIAN(MIN($BK$3:$BK$23), MAX($BK$3:$BK$23), Q54))), ABS($BK$3:$BK$23 - MEDIAN(MIN($BK$3:$BK$23), MAX($BK$3:$BK$23), Q54)), $BL$3:$BL$23, "Error", 0)</f>
        <v/>
      </c>
      <c r="R83" s="30">
        <f t="array" ref="R83">_xlfn.XLOOKUP(MIN(ABS($BK$3:$BK$23 - MEDIAN(MIN($BK$3:$BK$23), MAX($BK$3:$BK$23), R54))), ABS($BK$3:$BK$23 - MEDIAN(MIN($BK$3:$BK$23), MAX($BK$3:$BK$23), R54)), $BL$3:$BL$23, "Error", 0)</f>
        <v/>
      </c>
      <c r="S83" s="30">
        <f t="array" ref="S83">_xlfn.XLOOKUP(MIN(ABS($BK$3:$BK$23 - MEDIAN(MIN($BK$3:$BK$23), MAX($BK$3:$BK$23), S54))), ABS($BK$3:$BK$23 - MEDIAN(MIN($BK$3:$BK$23), MAX($BK$3:$BK$23), S54)), $BL$3:$BL$23, "Error", 0)</f>
        <v/>
      </c>
      <c r="T83" s="30">
        <f t="array" ref="T83">_xlfn.XLOOKUP(MIN(ABS($BK$3:$BK$23 - MEDIAN(MIN($BK$3:$BK$23), MAX($BK$3:$BK$23), T54))), ABS($BK$3:$BK$23 - MEDIAN(MIN($BK$3:$BK$23), MAX($BK$3:$BK$23), T54)), $BL$3:$BL$23, "Error", 0)</f>
        <v/>
      </c>
      <c r="U83" s="30">
        <f t="array" ref="U83">_xlfn.XLOOKUP(MIN(ABS($BK$3:$BK$23 - MEDIAN(MIN($BK$3:$BK$23), MAX($BK$3:$BK$23), U54))), ABS($BK$3:$BK$23 - MEDIAN(MIN($BK$3:$BK$23), MAX($BK$3:$BK$23), U54)), $BL$3:$BL$23, "Error", 0)</f>
        <v/>
      </c>
      <c r="V83" s="30">
        <f t="array" ref="V83">_xlfn.XLOOKUP(MIN(ABS($BK$3:$BK$23 - MEDIAN(MIN($BK$3:$BK$23), MAX($BK$3:$BK$23), V54))), ABS($BK$3:$BK$23 - MEDIAN(MIN($BK$3:$BK$23), MAX($BK$3:$BK$23), V54)), $BL$3:$BL$23, "Error", 0)</f>
        <v/>
      </c>
      <c r="W83" s="30">
        <f t="array" ref="W83">_xlfn.XLOOKUP(MIN(ABS($BK$3:$BK$23 - MEDIAN(MIN($BK$3:$BK$23), MAX($BK$3:$BK$23), W54))), ABS($BK$3:$BK$23 - MEDIAN(MIN($BK$3:$BK$23), MAX($BK$3:$BK$23), W54)), $BL$3:$BL$23, "Error", 0)</f>
        <v/>
      </c>
      <c r="X83" s="30">
        <f t="array" ref="X83">_xlfn.XLOOKUP(MIN(ABS($BK$3:$BK$23 - MEDIAN(MIN($BK$3:$BK$23), MAX($BK$3:$BK$23), X54))), ABS($BK$3:$BK$23 - MEDIAN(MIN($BK$3:$BK$23), MAX($BK$3:$BK$23), X54)), $BL$3:$BL$23, "Error", 0)</f>
        <v/>
      </c>
      <c r="Y83" s="30">
        <f t="array" ref="Y83">_xlfn.XLOOKUP(MIN(ABS($BK$3:$BK$23 - MEDIAN(MIN($BK$3:$BK$23), MAX($BK$3:$BK$23), Y54))), ABS($BK$3:$BK$23 - MEDIAN(MIN($BK$3:$BK$23), MAX($BK$3:$BK$23), Y54)), $BL$3:$BL$23, "Error", 0)</f>
        <v/>
      </c>
      <c r="Z83" s="30">
        <f t="array" ref="Z83">_xlfn.XLOOKUP(MIN(ABS($BK$3:$BK$23 - MEDIAN(MIN($BK$3:$BK$23), MAX($BK$3:$BK$23), Z54))), ABS($BK$3:$BK$23 - MEDIAN(MIN($BK$3:$BK$23), MAX($BK$3:$BK$23), Z54)), $BL$3:$BL$23, "Error", 0)</f>
        <v/>
      </c>
      <c r="AA83" s="30">
        <f t="array" ref="AA83">_xlfn.XLOOKUP(MIN(ABS($BK$3:$BK$23 - MEDIAN(MIN($BK$3:$BK$23), MAX($BK$3:$BK$23), AA54))), ABS($BK$3:$BK$23 - MEDIAN(MIN($BK$3:$BK$23), MAX($BK$3:$BK$23), AA54)), $BL$3:$BL$23, "Error", 0)</f>
        <v/>
      </c>
      <c r="AB83" s="30">
        <f t="array" ref="AB83">_xlfn.XLOOKUP(MIN(ABS($BK$3:$BK$23 - MEDIAN(MIN($BK$3:$BK$23), MAX($BK$3:$BK$23), AB54))), ABS($BK$3:$BK$23 - MEDIAN(MIN($BK$3:$BK$23), MAX($BK$3:$BK$23), AB54)), $BL$3:$BL$23, "Error", 0)</f>
        <v/>
      </c>
      <c r="AC83" s="30">
        <f t="array" ref="AC83">_xlfn.XLOOKUP(MIN(ABS($BK$3:$BK$23 - MEDIAN(MIN($BK$3:$BK$23), MAX($BK$3:$BK$23), AC54))), ABS($BK$3:$BK$23 - MEDIAN(MIN($BK$3:$BK$23), MAX($BK$3:$BK$23), AC54)), $BL$3:$BL$23, "Error", 0)</f>
        <v/>
      </c>
      <c r="AD83" s="30">
        <f t="array" ref="AD83">_xlfn.XLOOKUP(MIN(ABS($BK$3:$BK$23 - MEDIAN(MIN($BK$3:$BK$23), MAX($BK$3:$BK$23), AD54))), ABS($BK$3:$BK$23 - MEDIAN(MIN($BK$3:$BK$23), MAX($BK$3:$BK$23), AD54)), $BL$3:$BL$23, "Error", 0)</f>
        <v/>
      </c>
      <c r="AE83" s="30">
        <f t="array" ref="AE83">_xlfn.XLOOKUP(MIN(ABS($BK$3:$BK$23 - MEDIAN(MIN($BK$3:$BK$23), MAX($BK$3:$BK$23), AE54))), ABS($BK$3:$BK$23 - MEDIAN(MIN($BK$3:$BK$23), MAX($BK$3:$BK$23), AE54)), $BL$3:$BL$23, "Error", 0)</f>
        <v/>
      </c>
      <c r="AF83" s="30">
        <f t="array" ref="AF83">_xlfn.XLOOKUP(MIN(ABS($BK$3:$BK$23 - MEDIAN(MIN($BK$3:$BK$23), MAX($BK$3:$BK$23), AF54))), ABS($BK$3:$BK$23 - MEDIAN(MIN($BK$3:$BK$23), MAX($BK$3:$BK$23), AF54)), $BL$3:$BL$23, "Error", 0)</f>
        <v/>
      </c>
      <c r="AG83" s="30">
        <f t="array" ref="AG83">_xlfn.XLOOKUP(MIN(ABS($BK$3:$BK$23 - MEDIAN(MIN($BK$3:$BK$23), MAX($BK$3:$BK$23), AG54))), ABS($BK$3:$BK$23 - MEDIAN(MIN($BK$3:$BK$23), MAX($BK$3:$BK$23), AG54)), $BL$3:$BL$23, "Error", 0)</f>
        <v/>
      </c>
      <c r="AH83" s="30">
        <f t="array" ref="AH83">_xlfn.XLOOKUP(MIN(ABS($BK$3:$BK$23 - MEDIAN(MIN($BK$3:$BK$23), MAX($BK$3:$BK$23), AH54))), ABS($BK$3:$BK$23 - MEDIAN(MIN($BK$3:$BK$23), MAX($BK$3:$BK$23), AH54)), $BL$3:$BL$23, "Error", 0)</f>
        <v/>
      </c>
      <c r="AI83" s="30">
        <f t="array" ref="AI83">_xlfn.XLOOKUP(MIN(ABS($BK$3:$BK$23 - MEDIAN(MIN($BK$3:$BK$23), MAX($BK$3:$BK$23), AI54))), ABS($BK$3:$BK$23 - MEDIAN(MIN($BK$3:$BK$23), MAX($BK$3:$BK$23), AI54)), $BL$3:$BL$23, "Error", 0)</f>
        <v/>
      </c>
      <c r="AJ83" s="30">
        <f t="array" ref="AJ83">_xlfn.XLOOKUP(MIN(ABS($BK$3:$BK$23 - MEDIAN(MIN($BK$3:$BK$23), MAX($BK$3:$BK$23), AJ54))), ABS($BK$3:$BK$23 - MEDIAN(MIN($BK$3:$BK$23), MAX($BK$3:$BK$23), AJ54)), $BL$3:$BL$23, "Error", 0)</f>
        <v/>
      </c>
      <c r="AK83" s="30">
        <f t="array" ref="AK83">_xlfn.XLOOKUP(MIN(ABS($BK$3:$BK$23 - MEDIAN(MIN($BK$3:$BK$23), MAX($BK$3:$BK$23), AK54))), ABS($BK$3:$BK$23 - MEDIAN(MIN($BK$3:$BK$23), MAX($BK$3:$BK$23), AK54)), $BL$3:$BL$23, "Error", 0)</f>
        <v/>
      </c>
      <c r="AL83" s="30">
        <f t="array" ref="AL83">_xlfn.XLOOKUP(MIN(ABS($BK$3:$BK$23 - MEDIAN(MIN($BK$3:$BK$23), MAX($BK$3:$BK$23), AL54))), ABS($BK$3:$BK$23 - MEDIAN(MIN($BK$3:$BK$23), MAX($BK$3:$BK$23), AL54)), $BL$3:$BL$23, "Error", 0)</f>
        <v/>
      </c>
      <c r="AM83" s="30">
        <f t="array" ref="AM83">_xlfn.XLOOKUP(MIN(ABS($BK$3:$BK$23 - MEDIAN(MIN($BK$3:$BK$23), MAX($BK$3:$BK$23), AM54))), ABS($BK$3:$BK$23 - MEDIAN(MIN($BK$3:$BK$23), MAX($BK$3:$BK$23), AM54)), $BL$3:$BL$23, "Error", 0)</f>
        <v/>
      </c>
      <c r="AN83" s="30">
        <f t="array" ref="AN83">_xlfn.XLOOKUP(MIN(ABS($BK$3:$BK$23 - MEDIAN(MIN($BK$3:$BK$23), MAX($BK$3:$BK$23), AN54))), ABS($BK$3:$BK$23 - MEDIAN(MIN($BK$3:$BK$23), MAX($BK$3:$BK$23), AN54)), $BL$3:$BL$23, "Error", 0)</f>
        <v/>
      </c>
      <c r="AO83" s="30">
        <f t="array" ref="AO83">_xlfn.XLOOKUP(MIN(ABS($BK$3:$BK$23 - MEDIAN(MIN($BK$3:$BK$23), MAX($BK$3:$BK$23), AO54))), ABS($BK$3:$BK$23 - MEDIAN(MIN($BK$3:$BK$23), MAX($BK$3:$BK$23), AO54)), $BL$3:$BL$23, "Error", 0)</f>
        <v/>
      </c>
      <c r="AP83" s="30">
        <f t="array" ref="AP83">_xlfn.XLOOKUP(MIN(ABS($BK$3:$BK$23 - MEDIAN(MIN($BK$3:$BK$23), MAX($BK$3:$BK$23), AP54))), ABS($BK$3:$BK$23 - MEDIAN(MIN($BK$3:$BK$23), MAX($BK$3:$BK$23), AP54)), $BL$3:$BL$23, "Error", 0)</f>
        <v/>
      </c>
      <c r="AQ83" s="30">
        <f t="array" ref="AQ83">_xlfn.XLOOKUP(MIN(ABS($BK$3:$BK$23 - MEDIAN(MIN($BK$3:$BK$23), MAX($BK$3:$BK$23), AQ54))), ABS($BK$3:$BK$23 - MEDIAN(MIN($BK$3:$BK$23), MAX($BK$3:$BK$23), AQ54)), $BL$3:$BL$23, "Error", 0)</f>
        <v/>
      </c>
      <c r="AR83" s="30">
        <f t="array" ref="AR83">_xlfn.XLOOKUP(MIN(ABS($BK$3:$BK$23 - MEDIAN(MIN($BK$3:$BK$23), MAX($BK$3:$BK$23), AR54))), ABS($BK$3:$BK$23 - MEDIAN(MIN($BK$3:$BK$23), MAX($BK$3:$BK$23), AR54)), $BL$3:$BL$23, "Error", 0)</f>
        <v/>
      </c>
      <c r="AS83" s="30">
        <f t="array" ref="AS83">_xlfn.XLOOKUP(MIN(ABS($BK$3:$BK$23 - MEDIAN(MIN($BK$3:$BK$23), MAX($BK$3:$BK$23), AS54))), ABS($BK$3:$BK$23 - MEDIAN(MIN($BK$3:$BK$23), MAX($BK$3:$BK$23), AS54)), $BL$3:$BL$23, "Error", 0)</f>
        <v/>
      </c>
      <c r="AT83" s="30">
        <f t="array" ref="AT83">_xlfn.XLOOKUP(MIN(ABS($BK$3:$BK$23 - MEDIAN(MIN($BK$3:$BK$23), MAX($BK$3:$BK$23), AT54))), ABS($BK$3:$BK$23 - MEDIAN(MIN($BK$3:$BK$23), MAX($BK$3:$BK$23), AT54)), $BL$3:$BL$23, "Error", 0)</f>
        <v/>
      </c>
      <c r="AU83" s="30">
        <f t="array" ref="AU83">_xlfn.XLOOKUP(MIN(ABS($BK$3:$BK$23 - MEDIAN(MIN($BK$3:$BK$23), MAX($BK$3:$BK$23), AU54))), ABS($BK$3:$BK$23 - MEDIAN(MIN($BK$3:$BK$23), MAX($BK$3:$BK$23), AU54)), $BL$3:$BL$23, "Error", 0)</f>
        <v/>
      </c>
      <c r="AV83" s="30">
        <f t="array" ref="AV83">_xlfn.XLOOKUP(MIN(ABS($BK$3:$BK$23 - MEDIAN(MIN($BK$3:$BK$23), MAX($BK$3:$BK$23), AV54))), ABS($BK$3:$BK$23 - MEDIAN(MIN($BK$3:$BK$23), MAX($BK$3:$BK$23), AV54)), $BL$3:$BL$23, "Error", 0)</f>
        <v/>
      </c>
      <c r="AW83" s="30">
        <f t="array" ref="AW83">_xlfn.XLOOKUP(MIN(ABS($BK$3:$BK$23 - MEDIAN(MIN($BK$3:$BK$23), MAX($BK$3:$BK$23), AW54))), ABS($BK$3:$BK$23 - MEDIAN(MIN($BK$3:$BK$23), MAX($BK$3:$BK$23), AW54)), $BL$3:$BL$23, "Error", 0)</f>
        <v/>
      </c>
      <c r="AX83" s="30">
        <f t="array" ref="AX83">_xlfn.XLOOKUP(MIN(ABS($BK$3:$BK$23 - MEDIAN(MIN($BK$3:$BK$23), MAX($BK$3:$BK$23), AX54))), ABS($BK$3:$BK$23 - MEDIAN(MIN($BK$3:$BK$23), MAX($BK$3:$BK$23), AX54)), $BL$3:$BL$23, "Error", 0)</f>
        <v/>
      </c>
      <c r="AY83" s="30">
        <f t="array" ref="AY83">_xlfn.XLOOKUP(MIN(ABS($BK$3:$BK$23 - MEDIAN(MIN($BK$3:$BK$23), MAX($BK$3:$BK$23), AY54))), ABS($BK$3:$BK$23 - MEDIAN(MIN($BK$3:$BK$23), MAX($BK$3:$BK$23), AY54)), $BL$3:$BL$23, "Error", 0)</f>
        <v/>
      </c>
      <c r="AZ83" s="30">
        <f t="array" ref="AZ83">_xlfn.XLOOKUP(MIN(ABS($BK$3:$BK$23 - MEDIAN(MIN($BK$3:$BK$23), MAX($BK$3:$BK$23), AZ54))), ABS($BK$3:$BK$23 - MEDIAN(MIN($BK$3:$BK$23), MAX($BK$3:$BK$23), AZ54)), $BL$3:$BL$23, "Error", 0)</f>
        <v/>
      </c>
      <c r="BA83" s="30">
        <f t="array" ref="BA83">_xlfn.XLOOKUP(MIN(ABS($BK$3:$BK$23 - MEDIAN(MIN($BK$3:$BK$23), MAX($BK$3:$BK$23), BA54))), ABS($BK$3:$BK$23 - MEDIAN(MIN($BK$3:$BK$23), MAX($BK$3:$BK$23), BA54)), $BL$3:$BL$23, "Error", 0)</f>
        <v/>
      </c>
      <c r="BB83" s="30">
        <f t="array" ref="BB83">_xlfn.XLOOKUP(MIN(ABS($BK$3:$BK$23 - MEDIAN(MIN($BK$3:$BK$23), MAX($BK$3:$BK$23), BB54))), ABS($BK$3:$BK$23 - MEDIAN(MIN($BK$3:$BK$23), MAX($BK$3:$BK$23), BB54)), $BL$3:$BL$23, "Error", 0)</f>
        <v/>
      </c>
      <c r="BC83" s="30">
        <f t="array" ref="BC83">_xlfn.XLOOKUP(MIN(ABS($BK$3:$BK$23 - MEDIAN(MIN($BK$3:$BK$23), MAX($BK$3:$BK$23), BC54))), ABS($BK$3:$BK$23 - MEDIAN(MIN($BK$3:$BK$23), MAX($BK$3:$BK$23), BC54)), $BL$3:$BL$23, "Error", 0)</f>
        <v/>
      </c>
      <c r="BD83" s="30">
        <f t="array" ref="BD83">_xlfn.XLOOKUP(MIN(ABS($BK$3:$BK$23 - MEDIAN(MIN($BK$3:$BK$23), MAX($BK$3:$BK$23), BD54))), ABS($BK$3:$BK$23 - MEDIAN(MIN($BK$3:$BK$23), MAX($BK$3:$BK$23), BD54)), $BL$3:$BL$23, "Error", 0)</f>
        <v/>
      </c>
      <c r="BE83" s="30">
        <f t="array" ref="BE83">_xlfn.XLOOKUP(MIN(ABS($BK$3:$BK$23 - MEDIAN(MIN($BK$3:$BK$23), MAX($BK$3:$BK$23), BE54))), ABS($BK$3:$BK$23 - MEDIAN(MIN($BK$3:$BK$23), MAX($BK$3:$BK$23), BE54)), $BL$3:$BL$23, "Error", 0)</f>
        <v/>
      </c>
      <c r="BF83" s="30">
        <f t="array" ref="BF83">_xlfn.XLOOKUP(MIN(ABS($BK$3:$BK$23 - MEDIAN(MIN($BK$3:$BK$23), MAX($BK$3:$BK$23), BF54))), ABS($BK$3:$BK$23 - MEDIAN(MIN($BK$3:$BK$23), MAX($BK$3:$BK$23), BF54)), $BL$3:$BL$23, "Error", 0)</f>
        <v/>
      </c>
      <c r="BG83" s="30">
        <f t="array" ref="BG83">_xlfn.XLOOKUP(MIN(ABS($BK$3:$BK$23 - MEDIAN(MIN($BK$3:$BK$23), MAX($BK$3:$BK$23), BG54))), ABS($BK$3:$BK$23 - MEDIAN(MIN($BK$3:$BK$23), MAX($BK$3:$BK$23), BG54)), $BL$3:$BL$23, "Error", 0)</f>
        <v/>
      </c>
      <c r="BH83" s="30">
        <f t="array" ref="BH83">_xlfn.XLOOKUP(MIN(ABS($BK$3:$BK$23 - MEDIAN(MIN($BK$3:$BK$23), MAX($BK$3:$BK$23), BH54))), ABS($BK$3:$BK$23 - MEDIAN(MIN($BK$3:$BK$23), MAX($BK$3:$BK$23), BH54)), $BL$3:$BL$23, "Error", 0)</f>
        <v/>
      </c>
      <c r="BI83" s="30">
        <f t="array" ref="BI83">_xlfn.XLOOKUP(MIN(ABS($BK$3:$BK$23 - MEDIAN(MIN($BK$3:$BK$23), MAX($BK$3:$BK$23), BI54))), ABS($BK$3:$BK$23 - MEDIAN(MIN($BK$3:$BK$23), MAX($BK$3:$BK$23), BI54)), $BL$3:$BL$23, "Error", 0)</f>
        <v/>
      </c>
    </row>
    <row r="84" ht="25" customHeight="1">
      <c r="A84" s="50" t="inlineStr">
        <is>
          <t>AUD CHF</t>
        </is>
      </c>
      <c r="B84" s="78" t="n"/>
      <c r="C84" s="78" t="n"/>
      <c r="D84" s="78" t="n"/>
      <c r="E84" s="78" t="n"/>
      <c r="F84" s="78" t="n"/>
      <c r="G84" s="78" t="n"/>
      <c r="H84" s="78" t="n"/>
      <c r="I84" s="78" t="n"/>
      <c r="J84" s="78" t="n"/>
      <c r="K84" s="78" t="n"/>
      <c r="L84" s="78" t="n"/>
      <c r="M84" s="78" t="n"/>
      <c r="N84" s="30">
        <f t="array" ref="N84">_xlfn.XLOOKUP(MIN(ABS($BK$3:$BK$23 - MEDIAN(MIN($BK$3:$BK$23), MAX($BK$3:$BK$23), N55))), ABS($BK$3:$BK$23 - MEDIAN(MIN($BK$3:$BK$23), MAX($BK$3:$BK$23), N55)), $BL$3:$BL$23, "Error", 0)</f>
        <v/>
      </c>
      <c r="O84" s="30">
        <f t="array" ref="O84">_xlfn.XLOOKUP(MIN(ABS($BK$3:$BK$23 - MEDIAN(MIN($BK$3:$BK$23), MAX($BK$3:$BK$23), O55))), ABS($BK$3:$BK$23 - MEDIAN(MIN($BK$3:$BK$23), MAX($BK$3:$BK$23), O55)), $BL$3:$BL$23, "Error", 0)</f>
        <v/>
      </c>
      <c r="P84" s="30">
        <f t="array" ref="P84">_xlfn.XLOOKUP(MIN(ABS($BK$3:$BK$23 - MEDIAN(MIN($BK$3:$BK$23), MAX($BK$3:$BK$23), P55))), ABS($BK$3:$BK$23 - MEDIAN(MIN($BK$3:$BK$23), MAX($BK$3:$BK$23), P55)), $BL$3:$BL$23, "Error", 0)</f>
        <v/>
      </c>
      <c r="Q84" s="30">
        <f t="array" ref="Q84">_xlfn.XLOOKUP(MIN(ABS($BK$3:$BK$23 - MEDIAN(MIN($BK$3:$BK$23), MAX($BK$3:$BK$23), Q55))), ABS($BK$3:$BK$23 - MEDIAN(MIN($BK$3:$BK$23), MAX($BK$3:$BK$23), Q55)), $BL$3:$BL$23, "Error", 0)</f>
        <v/>
      </c>
      <c r="R84" s="30">
        <f t="array" ref="R84">_xlfn.XLOOKUP(MIN(ABS($BK$3:$BK$23 - MEDIAN(MIN($BK$3:$BK$23), MAX($BK$3:$BK$23), R55))), ABS($BK$3:$BK$23 - MEDIAN(MIN($BK$3:$BK$23), MAX($BK$3:$BK$23), R55)), $BL$3:$BL$23, "Error", 0)</f>
        <v/>
      </c>
      <c r="S84" s="30">
        <f t="array" ref="S84">_xlfn.XLOOKUP(MIN(ABS($BK$3:$BK$23 - MEDIAN(MIN($BK$3:$BK$23), MAX($BK$3:$BK$23), S55))), ABS($BK$3:$BK$23 - MEDIAN(MIN($BK$3:$BK$23), MAX($BK$3:$BK$23), S55)), $BL$3:$BL$23, "Error", 0)</f>
        <v/>
      </c>
      <c r="T84" s="30">
        <f t="array" ref="T84">_xlfn.XLOOKUP(MIN(ABS($BK$3:$BK$23 - MEDIAN(MIN($BK$3:$BK$23), MAX($BK$3:$BK$23), T55))), ABS($BK$3:$BK$23 - MEDIAN(MIN($BK$3:$BK$23), MAX($BK$3:$BK$23), T55)), $BL$3:$BL$23, "Error", 0)</f>
        <v/>
      </c>
      <c r="U84" s="30">
        <f t="array" ref="U84">_xlfn.XLOOKUP(MIN(ABS($BK$3:$BK$23 - MEDIAN(MIN($BK$3:$BK$23), MAX($BK$3:$BK$23), U55))), ABS($BK$3:$BK$23 - MEDIAN(MIN($BK$3:$BK$23), MAX($BK$3:$BK$23), U55)), $BL$3:$BL$23, "Error", 0)</f>
        <v/>
      </c>
      <c r="V84" s="30">
        <f t="array" ref="V84">_xlfn.XLOOKUP(MIN(ABS($BK$3:$BK$23 - MEDIAN(MIN($BK$3:$BK$23), MAX($BK$3:$BK$23), V55))), ABS($BK$3:$BK$23 - MEDIAN(MIN($BK$3:$BK$23), MAX($BK$3:$BK$23), V55)), $BL$3:$BL$23, "Error", 0)</f>
        <v/>
      </c>
      <c r="W84" s="30">
        <f t="array" ref="W84">_xlfn.XLOOKUP(MIN(ABS($BK$3:$BK$23 - MEDIAN(MIN($BK$3:$BK$23), MAX($BK$3:$BK$23), W55))), ABS($BK$3:$BK$23 - MEDIAN(MIN($BK$3:$BK$23), MAX($BK$3:$BK$23), W55)), $BL$3:$BL$23, "Error", 0)</f>
        <v/>
      </c>
      <c r="X84" s="30">
        <f t="array" ref="X84">_xlfn.XLOOKUP(MIN(ABS($BK$3:$BK$23 - MEDIAN(MIN($BK$3:$BK$23), MAX($BK$3:$BK$23), X55))), ABS($BK$3:$BK$23 - MEDIAN(MIN($BK$3:$BK$23), MAX($BK$3:$BK$23), X55)), $BL$3:$BL$23, "Error", 0)</f>
        <v/>
      </c>
      <c r="Y84" s="30">
        <f t="array" ref="Y84">_xlfn.XLOOKUP(MIN(ABS($BK$3:$BK$23 - MEDIAN(MIN($BK$3:$BK$23), MAX($BK$3:$BK$23), Y55))), ABS($BK$3:$BK$23 - MEDIAN(MIN($BK$3:$BK$23), MAX($BK$3:$BK$23), Y55)), $BL$3:$BL$23, "Error", 0)</f>
        <v/>
      </c>
      <c r="Z84" s="30">
        <f t="array" ref="Z84">_xlfn.XLOOKUP(MIN(ABS($BK$3:$BK$23 - MEDIAN(MIN($BK$3:$BK$23), MAX($BK$3:$BK$23), Z55))), ABS($BK$3:$BK$23 - MEDIAN(MIN($BK$3:$BK$23), MAX($BK$3:$BK$23), Z55)), $BL$3:$BL$23, "Error", 0)</f>
        <v/>
      </c>
      <c r="AA84" s="30">
        <f t="array" ref="AA84">_xlfn.XLOOKUP(MIN(ABS($BK$3:$BK$23 - MEDIAN(MIN($BK$3:$BK$23), MAX($BK$3:$BK$23), AA55))), ABS($BK$3:$BK$23 - MEDIAN(MIN($BK$3:$BK$23), MAX($BK$3:$BK$23), AA55)), $BL$3:$BL$23, "Error", 0)</f>
        <v/>
      </c>
      <c r="AB84" s="30">
        <f t="array" ref="AB84">_xlfn.XLOOKUP(MIN(ABS($BK$3:$BK$23 - MEDIAN(MIN($BK$3:$BK$23), MAX($BK$3:$BK$23), AB55))), ABS($BK$3:$BK$23 - MEDIAN(MIN($BK$3:$BK$23), MAX($BK$3:$BK$23), AB55)), $BL$3:$BL$23, "Error", 0)</f>
        <v/>
      </c>
      <c r="AC84" s="30">
        <f t="array" ref="AC84">_xlfn.XLOOKUP(MIN(ABS($BK$3:$BK$23 - MEDIAN(MIN($BK$3:$BK$23), MAX($BK$3:$BK$23), AC55))), ABS($BK$3:$BK$23 - MEDIAN(MIN($BK$3:$BK$23), MAX($BK$3:$BK$23), AC55)), $BL$3:$BL$23, "Error", 0)</f>
        <v/>
      </c>
      <c r="AD84" s="30">
        <f t="array" ref="AD84">_xlfn.XLOOKUP(MIN(ABS($BK$3:$BK$23 - MEDIAN(MIN($BK$3:$BK$23), MAX($BK$3:$BK$23), AD55))), ABS($BK$3:$BK$23 - MEDIAN(MIN($BK$3:$BK$23), MAX($BK$3:$BK$23), AD55)), $BL$3:$BL$23, "Error", 0)</f>
        <v/>
      </c>
      <c r="AE84" s="30">
        <f t="array" ref="AE84">_xlfn.XLOOKUP(MIN(ABS($BK$3:$BK$23 - MEDIAN(MIN($BK$3:$BK$23), MAX($BK$3:$BK$23), AE55))), ABS($BK$3:$BK$23 - MEDIAN(MIN($BK$3:$BK$23), MAX($BK$3:$BK$23), AE55)), $BL$3:$BL$23, "Error", 0)</f>
        <v/>
      </c>
      <c r="AF84" s="30">
        <f t="array" ref="AF84">_xlfn.XLOOKUP(MIN(ABS($BK$3:$BK$23 - MEDIAN(MIN($BK$3:$BK$23), MAX($BK$3:$BK$23), AF55))), ABS($BK$3:$BK$23 - MEDIAN(MIN($BK$3:$BK$23), MAX($BK$3:$BK$23), AF55)), $BL$3:$BL$23, "Error", 0)</f>
        <v/>
      </c>
      <c r="AG84" s="30">
        <f t="array" ref="AG84">_xlfn.XLOOKUP(MIN(ABS($BK$3:$BK$23 - MEDIAN(MIN($BK$3:$BK$23), MAX($BK$3:$BK$23), AG55))), ABS($BK$3:$BK$23 - MEDIAN(MIN($BK$3:$BK$23), MAX($BK$3:$BK$23), AG55)), $BL$3:$BL$23, "Error", 0)</f>
        <v/>
      </c>
      <c r="AH84" s="30">
        <f t="array" ref="AH84">_xlfn.XLOOKUP(MIN(ABS($BK$3:$BK$23 - MEDIAN(MIN($BK$3:$BK$23), MAX($BK$3:$BK$23), AH55))), ABS($BK$3:$BK$23 - MEDIAN(MIN($BK$3:$BK$23), MAX($BK$3:$BK$23), AH55)), $BL$3:$BL$23, "Error", 0)</f>
        <v/>
      </c>
      <c r="AI84" s="30">
        <f t="array" ref="AI84">_xlfn.XLOOKUP(MIN(ABS($BK$3:$BK$23 - MEDIAN(MIN($BK$3:$BK$23), MAX($BK$3:$BK$23), AI55))), ABS($BK$3:$BK$23 - MEDIAN(MIN($BK$3:$BK$23), MAX($BK$3:$BK$23), AI55)), $BL$3:$BL$23, "Error", 0)</f>
        <v/>
      </c>
      <c r="AJ84" s="30">
        <f t="array" ref="AJ84">_xlfn.XLOOKUP(MIN(ABS($BK$3:$BK$23 - MEDIAN(MIN($BK$3:$BK$23), MAX($BK$3:$BK$23), AJ55))), ABS($BK$3:$BK$23 - MEDIAN(MIN($BK$3:$BK$23), MAX($BK$3:$BK$23), AJ55)), $BL$3:$BL$23, "Error", 0)</f>
        <v/>
      </c>
      <c r="AK84" s="30">
        <f t="array" ref="AK84">_xlfn.XLOOKUP(MIN(ABS($BK$3:$BK$23 - MEDIAN(MIN($BK$3:$BK$23), MAX($BK$3:$BK$23), AK55))), ABS($BK$3:$BK$23 - MEDIAN(MIN($BK$3:$BK$23), MAX($BK$3:$BK$23), AK55)), $BL$3:$BL$23, "Error", 0)</f>
        <v/>
      </c>
      <c r="AL84" s="30">
        <f t="array" ref="AL84">_xlfn.XLOOKUP(MIN(ABS($BK$3:$BK$23 - MEDIAN(MIN($BK$3:$BK$23), MAX($BK$3:$BK$23), AL55))), ABS($BK$3:$BK$23 - MEDIAN(MIN($BK$3:$BK$23), MAX($BK$3:$BK$23), AL55)), $BL$3:$BL$23, "Error", 0)</f>
        <v/>
      </c>
      <c r="AM84" s="30">
        <f t="array" ref="AM84">_xlfn.XLOOKUP(MIN(ABS($BK$3:$BK$23 - MEDIAN(MIN($BK$3:$BK$23), MAX($BK$3:$BK$23), AM55))), ABS($BK$3:$BK$23 - MEDIAN(MIN($BK$3:$BK$23), MAX($BK$3:$BK$23), AM55)), $BL$3:$BL$23, "Error", 0)</f>
        <v/>
      </c>
      <c r="AN84" s="30">
        <f t="array" ref="AN84">_xlfn.XLOOKUP(MIN(ABS($BK$3:$BK$23 - MEDIAN(MIN($BK$3:$BK$23), MAX($BK$3:$BK$23), AN55))), ABS($BK$3:$BK$23 - MEDIAN(MIN($BK$3:$BK$23), MAX($BK$3:$BK$23), AN55)), $BL$3:$BL$23, "Error", 0)</f>
        <v/>
      </c>
      <c r="AO84" s="30">
        <f t="array" ref="AO84">_xlfn.XLOOKUP(MIN(ABS($BK$3:$BK$23 - MEDIAN(MIN($BK$3:$BK$23), MAX($BK$3:$BK$23), AO55))), ABS($BK$3:$BK$23 - MEDIAN(MIN($BK$3:$BK$23), MAX($BK$3:$BK$23), AO55)), $BL$3:$BL$23, "Error", 0)</f>
        <v/>
      </c>
      <c r="AP84" s="30">
        <f t="array" ref="AP84">_xlfn.XLOOKUP(MIN(ABS($BK$3:$BK$23 - MEDIAN(MIN($BK$3:$BK$23), MAX($BK$3:$BK$23), AP55))), ABS($BK$3:$BK$23 - MEDIAN(MIN($BK$3:$BK$23), MAX($BK$3:$BK$23), AP55)), $BL$3:$BL$23, "Error", 0)</f>
        <v/>
      </c>
      <c r="AQ84" s="30">
        <f t="array" ref="AQ84">_xlfn.XLOOKUP(MIN(ABS($BK$3:$BK$23 - MEDIAN(MIN($BK$3:$BK$23), MAX($BK$3:$BK$23), AQ55))), ABS($BK$3:$BK$23 - MEDIAN(MIN($BK$3:$BK$23), MAX($BK$3:$BK$23), AQ55)), $BL$3:$BL$23, "Error", 0)</f>
        <v/>
      </c>
      <c r="AR84" s="30">
        <f t="array" ref="AR84">_xlfn.XLOOKUP(MIN(ABS($BK$3:$BK$23 - MEDIAN(MIN($BK$3:$BK$23), MAX($BK$3:$BK$23), AR55))), ABS($BK$3:$BK$23 - MEDIAN(MIN($BK$3:$BK$23), MAX($BK$3:$BK$23), AR55)), $BL$3:$BL$23, "Error", 0)</f>
        <v/>
      </c>
      <c r="AS84" s="30">
        <f t="array" ref="AS84">_xlfn.XLOOKUP(MIN(ABS($BK$3:$BK$23 - MEDIAN(MIN($BK$3:$BK$23), MAX($BK$3:$BK$23), AS55))), ABS($BK$3:$BK$23 - MEDIAN(MIN($BK$3:$BK$23), MAX($BK$3:$BK$23), AS55)), $BL$3:$BL$23, "Error", 0)</f>
        <v/>
      </c>
      <c r="AT84" s="30">
        <f t="array" ref="AT84">_xlfn.XLOOKUP(MIN(ABS($BK$3:$BK$23 - MEDIAN(MIN($BK$3:$BK$23), MAX($BK$3:$BK$23), AT55))), ABS($BK$3:$BK$23 - MEDIAN(MIN($BK$3:$BK$23), MAX($BK$3:$BK$23), AT55)), $BL$3:$BL$23, "Error", 0)</f>
        <v/>
      </c>
      <c r="AU84" s="30">
        <f t="array" ref="AU84">_xlfn.XLOOKUP(MIN(ABS($BK$3:$BK$23 - MEDIAN(MIN($BK$3:$BK$23), MAX($BK$3:$BK$23), AU55))), ABS($BK$3:$BK$23 - MEDIAN(MIN($BK$3:$BK$23), MAX($BK$3:$BK$23), AU55)), $BL$3:$BL$23, "Error", 0)</f>
        <v/>
      </c>
      <c r="AV84" s="30">
        <f t="array" ref="AV84">_xlfn.XLOOKUP(MIN(ABS($BK$3:$BK$23 - MEDIAN(MIN($BK$3:$BK$23), MAX($BK$3:$BK$23), AV55))), ABS($BK$3:$BK$23 - MEDIAN(MIN($BK$3:$BK$23), MAX($BK$3:$BK$23), AV55)), $BL$3:$BL$23, "Error", 0)</f>
        <v/>
      </c>
      <c r="AW84" s="30">
        <f t="array" ref="AW84">_xlfn.XLOOKUP(MIN(ABS($BK$3:$BK$23 - MEDIAN(MIN($BK$3:$BK$23), MAX($BK$3:$BK$23), AW55))), ABS($BK$3:$BK$23 - MEDIAN(MIN($BK$3:$BK$23), MAX($BK$3:$BK$23), AW55)), $BL$3:$BL$23, "Error", 0)</f>
        <v/>
      </c>
      <c r="AX84" s="30">
        <f t="array" ref="AX84">_xlfn.XLOOKUP(MIN(ABS($BK$3:$BK$23 - MEDIAN(MIN($BK$3:$BK$23), MAX($BK$3:$BK$23), AX55))), ABS($BK$3:$BK$23 - MEDIAN(MIN($BK$3:$BK$23), MAX($BK$3:$BK$23), AX55)), $BL$3:$BL$23, "Error", 0)</f>
        <v/>
      </c>
      <c r="AY84" s="30">
        <f t="array" ref="AY84">_xlfn.XLOOKUP(MIN(ABS($BK$3:$BK$23 - MEDIAN(MIN($BK$3:$BK$23), MAX($BK$3:$BK$23), AY55))), ABS($BK$3:$BK$23 - MEDIAN(MIN($BK$3:$BK$23), MAX($BK$3:$BK$23), AY55)), $BL$3:$BL$23, "Error", 0)</f>
        <v/>
      </c>
      <c r="AZ84" s="30">
        <f t="array" ref="AZ84">_xlfn.XLOOKUP(MIN(ABS($BK$3:$BK$23 - MEDIAN(MIN($BK$3:$BK$23), MAX($BK$3:$BK$23), AZ55))), ABS($BK$3:$BK$23 - MEDIAN(MIN($BK$3:$BK$23), MAX($BK$3:$BK$23), AZ55)), $BL$3:$BL$23, "Error", 0)</f>
        <v/>
      </c>
      <c r="BA84" s="30">
        <f t="array" ref="BA84">_xlfn.XLOOKUP(MIN(ABS($BK$3:$BK$23 - MEDIAN(MIN($BK$3:$BK$23), MAX($BK$3:$BK$23), BA55))), ABS($BK$3:$BK$23 - MEDIAN(MIN($BK$3:$BK$23), MAX($BK$3:$BK$23), BA55)), $BL$3:$BL$23, "Error", 0)</f>
        <v/>
      </c>
      <c r="BB84" s="30">
        <f t="array" ref="BB84">_xlfn.XLOOKUP(MIN(ABS($BK$3:$BK$23 - MEDIAN(MIN($BK$3:$BK$23), MAX($BK$3:$BK$23), BB55))), ABS($BK$3:$BK$23 - MEDIAN(MIN($BK$3:$BK$23), MAX($BK$3:$BK$23), BB55)), $BL$3:$BL$23, "Error", 0)</f>
        <v/>
      </c>
      <c r="BC84" s="30">
        <f t="array" ref="BC84">_xlfn.XLOOKUP(MIN(ABS($BK$3:$BK$23 - MEDIAN(MIN($BK$3:$BK$23), MAX($BK$3:$BK$23), BC55))), ABS($BK$3:$BK$23 - MEDIAN(MIN($BK$3:$BK$23), MAX($BK$3:$BK$23), BC55)), $BL$3:$BL$23, "Error", 0)</f>
        <v/>
      </c>
      <c r="BD84" s="30">
        <f t="array" ref="BD84">_xlfn.XLOOKUP(MIN(ABS($BK$3:$BK$23 - MEDIAN(MIN($BK$3:$BK$23), MAX($BK$3:$BK$23), BD55))), ABS($BK$3:$BK$23 - MEDIAN(MIN($BK$3:$BK$23), MAX($BK$3:$BK$23), BD55)), $BL$3:$BL$23, "Error", 0)</f>
        <v/>
      </c>
      <c r="BE84" s="30">
        <f t="array" ref="BE84">_xlfn.XLOOKUP(MIN(ABS($BK$3:$BK$23 - MEDIAN(MIN($BK$3:$BK$23), MAX($BK$3:$BK$23), BE55))), ABS($BK$3:$BK$23 - MEDIAN(MIN($BK$3:$BK$23), MAX($BK$3:$BK$23), BE55)), $BL$3:$BL$23, "Error", 0)</f>
        <v/>
      </c>
      <c r="BF84" s="30">
        <f t="array" ref="BF84">_xlfn.XLOOKUP(MIN(ABS($BK$3:$BK$23 - MEDIAN(MIN($BK$3:$BK$23), MAX($BK$3:$BK$23), BF55))), ABS($BK$3:$BK$23 - MEDIAN(MIN($BK$3:$BK$23), MAX($BK$3:$BK$23), BF55)), $BL$3:$BL$23, "Error", 0)</f>
        <v/>
      </c>
      <c r="BG84" s="30">
        <f t="array" ref="BG84">_xlfn.XLOOKUP(MIN(ABS($BK$3:$BK$23 - MEDIAN(MIN($BK$3:$BK$23), MAX($BK$3:$BK$23), BG55))), ABS($BK$3:$BK$23 - MEDIAN(MIN($BK$3:$BK$23), MAX($BK$3:$BK$23), BG55)), $BL$3:$BL$23, "Error", 0)</f>
        <v/>
      </c>
      <c r="BH84" s="30">
        <f t="array" ref="BH84">_xlfn.XLOOKUP(MIN(ABS($BK$3:$BK$23 - MEDIAN(MIN($BK$3:$BK$23), MAX($BK$3:$BK$23), BH55))), ABS($BK$3:$BK$23 - MEDIAN(MIN($BK$3:$BK$23), MAX($BK$3:$BK$23), BH55)), $BL$3:$BL$23, "Error", 0)</f>
        <v/>
      </c>
      <c r="BI84" s="30">
        <f t="array" ref="BI84">_xlfn.XLOOKUP(MIN(ABS($BK$3:$BK$23 - MEDIAN(MIN($BK$3:$BK$23), MAX($BK$3:$BK$23), BI55))), ABS($BK$3:$BK$23 - MEDIAN(MIN($BK$3:$BK$23), MAX($BK$3:$BK$23), BI55)), $BL$3:$BL$23, "Error", 0)</f>
        <v/>
      </c>
    </row>
    <row r="85" ht="25" customHeight="1">
      <c r="A85" s="50" t="inlineStr">
        <is>
          <t>AUD JPY</t>
        </is>
      </c>
      <c r="B85" s="78" t="n"/>
      <c r="C85" s="78" t="n"/>
      <c r="D85" s="78" t="n"/>
      <c r="E85" s="78" t="n"/>
      <c r="F85" s="78" t="n"/>
      <c r="G85" s="78" t="n"/>
      <c r="H85" s="78" t="n"/>
      <c r="I85" s="78" t="n"/>
      <c r="J85" s="78" t="n"/>
      <c r="K85" s="78" t="n"/>
      <c r="L85" s="78" t="n"/>
      <c r="M85" s="78" t="n"/>
      <c r="N85" s="30">
        <f t="array" ref="N85">_xlfn.XLOOKUP(MIN(ABS($BK$3:$BK$23 - MEDIAN(MIN($BK$3:$BK$23), MAX($BK$3:$BK$23), N56))), ABS($BK$3:$BK$23 - MEDIAN(MIN($BK$3:$BK$23), MAX($BK$3:$BK$23), N56)), $BL$3:$BL$23, "Error", 0)</f>
        <v/>
      </c>
      <c r="O85" s="30">
        <f t="array" ref="O85">_xlfn.XLOOKUP(MIN(ABS($BK$3:$BK$23 - MEDIAN(MIN($BK$3:$BK$23), MAX($BK$3:$BK$23), O56))), ABS($BK$3:$BK$23 - MEDIAN(MIN($BK$3:$BK$23), MAX($BK$3:$BK$23), O56)), $BL$3:$BL$23, "Error", 0)</f>
        <v/>
      </c>
      <c r="P85" s="30">
        <f t="array" ref="P85">_xlfn.XLOOKUP(MIN(ABS($BK$3:$BK$23 - MEDIAN(MIN($BK$3:$BK$23), MAX($BK$3:$BK$23), P56))), ABS($BK$3:$BK$23 - MEDIAN(MIN($BK$3:$BK$23), MAX($BK$3:$BK$23), P56)), $BL$3:$BL$23, "Error", 0)</f>
        <v/>
      </c>
      <c r="Q85" s="30">
        <f t="array" ref="Q85">_xlfn.XLOOKUP(MIN(ABS($BK$3:$BK$23 - MEDIAN(MIN($BK$3:$BK$23), MAX($BK$3:$BK$23), Q56))), ABS($BK$3:$BK$23 - MEDIAN(MIN($BK$3:$BK$23), MAX($BK$3:$BK$23), Q56)), $BL$3:$BL$23, "Error", 0)</f>
        <v/>
      </c>
      <c r="R85" s="30">
        <f t="array" ref="R85">_xlfn.XLOOKUP(MIN(ABS($BK$3:$BK$23 - MEDIAN(MIN($BK$3:$BK$23), MAX($BK$3:$BK$23), R56))), ABS($BK$3:$BK$23 - MEDIAN(MIN($BK$3:$BK$23), MAX($BK$3:$BK$23), R56)), $BL$3:$BL$23, "Error", 0)</f>
        <v/>
      </c>
      <c r="S85" s="30">
        <f t="array" ref="S85">_xlfn.XLOOKUP(MIN(ABS($BK$3:$BK$23 - MEDIAN(MIN($BK$3:$BK$23), MAX($BK$3:$BK$23), S56))), ABS($BK$3:$BK$23 - MEDIAN(MIN($BK$3:$BK$23), MAX($BK$3:$BK$23), S56)), $BL$3:$BL$23, "Error", 0)</f>
        <v/>
      </c>
      <c r="T85" s="30">
        <f t="array" ref="T85">_xlfn.XLOOKUP(MIN(ABS($BK$3:$BK$23 - MEDIAN(MIN($BK$3:$BK$23), MAX($BK$3:$BK$23), T56))), ABS($BK$3:$BK$23 - MEDIAN(MIN($BK$3:$BK$23), MAX($BK$3:$BK$23), T56)), $BL$3:$BL$23, "Error", 0)</f>
        <v/>
      </c>
      <c r="U85" s="30">
        <f t="array" ref="U85">_xlfn.XLOOKUP(MIN(ABS($BK$3:$BK$23 - MEDIAN(MIN($BK$3:$BK$23), MAX($BK$3:$BK$23), U56))), ABS($BK$3:$BK$23 - MEDIAN(MIN($BK$3:$BK$23), MAX($BK$3:$BK$23), U56)), $BL$3:$BL$23, "Error", 0)</f>
        <v/>
      </c>
      <c r="V85" s="30">
        <f t="array" ref="V85">_xlfn.XLOOKUP(MIN(ABS($BK$3:$BK$23 - MEDIAN(MIN($BK$3:$BK$23), MAX($BK$3:$BK$23), V56))), ABS($BK$3:$BK$23 - MEDIAN(MIN($BK$3:$BK$23), MAX($BK$3:$BK$23), V56)), $BL$3:$BL$23, "Error", 0)</f>
        <v/>
      </c>
      <c r="W85" s="30">
        <f t="array" ref="W85">_xlfn.XLOOKUP(MIN(ABS($BK$3:$BK$23 - MEDIAN(MIN($BK$3:$BK$23), MAX($BK$3:$BK$23), W56))), ABS($BK$3:$BK$23 - MEDIAN(MIN($BK$3:$BK$23), MAX($BK$3:$BK$23), W56)), $BL$3:$BL$23, "Error", 0)</f>
        <v/>
      </c>
      <c r="X85" s="30">
        <f t="array" ref="X85">_xlfn.XLOOKUP(MIN(ABS($BK$3:$BK$23 - MEDIAN(MIN($BK$3:$BK$23), MAX($BK$3:$BK$23), X56))), ABS($BK$3:$BK$23 - MEDIAN(MIN($BK$3:$BK$23), MAX($BK$3:$BK$23), X56)), $BL$3:$BL$23, "Error", 0)</f>
        <v/>
      </c>
      <c r="Y85" s="30">
        <f t="array" ref="Y85">_xlfn.XLOOKUP(MIN(ABS($BK$3:$BK$23 - MEDIAN(MIN($BK$3:$BK$23), MAX($BK$3:$BK$23), Y56))), ABS($BK$3:$BK$23 - MEDIAN(MIN($BK$3:$BK$23), MAX($BK$3:$BK$23), Y56)), $BL$3:$BL$23, "Error", 0)</f>
        <v/>
      </c>
      <c r="Z85" s="30">
        <f t="array" ref="Z85">_xlfn.XLOOKUP(MIN(ABS($BK$3:$BK$23 - MEDIAN(MIN($BK$3:$BK$23), MAX($BK$3:$BK$23), Z56))), ABS($BK$3:$BK$23 - MEDIAN(MIN($BK$3:$BK$23), MAX($BK$3:$BK$23), Z56)), $BL$3:$BL$23, "Error", 0)</f>
        <v/>
      </c>
      <c r="AA85" s="30">
        <f t="array" ref="AA85">_xlfn.XLOOKUP(MIN(ABS($BK$3:$BK$23 - MEDIAN(MIN($BK$3:$BK$23), MAX($BK$3:$BK$23), AA56))), ABS($BK$3:$BK$23 - MEDIAN(MIN($BK$3:$BK$23), MAX($BK$3:$BK$23), AA56)), $BL$3:$BL$23, "Error", 0)</f>
        <v/>
      </c>
      <c r="AB85" s="30">
        <f t="array" ref="AB85">_xlfn.XLOOKUP(MIN(ABS($BK$3:$BK$23 - MEDIAN(MIN($BK$3:$BK$23), MAX($BK$3:$BK$23), AB56))), ABS($BK$3:$BK$23 - MEDIAN(MIN($BK$3:$BK$23), MAX($BK$3:$BK$23), AB56)), $BL$3:$BL$23, "Error", 0)</f>
        <v/>
      </c>
      <c r="AC85" s="30">
        <f t="array" ref="AC85">_xlfn.XLOOKUP(MIN(ABS($BK$3:$BK$23 - MEDIAN(MIN($BK$3:$BK$23), MAX($BK$3:$BK$23), AC56))), ABS($BK$3:$BK$23 - MEDIAN(MIN($BK$3:$BK$23), MAX($BK$3:$BK$23), AC56)), $BL$3:$BL$23, "Error", 0)</f>
        <v/>
      </c>
      <c r="AD85" s="30">
        <f t="array" ref="AD85">_xlfn.XLOOKUP(MIN(ABS($BK$3:$BK$23 - MEDIAN(MIN($BK$3:$BK$23), MAX($BK$3:$BK$23), AD56))), ABS($BK$3:$BK$23 - MEDIAN(MIN($BK$3:$BK$23), MAX($BK$3:$BK$23), AD56)), $BL$3:$BL$23, "Error", 0)</f>
        <v/>
      </c>
      <c r="AE85" s="30">
        <f t="array" ref="AE85">_xlfn.XLOOKUP(MIN(ABS($BK$3:$BK$23 - MEDIAN(MIN($BK$3:$BK$23), MAX($BK$3:$BK$23), AE56))), ABS($BK$3:$BK$23 - MEDIAN(MIN($BK$3:$BK$23), MAX($BK$3:$BK$23), AE56)), $BL$3:$BL$23, "Error", 0)</f>
        <v/>
      </c>
      <c r="AF85" s="30">
        <f t="array" ref="AF85">_xlfn.XLOOKUP(MIN(ABS($BK$3:$BK$23 - MEDIAN(MIN($BK$3:$BK$23), MAX($BK$3:$BK$23), AF56))), ABS($BK$3:$BK$23 - MEDIAN(MIN($BK$3:$BK$23), MAX($BK$3:$BK$23), AF56)), $BL$3:$BL$23, "Error", 0)</f>
        <v/>
      </c>
      <c r="AG85" s="30">
        <f t="array" ref="AG85">_xlfn.XLOOKUP(MIN(ABS($BK$3:$BK$23 - MEDIAN(MIN($BK$3:$BK$23), MAX($BK$3:$BK$23), AG56))), ABS($BK$3:$BK$23 - MEDIAN(MIN($BK$3:$BK$23), MAX($BK$3:$BK$23), AG56)), $BL$3:$BL$23, "Error", 0)</f>
        <v/>
      </c>
      <c r="AH85" s="30">
        <f t="array" ref="AH85">_xlfn.XLOOKUP(MIN(ABS($BK$3:$BK$23 - MEDIAN(MIN($BK$3:$BK$23), MAX($BK$3:$BK$23), AH56))), ABS($BK$3:$BK$23 - MEDIAN(MIN($BK$3:$BK$23), MAX($BK$3:$BK$23), AH56)), $BL$3:$BL$23, "Error", 0)</f>
        <v/>
      </c>
      <c r="AI85" s="30">
        <f t="array" ref="AI85">_xlfn.XLOOKUP(MIN(ABS($BK$3:$BK$23 - MEDIAN(MIN($BK$3:$BK$23), MAX($BK$3:$BK$23), AI56))), ABS($BK$3:$BK$23 - MEDIAN(MIN($BK$3:$BK$23), MAX($BK$3:$BK$23), AI56)), $BL$3:$BL$23, "Error", 0)</f>
        <v/>
      </c>
      <c r="AJ85" s="30">
        <f t="array" ref="AJ85">_xlfn.XLOOKUP(MIN(ABS($BK$3:$BK$23 - MEDIAN(MIN($BK$3:$BK$23), MAX($BK$3:$BK$23), AJ56))), ABS($BK$3:$BK$23 - MEDIAN(MIN($BK$3:$BK$23), MAX($BK$3:$BK$23), AJ56)), $BL$3:$BL$23, "Error", 0)</f>
        <v/>
      </c>
      <c r="AK85" s="30">
        <f t="array" ref="AK85">_xlfn.XLOOKUP(MIN(ABS($BK$3:$BK$23 - MEDIAN(MIN($BK$3:$BK$23), MAX($BK$3:$BK$23), AK56))), ABS($BK$3:$BK$23 - MEDIAN(MIN($BK$3:$BK$23), MAX($BK$3:$BK$23), AK56)), $BL$3:$BL$23, "Error", 0)</f>
        <v/>
      </c>
      <c r="AL85" s="30">
        <f t="array" ref="AL85">_xlfn.XLOOKUP(MIN(ABS($BK$3:$BK$23 - MEDIAN(MIN($BK$3:$BK$23), MAX($BK$3:$BK$23), AL56))), ABS($BK$3:$BK$23 - MEDIAN(MIN($BK$3:$BK$23), MAX($BK$3:$BK$23), AL56)), $BL$3:$BL$23, "Error", 0)</f>
        <v/>
      </c>
      <c r="AM85" s="30">
        <f t="array" ref="AM85">_xlfn.XLOOKUP(MIN(ABS($BK$3:$BK$23 - MEDIAN(MIN($BK$3:$BK$23), MAX($BK$3:$BK$23), AM56))), ABS($BK$3:$BK$23 - MEDIAN(MIN($BK$3:$BK$23), MAX($BK$3:$BK$23), AM56)), $BL$3:$BL$23, "Error", 0)</f>
        <v/>
      </c>
      <c r="AN85" s="30">
        <f t="array" ref="AN85">_xlfn.XLOOKUP(MIN(ABS($BK$3:$BK$23 - MEDIAN(MIN($BK$3:$BK$23), MAX($BK$3:$BK$23), AN56))), ABS($BK$3:$BK$23 - MEDIAN(MIN($BK$3:$BK$23), MAX($BK$3:$BK$23), AN56)), $BL$3:$BL$23, "Error", 0)</f>
        <v/>
      </c>
      <c r="AO85" s="30">
        <f t="array" ref="AO85">_xlfn.XLOOKUP(MIN(ABS($BK$3:$BK$23 - MEDIAN(MIN($BK$3:$BK$23), MAX($BK$3:$BK$23), AO56))), ABS($BK$3:$BK$23 - MEDIAN(MIN($BK$3:$BK$23), MAX($BK$3:$BK$23), AO56)), $BL$3:$BL$23, "Error", 0)</f>
        <v/>
      </c>
      <c r="AP85" s="30">
        <f t="array" ref="AP85">_xlfn.XLOOKUP(MIN(ABS($BK$3:$BK$23 - MEDIAN(MIN($BK$3:$BK$23), MAX($BK$3:$BK$23), AP56))), ABS($BK$3:$BK$23 - MEDIAN(MIN($BK$3:$BK$23), MAX($BK$3:$BK$23), AP56)), $BL$3:$BL$23, "Error", 0)</f>
        <v/>
      </c>
      <c r="AQ85" s="30">
        <f t="array" ref="AQ85">_xlfn.XLOOKUP(MIN(ABS($BK$3:$BK$23 - MEDIAN(MIN($BK$3:$BK$23), MAX($BK$3:$BK$23), AQ56))), ABS($BK$3:$BK$23 - MEDIAN(MIN($BK$3:$BK$23), MAX($BK$3:$BK$23), AQ56)), $BL$3:$BL$23, "Error", 0)</f>
        <v/>
      </c>
      <c r="AR85" s="30">
        <f t="array" ref="AR85">_xlfn.XLOOKUP(MIN(ABS($BK$3:$BK$23 - MEDIAN(MIN($BK$3:$BK$23), MAX($BK$3:$BK$23), AR56))), ABS($BK$3:$BK$23 - MEDIAN(MIN($BK$3:$BK$23), MAX($BK$3:$BK$23), AR56)), $BL$3:$BL$23, "Error", 0)</f>
        <v/>
      </c>
      <c r="AS85" s="30">
        <f t="array" ref="AS85">_xlfn.XLOOKUP(MIN(ABS($BK$3:$BK$23 - MEDIAN(MIN($BK$3:$BK$23), MAX($BK$3:$BK$23), AS56))), ABS($BK$3:$BK$23 - MEDIAN(MIN($BK$3:$BK$23), MAX($BK$3:$BK$23), AS56)), $BL$3:$BL$23, "Error", 0)</f>
        <v/>
      </c>
      <c r="AT85" s="30">
        <f t="array" ref="AT85">_xlfn.XLOOKUP(MIN(ABS($BK$3:$BK$23 - MEDIAN(MIN($BK$3:$BK$23), MAX($BK$3:$BK$23), AT56))), ABS($BK$3:$BK$23 - MEDIAN(MIN($BK$3:$BK$23), MAX($BK$3:$BK$23), AT56)), $BL$3:$BL$23, "Error", 0)</f>
        <v/>
      </c>
      <c r="AU85" s="30">
        <f t="array" ref="AU85">_xlfn.XLOOKUP(MIN(ABS($BK$3:$BK$23 - MEDIAN(MIN($BK$3:$BK$23), MAX($BK$3:$BK$23), AU56))), ABS($BK$3:$BK$23 - MEDIAN(MIN($BK$3:$BK$23), MAX($BK$3:$BK$23), AU56)), $BL$3:$BL$23, "Error", 0)</f>
        <v/>
      </c>
      <c r="AV85" s="30">
        <f t="array" ref="AV85">_xlfn.XLOOKUP(MIN(ABS($BK$3:$BK$23 - MEDIAN(MIN($BK$3:$BK$23), MAX($BK$3:$BK$23), AV56))), ABS($BK$3:$BK$23 - MEDIAN(MIN($BK$3:$BK$23), MAX($BK$3:$BK$23), AV56)), $BL$3:$BL$23, "Error", 0)</f>
        <v/>
      </c>
      <c r="AW85" s="30">
        <f t="array" ref="AW85">_xlfn.XLOOKUP(MIN(ABS($BK$3:$BK$23 - MEDIAN(MIN($BK$3:$BK$23), MAX($BK$3:$BK$23), AW56))), ABS($BK$3:$BK$23 - MEDIAN(MIN($BK$3:$BK$23), MAX($BK$3:$BK$23), AW56)), $BL$3:$BL$23, "Error", 0)</f>
        <v/>
      </c>
      <c r="AX85" s="30">
        <f t="array" ref="AX85">_xlfn.XLOOKUP(MIN(ABS($BK$3:$BK$23 - MEDIAN(MIN($BK$3:$BK$23), MAX($BK$3:$BK$23), AX56))), ABS($BK$3:$BK$23 - MEDIAN(MIN($BK$3:$BK$23), MAX($BK$3:$BK$23), AX56)), $BL$3:$BL$23, "Error", 0)</f>
        <v/>
      </c>
      <c r="AY85" s="30">
        <f t="array" ref="AY85">_xlfn.XLOOKUP(MIN(ABS($BK$3:$BK$23 - MEDIAN(MIN($BK$3:$BK$23), MAX($BK$3:$BK$23), AY56))), ABS($BK$3:$BK$23 - MEDIAN(MIN($BK$3:$BK$23), MAX($BK$3:$BK$23), AY56)), $BL$3:$BL$23, "Error", 0)</f>
        <v/>
      </c>
      <c r="AZ85" s="30">
        <f t="array" ref="AZ85">_xlfn.XLOOKUP(MIN(ABS($BK$3:$BK$23 - MEDIAN(MIN($BK$3:$BK$23), MAX($BK$3:$BK$23), AZ56))), ABS($BK$3:$BK$23 - MEDIAN(MIN($BK$3:$BK$23), MAX($BK$3:$BK$23), AZ56)), $BL$3:$BL$23, "Error", 0)</f>
        <v/>
      </c>
      <c r="BA85" s="30">
        <f t="array" ref="BA85">_xlfn.XLOOKUP(MIN(ABS($BK$3:$BK$23 - MEDIAN(MIN($BK$3:$BK$23), MAX($BK$3:$BK$23), BA56))), ABS($BK$3:$BK$23 - MEDIAN(MIN($BK$3:$BK$23), MAX($BK$3:$BK$23), BA56)), $BL$3:$BL$23, "Error", 0)</f>
        <v/>
      </c>
      <c r="BB85" s="30">
        <f t="array" ref="BB85">_xlfn.XLOOKUP(MIN(ABS($BK$3:$BK$23 - MEDIAN(MIN($BK$3:$BK$23), MAX($BK$3:$BK$23), BB56))), ABS($BK$3:$BK$23 - MEDIAN(MIN($BK$3:$BK$23), MAX($BK$3:$BK$23), BB56)), $BL$3:$BL$23, "Error", 0)</f>
        <v/>
      </c>
      <c r="BC85" s="30">
        <f t="array" ref="BC85">_xlfn.XLOOKUP(MIN(ABS($BK$3:$BK$23 - MEDIAN(MIN($BK$3:$BK$23), MAX($BK$3:$BK$23), BC56))), ABS($BK$3:$BK$23 - MEDIAN(MIN($BK$3:$BK$23), MAX($BK$3:$BK$23), BC56)), $BL$3:$BL$23, "Error", 0)</f>
        <v/>
      </c>
      <c r="BD85" s="30">
        <f t="array" ref="BD85">_xlfn.XLOOKUP(MIN(ABS($BK$3:$BK$23 - MEDIAN(MIN($BK$3:$BK$23), MAX($BK$3:$BK$23), BD56))), ABS($BK$3:$BK$23 - MEDIAN(MIN($BK$3:$BK$23), MAX($BK$3:$BK$23), BD56)), $BL$3:$BL$23, "Error", 0)</f>
        <v/>
      </c>
      <c r="BE85" s="30">
        <f t="array" ref="BE85">_xlfn.XLOOKUP(MIN(ABS($BK$3:$BK$23 - MEDIAN(MIN($BK$3:$BK$23), MAX($BK$3:$BK$23), BE56))), ABS($BK$3:$BK$23 - MEDIAN(MIN($BK$3:$BK$23), MAX($BK$3:$BK$23), BE56)), $BL$3:$BL$23, "Error", 0)</f>
        <v/>
      </c>
      <c r="BF85" s="30">
        <f t="array" ref="BF85">_xlfn.XLOOKUP(MIN(ABS($BK$3:$BK$23 - MEDIAN(MIN($BK$3:$BK$23), MAX($BK$3:$BK$23), BF56))), ABS($BK$3:$BK$23 - MEDIAN(MIN($BK$3:$BK$23), MAX($BK$3:$BK$23), BF56)), $BL$3:$BL$23, "Error", 0)</f>
        <v/>
      </c>
      <c r="BG85" s="30">
        <f t="array" ref="BG85">_xlfn.XLOOKUP(MIN(ABS($BK$3:$BK$23 - MEDIAN(MIN($BK$3:$BK$23), MAX($BK$3:$BK$23), BG56))), ABS($BK$3:$BK$23 - MEDIAN(MIN($BK$3:$BK$23), MAX($BK$3:$BK$23), BG56)), $BL$3:$BL$23, "Error", 0)</f>
        <v/>
      </c>
      <c r="BH85" s="30">
        <f t="array" ref="BH85">_xlfn.XLOOKUP(MIN(ABS($BK$3:$BK$23 - MEDIAN(MIN($BK$3:$BK$23), MAX($BK$3:$BK$23), BH56))), ABS($BK$3:$BK$23 - MEDIAN(MIN($BK$3:$BK$23), MAX($BK$3:$BK$23), BH56)), $BL$3:$BL$23, "Error", 0)</f>
        <v/>
      </c>
      <c r="BI85" s="30">
        <f t="array" ref="BI85">_xlfn.XLOOKUP(MIN(ABS($BK$3:$BK$23 - MEDIAN(MIN($BK$3:$BK$23), MAX($BK$3:$BK$23), BI56))), ABS($BK$3:$BK$23 - MEDIAN(MIN($BK$3:$BK$23), MAX($BK$3:$BK$23), BI56)), $BL$3:$BL$23, "Error", 0)</f>
        <v/>
      </c>
    </row>
    <row r="86" ht="25" customHeight="1">
      <c r="A86" s="50" t="inlineStr">
        <is>
          <t>AUD NZD</t>
        </is>
      </c>
      <c r="B86" s="78" t="n"/>
      <c r="C86" s="78" t="n"/>
      <c r="D86" s="78" t="n"/>
      <c r="E86" s="78" t="n"/>
      <c r="F86" s="78" t="n"/>
      <c r="G86" s="78" t="n"/>
      <c r="H86" s="78" t="n"/>
      <c r="I86" s="78" t="n"/>
      <c r="J86" s="78" t="n"/>
      <c r="K86" s="78" t="n"/>
      <c r="L86" s="78" t="n"/>
      <c r="M86" s="78" t="n"/>
      <c r="N86" s="30">
        <f t="array" ref="N86">_xlfn.XLOOKUP(MIN(ABS($BK$3:$BK$23 - MEDIAN(MIN($BK$3:$BK$23), MAX($BK$3:$BK$23), N57))), ABS($BK$3:$BK$23 - MEDIAN(MIN($BK$3:$BK$23), MAX($BK$3:$BK$23), N57)), $BL$3:$BL$23, "Error", 0)</f>
        <v/>
      </c>
      <c r="O86" s="30">
        <f t="array" ref="O86">_xlfn.XLOOKUP(MIN(ABS($BK$3:$BK$23 - MEDIAN(MIN($BK$3:$BK$23), MAX($BK$3:$BK$23), O57))), ABS($BK$3:$BK$23 - MEDIAN(MIN($BK$3:$BK$23), MAX($BK$3:$BK$23), O57)), $BL$3:$BL$23, "Error", 0)</f>
        <v/>
      </c>
      <c r="P86" s="30">
        <f t="array" ref="P86">_xlfn.XLOOKUP(MIN(ABS($BK$3:$BK$23 - MEDIAN(MIN($BK$3:$BK$23), MAX($BK$3:$BK$23), P57))), ABS($BK$3:$BK$23 - MEDIAN(MIN($BK$3:$BK$23), MAX($BK$3:$BK$23), P57)), $BL$3:$BL$23, "Error", 0)</f>
        <v/>
      </c>
      <c r="Q86" s="30">
        <f t="array" ref="Q86">_xlfn.XLOOKUP(MIN(ABS($BK$3:$BK$23 - MEDIAN(MIN($BK$3:$BK$23), MAX($BK$3:$BK$23), Q57))), ABS($BK$3:$BK$23 - MEDIAN(MIN($BK$3:$BK$23), MAX($BK$3:$BK$23), Q57)), $BL$3:$BL$23, "Error", 0)</f>
        <v/>
      </c>
      <c r="R86" s="30">
        <f t="array" ref="R86">_xlfn.XLOOKUP(MIN(ABS($BK$3:$BK$23 - MEDIAN(MIN($BK$3:$BK$23), MAX($BK$3:$BK$23), R57))), ABS($BK$3:$BK$23 - MEDIAN(MIN($BK$3:$BK$23), MAX($BK$3:$BK$23), R57)), $BL$3:$BL$23, "Error", 0)</f>
        <v/>
      </c>
      <c r="S86" s="30">
        <f t="array" ref="S86">_xlfn.XLOOKUP(MIN(ABS($BK$3:$BK$23 - MEDIAN(MIN($BK$3:$BK$23), MAX($BK$3:$BK$23), S57))), ABS($BK$3:$BK$23 - MEDIAN(MIN($BK$3:$BK$23), MAX($BK$3:$BK$23), S57)), $BL$3:$BL$23, "Error", 0)</f>
        <v/>
      </c>
      <c r="T86" s="30">
        <f t="array" ref="T86">_xlfn.XLOOKUP(MIN(ABS($BK$3:$BK$23 - MEDIAN(MIN($BK$3:$BK$23), MAX($BK$3:$BK$23), T57))), ABS($BK$3:$BK$23 - MEDIAN(MIN($BK$3:$BK$23), MAX($BK$3:$BK$23), T57)), $BL$3:$BL$23, "Error", 0)</f>
        <v/>
      </c>
      <c r="U86" s="30">
        <f t="array" ref="U86">_xlfn.XLOOKUP(MIN(ABS($BK$3:$BK$23 - MEDIAN(MIN($BK$3:$BK$23), MAX($BK$3:$BK$23), U57))), ABS($BK$3:$BK$23 - MEDIAN(MIN($BK$3:$BK$23), MAX($BK$3:$BK$23), U57)), $BL$3:$BL$23, "Error", 0)</f>
        <v/>
      </c>
      <c r="V86" s="30">
        <f t="array" ref="V86">_xlfn.XLOOKUP(MIN(ABS($BK$3:$BK$23 - MEDIAN(MIN($BK$3:$BK$23), MAX($BK$3:$BK$23), V57))), ABS($BK$3:$BK$23 - MEDIAN(MIN($BK$3:$BK$23), MAX($BK$3:$BK$23), V57)), $BL$3:$BL$23, "Error", 0)</f>
        <v/>
      </c>
      <c r="W86" s="30">
        <f t="array" ref="W86">_xlfn.XLOOKUP(MIN(ABS($BK$3:$BK$23 - MEDIAN(MIN($BK$3:$BK$23), MAX($BK$3:$BK$23), W57))), ABS($BK$3:$BK$23 - MEDIAN(MIN($BK$3:$BK$23), MAX($BK$3:$BK$23), W57)), $BL$3:$BL$23, "Error", 0)</f>
        <v/>
      </c>
      <c r="X86" s="30">
        <f t="array" ref="X86">_xlfn.XLOOKUP(MIN(ABS($BK$3:$BK$23 - MEDIAN(MIN($BK$3:$BK$23), MAX($BK$3:$BK$23), X57))), ABS($BK$3:$BK$23 - MEDIAN(MIN($BK$3:$BK$23), MAX($BK$3:$BK$23), X57)), $BL$3:$BL$23, "Error", 0)</f>
        <v/>
      </c>
      <c r="Y86" s="30">
        <f t="array" ref="Y86">_xlfn.XLOOKUP(MIN(ABS($BK$3:$BK$23 - MEDIAN(MIN($BK$3:$BK$23), MAX($BK$3:$BK$23), Y57))), ABS($BK$3:$BK$23 - MEDIAN(MIN($BK$3:$BK$23), MAX($BK$3:$BK$23), Y57)), $BL$3:$BL$23, "Error", 0)</f>
        <v/>
      </c>
      <c r="Z86" s="30">
        <f t="array" ref="Z86">_xlfn.XLOOKUP(MIN(ABS($BK$3:$BK$23 - MEDIAN(MIN($BK$3:$BK$23), MAX($BK$3:$BK$23), Z57))), ABS($BK$3:$BK$23 - MEDIAN(MIN($BK$3:$BK$23), MAX($BK$3:$BK$23), Z57)), $BL$3:$BL$23, "Error", 0)</f>
        <v/>
      </c>
      <c r="AA86" s="30">
        <f t="array" ref="AA86">_xlfn.XLOOKUP(MIN(ABS($BK$3:$BK$23 - MEDIAN(MIN($BK$3:$BK$23), MAX($BK$3:$BK$23), AA57))), ABS($BK$3:$BK$23 - MEDIAN(MIN($BK$3:$BK$23), MAX($BK$3:$BK$23), AA57)), $BL$3:$BL$23, "Error", 0)</f>
        <v/>
      </c>
      <c r="AB86" s="30">
        <f t="array" ref="AB86">_xlfn.XLOOKUP(MIN(ABS($BK$3:$BK$23 - MEDIAN(MIN($BK$3:$BK$23), MAX($BK$3:$BK$23), AB57))), ABS($BK$3:$BK$23 - MEDIAN(MIN($BK$3:$BK$23), MAX($BK$3:$BK$23), AB57)), $BL$3:$BL$23, "Error", 0)</f>
        <v/>
      </c>
      <c r="AC86" s="30">
        <f t="array" ref="AC86">_xlfn.XLOOKUP(MIN(ABS($BK$3:$BK$23 - MEDIAN(MIN($BK$3:$BK$23), MAX($BK$3:$BK$23), AC57))), ABS($BK$3:$BK$23 - MEDIAN(MIN($BK$3:$BK$23), MAX($BK$3:$BK$23), AC57)), $BL$3:$BL$23, "Error", 0)</f>
        <v/>
      </c>
      <c r="AD86" s="30">
        <f t="array" ref="AD86">_xlfn.XLOOKUP(MIN(ABS($BK$3:$BK$23 - MEDIAN(MIN($BK$3:$BK$23), MAX($BK$3:$BK$23), AD57))), ABS($BK$3:$BK$23 - MEDIAN(MIN($BK$3:$BK$23), MAX($BK$3:$BK$23), AD57)), $BL$3:$BL$23, "Error", 0)</f>
        <v/>
      </c>
      <c r="AE86" s="30">
        <f t="array" ref="AE86">_xlfn.XLOOKUP(MIN(ABS($BK$3:$BK$23 - MEDIAN(MIN($BK$3:$BK$23), MAX($BK$3:$BK$23), AE57))), ABS($BK$3:$BK$23 - MEDIAN(MIN($BK$3:$BK$23), MAX($BK$3:$BK$23), AE57)), $BL$3:$BL$23, "Error", 0)</f>
        <v/>
      </c>
      <c r="AF86" s="30">
        <f t="array" ref="AF86">_xlfn.XLOOKUP(MIN(ABS($BK$3:$BK$23 - MEDIAN(MIN($BK$3:$BK$23), MAX($BK$3:$BK$23), AF57))), ABS($BK$3:$BK$23 - MEDIAN(MIN($BK$3:$BK$23), MAX($BK$3:$BK$23), AF57)), $BL$3:$BL$23, "Error", 0)</f>
        <v/>
      </c>
      <c r="AG86" s="30">
        <f t="array" ref="AG86">_xlfn.XLOOKUP(MIN(ABS($BK$3:$BK$23 - MEDIAN(MIN($BK$3:$BK$23), MAX($BK$3:$BK$23), AG57))), ABS($BK$3:$BK$23 - MEDIAN(MIN($BK$3:$BK$23), MAX($BK$3:$BK$23), AG57)), $BL$3:$BL$23, "Error", 0)</f>
        <v/>
      </c>
      <c r="AH86" s="30">
        <f t="array" ref="AH86">_xlfn.XLOOKUP(MIN(ABS($BK$3:$BK$23 - MEDIAN(MIN($BK$3:$BK$23), MAX($BK$3:$BK$23), AH57))), ABS($BK$3:$BK$23 - MEDIAN(MIN($BK$3:$BK$23), MAX($BK$3:$BK$23), AH57)), $BL$3:$BL$23, "Error", 0)</f>
        <v/>
      </c>
      <c r="AI86" s="30">
        <f t="array" ref="AI86">_xlfn.XLOOKUP(MIN(ABS($BK$3:$BK$23 - MEDIAN(MIN($BK$3:$BK$23), MAX($BK$3:$BK$23), AI57))), ABS($BK$3:$BK$23 - MEDIAN(MIN($BK$3:$BK$23), MAX($BK$3:$BK$23), AI57)), $BL$3:$BL$23, "Error", 0)</f>
        <v/>
      </c>
      <c r="AJ86" s="30">
        <f t="array" ref="AJ86">_xlfn.XLOOKUP(MIN(ABS($BK$3:$BK$23 - MEDIAN(MIN($BK$3:$BK$23), MAX($BK$3:$BK$23), AJ57))), ABS($BK$3:$BK$23 - MEDIAN(MIN($BK$3:$BK$23), MAX($BK$3:$BK$23), AJ57)), $BL$3:$BL$23, "Error", 0)</f>
        <v/>
      </c>
      <c r="AK86" s="30">
        <f t="array" ref="AK86">_xlfn.XLOOKUP(MIN(ABS($BK$3:$BK$23 - MEDIAN(MIN($BK$3:$BK$23), MAX($BK$3:$BK$23), AK57))), ABS($BK$3:$BK$23 - MEDIAN(MIN($BK$3:$BK$23), MAX($BK$3:$BK$23), AK57)), $BL$3:$BL$23, "Error", 0)</f>
        <v/>
      </c>
      <c r="AL86" s="30">
        <f t="array" ref="AL86">_xlfn.XLOOKUP(MIN(ABS($BK$3:$BK$23 - MEDIAN(MIN($BK$3:$BK$23), MAX($BK$3:$BK$23), AL57))), ABS($BK$3:$BK$23 - MEDIAN(MIN($BK$3:$BK$23), MAX($BK$3:$BK$23), AL57)), $BL$3:$BL$23, "Error", 0)</f>
        <v/>
      </c>
      <c r="AM86" s="30">
        <f t="array" ref="AM86">_xlfn.XLOOKUP(MIN(ABS($BK$3:$BK$23 - MEDIAN(MIN($BK$3:$BK$23), MAX($BK$3:$BK$23), AM57))), ABS($BK$3:$BK$23 - MEDIAN(MIN($BK$3:$BK$23), MAX($BK$3:$BK$23), AM57)), $BL$3:$BL$23, "Error", 0)</f>
        <v/>
      </c>
      <c r="AN86" s="30">
        <f t="array" ref="AN86">_xlfn.XLOOKUP(MIN(ABS($BK$3:$BK$23 - MEDIAN(MIN($BK$3:$BK$23), MAX($BK$3:$BK$23), AN57))), ABS($BK$3:$BK$23 - MEDIAN(MIN($BK$3:$BK$23), MAX($BK$3:$BK$23), AN57)), $BL$3:$BL$23, "Error", 0)</f>
        <v/>
      </c>
      <c r="AO86" s="30">
        <f t="array" ref="AO86">_xlfn.XLOOKUP(MIN(ABS($BK$3:$BK$23 - MEDIAN(MIN($BK$3:$BK$23), MAX($BK$3:$BK$23), AO57))), ABS($BK$3:$BK$23 - MEDIAN(MIN($BK$3:$BK$23), MAX($BK$3:$BK$23), AO57)), $BL$3:$BL$23, "Error", 0)</f>
        <v/>
      </c>
      <c r="AP86" s="30">
        <f t="array" ref="AP86">_xlfn.XLOOKUP(MIN(ABS($BK$3:$BK$23 - MEDIAN(MIN($BK$3:$BK$23), MAX($BK$3:$BK$23), AP57))), ABS($BK$3:$BK$23 - MEDIAN(MIN($BK$3:$BK$23), MAX($BK$3:$BK$23), AP57)), $BL$3:$BL$23, "Error", 0)</f>
        <v/>
      </c>
      <c r="AQ86" s="30">
        <f t="array" ref="AQ86">_xlfn.XLOOKUP(MIN(ABS($BK$3:$BK$23 - MEDIAN(MIN($BK$3:$BK$23), MAX($BK$3:$BK$23), AQ57))), ABS($BK$3:$BK$23 - MEDIAN(MIN($BK$3:$BK$23), MAX($BK$3:$BK$23), AQ57)), $BL$3:$BL$23, "Error", 0)</f>
        <v/>
      </c>
      <c r="AR86" s="30">
        <f t="array" ref="AR86">_xlfn.XLOOKUP(MIN(ABS($BK$3:$BK$23 - MEDIAN(MIN($BK$3:$BK$23), MAX($BK$3:$BK$23), AR57))), ABS($BK$3:$BK$23 - MEDIAN(MIN($BK$3:$BK$23), MAX($BK$3:$BK$23), AR57)), $BL$3:$BL$23, "Error", 0)</f>
        <v/>
      </c>
      <c r="AS86" s="30">
        <f t="array" ref="AS86">_xlfn.XLOOKUP(MIN(ABS($BK$3:$BK$23 - MEDIAN(MIN($BK$3:$BK$23), MAX($BK$3:$BK$23), AS57))), ABS($BK$3:$BK$23 - MEDIAN(MIN($BK$3:$BK$23), MAX($BK$3:$BK$23), AS57)), $BL$3:$BL$23, "Error", 0)</f>
        <v/>
      </c>
      <c r="AT86" s="30">
        <f t="array" ref="AT86">_xlfn.XLOOKUP(MIN(ABS($BK$3:$BK$23 - MEDIAN(MIN($BK$3:$BK$23), MAX($BK$3:$BK$23), AT57))), ABS($BK$3:$BK$23 - MEDIAN(MIN($BK$3:$BK$23), MAX($BK$3:$BK$23), AT57)), $BL$3:$BL$23, "Error", 0)</f>
        <v/>
      </c>
      <c r="AU86" s="30">
        <f t="array" ref="AU86">_xlfn.XLOOKUP(MIN(ABS($BK$3:$BK$23 - MEDIAN(MIN($BK$3:$BK$23), MAX($BK$3:$BK$23), AU57))), ABS($BK$3:$BK$23 - MEDIAN(MIN($BK$3:$BK$23), MAX($BK$3:$BK$23), AU57)), $BL$3:$BL$23, "Error", 0)</f>
        <v/>
      </c>
      <c r="AV86" s="30">
        <f t="array" ref="AV86">_xlfn.XLOOKUP(MIN(ABS($BK$3:$BK$23 - MEDIAN(MIN($BK$3:$BK$23), MAX($BK$3:$BK$23), AV57))), ABS($BK$3:$BK$23 - MEDIAN(MIN($BK$3:$BK$23), MAX($BK$3:$BK$23), AV57)), $BL$3:$BL$23, "Error", 0)</f>
        <v/>
      </c>
      <c r="AW86" s="30">
        <f t="array" ref="AW86">_xlfn.XLOOKUP(MIN(ABS($BK$3:$BK$23 - MEDIAN(MIN($BK$3:$BK$23), MAX($BK$3:$BK$23), AW57))), ABS($BK$3:$BK$23 - MEDIAN(MIN($BK$3:$BK$23), MAX($BK$3:$BK$23), AW57)), $BL$3:$BL$23, "Error", 0)</f>
        <v/>
      </c>
      <c r="AX86" s="30">
        <f t="array" ref="AX86">_xlfn.XLOOKUP(MIN(ABS($BK$3:$BK$23 - MEDIAN(MIN($BK$3:$BK$23), MAX($BK$3:$BK$23), AX57))), ABS($BK$3:$BK$23 - MEDIAN(MIN($BK$3:$BK$23), MAX($BK$3:$BK$23), AX57)), $BL$3:$BL$23, "Error", 0)</f>
        <v/>
      </c>
      <c r="AY86" s="30">
        <f t="array" ref="AY86">_xlfn.XLOOKUP(MIN(ABS($BK$3:$BK$23 - MEDIAN(MIN($BK$3:$BK$23), MAX($BK$3:$BK$23), AY57))), ABS($BK$3:$BK$23 - MEDIAN(MIN($BK$3:$BK$23), MAX($BK$3:$BK$23), AY57)), $BL$3:$BL$23, "Error", 0)</f>
        <v/>
      </c>
      <c r="AZ86" s="30">
        <f t="array" ref="AZ86">_xlfn.XLOOKUP(MIN(ABS($BK$3:$BK$23 - MEDIAN(MIN($BK$3:$BK$23), MAX($BK$3:$BK$23), AZ57))), ABS($BK$3:$BK$23 - MEDIAN(MIN($BK$3:$BK$23), MAX($BK$3:$BK$23), AZ57)), $BL$3:$BL$23, "Error", 0)</f>
        <v/>
      </c>
      <c r="BA86" s="30">
        <f t="array" ref="BA86">_xlfn.XLOOKUP(MIN(ABS($BK$3:$BK$23 - MEDIAN(MIN($BK$3:$BK$23), MAX($BK$3:$BK$23), BA57))), ABS($BK$3:$BK$23 - MEDIAN(MIN($BK$3:$BK$23), MAX($BK$3:$BK$23), BA57)), $BL$3:$BL$23, "Error", 0)</f>
        <v/>
      </c>
      <c r="BB86" s="30">
        <f t="array" ref="BB86">_xlfn.XLOOKUP(MIN(ABS($BK$3:$BK$23 - MEDIAN(MIN($BK$3:$BK$23), MAX($BK$3:$BK$23), BB57))), ABS($BK$3:$BK$23 - MEDIAN(MIN($BK$3:$BK$23), MAX($BK$3:$BK$23), BB57)), $BL$3:$BL$23, "Error", 0)</f>
        <v/>
      </c>
      <c r="BC86" s="30">
        <f t="array" ref="BC86">_xlfn.XLOOKUP(MIN(ABS($BK$3:$BK$23 - MEDIAN(MIN($BK$3:$BK$23), MAX($BK$3:$BK$23), BC57))), ABS($BK$3:$BK$23 - MEDIAN(MIN($BK$3:$BK$23), MAX($BK$3:$BK$23), BC57)), $BL$3:$BL$23, "Error", 0)</f>
        <v/>
      </c>
      <c r="BD86" s="30">
        <f t="array" ref="BD86">_xlfn.XLOOKUP(MIN(ABS($BK$3:$BK$23 - MEDIAN(MIN($BK$3:$BK$23), MAX($BK$3:$BK$23), BD57))), ABS($BK$3:$BK$23 - MEDIAN(MIN($BK$3:$BK$23), MAX($BK$3:$BK$23), BD57)), $BL$3:$BL$23, "Error", 0)</f>
        <v/>
      </c>
      <c r="BE86" s="30">
        <f t="array" ref="BE86">_xlfn.XLOOKUP(MIN(ABS($BK$3:$BK$23 - MEDIAN(MIN($BK$3:$BK$23), MAX($BK$3:$BK$23), BE57))), ABS($BK$3:$BK$23 - MEDIAN(MIN($BK$3:$BK$23), MAX($BK$3:$BK$23), BE57)), $BL$3:$BL$23, "Error", 0)</f>
        <v/>
      </c>
      <c r="BF86" s="30">
        <f t="array" ref="BF86">_xlfn.XLOOKUP(MIN(ABS($BK$3:$BK$23 - MEDIAN(MIN($BK$3:$BK$23), MAX($BK$3:$BK$23), BF57))), ABS($BK$3:$BK$23 - MEDIAN(MIN($BK$3:$BK$23), MAX($BK$3:$BK$23), BF57)), $BL$3:$BL$23, "Error", 0)</f>
        <v/>
      </c>
      <c r="BG86" s="30">
        <f t="array" ref="BG86">_xlfn.XLOOKUP(MIN(ABS($BK$3:$BK$23 - MEDIAN(MIN($BK$3:$BK$23), MAX($BK$3:$BK$23), BG57))), ABS($BK$3:$BK$23 - MEDIAN(MIN($BK$3:$BK$23), MAX($BK$3:$BK$23), BG57)), $BL$3:$BL$23, "Error", 0)</f>
        <v/>
      </c>
      <c r="BH86" s="30">
        <f t="array" ref="BH86">_xlfn.XLOOKUP(MIN(ABS($BK$3:$BK$23 - MEDIAN(MIN($BK$3:$BK$23), MAX($BK$3:$BK$23), BH57))), ABS($BK$3:$BK$23 - MEDIAN(MIN($BK$3:$BK$23), MAX($BK$3:$BK$23), BH57)), $BL$3:$BL$23, "Error", 0)</f>
        <v/>
      </c>
      <c r="BI86" s="30">
        <f t="array" ref="BI86">_xlfn.XLOOKUP(MIN(ABS($BK$3:$BK$23 - MEDIAN(MIN($BK$3:$BK$23), MAX($BK$3:$BK$23), BI57))), ABS($BK$3:$BK$23 - MEDIAN(MIN($BK$3:$BK$23), MAX($BK$3:$BK$23), BI57)), $BL$3:$BL$23, "Error", 0)</f>
        <v/>
      </c>
    </row>
    <row r="87" ht="25" customHeight="1">
      <c r="A87" s="50" t="inlineStr">
        <is>
          <t>AUD CAD</t>
        </is>
      </c>
      <c r="B87" s="78" t="n"/>
      <c r="C87" s="78" t="n"/>
      <c r="D87" s="78" t="n"/>
      <c r="E87" s="78" t="n"/>
      <c r="F87" s="78" t="n"/>
      <c r="G87" s="78" t="n"/>
      <c r="H87" s="78" t="n"/>
      <c r="I87" s="78" t="n"/>
      <c r="J87" s="78" t="n"/>
      <c r="K87" s="78" t="n"/>
      <c r="L87" s="78" t="n"/>
      <c r="M87" s="78" t="n"/>
      <c r="N87" s="30">
        <f t="array" ref="N87">_xlfn.XLOOKUP(MIN(ABS($BK$3:$BK$23 - MEDIAN(MIN($BK$3:$BK$23), MAX($BK$3:$BK$23), N58))), ABS($BK$3:$BK$23 - MEDIAN(MIN($BK$3:$BK$23), MAX($BK$3:$BK$23), N58)), $BL$3:$BL$23, "Error", 0)</f>
        <v/>
      </c>
      <c r="O87" s="30">
        <f t="array" ref="O87">_xlfn.XLOOKUP(MIN(ABS($BK$3:$BK$23 - MEDIAN(MIN($BK$3:$BK$23), MAX($BK$3:$BK$23), O58))), ABS($BK$3:$BK$23 - MEDIAN(MIN($BK$3:$BK$23), MAX($BK$3:$BK$23), O58)), $BL$3:$BL$23, "Error", 0)</f>
        <v/>
      </c>
      <c r="P87" s="30">
        <f t="array" ref="P87">_xlfn.XLOOKUP(MIN(ABS($BK$3:$BK$23 - MEDIAN(MIN($BK$3:$BK$23), MAX($BK$3:$BK$23), P58))), ABS($BK$3:$BK$23 - MEDIAN(MIN($BK$3:$BK$23), MAX($BK$3:$BK$23), P58)), $BL$3:$BL$23, "Error", 0)</f>
        <v/>
      </c>
      <c r="Q87" s="30">
        <f t="array" ref="Q87">_xlfn.XLOOKUP(MIN(ABS($BK$3:$BK$23 - MEDIAN(MIN($BK$3:$BK$23), MAX($BK$3:$BK$23), Q58))), ABS($BK$3:$BK$23 - MEDIAN(MIN($BK$3:$BK$23), MAX($BK$3:$BK$23), Q58)), $BL$3:$BL$23, "Error", 0)</f>
        <v/>
      </c>
      <c r="R87" s="30">
        <f t="array" ref="R87">_xlfn.XLOOKUP(MIN(ABS($BK$3:$BK$23 - MEDIAN(MIN($BK$3:$BK$23), MAX($BK$3:$BK$23), R58))), ABS($BK$3:$BK$23 - MEDIAN(MIN($BK$3:$BK$23), MAX($BK$3:$BK$23), R58)), $BL$3:$BL$23, "Error", 0)</f>
        <v/>
      </c>
      <c r="S87" s="30">
        <f t="array" ref="S87">_xlfn.XLOOKUP(MIN(ABS($BK$3:$BK$23 - MEDIAN(MIN($BK$3:$BK$23), MAX($BK$3:$BK$23), S58))), ABS($BK$3:$BK$23 - MEDIAN(MIN($BK$3:$BK$23), MAX($BK$3:$BK$23), S58)), $BL$3:$BL$23, "Error", 0)</f>
        <v/>
      </c>
      <c r="T87" s="30">
        <f t="array" ref="T87">_xlfn.XLOOKUP(MIN(ABS($BK$3:$BK$23 - MEDIAN(MIN($BK$3:$BK$23), MAX($BK$3:$BK$23), T58))), ABS($BK$3:$BK$23 - MEDIAN(MIN($BK$3:$BK$23), MAX($BK$3:$BK$23), T58)), $BL$3:$BL$23, "Error", 0)</f>
        <v/>
      </c>
      <c r="U87" s="30">
        <f t="array" ref="U87">_xlfn.XLOOKUP(MIN(ABS($BK$3:$BK$23 - MEDIAN(MIN($BK$3:$BK$23), MAX($BK$3:$BK$23), U58))), ABS($BK$3:$BK$23 - MEDIAN(MIN($BK$3:$BK$23), MAX($BK$3:$BK$23), U58)), $BL$3:$BL$23, "Error", 0)</f>
        <v/>
      </c>
      <c r="V87" s="30">
        <f t="array" ref="V87">_xlfn.XLOOKUP(MIN(ABS($BK$3:$BK$23 - MEDIAN(MIN($BK$3:$BK$23), MAX($BK$3:$BK$23), V58))), ABS($BK$3:$BK$23 - MEDIAN(MIN($BK$3:$BK$23), MAX($BK$3:$BK$23), V58)), $BL$3:$BL$23, "Error", 0)</f>
        <v/>
      </c>
      <c r="W87" s="30">
        <f t="array" ref="W87">_xlfn.XLOOKUP(MIN(ABS($BK$3:$BK$23 - MEDIAN(MIN($BK$3:$BK$23), MAX($BK$3:$BK$23), W58))), ABS($BK$3:$BK$23 - MEDIAN(MIN($BK$3:$BK$23), MAX($BK$3:$BK$23), W58)), $BL$3:$BL$23, "Error", 0)</f>
        <v/>
      </c>
      <c r="X87" s="30">
        <f t="array" ref="X87">_xlfn.XLOOKUP(MIN(ABS($BK$3:$BK$23 - MEDIAN(MIN($BK$3:$BK$23), MAX($BK$3:$BK$23), X58))), ABS($BK$3:$BK$23 - MEDIAN(MIN($BK$3:$BK$23), MAX($BK$3:$BK$23), X58)), $BL$3:$BL$23, "Error", 0)</f>
        <v/>
      </c>
      <c r="Y87" s="30">
        <f t="array" ref="Y87">_xlfn.XLOOKUP(MIN(ABS($BK$3:$BK$23 - MEDIAN(MIN($BK$3:$BK$23), MAX($BK$3:$BK$23), Y58))), ABS($BK$3:$BK$23 - MEDIAN(MIN($BK$3:$BK$23), MAX($BK$3:$BK$23), Y58)), $BL$3:$BL$23, "Error", 0)</f>
        <v/>
      </c>
      <c r="Z87" s="30">
        <f t="array" ref="Z87">_xlfn.XLOOKUP(MIN(ABS($BK$3:$BK$23 - MEDIAN(MIN($BK$3:$BK$23), MAX($BK$3:$BK$23), Z58))), ABS($BK$3:$BK$23 - MEDIAN(MIN($BK$3:$BK$23), MAX($BK$3:$BK$23), Z58)), $BL$3:$BL$23, "Error", 0)</f>
        <v/>
      </c>
      <c r="AA87" s="30">
        <f t="array" ref="AA87">_xlfn.XLOOKUP(MIN(ABS($BK$3:$BK$23 - MEDIAN(MIN($BK$3:$BK$23), MAX($BK$3:$BK$23), AA58))), ABS($BK$3:$BK$23 - MEDIAN(MIN($BK$3:$BK$23), MAX($BK$3:$BK$23), AA58)), $BL$3:$BL$23, "Error", 0)</f>
        <v/>
      </c>
      <c r="AB87" s="30">
        <f t="array" ref="AB87">_xlfn.XLOOKUP(MIN(ABS($BK$3:$BK$23 - MEDIAN(MIN($BK$3:$BK$23), MAX($BK$3:$BK$23), AB58))), ABS($BK$3:$BK$23 - MEDIAN(MIN($BK$3:$BK$23), MAX($BK$3:$BK$23), AB58)), $BL$3:$BL$23, "Error", 0)</f>
        <v/>
      </c>
      <c r="AC87" s="30">
        <f t="array" ref="AC87">_xlfn.XLOOKUP(MIN(ABS($BK$3:$BK$23 - MEDIAN(MIN($BK$3:$BK$23), MAX($BK$3:$BK$23), AC58))), ABS($BK$3:$BK$23 - MEDIAN(MIN($BK$3:$BK$23), MAX($BK$3:$BK$23), AC58)), $BL$3:$BL$23, "Error", 0)</f>
        <v/>
      </c>
      <c r="AD87" s="30">
        <f t="array" ref="AD87">_xlfn.XLOOKUP(MIN(ABS($BK$3:$BK$23 - MEDIAN(MIN($BK$3:$BK$23), MAX($BK$3:$BK$23), AD58))), ABS($BK$3:$BK$23 - MEDIAN(MIN($BK$3:$BK$23), MAX($BK$3:$BK$23), AD58)), $BL$3:$BL$23, "Error", 0)</f>
        <v/>
      </c>
      <c r="AE87" s="30">
        <f t="array" ref="AE87">_xlfn.XLOOKUP(MIN(ABS($BK$3:$BK$23 - MEDIAN(MIN($BK$3:$BK$23), MAX($BK$3:$BK$23), AE58))), ABS($BK$3:$BK$23 - MEDIAN(MIN($BK$3:$BK$23), MAX($BK$3:$BK$23), AE58)), $BL$3:$BL$23, "Error", 0)</f>
        <v/>
      </c>
      <c r="AF87" s="30">
        <f t="array" ref="AF87">_xlfn.XLOOKUP(MIN(ABS($BK$3:$BK$23 - MEDIAN(MIN($BK$3:$BK$23), MAX($BK$3:$BK$23), AF58))), ABS($BK$3:$BK$23 - MEDIAN(MIN($BK$3:$BK$23), MAX($BK$3:$BK$23), AF58)), $BL$3:$BL$23, "Error", 0)</f>
        <v/>
      </c>
      <c r="AG87" s="30">
        <f t="array" ref="AG87">_xlfn.XLOOKUP(MIN(ABS($BK$3:$BK$23 - MEDIAN(MIN($BK$3:$BK$23), MAX($BK$3:$BK$23), AG58))), ABS($BK$3:$BK$23 - MEDIAN(MIN($BK$3:$BK$23), MAX($BK$3:$BK$23), AG58)), $BL$3:$BL$23, "Error", 0)</f>
        <v/>
      </c>
      <c r="AH87" s="30">
        <f t="array" ref="AH87">_xlfn.XLOOKUP(MIN(ABS($BK$3:$BK$23 - MEDIAN(MIN($BK$3:$BK$23), MAX($BK$3:$BK$23), AH58))), ABS($BK$3:$BK$23 - MEDIAN(MIN($BK$3:$BK$23), MAX($BK$3:$BK$23), AH58)), $BL$3:$BL$23, "Error", 0)</f>
        <v/>
      </c>
      <c r="AI87" s="30">
        <f t="array" ref="AI87">_xlfn.XLOOKUP(MIN(ABS($BK$3:$BK$23 - MEDIAN(MIN($BK$3:$BK$23), MAX($BK$3:$BK$23), AI58))), ABS($BK$3:$BK$23 - MEDIAN(MIN($BK$3:$BK$23), MAX($BK$3:$BK$23), AI58)), $BL$3:$BL$23, "Error", 0)</f>
        <v/>
      </c>
      <c r="AJ87" s="30">
        <f t="array" ref="AJ87">_xlfn.XLOOKUP(MIN(ABS($BK$3:$BK$23 - MEDIAN(MIN($BK$3:$BK$23), MAX($BK$3:$BK$23), AJ58))), ABS($BK$3:$BK$23 - MEDIAN(MIN($BK$3:$BK$23), MAX($BK$3:$BK$23), AJ58)), $BL$3:$BL$23, "Error", 0)</f>
        <v/>
      </c>
      <c r="AK87" s="30">
        <f t="array" ref="AK87">_xlfn.XLOOKUP(MIN(ABS($BK$3:$BK$23 - MEDIAN(MIN($BK$3:$BK$23), MAX($BK$3:$BK$23), AK58))), ABS($BK$3:$BK$23 - MEDIAN(MIN($BK$3:$BK$23), MAX($BK$3:$BK$23), AK58)), $BL$3:$BL$23, "Error", 0)</f>
        <v/>
      </c>
      <c r="AL87" s="30">
        <f t="array" ref="AL87">_xlfn.XLOOKUP(MIN(ABS($BK$3:$BK$23 - MEDIAN(MIN($BK$3:$BK$23), MAX($BK$3:$BK$23), AL58))), ABS($BK$3:$BK$23 - MEDIAN(MIN($BK$3:$BK$23), MAX($BK$3:$BK$23), AL58)), $BL$3:$BL$23, "Error", 0)</f>
        <v/>
      </c>
      <c r="AM87" s="30">
        <f t="array" ref="AM87">_xlfn.XLOOKUP(MIN(ABS($BK$3:$BK$23 - MEDIAN(MIN($BK$3:$BK$23), MAX($BK$3:$BK$23), AM58))), ABS($BK$3:$BK$23 - MEDIAN(MIN($BK$3:$BK$23), MAX($BK$3:$BK$23), AM58)), $BL$3:$BL$23, "Error", 0)</f>
        <v/>
      </c>
      <c r="AN87" s="30">
        <f t="array" ref="AN87">_xlfn.XLOOKUP(MIN(ABS($BK$3:$BK$23 - MEDIAN(MIN($BK$3:$BK$23), MAX($BK$3:$BK$23), AN58))), ABS($BK$3:$BK$23 - MEDIAN(MIN($BK$3:$BK$23), MAX($BK$3:$BK$23), AN58)), $BL$3:$BL$23, "Error", 0)</f>
        <v/>
      </c>
      <c r="AO87" s="30">
        <f t="array" ref="AO87">_xlfn.XLOOKUP(MIN(ABS($BK$3:$BK$23 - MEDIAN(MIN($BK$3:$BK$23), MAX($BK$3:$BK$23), AO58))), ABS($BK$3:$BK$23 - MEDIAN(MIN($BK$3:$BK$23), MAX($BK$3:$BK$23), AO58)), $BL$3:$BL$23, "Error", 0)</f>
        <v/>
      </c>
      <c r="AP87" s="30">
        <f t="array" ref="AP87">_xlfn.XLOOKUP(MIN(ABS($BK$3:$BK$23 - MEDIAN(MIN($BK$3:$BK$23), MAX($BK$3:$BK$23), AP58))), ABS($BK$3:$BK$23 - MEDIAN(MIN($BK$3:$BK$23), MAX($BK$3:$BK$23), AP58)), $BL$3:$BL$23, "Error", 0)</f>
        <v/>
      </c>
      <c r="AQ87" s="30">
        <f t="array" ref="AQ87">_xlfn.XLOOKUP(MIN(ABS($BK$3:$BK$23 - MEDIAN(MIN($BK$3:$BK$23), MAX($BK$3:$BK$23), AQ58))), ABS($BK$3:$BK$23 - MEDIAN(MIN($BK$3:$BK$23), MAX($BK$3:$BK$23), AQ58)), $BL$3:$BL$23, "Error", 0)</f>
        <v/>
      </c>
      <c r="AR87" s="30">
        <f t="array" ref="AR87">_xlfn.XLOOKUP(MIN(ABS($BK$3:$BK$23 - MEDIAN(MIN($BK$3:$BK$23), MAX($BK$3:$BK$23), AR58))), ABS($BK$3:$BK$23 - MEDIAN(MIN($BK$3:$BK$23), MAX($BK$3:$BK$23), AR58)), $BL$3:$BL$23, "Error", 0)</f>
        <v/>
      </c>
      <c r="AS87" s="30">
        <f t="array" ref="AS87">_xlfn.XLOOKUP(MIN(ABS($BK$3:$BK$23 - MEDIAN(MIN($BK$3:$BK$23), MAX($BK$3:$BK$23), AS58))), ABS($BK$3:$BK$23 - MEDIAN(MIN($BK$3:$BK$23), MAX($BK$3:$BK$23), AS58)), $BL$3:$BL$23, "Error", 0)</f>
        <v/>
      </c>
      <c r="AT87" s="30">
        <f t="array" ref="AT87">_xlfn.XLOOKUP(MIN(ABS($BK$3:$BK$23 - MEDIAN(MIN($BK$3:$BK$23), MAX($BK$3:$BK$23), AT58))), ABS($BK$3:$BK$23 - MEDIAN(MIN($BK$3:$BK$23), MAX($BK$3:$BK$23), AT58)), $BL$3:$BL$23, "Error", 0)</f>
        <v/>
      </c>
      <c r="AU87" s="30">
        <f t="array" ref="AU87">_xlfn.XLOOKUP(MIN(ABS($BK$3:$BK$23 - MEDIAN(MIN($BK$3:$BK$23), MAX($BK$3:$BK$23), AU58))), ABS($BK$3:$BK$23 - MEDIAN(MIN($BK$3:$BK$23), MAX($BK$3:$BK$23), AU58)), $BL$3:$BL$23, "Error", 0)</f>
        <v/>
      </c>
      <c r="AV87" s="30">
        <f t="array" ref="AV87">_xlfn.XLOOKUP(MIN(ABS($BK$3:$BK$23 - MEDIAN(MIN($BK$3:$BK$23), MAX($BK$3:$BK$23), AV58))), ABS($BK$3:$BK$23 - MEDIAN(MIN($BK$3:$BK$23), MAX($BK$3:$BK$23), AV58)), $BL$3:$BL$23, "Error", 0)</f>
        <v/>
      </c>
      <c r="AW87" s="30">
        <f t="array" ref="AW87">_xlfn.XLOOKUP(MIN(ABS($BK$3:$BK$23 - MEDIAN(MIN($BK$3:$BK$23), MAX($BK$3:$BK$23), AW58))), ABS($BK$3:$BK$23 - MEDIAN(MIN($BK$3:$BK$23), MAX($BK$3:$BK$23), AW58)), $BL$3:$BL$23, "Error", 0)</f>
        <v/>
      </c>
      <c r="AX87" s="30">
        <f t="array" ref="AX87">_xlfn.XLOOKUP(MIN(ABS($BK$3:$BK$23 - MEDIAN(MIN($BK$3:$BK$23), MAX($BK$3:$BK$23), AX58))), ABS($BK$3:$BK$23 - MEDIAN(MIN($BK$3:$BK$23), MAX($BK$3:$BK$23), AX58)), $BL$3:$BL$23, "Error", 0)</f>
        <v/>
      </c>
      <c r="AY87" s="30">
        <f t="array" ref="AY87">_xlfn.XLOOKUP(MIN(ABS($BK$3:$BK$23 - MEDIAN(MIN($BK$3:$BK$23), MAX($BK$3:$BK$23), AY58))), ABS($BK$3:$BK$23 - MEDIAN(MIN($BK$3:$BK$23), MAX($BK$3:$BK$23), AY58)), $BL$3:$BL$23, "Error", 0)</f>
        <v/>
      </c>
      <c r="AZ87" s="30">
        <f t="array" ref="AZ87">_xlfn.XLOOKUP(MIN(ABS($BK$3:$BK$23 - MEDIAN(MIN($BK$3:$BK$23), MAX($BK$3:$BK$23), AZ58))), ABS($BK$3:$BK$23 - MEDIAN(MIN($BK$3:$BK$23), MAX($BK$3:$BK$23), AZ58)), $BL$3:$BL$23, "Error", 0)</f>
        <v/>
      </c>
      <c r="BA87" s="30">
        <f t="array" ref="BA87">_xlfn.XLOOKUP(MIN(ABS($BK$3:$BK$23 - MEDIAN(MIN($BK$3:$BK$23), MAX($BK$3:$BK$23), BA58))), ABS($BK$3:$BK$23 - MEDIAN(MIN($BK$3:$BK$23), MAX($BK$3:$BK$23), BA58)), $BL$3:$BL$23, "Error", 0)</f>
        <v/>
      </c>
      <c r="BB87" s="30">
        <f t="array" ref="BB87">_xlfn.XLOOKUP(MIN(ABS($BK$3:$BK$23 - MEDIAN(MIN($BK$3:$BK$23), MAX($BK$3:$BK$23), BB58))), ABS($BK$3:$BK$23 - MEDIAN(MIN($BK$3:$BK$23), MAX($BK$3:$BK$23), BB58)), $BL$3:$BL$23, "Error", 0)</f>
        <v/>
      </c>
      <c r="BC87" s="30">
        <f t="array" ref="BC87">_xlfn.XLOOKUP(MIN(ABS($BK$3:$BK$23 - MEDIAN(MIN($BK$3:$BK$23), MAX($BK$3:$BK$23), BC58))), ABS($BK$3:$BK$23 - MEDIAN(MIN($BK$3:$BK$23), MAX($BK$3:$BK$23), BC58)), $BL$3:$BL$23, "Error", 0)</f>
        <v/>
      </c>
      <c r="BD87" s="30">
        <f t="array" ref="BD87">_xlfn.XLOOKUP(MIN(ABS($BK$3:$BK$23 - MEDIAN(MIN($BK$3:$BK$23), MAX($BK$3:$BK$23), BD58))), ABS($BK$3:$BK$23 - MEDIAN(MIN($BK$3:$BK$23), MAX($BK$3:$BK$23), BD58)), $BL$3:$BL$23, "Error", 0)</f>
        <v/>
      </c>
      <c r="BE87" s="30">
        <f t="array" ref="BE87">_xlfn.XLOOKUP(MIN(ABS($BK$3:$BK$23 - MEDIAN(MIN($BK$3:$BK$23), MAX($BK$3:$BK$23), BE58))), ABS($BK$3:$BK$23 - MEDIAN(MIN($BK$3:$BK$23), MAX($BK$3:$BK$23), BE58)), $BL$3:$BL$23, "Error", 0)</f>
        <v/>
      </c>
      <c r="BF87" s="30">
        <f t="array" ref="BF87">_xlfn.XLOOKUP(MIN(ABS($BK$3:$BK$23 - MEDIAN(MIN($BK$3:$BK$23), MAX($BK$3:$BK$23), BF58))), ABS($BK$3:$BK$23 - MEDIAN(MIN($BK$3:$BK$23), MAX($BK$3:$BK$23), BF58)), $BL$3:$BL$23, "Error", 0)</f>
        <v/>
      </c>
      <c r="BG87" s="30">
        <f t="array" ref="BG87">_xlfn.XLOOKUP(MIN(ABS($BK$3:$BK$23 - MEDIAN(MIN($BK$3:$BK$23), MAX($BK$3:$BK$23), BG58))), ABS($BK$3:$BK$23 - MEDIAN(MIN($BK$3:$BK$23), MAX($BK$3:$BK$23), BG58)), $BL$3:$BL$23, "Error", 0)</f>
        <v/>
      </c>
      <c r="BH87" s="30">
        <f t="array" ref="BH87">_xlfn.XLOOKUP(MIN(ABS($BK$3:$BK$23 - MEDIAN(MIN($BK$3:$BK$23), MAX($BK$3:$BK$23), BH58))), ABS($BK$3:$BK$23 - MEDIAN(MIN($BK$3:$BK$23), MAX($BK$3:$BK$23), BH58)), $BL$3:$BL$23, "Error", 0)</f>
        <v/>
      </c>
      <c r="BI87" s="30">
        <f t="array" ref="BI87">_xlfn.XLOOKUP(MIN(ABS($BK$3:$BK$23 - MEDIAN(MIN($BK$3:$BK$23), MAX($BK$3:$BK$23), BI58))), ABS($BK$3:$BK$23 - MEDIAN(MIN($BK$3:$BK$23), MAX($BK$3:$BK$23), BI58)), $BL$3:$BL$23, "Error", 0)</f>
        <v/>
      </c>
    </row>
    <row r="88" ht="25" customHeight="1">
      <c r="A88" s="51" t="inlineStr">
        <is>
          <t>CAD JPY</t>
        </is>
      </c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30">
        <f t="array" ref="N88">_xlfn.XLOOKUP(MIN(ABS($BK$3:$BK$23 - MEDIAN(MIN($BK$3:$BK$23), MAX($BK$3:$BK$23), N59))), ABS($BK$3:$BK$23 - MEDIAN(MIN($BK$3:$BK$23), MAX($BK$3:$BK$23), N59)), $BL$3:$BL$23, "Error", 0)</f>
        <v/>
      </c>
      <c r="O88" s="30">
        <f t="array" ref="O88">_xlfn.XLOOKUP(MIN(ABS($BK$3:$BK$23 - MEDIAN(MIN($BK$3:$BK$23), MAX($BK$3:$BK$23), O59))), ABS($BK$3:$BK$23 - MEDIAN(MIN($BK$3:$BK$23), MAX($BK$3:$BK$23), O59)), $BL$3:$BL$23, "Error", 0)</f>
        <v/>
      </c>
      <c r="P88" s="30">
        <f t="array" ref="P88">_xlfn.XLOOKUP(MIN(ABS($BK$3:$BK$23 - MEDIAN(MIN($BK$3:$BK$23), MAX($BK$3:$BK$23), P59))), ABS($BK$3:$BK$23 - MEDIAN(MIN($BK$3:$BK$23), MAX($BK$3:$BK$23), P59)), $BL$3:$BL$23, "Error", 0)</f>
        <v/>
      </c>
      <c r="Q88" s="30">
        <f t="array" ref="Q88">_xlfn.XLOOKUP(MIN(ABS($BK$3:$BK$23 - MEDIAN(MIN($BK$3:$BK$23), MAX($BK$3:$BK$23), Q59))), ABS($BK$3:$BK$23 - MEDIAN(MIN($BK$3:$BK$23), MAX($BK$3:$BK$23), Q59)), $BL$3:$BL$23, "Error", 0)</f>
        <v/>
      </c>
      <c r="R88" s="30">
        <f t="array" ref="R88">_xlfn.XLOOKUP(MIN(ABS($BK$3:$BK$23 - MEDIAN(MIN($BK$3:$BK$23), MAX($BK$3:$BK$23), R59))), ABS($BK$3:$BK$23 - MEDIAN(MIN($BK$3:$BK$23), MAX($BK$3:$BK$23), R59)), $BL$3:$BL$23, "Error", 0)</f>
        <v/>
      </c>
      <c r="S88" s="30">
        <f t="array" ref="S88">_xlfn.XLOOKUP(MIN(ABS($BK$3:$BK$23 - MEDIAN(MIN($BK$3:$BK$23), MAX($BK$3:$BK$23), S59))), ABS($BK$3:$BK$23 - MEDIAN(MIN($BK$3:$BK$23), MAX($BK$3:$BK$23), S59)), $BL$3:$BL$23, "Error", 0)</f>
        <v/>
      </c>
      <c r="T88" s="30">
        <f t="array" ref="T88">_xlfn.XLOOKUP(MIN(ABS($BK$3:$BK$23 - MEDIAN(MIN($BK$3:$BK$23), MAX($BK$3:$BK$23), T59))), ABS($BK$3:$BK$23 - MEDIAN(MIN($BK$3:$BK$23), MAX($BK$3:$BK$23), T59)), $BL$3:$BL$23, "Error", 0)</f>
        <v/>
      </c>
      <c r="U88" s="30">
        <f t="array" ref="U88">_xlfn.XLOOKUP(MIN(ABS($BK$3:$BK$23 - MEDIAN(MIN($BK$3:$BK$23), MAX($BK$3:$BK$23), U59))), ABS($BK$3:$BK$23 - MEDIAN(MIN($BK$3:$BK$23), MAX($BK$3:$BK$23), U59)), $BL$3:$BL$23, "Error", 0)</f>
        <v/>
      </c>
      <c r="V88" s="30">
        <f t="array" ref="V88">_xlfn.XLOOKUP(MIN(ABS($BK$3:$BK$23 - MEDIAN(MIN($BK$3:$BK$23), MAX($BK$3:$BK$23), V59))), ABS($BK$3:$BK$23 - MEDIAN(MIN($BK$3:$BK$23), MAX($BK$3:$BK$23), V59)), $BL$3:$BL$23, "Error", 0)</f>
        <v/>
      </c>
      <c r="W88" s="30">
        <f t="array" ref="W88">_xlfn.XLOOKUP(MIN(ABS($BK$3:$BK$23 - MEDIAN(MIN($BK$3:$BK$23), MAX($BK$3:$BK$23), W59))), ABS($BK$3:$BK$23 - MEDIAN(MIN($BK$3:$BK$23), MAX($BK$3:$BK$23), W59)), $BL$3:$BL$23, "Error", 0)</f>
        <v/>
      </c>
      <c r="X88" s="30">
        <f t="array" ref="X88">_xlfn.XLOOKUP(MIN(ABS($BK$3:$BK$23 - MEDIAN(MIN($BK$3:$BK$23), MAX($BK$3:$BK$23), X59))), ABS($BK$3:$BK$23 - MEDIAN(MIN($BK$3:$BK$23), MAX($BK$3:$BK$23), X59)), $BL$3:$BL$23, "Error", 0)</f>
        <v/>
      </c>
      <c r="Y88" s="30">
        <f t="array" ref="Y88">_xlfn.XLOOKUP(MIN(ABS($BK$3:$BK$23 - MEDIAN(MIN($BK$3:$BK$23), MAX($BK$3:$BK$23), Y59))), ABS($BK$3:$BK$23 - MEDIAN(MIN($BK$3:$BK$23), MAX($BK$3:$BK$23), Y59)), $BL$3:$BL$23, "Error", 0)</f>
        <v/>
      </c>
      <c r="Z88" s="30">
        <f t="array" ref="Z88">_xlfn.XLOOKUP(MIN(ABS($BK$3:$BK$23 - MEDIAN(MIN($BK$3:$BK$23), MAX($BK$3:$BK$23), Z59))), ABS($BK$3:$BK$23 - MEDIAN(MIN($BK$3:$BK$23), MAX($BK$3:$BK$23), Z59)), $BL$3:$BL$23, "Error", 0)</f>
        <v/>
      </c>
      <c r="AA88" s="30">
        <f t="array" ref="AA88">_xlfn.XLOOKUP(MIN(ABS($BK$3:$BK$23 - MEDIAN(MIN($BK$3:$BK$23), MAX($BK$3:$BK$23), AA59))), ABS($BK$3:$BK$23 - MEDIAN(MIN($BK$3:$BK$23), MAX($BK$3:$BK$23), AA59)), $BL$3:$BL$23, "Error", 0)</f>
        <v/>
      </c>
      <c r="AB88" s="30">
        <f t="array" ref="AB88">_xlfn.XLOOKUP(MIN(ABS($BK$3:$BK$23 - MEDIAN(MIN($BK$3:$BK$23), MAX($BK$3:$BK$23), AB59))), ABS($BK$3:$BK$23 - MEDIAN(MIN($BK$3:$BK$23), MAX($BK$3:$BK$23), AB59)), $BL$3:$BL$23, "Error", 0)</f>
        <v/>
      </c>
      <c r="AC88" s="30">
        <f t="array" ref="AC88">_xlfn.XLOOKUP(MIN(ABS($BK$3:$BK$23 - MEDIAN(MIN($BK$3:$BK$23), MAX($BK$3:$BK$23), AC59))), ABS($BK$3:$BK$23 - MEDIAN(MIN($BK$3:$BK$23), MAX($BK$3:$BK$23), AC59)), $BL$3:$BL$23, "Error", 0)</f>
        <v/>
      </c>
      <c r="AD88" s="30">
        <f t="array" ref="AD88">_xlfn.XLOOKUP(MIN(ABS($BK$3:$BK$23 - MEDIAN(MIN($BK$3:$BK$23), MAX($BK$3:$BK$23), AD59))), ABS($BK$3:$BK$23 - MEDIAN(MIN($BK$3:$BK$23), MAX($BK$3:$BK$23), AD59)), $BL$3:$BL$23, "Error", 0)</f>
        <v/>
      </c>
      <c r="AE88" s="30">
        <f t="array" ref="AE88">_xlfn.XLOOKUP(MIN(ABS($BK$3:$BK$23 - MEDIAN(MIN($BK$3:$BK$23), MAX($BK$3:$BK$23), AE59))), ABS($BK$3:$BK$23 - MEDIAN(MIN($BK$3:$BK$23), MAX($BK$3:$BK$23), AE59)), $BL$3:$BL$23, "Error", 0)</f>
        <v/>
      </c>
      <c r="AF88" s="30">
        <f t="array" ref="AF88">_xlfn.XLOOKUP(MIN(ABS($BK$3:$BK$23 - MEDIAN(MIN($BK$3:$BK$23), MAX($BK$3:$BK$23), AF59))), ABS($BK$3:$BK$23 - MEDIAN(MIN($BK$3:$BK$23), MAX($BK$3:$BK$23), AF59)), $BL$3:$BL$23, "Error", 0)</f>
        <v/>
      </c>
      <c r="AG88" s="30">
        <f t="array" ref="AG88">_xlfn.XLOOKUP(MIN(ABS($BK$3:$BK$23 - MEDIAN(MIN($BK$3:$BK$23), MAX($BK$3:$BK$23), AG59))), ABS($BK$3:$BK$23 - MEDIAN(MIN($BK$3:$BK$23), MAX($BK$3:$BK$23), AG59)), $BL$3:$BL$23, "Error", 0)</f>
        <v/>
      </c>
      <c r="AH88" s="30">
        <f t="array" ref="AH88">_xlfn.XLOOKUP(MIN(ABS($BK$3:$BK$23 - MEDIAN(MIN($BK$3:$BK$23), MAX($BK$3:$BK$23), AH59))), ABS($BK$3:$BK$23 - MEDIAN(MIN($BK$3:$BK$23), MAX($BK$3:$BK$23), AH59)), $BL$3:$BL$23, "Error", 0)</f>
        <v/>
      </c>
      <c r="AI88" s="30">
        <f t="array" ref="AI88">_xlfn.XLOOKUP(MIN(ABS($BK$3:$BK$23 - MEDIAN(MIN($BK$3:$BK$23), MAX($BK$3:$BK$23), AI59))), ABS($BK$3:$BK$23 - MEDIAN(MIN($BK$3:$BK$23), MAX($BK$3:$BK$23), AI59)), $BL$3:$BL$23, "Error", 0)</f>
        <v/>
      </c>
      <c r="AJ88" s="30">
        <f t="array" ref="AJ88">_xlfn.XLOOKUP(MIN(ABS($BK$3:$BK$23 - MEDIAN(MIN($BK$3:$BK$23), MAX($BK$3:$BK$23), AJ59))), ABS($BK$3:$BK$23 - MEDIAN(MIN($BK$3:$BK$23), MAX($BK$3:$BK$23), AJ59)), $BL$3:$BL$23, "Error", 0)</f>
        <v/>
      </c>
      <c r="AK88" s="30">
        <f t="array" ref="AK88">_xlfn.XLOOKUP(MIN(ABS($BK$3:$BK$23 - MEDIAN(MIN($BK$3:$BK$23), MAX($BK$3:$BK$23), AK59))), ABS($BK$3:$BK$23 - MEDIAN(MIN($BK$3:$BK$23), MAX($BK$3:$BK$23), AK59)), $BL$3:$BL$23, "Error", 0)</f>
        <v/>
      </c>
      <c r="AL88" s="30">
        <f t="array" ref="AL88">_xlfn.XLOOKUP(MIN(ABS($BK$3:$BK$23 - MEDIAN(MIN($BK$3:$BK$23), MAX($BK$3:$BK$23), AL59))), ABS($BK$3:$BK$23 - MEDIAN(MIN($BK$3:$BK$23), MAX($BK$3:$BK$23), AL59)), $BL$3:$BL$23, "Error", 0)</f>
        <v/>
      </c>
      <c r="AM88" s="30">
        <f t="array" ref="AM88">_xlfn.XLOOKUP(MIN(ABS($BK$3:$BK$23 - MEDIAN(MIN($BK$3:$BK$23), MAX($BK$3:$BK$23), AM59))), ABS($BK$3:$BK$23 - MEDIAN(MIN($BK$3:$BK$23), MAX($BK$3:$BK$23), AM59)), $BL$3:$BL$23, "Error", 0)</f>
        <v/>
      </c>
      <c r="AN88" s="30">
        <f t="array" ref="AN88">_xlfn.XLOOKUP(MIN(ABS($BK$3:$BK$23 - MEDIAN(MIN($BK$3:$BK$23), MAX($BK$3:$BK$23), AN59))), ABS($BK$3:$BK$23 - MEDIAN(MIN($BK$3:$BK$23), MAX($BK$3:$BK$23), AN59)), $BL$3:$BL$23, "Error", 0)</f>
        <v/>
      </c>
      <c r="AO88" s="30">
        <f t="array" ref="AO88">_xlfn.XLOOKUP(MIN(ABS($BK$3:$BK$23 - MEDIAN(MIN($BK$3:$BK$23), MAX($BK$3:$BK$23), AO59))), ABS($BK$3:$BK$23 - MEDIAN(MIN($BK$3:$BK$23), MAX($BK$3:$BK$23), AO59)), $BL$3:$BL$23, "Error", 0)</f>
        <v/>
      </c>
      <c r="AP88" s="30">
        <f t="array" ref="AP88">_xlfn.XLOOKUP(MIN(ABS($BK$3:$BK$23 - MEDIAN(MIN($BK$3:$BK$23), MAX($BK$3:$BK$23), AP59))), ABS($BK$3:$BK$23 - MEDIAN(MIN($BK$3:$BK$23), MAX($BK$3:$BK$23), AP59)), $BL$3:$BL$23, "Error", 0)</f>
        <v/>
      </c>
      <c r="AQ88" s="30">
        <f t="array" ref="AQ88">_xlfn.XLOOKUP(MIN(ABS($BK$3:$BK$23 - MEDIAN(MIN($BK$3:$BK$23), MAX($BK$3:$BK$23), AQ59))), ABS($BK$3:$BK$23 - MEDIAN(MIN($BK$3:$BK$23), MAX($BK$3:$BK$23), AQ59)), $BL$3:$BL$23, "Error", 0)</f>
        <v/>
      </c>
      <c r="AR88" s="30">
        <f t="array" ref="AR88">_xlfn.XLOOKUP(MIN(ABS($BK$3:$BK$23 - MEDIAN(MIN($BK$3:$BK$23), MAX($BK$3:$BK$23), AR59))), ABS($BK$3:$BK$23 - MEDIAN(MIN($BK$3:$BK$23), MAX($BK$3:$BK$23), AR59)), $BL$3:$BL$23, "Error", 0)</f>
        <v/>
      </c>
      <c r="AS88" s="30">
        <f t="array" ref="AS88">_xlfn.XLOOKUP(MIN(ABS($BK$3:$BK$23 - MEDIAN(MIN($BK$3:$BK$23), MAX($BK$3:$BK$23), AS59))), ABS($BK$3:$BK$23 - MEDIAN(MIN($BK$3:$BK$23), MAX($BK$3:$BK$23), AS59)), $BL$3:$BL$23, "Error", 0)</f>
        <v/>
      </c>
      <c r="AT88" s="30">
        <f t="array" ref="AT88">_xlfn.XLOOKUP(MIN(ABS($BK$3:$BK$23 - MEDIAN(MIN($BK$3:$BK$23), MAX($BK$3:$BK$23), AT59))), ABS($BK$3:$BK$23 - MEDIAN(MIN($BK$3:$BK$23), MAX($BK$3:$BK$23), AT59)), $BL$3:$BL$23, "Error", 0)</f>
        <v/>
      </c>
      <c r="AU88" s="30">
        <f t="array" ref="AU88">_xlfn.XLOOKUP(MIN(ABS($BK$3:$BK$23 - MEDIAN(MIN($BK$3:$BK$23), MAX($BK$3:$BK$23), AU59))), ABS($BK$3:$BK$23 - MEDIAN(MIN($BK$3:$BK$23), MAX($BK$3:$BK$23), AU59)), $BL$3:$BL$23, "Error", 0)</f>
        <v/>
      </c>
      <c r="AV88" s="30">
        <f t="array" ref="AV88">_xlfn.XLOOKUP(MIN(ABS($BK$3:$BK$23 - MEDIAN(MIN($BK$3:$BK$23), MAX($BK$3:$BK$23), AV59))), ABS($BK$3:$BK$23 - MEDIAN(MIN($BK$3:$BK$23), MAX($BK$3:$BK$23), AV59)), $BL$3:$BL$23, "Error", 0)</f>
        <v/>
      </c>
      <c r="AW88" s="30">
        <f t="array" ref="AW88">_xlfn.XLOOKUP(MIN(ABS($BK$3:$BK$23 - MEDIAN(MIN($BK$3:$BK$23), MAX($BK$3:$BK$23), AW59))), ABS($BK$3:$BK$23 - MEDIAN(MIN($BK$3:$BK$23), MAX($BK$3:$BK$23), AW59)), $BL$3:$BL$23, "Error", 0)</f>
        <v/>
      </c>
      <c r="AX88" s="30">
        <f t="array" ref="AX88">_xlfn.XLOOKUP(MIN(ABS($BK$3:$BK$23 - MEDIAN(MIN($BK$3:$BK$23), MAX($BK$3:$BK$23), AX59))), ABS($BK$3:$BK$23 - MEDIAN(MIN($BK$3:$BK$23), MAX($BK$3:$BK$23), AX59)), $BL$3:$BL$23, "Error", 0)</f>
        <v/>
      </c>
      <c r="AY88" s="30">
        <f t="array" ref="AY88">_xlfn.XLOOKUP(MIN(ABS($BK$3:$BK$23 - MEDIAN(MIN($BK$3:$BK$23), MAX($BK$3:$BK$23), AY59))), ABS($BK$3:$BK$23 - MEDIAN(MIN($BK$3:$BK$23), MAX($BK$3:$BK$23), AY59)), $BL$3:$BL$23, "Error", 0)</f>
        <v/>
      </c>
      <c r="AZ88" s="30">
        <f t="array" ref="AZ88">_xlfn.XLOOKUP(MIN(ABS($BK$3:$BK$23 - MEDIAN(MIN($BK$3:$BK$23), MAX($BK$3:$BK$23), AZ59))), ABS($BK$3:$BK$23 - MEDIAN(MIN($BK$3:$BK$23), MAX($BK$3:$BK$23), AZ59)), $BL$3:$BL$23, "Error", 0)</f>
        <v/>
      </c>
      <c r="BA88" s="30">
        <f t="array" ref="BA88">_xlfn.XLOOKUP(MIN(ABS($BK$3:$BK$23 - MEDIAN(MIN($BK$3:$BK$23), MAX($BK$3:$BK$23), BA59))), ABS($BK$3:$BK$23 - MEDIAN(MIN($BK$3:$BK$23), MAX($BK$3:$BK$23), BA59)), $BL$3:$BL$23, "Error", 0)</f>
        <v/>
      </c>
      <c r="BB88" s="30">
        <f t="array" ref="BB88">_xlfn.XLOOKUP(MIN(ABS($BK$3:$BK$23 - MEDIAN(MIN($BK$3:$BK$23), MAX($BK$3:$BK$23), BB59))), ABS($BK$3:$BK$23 - MEDIAN(MIN($BK$3:$BK$23), MAX($BK$3:$BK$23), BB59)), $BL$3:$BL$23, "Error", 0)</f>
        <v/>
      </c>
      <c r="BC88" s="30">
        <f t="array" ref="BC88">_xlfn.XLOOKUP(MIN(ABS($BK$3:$BK$23 - MEDIAN(MIN($BK$3:$BK$23), MAX($BK$3:$BK$23), BC59))), ABS($BK$3:$BK$23 - MEDIAN(MIN($BK$3:$BK$23), MAX($BK$3:$BK$23), BC59)), $BL$3:$BL$23, "Error", 0)</f>
        <v/>
      </c>
      <c r="BD88" s="30">
        <f t="array" ref="BD88">_xlfn.XLOOKUP(MIN(ABS($BK$3:$BK$23 - MEDIAN(MIN($BK$3:$BK$23), MAX($BK$3:$BK$23), BD59))), ABS($BK$3:$BK$23 - MEDIAN(MIN($BK$3:$BK$23), MAX($BK$3:$BK$23), BD59)), $BL$3:$BL$23, "Error", 0)</f>
        <v/>
      </c>
      <c r="BE88" s="30">
        <f t="array" ref="BE88">_xlfn.XLOOKUP(MIN(ABS($BK$3:$BK$23 - MEDIAN(MIN($BK$3:$BK$23), MAX($BK$3:$BK$23), BE59))), ABS($BK$3:$BK$23 - MEDIAN(MIN($BK$3:$BK$23), MAX($BK$3:$BK$23), BE59)), $BL$3:$BL$23, "Error", 0)</f>
        <v/>
      </c>
      <c r="BF88" s="30">
        <f t="array" ref="BF88">_xlfn.XLOOKUP(MIN(ABS($BK$3:$BK$23 - MEDIAN(MIN($BK$3:$BK$23), MAX($BK$3:$BK$23), BF59))), ABS($BK$3:$BK$23 - MEDIAN(MIN($BK$3:$BK$23), MAX($BK$3:$BK$23), BF59)), $BL$3:$BL$23, "Error", 0)</f>
        <v/>
      </c>
      <c r="BG88" s="30">
        <f t="array" ref="BG88">_xlfn.XLOOKUP(MIN(ABS($BK$3:$BK$23 - MEDIAN(MIN($BK$3:$BK$23), MAX($BK$3:$BK$23), BG59))), ABS($BK$3:$BK$23 - MEDIAN(MIN($BK$3:$BK$23), MAX($BK$3:$BK$23), BG59)), $BL$3:$BL$23, "Error", 0)</f>
        <v/>
      </c>
      <c r="BH88" s="30">
        <f t="array" ref="BH88">_xlfn.XLOOKUP(MIN(ABS($BK$3:$BK$23 - MEDIAN(MIN($BK$3:$BK$23), MAX($BK$3:$BK$23), BH59))), ABS($BK$3:$BK$23 - MEDIAN(MIN($BK$3:$BK$23), MAX($BK$3:$BK$23), BH59)), $BL$3:$BL$23, "Error", 0)</f>
        <v/>
      </c>
      <c r="BI88" s="30">
        <f t="array" ref="BI88">_xlfn.XLOOKUP(MIN(ABS($BK$3:$BK$23 - MEDIAN(MIN($BK$3:$BK$23), MAX($BK$3:$BK$23), BI59))), ABS($BK$3:$BK$23 - MEDIAN(MIN($BK$3:$BK$23), MAX($BK$3:$BK$23), BI59)), $BL$3:$BL$23, "Error", 0)</f>
        <v/>
      </c>
    </row>
  </sheetData>
  <autoFilter ref="A24:A88"/>
  <mergeCells count="4">
    <mergeCell ref="A63:BI63"/>
    <mergeCell ref="A12:BI12"/>
    <mergeCell ref="A23:BI23"/>
    <mergeCell ref="A35:BI35"/>
  </mergeCells>
  <hyperlinks>
    <hyperlink xmlns:r="http://schemas.openxmlformats.org/officeDocument/2006/relationships" ref="A2" display="source : IMF" r:id="rId1"/>
    <hyperlink xmlns:r="http://schemas.openxmlformats.org/officeDocument/2006/relationships" ref="A10" r:id="rId2"/>
    <hyperlink xmlns:r="http://schemas.openxmlformats.org/officeDocument/2006/relationships" ref="A13" display="source : IMF" r:id="rId3"/>
    <hyperlink xmlns:r="http://schemas.openxmlformats.org/officeDocument/2006/relationships" ref="A21" r:id="rId4"/>
    <hyperlink xmlns:r="http://schemas.openxmlformats.org/officeDocument/2006/relationships" ref="A24" display="source : IMF" r:id="rId5"/>
    <hyperlink xmlns:r="http://schemas.openxmlformats.org/officeDocument/2006/relationships" ref="A32" r:id="rId6"/>
  </hyperlinks>
  <pageMargins left="1.18" right="0.79" top="0.79" bottom="0.79" header="0" footer="0"/>
  <pageSetup orientation="portrait" paperSize="9" fitToHeight="0" fitToWidth="0"/>
  <drawing xmlns:r="http://schemas.openxmlformats.org/officeDocument/2006/relationships" r:id="rId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68"/>
  <sheetViews>
    <sheetView zoomScale="125" zoomScaleNormal="50" workbookViewId="0">
      <pane xSplit="2" ySplit="2" topLeftCell="AM3" activePane="bottomRight" state="frozen"/>
      <selection pane="topRight" activeCell="C1" sqref="C1"/>
      <selection pane="bottomLeft" activeCell="A8" sqref="A8"/>
      <selection pane="bottomRight" activeCell="AT10" sqref="AT10"/>
    </sheetView>
  </sheetViews>
  <sheetFormatPr baseColWidth="10" defaultColWidth="10.1640625" defaultRowHeight="14.5" customHeight="1"/>
  <cols>
    <col width="3.33203125" customWidth="1" style="133" min="1" max="1"/>
    <col width="25.5" customWidth="1" style="133" min="2" max="2"/>
    <col width="9.5" customWidth="1" style="133" min="3" max="15"/>
    <col width="11.5" customWidth="1" style="133" min="16" max="16"/>
    <col width="14.1640625" customWidth="1" style="133" min="17" max="19"/>
    <col width="11.83203125" customWidth="1" style="133" min="20" max="20"/>
    <col width="10.1640625" customWidth="1" style="133" min="21" max="16384"/>
  </cols>
  <sheetData>
    <row r="1" ht="19.5" customHeight="1">
      <c r="A1" s="131" t="n"/>
      <c r="B1" s="132" t="inlineStr">
        <is>
          <t>Interest Rates selected indicators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1" t="n"/>
      <c r="P1" s="131" t="n"/>
      <c r="Q1" s="131" t="n"/>
      <c r="R1" s="131" t="n"/>
      <c r="S1" s="131" t="n"/>
    </row>
    <row r="2" ht="14.25" customHeight="1" thickBot="1">
      <c r="A2" s="131" t="n"/>
      <c r="B2" s="134" t="inlineStr">
        <is>
          <t>Country</t>
        </is>
      </c>
      <c r="C2" s="135" t="n">
        <v>44927</v>
      </c>
      <c r="D2" s="135" t="n">
        <v>44958</v>
      </c>
      <c r="E2" s="135" t="n">
        <v>44986</v>
      </c>
      <c r="F2" s="135" t="n">
        <v>45017</v>
      </c>
      <c r="G2" s="135" t="n">
        <v>45047</v>
      </c>
      <c r="H2" s="135" t="n">
        <v>45078</v>
      </c>
      <c r="I2" s="135" t="n">
        <v>45108</v>
      </c>
      <c r="J2" s="135" t="n">
        <v>45139</v>
      </c>
      <c r="K2" s="135" t="n">
        <v>45170</v>
      </c>
      <c r="L2" s="135" t="n">
        <v>45200</v>
      </c>
      <c r="M2" s="135" t="n">
        <v>45231</v>
      </c>
      <c r="N2" s="135" t="n">
        <v>45261</v>
      </c>
      <c r="O2" s="135" t="n">
        <v>45292</v>
      </c>
      <c r="P2" s="135" t="n">
        <v>45323</v>
      </c>
      <c r="Q2" s="135" t="n">
        <v>45352</v>
      </c>
      <c r="R2" s="135" t="n">
        <v>45383</v>
      </c>
      <c r="S2" s="135" t="n">
        <v>45413</v>
      </c>
      <c r="T2" s="135" t="n">
        <v>45444</v>
      </c>
      <c r="U2" s="135" t="n">
        <v>45474</v>
      </c>
      <c r="V2" s="135" t="n">
        <v>45505</v>
      </c>
      <c r="W2" s="135" t="n">
        <v>45536</v>
      </c>
      <c r="X2" s="135" t="n">
        <v>45566</v>
      </c>
      <c r="Y2" s="135" t="n">
        <v>45597</v>
      </c>
      <c r="Z2" s="135" t="n">
        <v>45627</v>
      </c>
      <c r="AA2" s="135" t="n">
        <v>45658</v>
      </c>
      <c r="AB2" s="135" t="n">
        <v>45689</v>
      </c>
      <c r="AC2" s="135" t="n">
        <v>45717</v>
      </c>
      <c r="AD2" s="135" t="n">
        <v>45748</v>
      </c>
      <c r="AE2" s="135" t="n">
        <v>45778</v>
      </c>
      <c r="AF2" s="135" t="n">
        <v>45809</v>
      </c>
      <c r="AG2" s="135" t="n">
        <v>45839</v>
      </c>
      <c r="AH2" s="135" t="n">
        <v>45870</v>
      </c>
      <c r="AI2" s="135" t="n">
        <v>45901</v>
      </c>
      <c r="AJ2" s="135" t="n">
        <v>45931</v>
      </c>
      <c r="AK2" s="135" t="n">
        <v>45962</v>
      </c>
      <c r="AL2" s="135" t="n">
        <v>45992</v>
      </c>
      <c r="AM2" s="135" t="n">
        <v>46023</v>
      </c>
      <c r="AN2" s="135" t="n">
        <v>46054</v>
      </c>
      <c r="AO2" s="135" t="n">
        <v>46082</v>
      </c>
      <c r="AP2" s="135" t="n">
        <v>46113</v>
      </c>
      <c r="AQ2" s="135" t="n">
        <v>46143</v>
      </c>
      <c r="AR2" s="135" t="n">
        <v>46174</v>
      </c>
      <c r="AS2" s="135" t="n">
        <v>46204</v>
      </c>
      <c r="AT2" s="135" t="n">
        <v>46235</v>
      </c>
      <c r="AU2" s="135" t="n">
        <v>46266</v>
      </c>
      <c r="AV2" s="135" t="n">
        <v>46296</v>
      </c>
      <c r="AW2" s="135" t="n">
        <v>46327</v>
      </c>
      <c r="AX2" s="135" t="n">
        <v>46357</v>
      </c>
      <c r="AY2" s="136" t="n"/>
      <c r="AZ2" s="136" t="n"/>
      <c r="BA2" s="135" t="n"/>
      <c r="BB2" s="135" t="n"/>
      <c r="BC2" s="135" t="n"/>
      <c r="BD2" s="136" t="n"/>
      <c r="BE2" s="136" t="n"/>
      <c r="BF2" s="136" t="n"/>
      <c r="BG2" s="136" t="n"/>
      <c r="BH2" s="136" t="n"/>
      <c r="BI2" s="136" t="n"/>
      <c r="BJ2" s="136" t="n"/>
      <c r="BK2" s="136" t="n"/>
      <c r="BL2" s="136" t="n"/>
      <c r="BM2" s="135" t="n"/>
      <c r="BN2" s="135" t="n"/>
      <c r="BO2" s="135" t="n"/>
      <c r="BP2" s="136" t="n"/>
      <c r="BQ2" s="136" t="n"/>
      <c r="BR2" s="136" t="n"/>
      <c r="BS2" s="136" t="n"/>
      <c r="BT2" s="136" t="n"/>
      <c r="BU2" s="136" t="n"/>
      <c r="BV2" s="136" t="n"/>
      <c r="BW2" s="136" t="n"/>
      <c r="BX2" s="136" t="n"/>
      <c r="BY2" s="135" t="n"/>
      <c r="BZ2" s="135" t="n"/>
      <c r="CA2" s="135" t="n"/>
      <c r="CB2" s="136" t="n"/>
      <c r="CC2" s="136" t="n"/>
      <c r="CD2" s="136" t="n"/>
      <c r="CE2" s="136" t="n"/>
      <c r="CF2" s="136" t="n"/>
      <c r="CG2" s="136" t="n"/>
      <c r="CH2" s="136" t="n"/>
      <c r="CI2" s="136" t="n"/>
      <c r="CJ2" s="136" t="n"/>
      <c r="CK2" s="135" t="n"/>
      <c r="CL2" s="135" t="n"/>
      <c r="CM2" s="135" t="n"/>
      <c r="CN2" s="136" t="n"/>
      <c r="CO2" s="136" t="n"/>
      <c r="CP2" s="136" t="n"/>
      <c r="CQ2" s="136" t="n"/>
      <c r="CR2" s="136" t="n"/>
      <c r="CS2" s="136" t="n"/>
      <c r="CT2" s="136" t="n"/>
      <c r="CU2" s="136" t="n"/>
    </row>
    <row r="3" ht="30" customHeight="1">
      <c r="A3" s="131" t="n"/>
      <c r="B3" s="137" t="inlineStr">
        <is>
          <t>Australia</t>
        </is>
      </c>
      <c r="C3" s="227" t="n">
        <v>3.1</v>
      </c>
      <c r="D3" s="227" t="n">
        <v>3.35</v>
      </c>
      <c r="E3" s="227" t="n">
        <v>3.6</v>
      </c>
      <c r="F3" s="227" t="n">
        <v>3.6</v>
      </c>
      <c r="G3" s="227" t="n">
        <v>3.85</v>
      </c>
      <c r="H3" s="227" t="n">
        <v>4.1</v>
      </c>
      <c r="I3" s="227" t="n">
        <v>4.1</v>
      </c>
      <c r="J3" s="227" t="n">
        <v>4.1</v>
      </c>
      <c r="K3" s="227" t="n">
        <v>4.1</v>
      </c>
      <c r="L3" s="227" t="n">
        <v>4.1</v>
      </c>
      <c r="M3" s="227" t="n">
        <v>4.35</v>
      </c>
      <c r="N3" s="227" t="n">
        <v>4.35</v>
      </c>
      <c r="O3" s="138" t="n">
        <v>4.35</v>
      </c>
      <c r="P3" s="138" t="n">
        <v>4.35</v>
      </c>
      <c r="Q3" s="138" t="n">
        <v>4.35</v>
      </c>
      <c r="R3" s="138" t="n">
        <v>4.35</v>
      </c>
      <c r="S3" s="138" t="n">
        <v>4.35</v>
      </c>
      <c r="T3" s="138" t="n">
        <v>4.35</v>
      </c>
      <c r="U3" s="138" t="n">
        <v>4.35</v>
      </c>
      <c r="V3" s="138" t="n">
        <v>4.35</v>
      </c>
      <c r="W3" s="138" t="n">
        <v>4.35</v>
      </c>
      <c r="X3" s="138" t="n">
        <v>4.35</v>
      </c>
      <c r="Y3" s="138" t="n">
        <v>4.35</v>
      </c>
      <c r="Z3" s="138" t="n">
        <v>4.35</v>
      </c>
      <c r="AA3" s="138" t="n">
        <v>4.35</v>
      </c>
      <c r="AB3" s="138" t="n">
        <v>4.1</v>
      </c>
      <c r="AC3" s="138" t="n">
        <v>4.1</v>
      </c>
      <c r="AD3" s="138" t="n">
        <v>4.1</v>
      </c>
      <c r="AE3" s="138" t="n">
        <v>3.85</v>
      </c>
      <c r="AF3" s="138" t="n">
        <v>3.85</v>
      </c>
      <c r="AG3" s="138" t="n">
        <v>3.85</v>
      </c>
      <c r="AH3" s="138" t="n">
        <v>3.6</v>
      </c>
      <c r="AI3" s="138" t="n">
        <v>3.6</v>
      </c>
      <c r="AJ3" s="138" t="n">
        <v>3.6</v>
      </c>
      <c r="AK3" s="138" t="n">
        <v>3.6</v>
      </c>
      <c r="AL3" s="138" t="n">
        <v>3.6</v>
      </c>
      <c r="AM3" s="138" t="n">
        <v>3.6</v>
      </c>
      <c r="AN3" s="138" t="n">
        <v>3.85</v>
      </c>
      <c r="AO3" s="138" t="n">
        <v>3.85</v>
      </c>
      <c r="AP3" s="138" t="n">
        <v>4.1</v>
      </c>
      <c r="AQ3" s="138" t="n">
        <v>4.35</v>
      </c>
      <c r="AR3" s="138" t="n">
        <v>4.35</v>
      </c>
      <c r="AS3" s="139" t="n">
        <v>4.35</v>
      </c>
      <c r="AT3" s="139" t="n">
        <v>4.35</v>
      </c>
      <c r="AU3" s="139" t="n">
        <v>4.35</v>
      </c>
      <c r="AV3" s="139" t="n">
        <v>4.35</v>
      </c>
      <c r="AW3" s="139" t="n">
        <v>4.6</v>
      </c>
      <c r="AX3" s="2" t="inlineStr">
        <is>
          <t>Hawkish</t>
        </is>
      </c>
      <c r="AZ3" s="140" t="n">
        <v>7</v>
      </c>
      <c r="BA3" s="141" t="n">
        <v>3</v>
      </c>
    </row>
    <row r="4" ht="30" customHeight="1">
      <c r="A4" s="131" t="n"/>
      <c r="B4" s="142" t="inlineStr">
        <is>
          <t>Canada</t>
        </is>
      </c>
      <c r="C4" s="228" t="n">
        <v>4.5</v>
      </c>
      <c r="D4" s="228" t="n">
        <v>4.5</v>
      </c>
      <c r="E4" s="228" t="n">
        <v>4.5</v>
      </c>
      <c r="F4" s="228" t="n">
        <v>4.5</v>
      </c>
      <c r="G4" s="228" t="n">
        <v>4.5</v>
      </c>
      <c r="H4" s="228" t="n">
        <v>4.75</v>
      </c>
      <c r="I4" s="228" t="n">
        <v>5</v>
      </c>
      <c r="J4" s="228" t="n">
        <v>5</v>
      </c>
      <c r="K4" s="228" t="n">
        <v>5</v>
      </c>
      <c r="L4" s="228" t="n">
        <v>5</v>
      </c>
      <c r="M4" s="228" t="n">
        <v>5</v>
      </c>
      <c r="N4" s="228" t="n">
        <v>5</v>
      </c>
      <c r="O4" s="138" t="n">
        <v>5</v>
      </c>
      <c r="P4" s="138" t="n">
        <v>5</v>
      </c>
      <c r="Q4" s="138" t="n">
        <v>5</v>
      </c>
      <c r="R4" s="138" t="n">
        <v>5</v>
      </c>
      <c r="S4" s="138" t="n">
        <v>5</v>
      </c>
      <c r="T4" s="138" t="n">
        <v>4.75</v>
      </c>
      <c r="U4" s="138" t="n">
        <v>4.5</v>
      </c>
      <c r="V4" s="138" t="n">
        <v>4.5</v>
      </c>
      <c r="W4" s="138" t="n">
        <v>4.25</v>
      </c>
      <c r="X4" s="138" t="n">
        <v>3.75</v>
      </c>
      <c r="Y4" s="138" t="n">
        <v>3.75</v>
      </c>
      <c r="Z4" s="138" t="n">
        <v>3.25</v>
      </c>
      <c r="AA4" s="138" t="n">
        <v>3</v>
      </c>
      <c r="AB4" s="138" t="n">
        <v>3</v>
      </c>
      <c r="AC4" s="138" t="n">
        <v>2.75</v>
      </c>
      <c r="AD4" s="138" t="n">
        <v>2.75</v>
      </c>
      <c r="AE4" s="138" t="n">
        <v>2.75</v>
      </c>
      <c r="AF4" s="138" t="n">
        <v>2.75</v>
      </c>
      <c r="AG4" s="138" t="n">
        <v>2.75</v>
      </c>
      <c r="AH4" s="138" t="n">
        <v>2.75</v>
      </c>
      <c r="AI4" s="138" t="n">
        <v>2.5</v>
      </c>
      <c r="AJ4" s="138" t="n">
        <v>2.25</v>
      </c>
      <c r="AK4" s="138" t="n">
        <v>2.25</v>
      </c>
      <c r="AL4" s="138" t="n">
        <v>2.25</v>
      </c>
      <c r="AM4" s="138" t="n">
        <v>2.25</v>
      </c>
      <c r="AN4" s="138" t="n">
        <v>2.25</v>
      </c>
      <c r="AO4" s="138" t="n">
        <v>2.25</v>
      </c>
      <c r="AP4" s="138" t="n">
        <v>2.25</v>
      </c>
      <c r="AQ4" s="138" t="n">
        <v>2.25</v>
      </c>
      <c r="AR4" s="138" t="n">
        <v>2.25</v>
      </c>
      <c r="AS4" s="138" t="n">
        <v>2.25</v>
      </c>
      <c r="AT4" s="139" t="n">
        <v>2.25</v>
      </c>
      <c r="AU4" s="139" t="n">
        <v>2.25</v>
      </c>
      <c r="AV4" s="139" t="n">
        <v>2.25</v>
      </c>
      <c r="AW4" s="139" t="n">
        <v>2.25</v>
      </c>
      <c r="AX4" s="2" t="inlineStr">
        <is>
          <t>Neutre</t>
        </is>
      </c>
      <c r="AZ4" s="143" t="n">
        <v>6.5</v>
      </c>
      <c r="BA4" s="144" t="n">
        <v>4</v>
      </c>
    </row>
    <row r="5" ht="30" customHeight="1">
      <c r="A5" s="131" t="n"/>
      <c r="B5" s="142" t="inlineStr">
        <is>
          <t>Japan</t>
        </is>
      </c>
      <c r="C5" s="138" t="n">
        <v>-0.1</v>
      </c>
      <c r="D5" s="138" t="n">
        <v>-0.1</v>
      </c>
      <c r="E5" s="138" t="n">
        <v>-0.1</v>
      </c>
      <c r="F5" s="138" t="n">
        <v>-0.1</v>
      </c>
      <c r="G5" s="138" t="n">
        <v>-0.1</v>
      </c>
      <c r="H5" s="138" t="n">
        <v>-0.1</v>
      </c>
      <c r="I5" s="138" t="n">
        <v>-0.1</v>
      </c>
      <c r="J5" s="138" t="n">
        <v>-0.1</v>
      </c>
      <c r="K5" s="138" t="n">
        <v>-0.1</v>
      </c>
      <c r="L5" s="138" t="n">
        <v>-0.1</v>
      </c>
      <c r="M5" s="138" t="n">
        <v>-0.1</v>
      </c>
      <c r="N5" s="138" t="n">
        <v>-0.1</v>
      </c>
      <c r="O5" s="138" t="n">
        <v>-0.1</v>
      </c>
      <c r="P5" s="138" t="n">
        <v>-0.1</v>
      </c>
      <c r="Q5" s="138" t="n">
        <v>0.1</v>
      </c>
      <c r="R5" s="138" t="n">
        <v>0.1</v>
      </c>
      <c r="S5" s="138" t="n">
        <v>0.1</v>
      </c>
      <c r="T5" s="138" t="n">
        <v>0.1</v>
      </c>
      <c r="U5" s="138" t="n">
        <v>0.25</v>
      </c>
      <c r="V5" s="138" t="n">
        <v>0.25</v>
      </c>
      <c r="W5" s="138" t="n">
        <v>0.25</v>
      </c>
      <c r="X5" s="138" t="n">
        <v>0.25</v>
      </c>
      <c r="Y5" s="138" t="n">
        <v>0.25</v>
      </c>
      <c r="Z5" s="138" t="n">
        <v>0.25</v>
      </c>
      <c r="AA5" s="138" t="n">
        <v>0.5</v>
      </c>
      <c r="AB5" s="138" t="n">
        <v>0.5</v>
      </c>
      <c r="AC5" s="138" t="n">
        <v>0.5</v>
      </c>
      <c r="AD5" s="138" t="n">
        <v>0.5</v>
      </c>
      <c r="AE5" s="138" t="n">
        <v>0.5</v>
      </c>
      <c r="AF5" s="138" t="n">
        <v>0.5</v>
      </c>
      <c r="AG5" s="138" t="n">
        <v>0.5</v>
      </c>
      <c r="AH5" s="138" t="n">
        <v>0.5</v>
      </c>
      <c r="AI5" s="138" t="n">
        <v>0.5</v>
      </c>
      <c r="AJ5" s="138" t="n">
        <v>0.5</v>
      </c>
      <c r="AK5" s="138" t="n">
        <v>0.5</v>
      </c>
      <c r="AL5" s="138" t="n">
        <v>0.75</v>
      </c>
      <c r="AM5" s="138" t="n">
        <v>0.75</v>
      </c>
      <c r="AN5" s="138" t="n">
        <v>0.75</v>
      </c>
      <c r="AO5" s="138" t="n">
        <v>0.75</v>
      </c>
      <c r="AP5" s="138" t="n">
        <v>0.75</v>
      </c>
      <c r="AQ5" s="138" t="n">
        <v>0.75</v>
      </c>
      <c r="AR5" s="138" t="n">
        <v>1</v>
      </c>
      <c r="AS5" s="138" t="n">
        <v>1</v>
      </c>
      <c r="AT5" s="139" t="n">
        <v>1</v>
      </c>
      <c r="AU5" s="139" t="n">
        <v>1</v>
      </c>
      <c r="AV5" s="139" t="n">
        <v>1</v>
      </c>
      <c r="AW5" s="139" t="n">
        <v>1.25</v>
      </c>
      <c r="AX5" s="2" t="inlineStr">
        <is>
          <t>Hawkish</t>
        </is>
      </c>
      <c r="AZ5" s="143" t="n">
        <v>6</v>
      </c>
      <c r="BA5" s="144" t="n">
        <v>5</v>
      </c>
    </row>
    <row r="6" ht="30" customHeight="1">
      <c r="A6" s="131" t="n"/>
      <c r="B6" s="142" t="inlineStr">
        <is>
          <t>Switzerland</t>
        </is>
      </c>
      <c r="C6" s="228" t="n">
        <v>1</v>
      </c>
      <c r="D6" s="228" t="n">
        <v>1</v>
      </c>
      <c r="E6" s="228" t="n">
        <v>1.5</v>
      </c>
      <c r="F6" s="228" t="n">
        <v>1.5</v>
      </c>
      <c r="G6" s="228" t="n">
        <v>1.5</v>
      </c>
      <c r="H6" s="228" t="n">
        <v>1.75</v>
      </c>
      <c r="I6" s="228" t="n">
        <v>1.75</v>
      </c>
      <c r="J6" s="228" t="n">
        <v>1.75</v>
      </c>
      <c r="K6" s="228" t="n">
        <v>1.75</v>
      </c>
      <c r="L6" s="228" t="n">
        <v>1.75</v>
      </c>
      <c r="M6" s="228" t="n">
        <v>1.75</v>
      </c>
      <c r="N6" s="228" t="n">
        <v>1.75</v>
      </c>
      <c r="O6" s="145" t="n">
        <v>1.75</v>
      </c>
      <c r="P6" s="145" t="n">
        <v>1.75</v>
      </c>
      <c r="Q6" s="146" t="n">
        <v>1.5</v>
      </c>
      <c r="R6" s="146" t="n">
        <v>1.5</v>
      </c>
      <c r="S6" s="146" t="n">
        <v>1.5</v>
      </c>
      <c r="T6" s="146" t="n">
        <v>1.25</v>
      </c>
      <c r="U6" s="146" t="n">
        <v>1.25</v>
      </c>
      <c r="V6" s="146" t="n">
        <v>1.25</v>
      </c>
      <c r="W6" s="146" t="n">
        <v>1</v>
      </c>
      <c r="X6" s="146" t="n">
        <v>1</v>
      </c>
      <c r="Y6" s="146" t="n">
        <v>1</v>
      </c>
      <c r="Z6" s="146" t="n">
        <v>0.5</v>
      </c>
      <c r="AA6" s="146" t="n">
        <v>0.5</v>
      </c>
      <c r="AB6" s="146" t="n">
        <v>0.5</v>
      </c>
      <c r="AC6" s="146" t="n">
        <v>0.25</v>
      </c>
      <c r="AD6" s="146" t="n">
        <v>0.25</v>
      </c>
      <c r="AE6" s="146" t="n">
        <v>0.25</v>
      </c>
      <c r="AF6" s="146" t="n">
        <v>0</v>
      </c>
      <c r="AG6" s="146" t="n">
        <v>0</v>
      </c>
      <c r="AH6" s="146" t="n">
        <v>0</v>
      </c>
      <c r="AI6" s="146" t="n">
        <v>0</v>
      </c>
      <c r="AJ6" s="146" t="n">
        <v>0</v>
      </c>
      <c r="AK6" s="146" t="n">
        <v>0</v>
      </c>
      <c r="AL6" s="146" t="n">
        <v>0</v>
      </c>
      <c r="AM6" s="146" t="n">
        <v>0</v>
      </c>
      <c r="AN6" s="146" t="n">
        <v>0</v>
      </c>
      <c r="AO6" s="190" t="n">
        <v>0</v>
      </c>
      <c r="AP6" s="190" t="n">
        <v>0</v>
      </c>
      <c r="AQ6" s="190" t="n">
        <v>0</v>
      </c>
      <c r="AR6" s="190" t="n">
        <v>0</v>
      </c>
      <c r="AS6" s="190" t="n">
        <v>0</v>
      </c>
      <c r="AT6" s="147" t="n">
        <v>0</v>
      </c>
      <c r="AU6" s="147" t="n">
        <v>0</v>
      </c>
      <c r="AV6" s="147" t="n">
        <v>0</v>
      </c>
      <c r="AW6" s="147" t="n">
        <v>0</v>
      </c>
      <c r="AX6" s="2" t="inlineStr">
        <is>
          <t>Neutre</t>
        </is>
      </c>
      <c r="AZ6" s="143" t="n">
        <v>5.5</v>
      </c>
      <c r="BA6" s="144" t="n">
        <v>6</v>
      </c>
    </row>
    <row r="7" ht="30" customHeight="1">
      <c r="A7" s="131" t="n"/>
      <c r="B7" s="142" t="inlineStr">
        <is>
          <t>New Zelaand</t>
        </is>
      </c>
      <c r="C7" s="228" t="n">
        <v>4.25</v>
      </c>
      <c r="D7" s="228" t="n">
        <v>4.75</v>
      </c>
      <c r="E7" s="228" t="n">
        <v>4.75</v>
      </c>
      <c r="F7" s="228" t="n">
        <v>5.25</v>
      </c>
      <c r="G7" s="228" t="n">
        <v>5.5</v>
      </c>
      <c r="H7" s="228" t="n">
        <v>5.5</v>
      </c>
      <c r="I7" s="228" t="n">
        <v>5.5</v>
      </c>
      <c r="J7" s="228" t="n">
        <v>5.5</v>
      </c>
      <c r="K7" s="228" t="n">
        <v>5.5</v>
      </c>
      <c r="L7" s="228" t="n">
        <v>5.5</v>
      </c>
      <c r="M7" s="228" t="n">
        <v>5.5</v>
      </c>
      <c r="N7" s="228" t="n">
        <v>5.5</v>
      </c>
      <c r="O7" s="145" t="n">
        <v>5.5</v>
      </c>
      <c r="P7" s="145" t="n">
        <v>5.5</v>
      </c>
      <c r="Q7" s="145" t="n">
        <v>5.5</v>
      </c>
      <c r="R7" s="145" t="n">
        <v>5.5</v>
      </c>
      <c r="S7" s="145" t="n">
        <v>5.5</v>
      </c>
      <c r="T7" s="145" t="n">
        <v>5.5</v>
      </c>
      <c r="U7" s="145" t="n">
        <v>5.5</v>
      </c>
      <c r="V7" s="145" t="n">
        <v>5.25</v>
      </c>
      <c r="W7" s="145" t="n">
        <v>4.75</v>
      </c>
      <c r="X7" s="145" t="n">
        <v>4.75</v>
      </c>
      <c r="Y7" s="146" t="n">
        <v>4.25</v>
      </c>
      <c r="Z7" s="146" t="n">
        <v>4.25</v>
      </c>
      <c r="AA7" s="146" t="n">
        <v>4.25</v>
      </c>
      <c r="AB7" s="146" t="n">
        <v>3.75</v>
      </c>
      <c r="AC7" s="146" t="n">
        <v>3.75</v>
      </c>
      <c r="AD7" s="146" t="n">
        <v>3.5</v>
      </c>
      <c r="AE7" s="146" t="n">
        <v>3.25</v>
      </c>
      <c r="AF7" s="146" t="n">
        <v>3.25</v>
      </c>
      <c r="AG7" s="146" t="n">
        <v>3.25</v>
      </c>
      <c r="AH7" s="146" t="n">
        <v>3</v>
      </c>
      <c r="AI7" s="146" t="n">
        <v>3</v>
      </c>
      <c r="AJ7" s="146" t="n">
        <v>2.5</v>
      </c>
      <c r="AK7" s="146" t="n">
        <v>2.25</v>
      </c>
      <c r="AL7" s="146" t="n">
        <v>2.25</v>
      </c>
      <c r="AM7" s="146" t="n">
        <v>2.25</v>
      </c>
      <c r="AN7" s="146" t="n">
        <v>2.25</v>
      </c>
      <c r="AO7" s="146" t="n">
        <v>2.25</v>
      </c>
      <c r="AP7" s="146" t="n">
        <v>2.25</v>
      </c>
      <c r="AQ7" s="190" t="n">
        <v>2.25</v>
      </c>
      <c r="AR7" s="190" t="n">
        <v>2.25</v>
      </c>
      <c r="AS7" s="190" t="n">
        <v>2.5</v>
      </c>
      <c r="AT7" s="147" t="n">
        <v>2.5</v>
      </c>
      <c r="AU7" s="147" t="n">
        <v>2.75</v>
      </c>
      <c r="AV7" s="147" t="n">
        <v>2.75</v>
      </c>
      <c r="AW7" s="147" t="n">
        <v>3</v>
      </c>
      <c r="AX7" s="2" t="inlineStr">
        <is>
          <t>Hawkish</t>
        </is>
      </c>
      <c r="AZ7" s="143" t="n">
        <v>5</v>
      </c>
      <c r="BA7" s="144" t="n">
        <v>10</v>
      </c>
    </row>
    <row r="8" ht="30" customHeight="1">
      <c r="A8" s="131" t="n"/>
      <c r="B8" s="142" t="inlineStr">
        <is>
          <t>United Kingdom</t>
        </is>
      </c>
      <c r="C8" s="229" t="n">
        <v>3.5</v>
      </c>
      <c r="D8" s="229" t="n">
        <v>4</v>
      </c>
      <c r="E8" s="229" t="n">
        <v>4.25</v>
      </c>
      <c r="F8" s="229" t="n">
        <v>4.25</v>
      </c>
      <c r="G8" s="229" t="n">
        <v>4.5</v>
      </c>
      <c r="H8" s="229" t="n">
        <v>5</v>
      </c>
      <c r="I8" s="229" t="n">
        <v>5</v>
      </c>
      <c r="J8" s="229" t="n">
        <v>5.25</v>
      </c>
      <c r="K8" s="229" t="n">
        <v>5.25</v>
      </c>
      <c r="L8" s="229" t="n">
        <v>5.25</v>
      </c>
      <c r="M8" s="229" t="n">
        <v>5.25</v>
      </c>
      <c r="N8" s="229" t="n">
        <v>5.25</v>
      </c>
      <c r="O8" s="145" t="n">
        <v>5.25</v>
      </c>
      <c r="P8" s="145" t="n">
        <v>5.25</v>
      </c>
      <c r="Q8" s="145" t="n">
        <v>5.25</v>
      </c>
      <c r="R8" s="145" t="n">
        <v>5.25</v>
      </c>
      <c r="S8" s="145" t="n">
        <v>5.25</v>
      </c>
      <c r="T8" s="145" t="n">
        <v>5.25</v>
      </c>
      <c r="U8" s="145" t="n">
        <v>5.25</v>
      </c>
      <c r="V8" s="138" t="n">
        <v>5</v>
      </c>
      <c r="W8" s="138" t="n">
        <v>5</v>
      </c>
      <c r="X8" s="138" t="n">
        <v>5</v>
      </c>
      <c r="Y8" s="138" t="n">
        <v>4.75</v>
      </c>
      <c r="Z8" s="138" t="n">
        <v>4.75</v>
      </c>
      <c r="AA8" s="138" t="n">
        <v>4.75</v>
      </c>
      <c r="AB8" s="138" t="n">
        <v>4.5</v>
      </c>
      <c r="AC8" s="138" t="n">
        <v>4.5</v>
      </c>
      <c r="AD8" s="138" t="n">
        <v>4.5</v>
      </c>
      <c r="AE8" s="138" t="n">
        <v>4.25</v>
      </c>
      <c r="AF8" s="138" t="n">
        <v>4.25</v>
      </c>
      <c r="AG8" s="138" t="n">
        <v>4.25</v>
      </c>
      <c r="AH8" s="138" t="n">
        <v>4</v>
      </c>
      <c r="AI8" s="138" t="n">
        <v>4</v>
      </c>
      <c r="AJ8" s="138" t="n">
        <v>4</v>
      </c>
      <c r="AK8" s="138" t="n">
        <v>4</v>
      </c>
      <c r="AL8" s="138" t="n">
        <v>3.75</v>
      </c>
      <c r="AM8" s="138" t="n">
        <v>3.75</v>
      </c>
      <c r="AN8" s="138" t="n">
        <v>3.75</v>
      </c>
      <c r="AO8" s="138" t="n">
        <v>3.75</v>
      </c>
      <c r="AP8" s="138" t="n">
        <v>3.75</v>
      </c>
      <c r="AQ8" s="138" t="n">
        <v>3.75</v>
      </c>
      <c r="AR8" s="138" t="n">
        <v>3.75</v>
      </c>
      <c r="AS8" s="138" t="n">
        <v>3.75</v>
      </c>
      <c r="AT8" s="139" t="n">
        <v>3.75</v>
      </c>
      <c r="AU8" s="139" t="n">
        <v>3.75</v>
      </c>
      <c r="AV8" s="139" t="n">
        <v>3.75</v>
      </c>
      <c r="AW8" s="139" t="n">
        <v>3.75</v>
      </c>
      <c r="AX8" s="2" t="inlineStr">
        <is>
          <t>Hawkish</t>
        </is>
      </c>
      <c r="AZ8" s="143" t="n">
        <v>4.5</v>
      </c>
      <c r="BA8" s="144" t="n">
        <v>9</v>
      </c>
    </row>
    <row r="9" ht="30" customHeight="1">
      <c r="A9" s="131" t="n"/>
      <c r="B9" s="148" t="inlineStr">
        <is>
          <t>United States</t>
        </is>
      </c>
      <c r="C9" s="229" t="n">
        <v>4.5</v>
      </c>
      <c r="D9" s="229" t="n">
        <v>4.75</v>
      </c>
      <c r="E9" s="229" t="n">
        <v>5</v>
      </c>
      <c r="F9" s="229" t="n">
        <v>5</v>
      </c>
      <c r="G9" s="229" t="n">
        <v>5.25</v>
      </c>
      <c r="H9" s="229" t="n">
        <v>5.25</v>
      </c>
      <c r="I9" s="229" t="n">
        <v>5.5</v>
      </c>
      <c r="J9" s="229" t="n">
        <v>5.5</v>
      </c>
      <c r="K9" s="229" t="n">
        <v>5.5</v>
      </c>
      <c r="L9" s="229" t="n">
        <v>5.5</v>
      </c>
      <c r="M9" s="229" t="n">
        <v>5.5</v>
      </c>
      <c r="N9" s="229" t="n">
        <v>5.5</v>
      </c>
      <c r="O9" s="138" t="n">
        <v>5.5</v>
      </c>
      <c r="P9" s="138" t="n">
        <v>5.5</v>
      </c>
      <c r="Q9" s="138" t="n">
        <v>5.5</v>
      </c>
      <c r="R9" s="138" t="n">
        <v>5.5</v>
      </c>
      <c r="S9" s="138" t="n">
        <v>5.5</v>
      </c>
      <c r="T9" s="138" t="n">
        <v>5.5</v>
      </c>
      <c r="U9" s="138" t="n">
        <v>5.5</v>
      </c>
      <c r="V9" s="138" t="n">
        <v>5.5</v>
      </c>
      <c r="W9" s="138" t="n">
        <v>5</v>
      </c>
      <c r="X9" s="138" t="n">
        <v>5</v>
      </c>
      <c r="Y9" s="138" t="n">
        <v>4.75</v>
      </c>
      <c r="Z9" s="138" t="n">
        <v>4.5</v>
      </c>
      <c r="AA9" s="138" t="n">
        <v>4.5</v>
      </c>
      <c r="AB9" s="138" t="n">
        <v>4.5</v>
      </c>
      <c r="AC9" s="138" t="n">
        <v>4.5</v>
      </c>
      <c r="AD9" s="138" t="n">
        <v>4.5</v>
      </c>
      <c r="AE9" s="138" t="n">
        <v>4.5</v>
      </c>
      <c r="AF9" s="138" t="n">
        <v>4.5</v>
      </c>
      <c r="AG9" s="138" t="n">
        <v>4.5</v>
      </c>
      <c r="AH9" s="138" t="n">
        <v>4.5</v>
      </c>
      <c r="AI9" s="138" t="n">
        <v>4.25</v>
      </c>
      <c r="AJ9" s="138" t="n">
        <v>4</v>
      </c>
      <c r="AK9" s="138" t="n">
        <v>4</v>
      </c>
      <c r="AL9" s="138" t="n">
        <v>3.75</v>
      </c>
      <c r="AM9" s="138" t="n">
        <v>3.75</v>
      </c>
      <c r="AN9" s="138" t="n">
        <v>3.75</v>
      </c>
      <c r="AO9" s="138" t="n">
        <v>3.75</v>
      </c>
      <c r="AP9" s="138" t="n">
        <v>3.75</v>
      </c>
      <c r="AQ9" s="138" t="n">
        <v>3.75</v>
      </c>
      <c r="AR9" s="138" t="n">
        <v>3.75</v>
      </c>
      <c r="AS9" s="138" t="n">
        <v>3.75</v>
      </c>
      <c r="AT9" s="139" t="n">
        <v>3.75</v>
      </c>
      <c r="AU9" s="139" t="n">
        <v>3.75</v>
      </c>
      <c r="AV9" s="139" t="n">
        <v>4</v>
      </c>
      <c r="AW9" s="139" t="n">
        <v>4</v>
      </c>
      <c r="AX9" s="2" t="inlineStr">
        <is>
          <t>Hawkish</t>
        </is>
      </c>
      <c r="AZ9" s="143" t="n">
        <v>4</v>
      </c>
      <c r="BA9" s="144" t="n">
        <v>8</v>
      </c>
    </row>
    <row r="10" ht="30" customHeight="1">
      <c r="A10" s="131" t="n"/>
      <c r="B10" s="149" t="inlineStr">
        <is>
          <t>EURO AREA</t>
        </is>
      </c>
      <c r="C10" s="229" t="n">
        <v>2.5</v>
      </c>
      <c r="D10" s="229" t="n">
        <v>3</v>
      </c>
      <c r="E10" s="229" t="n">
        <v>3.5</v>
      </c>
      <c r="F10" s="229" t="n">
        <v>3.5</v>
      </c>
      <c r="G10" s="229" t="n">
        <v>3.75</v>
      </c>
      <c r="H10" s="229" t="n">
        <v>4</v>
      </c>
      <c r="I10" s="229" t="n">
        <v>4.25</v>
      </c>
      <c r="J10" s="229" t="n">
        <v>4.25</v>
      </c>
      <c r="K10" s="229" t="n">
        <v>4.5</v>
      </c>
      <c r="L10" s="229" t="n">
        <v>4.5</v>
      </c>
      <c r="M10" s="229" t="n">
        <v>4.5</v>
      </c>
      <c r="N10" s="229" t="n">
        <v>4.5</v>
      </c>
      <c r="O10" s="150" t="n">
        <v>4.5</v>
      </c>
      <c r="P10" s="150" t="n">
        <v>4.5</v>
      </c>
      <c r="Q10" s="150" t="n">
        <v>4.5</v>
      </c>
      <c r="R10" s="150" t="n">
        <v>4.5</v>
      </c>
      <c r="S10" s="150" t="n">
        <v>4.5</v>
      </c>
      <c r="T10" s="150" t="n">
        <v>4.25</v>
      </c>
      <c r="U10" s="150" t="n">
        <v>4.25</v>
      </c>
      <c r="V10" s="150" t="n">
        <v>4.25</v>
      </c>
      <c r="W10" s="150" t="n">
        <v>3.65</v>
      </c>
      <c r="X10" s="150" t="n">
        <v>3.4</v>
      </c>
      <c r="Y10" s="150" t="n">
        <v>3.4</v>
      </c>
      <c r="Z10" s="150" t="n">
        <v>3.15</v>
      </c>
      <c r="AA10" s="150" t="n">
        <v>2.9</v>
      </c>
      <c r="AB10" s="150" t="n">
        <v>2.9</v>
      </c>
      <c r="AC10" s="150" t="n">
        <v>2.65</v>
      </c>
      <c r="AD10" s="150" t="n">
        <v>2.4</v>
      </c>
      <c r="AE10" s="150" t="n">
        <v>2.4</v>
      </c>
      <c r="AF10" s="150" t="n">
        <v>2.15</v>
      </c>
      <c r="AG10" s="150" t="n">
        <v>2.15</v>
      </c>
      <c r="AH10" s="150" t="n">
        <v>2.15</v>
      </c>
      <c r="AI10" s="150" t="n">
        <v>2.15</v>
      </c>
      <c r="AJ10" s="150" t="n">
        <v>2.15</v>
      </c>
      <c r="AK10" s="150" t="n">
        <v>2.15</v>
      </c>
      <c r="AL10" s="150" t="n">
        <v>2.15</v>
      </c>
      <c r="AM10" s="150" t="n">
        <v>2.15</v>
      </c>
      <c r="AN10" s="150" t="n">
        <v>2.15</v>
      </c>
      <c r="AO10" s="150" t="n">
        <v>2.15</v>
      </c>
      <c r="AP10" s="150" t="n">
        <v>2.15</v>
      </c>
      <c r="AQ10" s="150" t="n">
        <v>2.15</v>
      </c>
      <c r="AR10" s="150" t="n">
        <v>2.4</v>
      </c>
      <c r="AS10" s="150" t="n">
        <v>2.4</v>
      </c>
      <c r="AT10" s="151" t="n">
        <v>2.4</v>
      </c>
      <c r="AU10" s="151" t="n">
        <v>2.65</v>
      </c>
      <c r="AV10" s="151" t="n">
        <v>2.65</v>
      </c>
      <c r="AW10" s="151" t="n">
        <v>2.65</v>
      </c>
      <c r="AX10" s="2" t="inlineStr">
        <is>
          <t>Hawkish</t>
        </is>
      </c>
      <c r="AZ10" s="143" t="n">
        <v>3.5</v>
      </c>
      <c r="BA10" s="144" t="n">
        <v>7</v>
      </c>
    </row>
    <row r="11" ht="14.5" customHeight="1">
      <c r="AZ11" s="143" t="n">
        <v>3</v>
      </c>
      <c r="BA11" s="144" t="n">
        <v>6</v>
      </c>
    </row>
    <row r="12" ht="14.5" customHeight="1">
      <c r="AA12" s="82" t="n"/>
      <c r="AB12" s="82" t="n"/>
      <c r="AC12" s="82" t="n"/>
      <c r="AD12" s="82" t="n"/>
      <c r="AE12" s="82" t="n"/>
      <c r="AF12" s="152" t="n"/>
      <c r="AZ12" s="143" t="n">
        <v>2.5</v>
      </c>
      <c r="BA12" s="144" t="n">
        <v>5</v>
      </c>
    </row>
    <row r="13" ht="14.5" customHeight="1">
      <c r="AZ13" s="143" t="n">
        <v>2</v>
      </c>
      <c r="BA13" s="144" t="n">
        <v>4</v>
      </c>
    </row>
    <row r="14" ht="24" customHeight="1">
      <c r="B14" s="153" t="inlineStr">
        <is>
          <t>SPREAD IR DIFF</t>
        </is>
      </c>
      <c r="C14" s="135" t="n">
        <v>44927</v>
      </c>
      <c r="D14" s="135" t="n">
        <v>44958</v>
      </c>
      <c r="E14" s="135" t="n">
        <v>44986</v>
      </c>
      <c r="F14" s="135" t="n">
        <v>45017</v>
      </c>
      <c r="G14" s="135" t="n">
        <v>45047</v>
      </c>
      <c r="H14" s="135" t="n">
        <v>45078</v>
      </c>
      <c r="I14" s="135" t="n">
        <v>45108</v>
      </c>
      <c r="J14" s="135" t="n">
        <v>45139</v>
      </c>
      <c r="K14" s="135" t="n">
        <v>45170</v>
      </c>
      <c r="L14" s="135" t="n">
        <v>45200</v>
      </c>
      <c r="M14" s="135" t="n">
        <v>45231</v>
      </c>
      <c r="N14" s="135" t="n">
        <v>45261</v>
      </c>
      <c r="O14" s="135" t="n">
        <v>45292</v>
      </c>
      <c r="P14" s="135" t="n">
        <v>45323</v>
      </c>
      <c r="Q14" s="135" t="n">
        <v>45352</v>
      </c>
      <c r="AZ14" s="143" t="n">
        <v>1.5</v>
      </c>
      <c r="BA14" s="144" t="n">
        <v>3</v>
      </c>
    </row>
    <row r="15" ht="25" customHeight="1">
      <c r="B15" s="154" t="inlineStr">
        <is>
          <t>USD JPY</t>
        </is>
      </c>
      <c r="C15" s="155">
        <f>C9-C5</f>
        <v/>
      </c>
      <c r="D15" s="155">
        <f>D9-D5</f>
        <v/>
      </c>
      <c r="E15" s="155">
        <f>E9-E5</f>
        <v/>
      </c>
      <c r="F15" s="155">
        <f>F9-F5</f>
        <v/>
      </c>
      <c r="G15" s="155">
        <f>G9-G5</f>
        <v/>
      </c>
      <c r="H15" s="155">
        <f>H9-H5</f>
        <v/>
      </c>
      <c r="I15" s="155">
        <f>I9-I5</f>
        <v/>
      </c>
      <c r="J15" s="155">
        <f>J9-J5</f>
        <v/>
      </c>
      <c r="K15" s="155">
        <f>K9-K5</f>
        <v/>
      </c>
      <c r="L15" s="155">
        <f>L9-L5</f>
        <v/>
      </c>
      <c r="M15" s="155">
        <f>M9-M5</f>
        <v/>
      </c>
      <c r="N15" s="155">
        <f>N9-N5</f>
        <v/>
      </c>
      <c r="O15" s="155">
        <f>O9-O5</f>
        <v/>
      </c>
      <c r="P15" s="155">
        <f>P9-P5</f>
        <v/>
      </c>
      <c r="Q15" s="155">
        <f>Q9-Q5</f>
        <v/>
      </c>
      <c r="R15" s="155">
        <f>R9-R5</f>
        <v/>
      </c>
      <c r="S15" s="155">
        <f>S9-S5</f>
        <v/>
      </c>
      <c r="T15" s="155">
        <f>T9-T5</f>
        <v/>
      </c>
      <c r="U15" s="155">
        <f>U9-U5</f>
        <v/>
      </c>
      <c r="V15" s="155">
        <f>V9-V5</f>
        <v/>
      </c>
      <c r="W15" s="155">
        <f>W9-W5</f>
        <v/>
      </c>
      <c r="X15" s="155">
        <f>X9-X5</f>
        <v/>
      </c>
      <c r="Y15" s="155">
        <f>Y9-Y5</f>
        <v/>
      </c>
      <c r="Z15" s="155">
        <f>Z9-Z5</f>
        <v/>
      </c>
      <c r="AA15" s="155">
        <f>AA9-AA5</f>
        <v/>
      </c>
      <c r="AB15" s="155">
        <f>AB9-AB5</f>
        <v/>
      </c>
      <c r="AC15" s="155">
        <f>AC9-AC5</f>
        <v/>
      </c>
      <c r="AD15" s="155">
        <f>AD9-AD5</f>
        <v/>
      </c>
      <c r="AE15" s="155">
        <f>AE9-AE5</f>
        <v/>
      </c>
      <c r="AF15" s="155">
        <f>AF9-AF5</f>
        <v/>
      </c>
      <c r="AG15" s="155">
        <f>AG9-AG5</f>
        <v/>
      </c>
      <c r="AH15" s="155">
        <f>AH9-AH5</f>
        <v/>
      </c>
      <c r="AI15" s="155">
        <f>AI9-AI5</f>
        <v/>
      </c>
      <c r="AJ15" s="155">
        <f>AJ9-AJ5</f>
        <v/>
      </c>
      <c r="AK15" s="155">
        <f>AK9-AK5</f>
        <v/>
      </c>
      <c r="AL15" s="155">
        <f>AL9-AL5</f>
        <v/>
      </c>
      <c r="AM15" s="155">
        <f>AM9-AM5</f>
        <v/>
      </c>
      <c r="AN15" s="155">
        <f>AN9-AN5</f>
        <v/>
      </c>
      <c r="AO15" s="156">
        <f>AO9-AO5</f>
        <v/>
      </c>
      <c r="AP15" s="156">
        <f>AP9-AP5</f>
        <v/>
      </c>
      <c r="AQ15" s="156">
        <f>AQ9-AQ5</f>
        <v/>
      </c>
      <c r="AR15" s="156">
        <f>AR9-AR5</f>
        <v/>
      </c>
      <c r="AS15" s="156">
        <f>AS9-AS5</f>
        <v/>
      </c>
      <c r="AT15" s="156">
        <f>AT9-AT5</f>
        <v/>
      </c>
      <c r="AU15" s="156">
        <f>AU9-AU5</f>
        <v/>
      </c>
      <c r="AV15" s="156">
        <f>AV9-AV5</f>
        <v/>
      </c>
      <c r="AW15" s="156">
        <f>AW9-AW5</f>
        <v/>
      </c>
      <c r="AX15" s="156">
        <f>AX9-AX5</f>
        <v/>
      </c>
      <c r="AZ15" s="143" t="n">
        <v>1</v>
      </c>
      <c r="BA15" s="144" t="n">
        <v>2</v>
      </c>
    </row>
    <row r="16" ht="25" customHeight="1">
      <c r="B16" s="282" t="inlineStr">
        <is>
          <t>USD CHF</t>
        </is>
      </c>
      <c r="C16" s="155">
        <f>C9-C6</f>
        <v/>
      </c>
      <c r="D16" s="155">
        <f>D9-D6</f>
        <v/>
      </c>
      <c r="E16" s="155">
        <f>E9-E6</f>
        <v/>
      </c>
      <c r="F16" s="155">
        <f>F9-F6</f>
        <v/>
      </c>
      <c r="G16" s="155">
        <f>G9-G6</f>
        <v/>
      </c>
      <c r="H16" s="155">
        <f>H9-H6</f>
        <v/>
      </c>
      <c r="I16" s="155">
        <f>I9-I6</f>
        <v/>
      </c>
      <c r="J16" s="155">
        <f>J9-J6</f>
        <v/>
      </c>
      <c r="K16" s="155">
        <f>K9-K6</f>
        <v/>
      </c>
      <c r="L16" s="155">
        <f>L9-L6</f>
        <v/>
      </c>
      <c r="M16" s="155">
        <f>M9-M6</f>
        <v/>
      </c>
      <c r="N16" s="155">
        <f>N9-N6</f>
        <v/>
      </c>
      <c r="O16" s="155">
        <f>O9-O6</f>
        <v/>
      </c>
      <c r="P16" s="155">
        <f>P9-P6</f>
        <v/>
      </c>
      <c r="Q16" s="155">
        <f>Q9-Q6</f>
        <v/>
      </c>
      <c r="R16" s="155">
        <f>R9-R6</f>
        <v/>
      </c>
      <c r="S16" s="155">
        <f>S9-S6</f>
        <v/>
      </c>
      <c r="T16" s="155">
        <f>T9-T6</f>
        <v/>
      </c>
      <c r="U16" s="155">
        <f>U9-U6</f>
        <v/>
      </c>
      <c r="V16" s="155">
        <f>V9-V6</f>
        <v/>
      </c>
      <c r="W16" s="155">
        <f>W9-W6</f>
        <v/>
      </c>
      <c r="X16" s="155">
        <f>X9-X6</f>
        <v/>
      </c>
      <c r="Y16" s="155">
        <f>Y9-Y6</f>
        <v/>
      </c>
      <c r="Z16" s="155">
        <f>Z9-Z6</f>
        <v/>
      </c>
      <c r="AA16" s="155">
        <f>AA9-AA6</f>
        <v/>
      </c>
      <c r="AB16" s="155">
        <f>AB9-AB6</f>
        <v/>
      </c>
      <c r="AC16" s="155">
        <f>AC9-AC6</f>
        <v/>
      </c>
      <c r="AD16" s="155">
        <f>AD9-AD6</f>
        <v/>
      </c>
      <c r="AE16" s="155">
        <f>AE9-AE6</f>
        <v/>
      </c>
      <c r="AF16" s="155">
        <f>AF9-AF6</f>
        <v/>
      </c>
      <c r="AG16" s="155">
        <f>AG9-AG6</f>
        <v/>
      </c>
      <c r="AH16" s="155">
        <f>AH9-AH6</f>
        <v/>
      </c>
      <c r="AI16" s="155">
        <f>AI9-AI6</f>
        <v/>
      </c>
      <c r="AJ16" s="155">
        <f>AJ9-AJ6</f>
        <v/>
      </c>
      <c r="AK16" s="155">
        <f>AK9-AK6</f>
        <v/>
      </c>
      <c r="AL16" s="155">
        <f>AL9-AL6</f>
        <v/>
      </c>
      <c r="AM16" s="155">
        <f>AM9-AM6</f>
        <v/>
      </c>
      <c r="AN16" s="155">
        <f>AN9-AN6</f>
        <v/>
      </c>
      <c r="AO16" s="156">
        <f>AO9-AO6</f>
        <v/>
      </c>
      <c r="AP16" s="156">
        <f>AP9-AP6</f>
        <v/>
      </c>
      <c r="AQ16" s="156">
        <f>AQ9-AQ6</f>
        <v/>
      </c>
      <c r="AR16" s="156">
        <f>AR9-AR6</f>
        <v/>
      </c>
      <c r="AS16" s="156">
        <f>AS9-AS6</f>
        <v/>
      </c>
      <c r="AT16" s="156">
        <f>AT9-AT6</f>
        <v/>
      </c>
      <c r="AU16" s="156">
        <f>AU9-AU6</f>
        <v/>
      </c>
      <c r="AV16" s="156">
        <f>AV9-AV6</f>
        <v/>
      </c>
      <c r="AW16" s="156">
        <f>AW9-AW6</f>
        <v/>
      </c>
      <c r="AX16" s="156">
        <f>AX9-AX6</f>
        <v/>
      </c>
      <c r="AZ16" s="143" t="n">
        <v>0.5</v>
      </c>
      <c r="BA16" s="144" t="n">
        <v>1</v>
      </c>
    </row>
    <row r="17" ht="25" customHeight="1">
      <c r="B17" s="282" t="inlineStr">
        <is>
          <t>USD CAD</t>
        </is>
      </c>
      <c r="C17" s="155">
        <f>C9-C4</f>
        <v/>
      </c>
      <c r="D17" s="155">
        <f>D9-D4</f>
        <v/>
      </c>
      <c r="E17" s="155">
        <f>E9-E4</f>
        <v/>
      </c>
      <c r="F17" s="155">
        <f>F9-F4</f>
        <v/>
      </c>
      <c r="G17" s="155">
        <f>G9-G4</f>
        <v/>
      </c>
      <c r="H17" s="155">
        <f>H9-H4</f>
        <v/>
      </c>
      <c r="I17" s="155">
        <f>I9-I4</f>
        <v/>
      </c>
      <c r="J17" s="155">
        <f>J9-J4</f>
        <v/>
      </c>
      <c r="K17" s="155">
        <f>K9-K4</f>
        <v/>
      </c>
      <c r="L17" s="155">
        <f>L9-L4</f>
        <v/>
      </c>
      <c r="M17" s="155">
        <f>M9-M4</f>
        <v/>
      </c>
      <c r="N17" s="155">
        <f>N9-N4</f>
        <v/>
      </c>
      <c r="O17" s="155">
        <f>O9-O4</f>
        <v/>
      </c>
      <c r="P17" s="155">
        <f>P9-P4</f>
        <v/>
      </c>
      <c r="Q17" s="155">
        <f>Q9-Q4</f>
        <v/>
      </c>
      <c r="R17" s="155">
        <f>R9-R4</f>
        <v/>
      </c>
      <c r="S17" s="155">
        <f>S9-S4</f>
        <v/>
      </c>
      <c r="T17" s="155">
        <f>T9-T4</f>
        <v/>
      </c>
      <c r="U17" s="155">
        <f>U9-U4</f>
        <v/>
      </c>
      <c r="V17" s="155">
        <f>V9-V4</f>
        <v/>
      </c>
      <c r="W17" s="155">
        <f>W9-W4</f>
        <v/>
      </c>
      <c r="X17" s="155">
        <f>X9-X4</f>
        <v/>
      </c>
      <c r="Y17" s="155">
        <f>Y9-Y4</f>
        <v/>
      </c>
      <c r="Z17" s="155">
        <f>Z9-Z4</f>
        <v/>
      </c>
      <c r="AA17" s="155">
        <f>AA9-AA4</f>
        <v/>
      </c>
      <c r="AB17" s="155">
        <f>AB9-AB4</f>
        <v/>
      </c>
      <c r="AC17" s="155">
        <f>AC9-AC4</f>
        <v/>
      </c>
      <c r="AD17" s="155">
        <f>AD9-AD4</f>
        <v/>
      </c>
      <c r="AE17" s="155">
        <f>AE9-AE4</f>
        <v/>
      </c>
      <c r="AF17" s="155">
        <f>AF9-AF4</f>
        <v/>
      </c>
      <c r="AG17" s="155">
        <f>AG9-AG4</f>
        <v/>
      </c>
      <c r="AH17" s="155">
        <f>AH9-AH4</f>
        <v/>
      </c>
      <c r="AI17" s="155">
        <f>AI9-AI4</f>
        <v/>
      </c>
      <c r="AJ17" s="155">
        <f>AJ9-AJ4</f>
        <v/>
      </c>
      <c r="AK17" s="155">
        <f>AK9-AK4</f>
        <v/>
      </c>
      <c r="AL17" s="155">
        <f>AL9-AL4</f>
        <v/>
      </c>
      <c r="AM17" s="155">
        <f>AM9-AM4</f>
        <v/>
      </c>
      <c r="AN17" s="155">
        <f>AN9-AN4</f>
        <v/>
      </c>
      <c r="AO17" s="156">
        <f>AO9-AO4</f>
        <v/>
      </c>
      <c r="AP17" s="156">
        <f>AP9-AP4</f>
        <v/>
      </c>
      <c r="AQ17" s="156">
        <f>AQ9-AQ4</f>
        <v/>
      </c>
      <c r="AR17" s="156">
        <f>AR9-AR4</f>
        <v/>
      </c>
      <c r="AS17" s="156">
        <f>AS9-AS4</f>
        <v/>
      </c>
      <c r="AT17" s="156">
        <f>AT9-AT4</f>
        <v/>
      </c>
      <c r="AU17" s="156">
        <f>AU9-AU4</f>
        <v/>
      </c>
      <c r="AV17" s="156">
        <f>AV9-AV4</f>
        <v/>
      </c>
      <c r="AW17" s="156">
        <f>AW9-AW4</f>
        <v/>
      </c>
      <c r="AX17" s="156">
        <f>AX9-AX4</f>
        <v/>
      </c>
      <c r="AZ17" s="158" t="n">
        <v>0</v>
      </c>
      <c r="BA17" s="159" t="n">
        <v>0</v>
      </c>
    </row>
    <row r="18" ht="25" customHeight="1">
      <c r="B18" s="160" t="inlineStr">
        <is>
          <t>EUR USD</t>
        </is>
      </c>
      <c r="C18" s="155">
        <f>C10-C9</f>
        <v/>
      </c>
      <c r="D18" s="155">
        <f>D10-D9</f>
        <v/>
      </c>
      <c r="E18" s="155">
        <f>E10-E9</f>
        <v/>
      </c>
      <c r="F18" s="155">
        <f>F10-F9</f>
        <v/>
      </c>
      <c r="G18" s="155">
        <f>G10-G9</f>
        <v/>
      </c>
      <c r="H18" s="155">
        <f>H10-H9</f>
        <v/>
      </c>
      <c r="I18" s="155">
        <f>I10-I9</f>
        <v/>
      </c>
      <c r="J18" s="155">
        <f>J10-J9</f>
        <v/>
      </c>
      <c r="K18" s="155">
        <f>K10-K9</f>
        <v/>
      </c>
      <c r="L18" s="155">
        <f>L10-L9</f>
        <v/>
      </c>
      <c r="M18" s="155">
        <f>M10-M9</f>
        <v/>
      </c>
      <c r="N18" s="155">
        <f>N10-N9</f>
        <v/>
      </c>
      <c r="O18" s="155">
        <f>O10-O9</f>
        <v/>
      </c>
      <c r="P18" s="155">
        <f>P10-P9</f>
        <v/>
      </c>
      <c r="Q18" s="155">
        <f>Q10-Q9</f>
        <v/>
      </c>
      <c r="R18" s="155">
        <f>R10-R9</f>
        <v/>
      </c>
      <c r="S18" s="155">
        <f>S10-S9</f>
        <v/>
      </c>
      <c r="T18" s="155">
        <f>T10-T9</f>
        <v/>
      </c>
      <c r="U18" s="155">
        <f>U10-U9</f>
        <v/>
      </c>
      <c r="V18" s="155">
        <f>V10-V9</f>
        <v/>
      </c>
      <c r="W18" s="155">
        <f>W10-W9</f>
        <v/>
      </c>
      <c r="X18" s="155">
        <f>X10-X9</f>
        <v/>
      </c>
      <c r="Y18" s="155">
        <f>Y10-Y9</f>
        <v/>
      </c>
      <c r="Z18" s="155">
        <f>Z10-Z9</f>
        <v/>
      </c>
      <c r="AA18" s="155">
        <f>AA10-AA9</f>
        <v/>
      </c>
      <c r="AB18" s="155">
        <f>AB10-AB9</f>
        <v/>
      </c>
      <c r="AC18" s="155">
        <f>AC10-AC9</f>
        <v/>
      </c>
      <c r="AD18" s="155">
        <f>AD10-AD9</f>
        <v/>
      </c>
      <c r="AE18" s="155">
        <f>AE10-AE9</f>
        <v/>
      </c>
      <c r="AF18" s="155">
        <f>AF10-AF9</f>
        <v/>
      </c>
      <c r="AG18" s="155">
        <f>AG10-AG9</f>
        <v/>
      </c>
      <c r="AH18" s="155">
        <f>AH10-AH9</f>
        <v/>
      </c>
      <c r="AI18" s="155">
        <f>AI10-AI9</f>
        <v/>
      </c>
      <c r="AJ18" s="155">
        <f>AJ10-AJ9</f>
        <v/>
      </c>
      <c r="AK18" s="155">
        <f>AK10-AK9</f>
        <v/>
      </c>
      <c r="AL18" s="155">
        <f>AL10-AL9</f>
        <v/>
      </c>
      <c r="AM18" s="155">
        <f>AM10-AM9</f>
        <v/>
      </c>
      <c r="AN18" s="155">
        <f>AN10-AN9</f>
        <v/>
      </c>
      <c r="AO18" s="156">
        <f>AO10-AO9</f>
        <v/>
      </c>
      <c r="AP18" s="156">
        <f>AP10-AP9</f>
        <v/>
      </c>
      <c r="AQ18" s="156">
        <f>AQ10-AQ9</f>
        <v/>
      </c>
      <c r="AR18" s="156">
        <f>AR10-AR9</f>
        <v/>
      </c>
      <c r="AS18" s="156">
        <f>AS10-AS9</f>
        <v/>
      </c>
      <c r="AT18" s="156">
        <f>AT10-AT9</f>
        <v/>
      </c>
      <c r="AU18" s="156">
        <f>AU10-AU9</f>
        <v/>
      </c>
      <c r="AV18" s="156">
        <f>AV10-AV9</f>
        <v/>
      </c>
      <c r="AW18" s="156">
        <f>AW10-AW9</f>
        <v/>
      </c>
      <c r="AX18" s="156">
        <f>AX10-AX9</f>
        <v/>
      </c>
      <c r="AZ18" s="143" t="n">
        <v>-0.5</v>
      </c>
      <c r="BA18" s="161" t="n">
        <v>-1</v>
      </c>
    </row>
    <row r="19" ht="25" customHeight="1">
      <c r="B19" s="160" t="inlineStr">
        <is>
          <t>EUR JPY</t>
        </is>
      </c>
      <c r="C19" s="155">
        <f>C10-C5</f>
        <v/>
      </c>
      <c r="D19" s="155">
        <f>D10-D5</f>
        <v/>
      </c>
      <c r="E19" s="155">
        <f>E10-E5</f>
        <v/>
      </c>
      <c r="F19" s="155">
        <f>F10-F5</f>
        <v/>
      </c>
      <c r="G19" s="155">
        <f>G10-G5</f>
        <v/>
      </c>
      <c r="H19" s="155">
        <f>H10-H5</f>
        <v/>
      </c>
      <c r="I19" s="155">
        <f>I10-I5</f>
        <v/>
      </c>
      <c r="J19" s="155">
        <f>J10-J5</f>
        <v/>
      </c>
      <c r="K19" s="155">
        <f>K10-K5</f>
        <v/>
      </c>
      <c r="L19" s="155">
        <f>L10-L5</f>
        <v/>
      </c>
      <c r="M19" s="155">
        <f>M10-M5</f>
        <v/>
      </c>
      <c r="N19" s="155">
        <f>N10-N5</f>
        <v/>
      </c>
      <c r="O19" s="155">
        <f>O10-O5</f>
        <v/>
      </c>
      <c r="P19" s="155">
        <f>P10-P5</f>
        <v/>
      </c>
      <c r="Q19" s="155">
        <f>Q10-Q5</f>
        <v/>
      </c>
      <c r="R19" s="155">
        <f>R10-R5</f>
        <v/>
      </c>
      <c r="S19" s="155">
        <f>S10-S5</f>
        <v/>
      </c>
      <c r="T19" s="155">
        <f>T10-T5</f>
        <v/>
      </c>
      <c r="U19" s="155">
        <f>U10-U5</f>
        <v/>
      </c>
      <c r="V19" s="155">
        <f>V10-V5</f>
        <v/>
      </c>
      <c r="W19" s="155">
        <f>W10-W5</f>
        <v/>
      </c>
      <c r="X19" s="155">
        <f>X10-X5</f>
        <v/>
      </c>
      <c r="Y19" s="155">
        <f>Y10-Y5</f>
        <v/>
      </c>
      <c r="Z19" s="155">
        <f>Z10-Z5</f>
        <v/>
      </c>
      <c r="AA19" s="155">
        <f>AA10-AA5</f>
        <v/>
      </c>
      <c r="AB19" s="155">
        <f>AB10-AB5</f>
        <v/>
      </c>
      <c r="AC19" s="155">
        <f>AC10-AC5</f>
        <v/>
      </c>
      <c r="AD19" s="155">
        <f>AD10-AD5</f>
        <v/>
      </c>
      <c r="AE19" s="155">
        <f>AE10-AE5</f>
        <v/>
      </c>
      <c r="AF19" s="155">
        <f>AF10-AF5</f>
        <v/>
      </c>
      <c r="AG19" s="155">
        <f>AG10-AG5</f>
        <v/>
      </c>
      <c r="AH19" s="155">
        <f>AH10-AH5</f>
        <v/>
      </c>
      <c r="AI19" s="155">
        <f>AI10-AI5</f>
        <v/>
      </c>
      <c r="AJ19" s="155">
        <f>AJ10-AJ5</f>
        <v/>
      </c>
      <c r="AK19" s="155">
        <f>AK10-AK5</f>
        <v/>
      </c>
      <c r="AL19" s="155">
        <f>AL10-AL5</f>
        <v/>
      </c>
      <c r="AM19" s="155">
        <f>AM10-AM5</f>
        <v/>
      </c>
      <c r="AN19" s="155">
        <f>AN10-AN5</f>
        <v/>
      </c>
      <c r="AO19" s="156">
        <f>AO10-AO5</f>
        <v/>
      </c>
      <c r="AP19" s="156">
        <f>AP10-AP5</f>
        <v/>
      </c>
      <c r="AQ19" s="156">
        <f>AQ10-AQ5</f>
        <v/>
      </c>
      <c r="AR19" s="156">
        <f>AR10-AR5</f>
        <v/>
      </c>
      <c r="AS19" s="156">
        <f>AS10-AS5</f>
        <v/>
      </c>
      <c r="AT19" s="156">
        <f>AT10-AT5</f>
        <v/>
      </c>
      <c r="AU19" s="156">
        <f>AU10-AU5</f>
        <v/>
      </c>
      <c r="AV19" s="156">
        <f>AV10-AV5</f>
        <v/>
      </c>
      <c r="AW19" s="156">
        <f>AW10-AW5</f>
        <v/>
      </c>
      <c r="AX19" s="156">
        <f>AX10-AX5</f>
        <v/>
      </c>
      <c r="AZ19" s="143" t="n">
        <v>-1</v>
      </c>
      <c r="BA19" s="161" t="n">
        <v>-2</v>
      </c>
    </row>
    <row r="20" ht="25" customHeight="1">
      <c r="B20" s="160" t="inlineStr">
        <is>
          <t>EUR CHF</t>
        </is>
      </c>
      <c r="C20" s="155">
        <f>C10-C6</f>
        <v/>
      </c>
      <c r="D20" s="155">
        <f>D10-D6</f>
        <v/>
      </c>
      <c r="E20" s="155">
        <f>E10-E6</f>
        <v/>
      </c>
      <c r="F20" s="155">
        <f>F10-F6</f>
        <v/>
      </c>
      <c r="G20" s="155">
        <f>G10-G6</f>
        <v/>
      </c>
      <c r="H20" s="155">
        <f>H10-H6</f>
        <v/>
      </c>
      <c r="I20" s="155">
        <f>I10-I6</f>
        <v/>
      </c>
      <c r="J20" s="155">
        <f>J10-J6</f>
        <v/>
      </c>
      <c r="K20" s="155">
        <f>K10-K6</f>
        <v/>
      </c>
      <c r="L20" s="155">
        <f>L10-L6</f>
        <v/>
      </c>
      <c r="M20" s="155">
        <f>M10-M6</f>
        <v/>
      </c>
      <c r="N20" s="155">
        <f>N10-N6</f>
        <v/>
      </c>
      <c r="O20" s="155">
        <f>O10-O6</f>
        <v/>
      </c>
      <c r="P20" s="155">
        <f>P10-P6</f>
        <v/>
      </c>
      <c r="Q20" s="155">
        <f>Q10-Q6</f>
        <v/>
      </c>
      <c r="R20" s="155">
        <f>R10-R6</f>
        <v/>
      </c>
      <c r="S20" s="155">
        <f>S10-S6</f>
        <v/>
      </c>
      <c r="T20" s="155">
        <f>T10-T6</f>
        <v/>
      </c>
      <c r="U20" s="155">
        <f>U10-U6</f>
        <v/>
      </c>
      <c r="V20" s="155">
        <f>V10-V6</f>
        <v/>
      </c>
      <c r="W20" s="155">
        <f>W10-W6</f>
        <v/>
      </c>
      <c r="X20" s="155">
        <f>X10-X6</f>
        <v/>
      </c>
      <c r="Y20" s="155">
        <f>Y10-Y6</f>
        <v/>
      </c>
      <c r="Z20" s="155">
        <f>Z10-Z6</f>
        <v/>
      </c>
      <c r="AA20" s="155">
        <f>AA10-AA6</f>
        <v/>
      </c>
      <c r="AB20" s="155">
        <f>AB10-AB6</f>
        <v/>
      </c>
      <c r="AC20" s="155">
        <f>AC10-AC6</f>
        <v/>
      </c>
      <c r="AD20" s="155">
        <f>AD10-AD6</f>
        <v/>
      </c>
      <c r="AE20" s="155">
        <f>AE10-AE6</f>
        <v/>
      </c>
      <c r="AF20" s="155">
        <f>AF10-AF6</f>
        <v/>
      </c>
      <c r="AG20" s="155">
        <f>AG10-AG6</f>
        <v/>
      </c>
      <c r="AH20" s="155">
        <f>AH10-AH6</f>
        <v/>
      </c>
      <c r="AI20" s="155">
        <f>AI10-AI6</f>
        <v/>
      </c>
      <c r="AJ20" s="155">
        <f>AJ10-AJ6</f>
        <v/>
      </c>
      <c r="AK20" s="155">
        <f>AK10-AK6</f>
        <v/>
      </c>
      <c r="AL20" s="155">
        <f>AL10-AL6</f>
        <v/>
      </c>
      <c r="AM20" s="155">
        <f>AM10-AM6</f>
        <v/>
      </c>
      <c r="AN20" s="155">
        <f>AN10-AN6</f>
        <v/>
      </c>
      <c r="AO20" s="156">
        <f>AO10-AO6</f>
        <v/>
      </c>
      <c r="AP20" s="156">
        <f>AP10-AP6</f>
        <v/>
      </c>
      <c r="AQ20" s="156">
        <f>AQ10-AQ6</f>
        <v/>
      </c>
      <c r="AR20" s="156">
        <f>AR10-AR6</f>
        <v/>
      </c>
      <c r="AS20" s="156">
        <f>AS10-AS6</f>
        <v/>
      </c>
      <c r="AT20" s="156">
        <f>AT10-AT6</f>
        <v/>
      </c>
      <c r="AU20" s="156">
        <f>AU10-AU6</f>
        <v/>
      </c>
      <c r="AV20" s="156">
        <f>AV10-AV6</f>
        <v/>
      </c>
      <c r="AW20" s="156">
        <f>AW10-AW6</f>
        <v/>
      </c>
      <c r="AX20" s="156">
        <f>AX10-AX6</f>
        <v/>
      </c>
      <c r="AZ20" s="143" t="n">
        <v>-1.5</v>
      </c>
      <c r="BA20" s="161" t="n">
        <v>-3</v>
      </c>
    </row>
    <row r="21" ht="25" customHeight="1">
      <c r="B21" s="160" t="inlineStr">
        <is>
          <t>EUR GBP</t>
        </is>
      </c>
      <c r="C21" s="155">
        <f>C10-C8</f>
        <v/>
      </c>
      <c r="D21" s="155">
        <f>D10-D8</f>
        <v/>
      </c>
      <c r="E21" s="155">
        <f>E10-E8</f>
        <v/>
      </c>
      <c r="F21" s="155">
        <f>F10-F8</f>
        <v/>
      </c>
      <c r="G21" s="155">
        <f>G10-G8</f>
        <v/>
      </c>
      <c r="H21" s="155">
        <f>H10-H8</f>
        <v/>
      </c>
      <c r="I21" s="155">
        <f>I10-I8</f>
        <v/>
      </c>
      <c r="J21" s="155">
        <f>J10-J8</f>
        <v/>
      </c>
      <c r="K21" s="155">
        <f>K10-K8</f>
        <v/>
      </c>
      <c r="L21" s="155">
        <f>L10-L8</f>
        <v/>
      </c>
      <c r="M21" s="155">
        <f>M10-M8</f>
        <v/>
      </c>
      <c r="N21" s="155">
        <f>N10-N8</f>
        <v/>
      </c>
      <c r="O21" s="155">
        <f>O10-O8</f>
        <v/>
      </c>
      <c r="P21" s="155">
        <f>P10-P8</f>
        <v/>
      </c>
      <c r="Q21" s="155">
        <f>Q10-Q8</f>
        <v/>
      </c>
      <c r="R21" s="155">
        <f>R10-R8</f>
        <v/>
      </c>
      <c r="S21" s="155">
        <f>S10-S8</f>
        <v/>
      </c>
      <c r="T21" s="155">
        <f>T10-T8</f>
        <v/>
      </c>
      <c r="U21" s="155">
        <f>U10-U8</f>
        <v/>
      </c>
      <c r="V21" s="155">
        <f>V10-V8</f>
        <v/>
      </c>
      <c r="W21" s="155">
        <f>W10-W8</f>
        <v/>
      </c>
      <c r="X21" s="155">
        <f>X10-X8</f>
        <v/>
      </c>
      <c r="Y21" s="155">
        <f>Y10-Y8</f>
        <v/>
      </c>
      <c r="Z21" s="155">
        <f>Z10-Z8</f>
        <v/>
      </c>
      <c r="AA21" s="155">
        <f>AA10-AA8</f>
        <v/>
      </c>
      <c r="AB21" s="155">
        <f>AB10-AB8</f>
        <v/>
      </c>
      <c r="AC21" s="155">
        <f>AC10-AC8</f>
        <v/>
      </c>
      <c r="AD21" s="155">
        <f>AD10-AD8</f>
        <v/>
      </c>
      <c r="AE21" s="155">
        <f>AE10-AE8</f>
        <v/>
      </c>
      <c r="AF21" s="155">
        <f>AF10-AF8</f>
        <v/>
      </c>
      <c r="AG21" s="155">
        <f>AG10-AG8</f>
        <v/>
      </c>
      <c r="AH21" s="155">
        <f>AH10-AH8</f>
        <v/>
      </c>
      <c r="AI21" s="155">
        <f>AI10-AI8</f>
        <v/>
      </c>
      <c r="AJ21" s="155">
        <f>AJ10-AJ8</f>
        <v/>
      </c>
      <c r="AK21" s="155">
        <f>AK10-AK8</f>
        <v/>
      </c>
      <c r="AL21" s="155">
        <f>AL10-AL8</f>
        <v/>
      </c>
      <c r="AM21" s="155">
        <f>AM10-AM8</f>
        <v/>
      </c>
      <c r="AN21" s="155">
        <f>AN10-AN8</f>
        <v/>
      </c>
      <c r="AO21" s="156">
        <f>AO10-AO8</f>
        <v/>
      </c>
      <c r="AP21" s="156">
        <f>AP10-AP8</f>
        <v/>
      </c>
      <c r="AQ21" s="156">
        <f>AQ10-AQ8</f>
        <v/>
      </c>
      <c r="AR21" s="156">
        <f>AR10-AR8</f>
        <v/>
      </c>
      <c r="AS21" s="156">
        <f>AS10-AS8</f>
        <v/>
      </c>
      <c r="AT21" s="156">
        <f>AT10-AT8</f>
        <v/>
      </c>
      <c r="AU21" s="156">
        <f>AU10-AU8</f>
        <v/>
      </c>
      <c r="AV21" s="156">
        <f>AV10-AV8</f>
        <v/>
      </c>
      <c r="AW21" s="156">
        <f>AW10-AW8</f>
        <v/>
      </c>
      <c r="AX21" s="156">
        <f>AX10-AX8</f>
        <v/>
      </c>
      <c r="AZ21" s="143" t="n">
        <v>-2</v>
      </c>
      <c r="BA21" s="161" t="n">
        <v>-4</v>
      </c>
    </row>
    <row r="22" ht="25" customHeight="1">
      <c r="B22" s="162" t="inlineStr">
        <is>
          <t>EUR CAD</t>
        </is>
      </c>
      <c r="C22" s="155">
        <f>C10-C4</f>
        <v/>
      </c>
      <c r="D22" s="155">
        <f>D10-D4</f>
        <v/>
      </c>
      <c r="E22" s="155">
        <f>E10-E4</f>
        <v/>
      </c>
      <c r="F22" s="155">
        <f>F10-F4</f>
        <v/>
      </c>
      <c r="G22" s="155">
        <f>G10-G4</f>
        <v/>
      </c>
      <c r="H22" s="155">
        <f>H10-H4</f>
        <v/>
      </c>
      <c r="I22" s="155">
        <f>I10-I4</f>
        <v/>
      </c>
      <c r="J22" s="155">
        <f>J10-J4</f>
        <v/>
      </c>
      <c r="K22" s="155">
        <f>K10-K4</f>
        <v/>
      </c>
      <c r="L22" s="155">
        <f>L10-L4</f>
        <v/>
      </c>
      <c r="M22" s="155">
        <f>M10-M4</f>
        <v/>
      </c>
      <c r="N22" s="155">
        <f>N10-N4</f>
        <v/>
      </c>
      <c r="O22" s="155">
        <f>O10-O4</f>
        <v/>
      </c>
      <c r="P22" s="155">
        <f>P10-P4</f>
        <v/>
      </c>
      <c r="Q22" s="155">
        <f>Q10-Q4</f>
        <v/>
      </c>
      <c r="R22" s="155">
        <f>R10-R4</f>
        <v/>
      </c>
      <c r="S22" s="155">
        <f>S10-S4</f>
        <v/>
      </c>
      <c r="T22" s="155">
        <f>T10-T4</f>
        <v/>
      </c>
      <c r="U22" s="155">
        <f>U10-U4</f>
        <v/>
      </c>
      <c r="V22" s="155">
        <f>V10-V4</f>
        <v/>
      </c>
      <c r="W22" s="155">
        <f>W10-W4</f>
        <v/>
      </c>
      <c r="X22" s="155">
        <f>X10-X4</f>
        <v/>
      </c>
      <c r="Y22" s="155">
        <f>Y10-Y4</f>
        <v/>
      </c>
      <c r="Z22" s="155">
        <f>Z10-Z4</f>
        <v/>
      </c>
      <c r="AA22" s="155">
        <f>AA10-AA4</f>
        <v/>
      </c>
      <c r="AB22" s="155">
        <f>AB10-AB4</f>
        <v/>
      </c>
      <c r="AC22" s="155">
        <f>AC10-AC4</f>
        <v/>
      </c>
      <c r="AD22" s="155">
        <f>AD10-AD4</f>
        <v/>
      </c>
      <c r="AE22" s="155">
        <f>AE10-AE4</f>
        <v/>
      </c>
      <c r="AF22" s="155">
        <f>AF10-AF4</f>
        <v/>
      </c>
      <c r="AG22" s="155">
        <f>AG10-AG4</f>
        <v/>
      </c>
      <c r="AH22" s="155">
        <f>AH10-AH4</f>
        <v/>
      </c>
      <c r="AI22" s="155">
        <f>AI10-AI4</f>
        <v/>
      </c>
      <c r="AJ22" s="155">
        <f>AJ10-AJ4</f>
        <v/>
      </c>
      <c r="AK22" s="155">
        <f>AK10-AK4</f>
        <v/>
      </c>
      <c r="AL22" s="155">
        <f>AL10-AL4</f>
        <v/>
      </c>
      <c r="AM22" s="155">
        <f>AM10-AM4</f>
        <v/>
      </c>
      <c r="AN22" s="155">
        <f>AN10-AN4</f>
        <v/>
      </c>
      <c r="AO22" s="156">
        <f>AO10-AO4</f>
        <v/>
      </c>
      <c r="AP22" s="156">
        <f>AP10-AP4</f>
        <v/>
      </c>
      <c r="AQ22" s="156">
        <f>AQ10-AQ4</f>
        <v/>
      </c>
      <c r="AR22" s="156">
        <f>AR10-AR4</f>
        <v/>
      </c>
      <c r="AS22" s="156">
        <f>AS10-AS4</f>
        <v/>
      </c>
      <c r="AT22" s="156">
        <f>AT10-AT4</f>
        <v/>
      </c>
      <c r="AU22" s="156">
        <f>AU10-AU4</f>
        <v/>
      </c>
      <c r="AV22" s="156">
        <f>AV10-AV4</f>
        <v/>
      </c>
      <c r="AW22" s="156">
        <f>AW10-AW4</f>
        <v/>
      </c>
      <c r="AX22" s="156">
        <f>AX10-AX4</f>
        <v/>
      </c>
      <c r="AZ22" s="143" t="n">
        <v>-2.5</v>
      </c>
      <c r="BA22" s="161" t="n">
        <v>-5</v>
      </c>
    </row>
    <row r="23" ht="25" customHeight="1">
      <c r="B23" s="160" t="inlineStr">
        <is>
          <t>EUR AUD</t>
        </is>
      </c>
      <c r="C23" s="155">
        <f>C10-C3</f>
        <v/>
      </c>
      <c r="D23" s="155">
        <f>D10-D3</f>
        <v/>
      </c>
      <c r="E23" s="155">
        <f>E10-E3</f>
        <v/>
      </c>
      <c r="F23" s="155">
        <f>F10-F3</f>
        <v/>
      </c>
      <c r="G23" s="155">
        <f>G10-G3</f>
        <v/>
      </c>
      <c r="H23" s="155">
        <f>H10-H3</f>
        <v/>
      </c>
      <c r="I23" s="155">
        <f>I10-I3</f>
        <v/>
      </c>
      <c r="J23" s="155">
        <f>J10-J3</f>
        <v/>
      </c>
      <c r="K23" s="155">
        <f>K10-K3</f>
        <v/>
      </c>
      <c r="L23" s="155">
        <f>L10-L3</f>
        <v/>
      </c>
      <c r="M23" s="155">
        <f>M10-M3</f>
        <v/>
      </c>
      <c r="N23" s="155">
        <f>N10-N3</f>
        <v/>
      </c>
      <c r="O23" s="155">
        <f>O10-O3</f>
        <v/>
      </c>
      <c r="P23" s="155">
        <f>P10-P3</f>
        <v/>
      </c>
      <c r="Q23" s="155">
        <f>Q10-Q3</f>
        <v/>
      </c>
      <c r="R23" s="155">
        <f>R10-R3</f>
        <v/>
      </c>
      <c r="S23" s="155">
        <f>S10-S3</f>
        <v/>
      </c>
      <c r="T23" s="155">
        <f>T10-T3</f>
        <v/>
      </c>
      <c r="U23" s="155">
        <f>U10-U3</f>
        <v/>
      </c>
      <c r="V23" s="155">
        <f>V10-V3</f>
        <v/>
      </c>
      <c r="W23" s="155">
        <f>W10-W3</f>
        <v/>
      </c>
      <c r="X23" s="155">
        <f>X10-X3</f>
        <v/>
      </c>
      <c r="Y23" s="155">
        <f>Y10-Y3</f>
        <v/>
      </c>
      <c r="Z23" s="155">
        <f>Z10-Z3</f>
        <v/>
      </c>
      <c r="AA23" s="155">
        <f>AA10-AA3</f>
        <v/>
      </c>
      <c r="AB23" s="155">
        <f>AB10-AB3</f>
        <v/>
      </c>
      <c r="AC23" s="155">
        <f>AC10-AC3</f>
        <v/>
      </c>
      <c r="AD23" s="155">
        <f>AD10-AD3</f>
        <v/>
      </c>
      <c r="AE23" s="155">
        <f>AE10-AE3</f>
        <v/>
      </c>
      <c r="AF23" s="155">
        <f>AF10-AF3</f>
        <v/>
      </c>
      <c r="AG23" s="155">
        <f>AG10-AG3</f>
        <v/>
      </c>
      <c r="AH23" s="155">
        <f>AH10-AH3</f>
        <v/>
      </c>
      <c r="AI23" s="155">
        <f>AI10-AI3</f>
        <v/>
      </c>
      <c r="AJ23" s="155">
        <f>AJ10-AJ3</f>
        <v/>
      </c>
      <c r="AK23" s="155">
        <f>AK10-AK3</f>
        <v/>
      </c>
      <c r="AL23" s="155">
        <f>AL10-AL3</f>
        <v/>
      </c>
      <c r="AM23" s="155">
        <f>AM10-AM3</f>
        <v/>
      </c>
      <c r="AN23" s="155">
        <f>AN10-AN3</f>
        <v/>
      </c>
      <c r="AO23" s="156">
        <f>AO10-AO3</f>
        <v/>
      </c>
      <c r="AP23" s="156">
        <f>AP10-AP3</f>
        <v/>
      </c>
      <c r="AQ23" s="156">
        <f>AQ10-AQ3</f>
        <v/>
      </c>
      <c r="AR23" s="156">
        <f>AR10-AR3</f>
        <v/>
      </c>
      <c r="AS23" s="156">
        <f>AS10-AS3</f>
        <v/>
      </c>
      <c r="AT23" s="156">
        <f>AT10-AT3</f>
        <v/>
      </c>
      <c r="AU23" s="156">
        <f>AU10-AU3</f>
        <v/>
      </c>
      <c r="AV23" s="156">
        <f>AV10-AV3</f>
        <v/>
      </c>
      <c r="AW23" s="156">
        <f>AW10-AW3</f>
        <v/>
      </c>
      <c r="AX23" s="156">
        <f>AX10-AX3</f>
        <v/>
      </c>
      <c r="AZ23" s="143" t="n">
        <v>-3</v>
      </c>
      <c r="BA23" s="161" t="n">
        <v>-6</v>
      </c>
    </row>
    <row r="24" ht="25" customHeight="1">
      <c r="B24" s="162" t="inlineStr">
        <is>
          <t>EUR NZD</t>
        </is>
      </c>
      <c r="C24" s="155">
        <f>C10-C7</f>
        <v/>
      </c>
      <c r="D24" s="155">
        <f>D10-D7</f>
        <v/>
      </c>
      <c r="E24" s="155">
        <f>E10-E7</f>
        <v/>
      </c>
      <c r="F24" s="155">
        <f>F10-F7</f>
        <v/>
      </c>
      <c r="G24" s="155">
        <f>G10-G7</f>
        <v/>
      </c>
      <c r="H24" s="155">
        <f>H10-H7</f>
        <v/>
      </c>
      <c r="I24" s="155">
        <f>I10-I7</f>
        <v/>
      </c>
      <c r="J24" s="155">
        <f>J10-J7</f>
        <v/>
      </c>
      <c r="K24" s="155">
        <f>K10-K7</f>
        <v/>
      </c>
      <c r="L24" s="155">
        <f>L10-L7</f>
        <v/>
      </c>
      <c r="M24" s="155">
        <f>M10-M7</f>
        <v/>
      </c>
      <c r="N24" s="155">
        <f>N10-N7</f>
        <v/>
      </c>
      <c r="O24" s="155">
        <f>O10-O7</f>
        <v/>
      </c>
      <c r="P24" s="155">
        <f>P10-P7</f>
        <v/>
      </c>
      <c r="Q24" s="155">
        <f>Q10-Q7</f>
        <v/>
      </c>
      <c r="R24" s="155">
        <f>R10-R7</f>
        <v/>
      </c>
      <c r="S24" s="155">
        <f>S10-S7</f>
        <v/>
      </c>
      <c r="T24" s="155">
        <f>T10-T7</f>
        <v/>
      </c>
      <c r="U24" s="155">
        <f>U10-U7</f>
        <v/>
      </c>
      <c r="V24" s="155">
        <f>V10-V7</f>
        <v/>
      </c>
      <c r="W24" s="155">
        <f>W10-W7</f>
        <v/>
      </c>
      <c r="X24" s="155">
        <f>X10-X7</f>
        <v/>
      </c>
      <c r="Y24" s="155">
        <f>Y10-Y7</f>
        <v/>
      </c>
      <c r="Z24" s="155">
        <f>Z10-Z7</f>
        <v/>
      </c>
      <c r="AA24" s="155">
        <f>AA10-AA7</f>
        <v/>
      </c>
      <c r="AB24" s="155">
        <f>AB10-AB7</f>
        <v/>
      </c>
      <c r="AC24" s="155">
        <f>AC10-AC7</f>
        <v/>
      </c>
      <c r="AD24" s="155">
        <f>AD10-AD7</f>
        <v/>
      </c>
      <c r="AE24" s="155">
        <f>AE10-AE7</f>
        <v/>
      </c>
      <c r="AF24" s="155">
        <f>AF10-AF7</f>
        <v/>
      </c>
      <c r="AG24" s="155">
        <f>AG10-AG7</f>
        <v/>
      </c>
      <c r="AH24" s="155">
        <f>AH10-AH7</f>
        <v/>
      </c>
      <c r="AI24" s="155">
        <f>AI10-AI7</f>
        <v/>
      </c>
      <c r="AJ24" s="155">
        <f>AJ10-AJ7</f>
        <v/>
      </c>
      <c r="AK24" s="155">
        <f>AK10-AK7</f>
        <v/>
      </c>
      <c r="AL24" s="155">
        <f>AL10-AL7</f>
        <v/>
      </c>
      <c r="AM24" s="155">
        <f>AM10-AM7</f>
        <v/>
      </c>
      <c r="AN24" s="155">
        <f>AN10-AN7</f>
        <v/>
      </c>
      <c r="AO24" s="156">
        <f>AO10-AO7</f>
        <v/>
      </c>
      <c r="AP24" s="156">
        <f>AP10-AP7</f>
        <v/>
      </c>
      <c r="AQ24" s="156">
        <f>AQ10-AQ7</f>
        <v/>
      </c>
      <c r="AR24" s="156">
        <f>AR10-AR7</f>
        <v/>
      </c>
      <c r="AS24" s="156">
        <f>AS10-AS7</f>
        <v/>
      </c>
      <c r="AT24" s="156">
        <f>AT10-AT7</f>
        <v/>
      </c>
      <c r="AU24" s="156">
        <f>AU10-AU7</f>
        <v/>
      </c>
      <c r="AV24" s="156">
        <f>AV10-AV7</f>
        <v/>
      </c>
      <c r="AW24" s="156">
        <f>AW10-AW7</f>
        <v/>
      </c>
      <c r="AX24" s="156">
        <f>AX10-AX7</f>
        <v/>
      </c>
      <c r="AZ24" s="143" t="n">
        <v>-3.5</v>
      </c>
      <c r="BA24" s="161" t="n">
        <v>-7</v>
      </c>
    </row>
    <row r="25" ht="25" customHeight="1">
      <c r="B25" s="163" t="inlineStr">
        <is>
          <t>GBP USD</t>
        </is>
      </c>
      <c r="C25" s="155">
        <f>C8-C9</f>
        <v/>
      </c>
      <c r="D25" s="155">
        <f>D8-D9</f>
        <v/>
      </c>
      <c r="E25" s="155">
        <f>E8-E9</f>
        <v/>
      </c>
      <c r="F25" s="155">
        <f>F8-F9</f>
        <v/>
      </c>
      <c r="G25" s="155">
        <f>G8-G9</f>
        <v/>
      </c>
      <c r="H25" s="155">
        <f>H8-H9</f>
        <v/>
      </c>
      <c r="I25" s="155">
        <f>I8-I9</f>
        <v/>
      </c>
      <c r="J25" s="155">
        <f>J8-J9</f>
        <v/>
      </c>
      <c r="K25" s="155">
        <f>K8-K9</f>
        <v/>
      </c>
      <c r="L25" s="155">
        <f>L8-L9</f>
        <v/>
      </c>
      <c r="M25" s="155">
        <f>M8-M9</f>
        <v/>
      </c>
      <c r="N25" s="155">
        <f>N8-N9</f>
        <v/>
      </c>
      <c r="O25" s="155">
        <f>O8-O9</f>
        <v/>
      </c>
      <c r="P25" s="155">
        <f>P8-P9</f>
        <v/>
      </c>
      <c r="Q25" s="155">
        <f>Q8-Q9</f>
        <v/>
      </c>
      <c r="R25" s="155">
        <f>R8-R9</f>
        <v/>
      </c>
      <c r="S25" s="155">
        <f>S8-S9</f>
        <v/>
      </c>
      <c r="T25" s="155">
        <f>T8-T9</f>
        <v/>
      </c>
      <c r="U25" s="155">
        <f>U8-U9</f>
        <v/>
      </c>
      <c r="V25" s="155">
        <f>V8-V9</f>
        <v/>
      </c>
      <c r="W25" s="155">
        <f>W8-W9</f>
        <v/>
      </c>
      <c r="X25" s="155">
        <f>X8-X9</f>
        <v/>
      </c>
      <c r="Y25" s="155">
        <f>Y8-Y9</f>
        <v/>
      </c>
      <c r="Z25" s="155">
        <f>Z8-Z9</f>
        <v/>
      </c>
      <c r="AA25" s="155">
        <f>AA8-AA9</f>
        <v/>
      </c>
      <c r="AB25" s="155">
        <f>AB8-AB9</f>
        <v/>
      </c>
      <c r="AC25" s="155">
        <f>AC8-AC9</f>
        <v/>
      </c>
      <c r="AD25" s="155">
        <f>AD8-AD9</f>
        <v/>
      </c>
      <c r="AE25" s="155">
        <f>AE8-AE9</f>
        <v/>
      </c>
      <c r="AF25" s="155">
        <f>AF8-AF9</f>
        <v/>
      </c>
      <c r="AG25" s="155">
        <f>AG8-AG9</f>
        <v/>
      </c>
      <c r="AH25" s="155">
        <f>AH8-AH9</f>
        <v/>
      </c>
      <c r="AI25" s="155">
        <f>AI8-AI9</f>
        <v/>
      </c>
      <c r="AJ25" s="155">
        <f>AJ8-AJ9</f>
        <v/>
      </c>
      <c r="AK25" s="155">
        <f>AK8-AK9</f>
        <v/>
      </c>
      <c r="AL25" s="155">
        <f>AL8-AL9</f>
        <v/>
      </c>
      <c r="AM25" s="155">
        <f>AM8-AM9</f>
        <v/>
      </c>
      <c r="AN25" s="155">
        <f>AN8-AN9</f>
        <v/>
      </c>
      <c r="AO25" s="156">
        <f>AO8-AO9</f>
        <v/>
      </c>
      <c r="AP25" s="156">
        <f>AP8-AP9</f>
        <v/>
      </c>
      <c r="AQ25" s="156">
        <f>AQ8-AQ9</f>
        <v/>
      </c>
      <c r="AR25" s="156">
        <f>AR8-AR9</f>
        <v/>
      </c>
      <c r="AS25" s="156">
        <f>AS8-AS9</f>
        <v/>
      </c>
      <c r="AT25" s="156">
        <f>AT8-AT9</f>
        <v/>
      </c>
      <c r="AU25" s="156">
        <f>AU8-AU9</f>
        <v/>
      </c>
      <c r="AV25" s="156">
        <f>AV8-AV9</f>
        <v/>
      </c>
      <c r="AW25" s="156">
        <f>AW8-AW9</f>
        <v/>
      </c>
      <c r="AX25" s="156">
        <f>AX8-AX9</f>
        <v/>
      </c>
      <c r="AZ25" s="143" t="n">
        <v>-4</v>
      </c>
      <c r="BA25" s="161" t="n">
        <v>-8</v>
      </c>
    </row>
    <row r="26" ht="25" customHeight="1">
      <c r="B26" s="163" t="inlineStr">
        <is>
          <t>GBP JPY</t>
        </is>
      </c>
      <c r="C26" s="155">
        <f>C8-C5</f>
        <v/>
      </c>
      <c r="D26" s="155">
        <f>D8-D5</f>
        <v/>
      </c>
      <c r="E26" s="155">
        <f>E8-E5</f>
        <v/>
      </c>
      <c r="F26" s="155">
        <f>F8-F5</f>
        <v/>
      </c>
      <c r="G26" s="155">
        <f>G8-G5</f>
        <v/>
      </c>
      <c r="H26" s="155">
        <f>H8-H5</f>
        <v/>
      </c>
      <c r="I26" s="155">
        <f>I8-I5</f>
        <v/>
      </c>
      <c r="J26" s="155">
        <f>J8-J5</f>
        <v/>
      </c>
      <c r="K26" s="155">
        <f>K8-K5</f>
        <v/>
      </c>
      <c r="L26" s="155">
        <f>L8-L5</f>
        <v/>
      </c>
      <c r="M26" s="155">
        <f>M8-M5</f>
        <v/>
      </c>
      <c r="N26" s="155">
        <f>N8-N5</f>
        <v/>
      </c>
      <c r="O26" s="155">
        <f>O8-O5</f>
        <v/>
      </c>
      <c r="P26" s="155">
        <f>P8-P5</f>
        <v/>
      </c>
      <c r="Q26" s="155">
        <f>Q8-Q5</f>
        <v/>
      </c>
      <c r="R26" s="155">
        <f>R8-R5</f>
        <v/>
      </c>
      <c r="S26" s="155">
        <f>S8-S5</f>
        <v/>
      </c>
      <c r="T26" s="155">
        <f>T8-T5</f>
        <v/>
      </c>
      <c r="U26" s="155">
        <f>U8-U5</f>
        <v/>
      </c>
      <c r="V26" s="155">
        <f>V8-V5</f>
        <v/>
      </c>
      <c r="W26" s="155">
        <f>W8-W5</f>
        <v/>
      </c>
      <c r="X26" s="155">
        <f>X8-X5</f>
        <v/>
      </c>
      <c r="Y26" s="155">
        <f>Y8-Y5</f>
        <v/>
      </c>
      <c r="Z26" s="155">
        <f>Z8-Z5</f>
        <v/>
      </c>
      <c r="AA26" s="155">
        <f>AA8-AA5</f>
        <v/>
      </c>
      <c r="AB26" s="155">
        <f>AB8-AB5</f>
        <v/>
      </c>
      <c r="AC26" s="155">
        <f>AC8-AC5</f>
        <v/>
      </c>
      <c r="AD26" s="155">
        <f>AD8-AD5</f>
        <v/>
      </c>
      <c r="AE26" s="155">
        <f>AE8-AE5</f>
        <v/>
      </c>
      <c r="AF26" s="155">
        <f>AF8-AF5</f>
        <v/>
      </c>
      <c r="AG26" s="155">
        <f>AG8-AG5</f>
        <v/>
      </c>
      <c r="AH26" s="155">
        <f>AH8-AH5</f>
        <v/>
      </c>
      <c r="AI26" s="155">
        <f>AI8-AI5</f>
        <v/>
      </c>
      <c r="AJ26" s="155">
        <f>AJ8-AJ5</f>
        <v/>
      </c>
      <c r="AK26" s="155">
        <f>AK8-AK5</f>
        <v/>
      </c>
      <c r="AL26" s="155">
        <f>AL8-AL5</f>
        <v/>
      </c>
      <c r="AM26" s="155">
        <f>AM8-AM5</f>
        <v/>
      </c>
      <c r="AN26" s="155">
        <f>AN8-AN5</f>
        <v/>
      </c>
      <c r="AO26" s="156">
        <f>AO8-AO5</f>
        <v/>
      </c>
      <c r="AP26" s="156">
        <f>AP8-AP5</f>
        <v/>
      </c>
      <c r="AQ26" s="156">
        <f>AQ8-AQ5</f>
        <v/>
      </c>
      <c r="AR26" s="156">
        <f>AR8-AR5</f>
        <v/>
      </c>
      <c r="AS26" s="156">
        <f>AS8-AS5</f>
        <v/>
      </c>
      <c r="AT26" s="156">
        <f>AT8-AT5</f>
        <v/>
      </c>
      <c r="AU26" s="156">
        <f>AU8-AU5</f>
        <v/>
      </c>
      <c r="AV26" s="156">
        <f>AV8-AV5</f>
        <v/>
      </c>
      <c r="AW26" s="156">
        <f>AW8-AW5</f>
        <v/>
      </c>
      <c r="AX26" s="156">
        <f>AX8-AX5</f>
        <v/>
      </c>
      <c r="AZ26" s="143" t="n">
        <v>-4.5</v>
      </c>
      <c r="BA26" s="161" t="n">
        <v>-9</v>
      </c>
    </row>
    <row r="27" ht="25" customHeight="1">
      <c r="B27" s="163" t="inlineStr">
        <is>
          <t>GBP CHF</t>
        </is>
      </c>
      <c r="C27" s="155">
        <f>C8-C6</f>
        <v/>
      </c>
      <c r="D27" s="155">
        <f>D8-D6</f>
        <v/>
      </c>
      <c r="E27" s="155">
        <f>E8-E6</f>
        <v/>
      </c>
      <c r="F27" s="155">
        <f>F8-F6</f>
        <v/>
      </c>
      <c r="G27" s="155">
        <f>G8-G6</f>
        <v/>
      </c>
      <c r="H27" s="155">
        <f>H8-H6</f>
        <v/>
      </c>
      <c r="I27" s="155">
        <f>I8-I6</f>
        <v/>
      </c>
      <c r="J27" s="155">
        <f>J8-J6</f>
        <v/>
      </c>
      <c r="K27" s="155">
        <f>K8-K6</f>
        <v/>
      </c>
      <c r="L27" s="155">
        <f>L8-L6</f>
        <v/>
      </c>
      <c r="M27" s="155">
        <f>M8-M6</f>
        <v/>
      </c>
      <c r="N27" s="155">
        <f>N8-N6</f>
        <v/>
      </c>
      <c r="O27" s="155">
        <f>O8-O6</f>
        <v/>
      </c>
      <c r="P27" s="155">
        <f>P8-P6</f>
        <v/>
      </c>
      <c r="Q27" s="155">
        <f>Q8-Q6</f>
        <v/>
      </c>
      <c r="R27" s="155">
        <f>R8-R6</f>
        <v/>
      </c>
      <c r="S27" s="155">
        <f>S8-S6</f>
        <v/>
      </c>
      <c r="T27" s="155">
        <f>T8-T6</f>
        <v/>
      </c>
      <c r="U27" s="155">
        <f>U8-U6</f>
        <v/>
      </c>
      <c r="V27" s="155">
        <f>V8-V6</f>
        <v/>
      </c>
      <c r="W27" s="155">
        <f>W8-W6</f>
        <v/>
      </c>
      <c r="X27" s="155">
        <f>X8-X6</f>
        <v/>
      </c>
      <c r="Y27" s="155">
        <f>Y8-Y6</f>
        <v/>
      </c>
      <c r="Z27" s="155">
        <f>Z8-Z6</f>
        <v/>
      </c>
      <c r="AA27" s="155">
        <f>AA8-AA6</f>
        <v/>
      </c>
      <c r="AB27" s="155">
        <f>AB8-AB6</f>
        <v/>
      </c>
      <c r="AC27" s="155">
        <f>AC8-AC6</f>
        <v/>
      </c>
      <c r="AD27" s="155">
        <f>AD8-AD6</f>
        <v/>
      </c>
      <c r="AE27" s="155">
        <f>AE8-AE6</f>
        <v/>
      </c>
      <c r="AF27" s="155">
        <f>AF8-AF6</f>
        <v/>
      </c>
      <c r="AG27" s="155">
        <f>AG8-AG6</f>
        <v/>
      </c>
      <c r="AH27" s="155">
        <f>AH8-AH6</f>
        <v/>
      </c>
      <c r="AI27" s="155">
        <f>AI8-AI6</f>
        <v/>
      </c>
      <c r="AJ27" s="155">
        <f>AJ8-AJ6</f>
        <v/>
      </c>
      <c r="AK27" s="155">
        <f>AK8-AK6</f>
        <v/>
      </c>
      <c r="AL27" s="155">
        <f>AL8-AL6</f>
        <v/>
      </c>
      <c r="AM27" s="155">
        <f>AM8-AM6</f>
        <v/>
      </c>
      <c r="AN27" s="155">
        <f>AN8-AN6</f>
        <v/>
      </c>
      <c r="AO27" s="156">
        <f>AO8-AO6</f>
        <v/>
      </c>
      <c r="AP27" s="156">
        <f>AP8-AP6</f>
        <v/>
      </c>
      <c r="AQ27" s="156">
        <f>AQ8-AQ6</f>
        <v/>
      </c>
      <c r="AR27" s="156">
        <f>AR8-AR6</f>
        <v/>
      </c>
      <c r="AS27" s="156">
        <f>AS8-AS6</f>
        <v/>
      </c>
      <c r="AT27" s="156">
        <f>AT8-AT6</f>
        <v/>
      </c>
      <c r="AU27" s="156">
        <f>AU8-AU6</f>
        <v/>
      </c>
      <c r="AV27" s="156">
        <f>AV8-AV6</f>
        <v/>
      </c>
      <c r="AW27" s="156">
        <f>AW8-AW6</f>
        <v/>
      </c>
      <c r="AX27" s="156">
        <f>AX8-AX6</f>
        <v/>
      </c>
      <c r="AZ27" s="143" t="n">
        <v>-5</v>
      </c>
      <c r="BA27" s="161" t="n">
        <v>-10</v>
      </c>
    </row>
    <row r="28" ht="25" customHeight="1">
      <c r="B28" s="163" t="inlineStr">
        <is>
          <t>GBP CAD</t>
        </is>
      </c>
      <c r="C28" s="155">
        <f>C8-C4</f>
        <v/>
      </c>
      <c r="D28" s="155">
        <f>D8-D4</f>
        <v/>
      </c>
      <c r="E28" s="155">
        <f>E8-E4</f>
        <v/>
      </c>
      <c r="F28" s="155">
        <f>F8-F4</f>
        <v/>
      </c>
      <c r="G28" s="155">
        <f>G8-G4</f>
        <v/>
      </c>
      <c r="H28" s="155">
        <f>H8-H4</f>
        <v/>
      </c>
      <c r="I28" s="155">
        <f>I8-I4</f>
        <v/>
      </c>
      <c r="J28" s="155">
        <f>J8-J4</f>
        <v/>
      </c>
      <c r="K28" s="155">
        <f>K8-K4</f>
        <v/>
      </c>
      <c r="L28" s="155">
        <f>L8-L4</f>
        <v/>
      </c>
      <c r="M28" s="155">
        <f>M8-M4</f>
        <v/>
      </c>
      <c r="N28" s="155">
        <f>N8-N4</f>
        <v/>
      </c>
      <c r="O28" s="155">
        <f>O8-O4</f>
        <v/>
      </c>
      <c r="P28" s="155">
        <f>P8-P4</f>
        <v/>
      </c>
      <c r="Q28" s="155">
        <f>Q8-Q4</f>
        <v/>
      </c>
      <c r="R28" s="155">
        <f>R8-R4</f>
        <v/>
      </c>
      <c r="S28" s="155">
        <f>S8-S4</f>
        <v/>
      </c>
      <c r="T28" s="155">
        <f>T8-T4</f>
        <v/>
      </c>
      <c r="U28" s="155">
        <f>U8-U4</f>
        <v/>
      </c>
      <c r="V28" s="155">
        <f>V8-V4</f>
        <v/>
      </c>
      <c r="W28" s="155">
        <f>W8-W4</f>
        <v/>
      </c>
      <c r="X28" s="155">
        <f>X8-X4</f>
        <v/>
      </c>
      <c r="Y28" s="155">
        <f>Y8-Y4</f>
        <v/>
      </c>
      <c r="Z28" s="155">
        <f>Z8-Z4</f>
        <v/>
      </c>
      <c r="AA28" s="155">
        <f>AA8-AA4</f>
        <v/>
      </c>
      <c r="AB28" s="155">
        <f>AB8-AB4</f>
        <v/>
      </c>
      <c r="AC28" s="155">
        <f>AC8-AC4</f>
        <v/>
      </c>
      <c r="AD28" s="155">
        <f>AD8-AD4</f>
        <v/>
      </c>
      <c r="AE28" s="155">
        <f>AE8-AE4</f>
        <v/>
      </c>
      <c r="AF28" s="155">
        <f>AF8-AF4</f>
        <v/>
      </c>
      <c r="AG28" s="155">
        <f>AG8-AG4</f>
        <v/>
      </c>
      <c r="AH28" s="155">
        <f>AH8-AH4</f>
        <v/>
      </c>
      <c r="AI28" s="155">
        <f>AI8-AI4</f>
        <v/>
      </c>
      <c r="AJ28" s="155">
        <f>AJ8-AJ4</f>
        <v/>
      </c>
      <c r="AK28" s="155">
        <f>AK8-AK4</f>
        <v/>
      </c>
      <c r="AL28" s="155">
        <f>AL8-AL4</f>
        <v/>
      </c>
      <c r="AM28" s="155">
        <f>AM8-AM4</f>
        <v/>
      </c>
      <c r="AN28" s="155">
        <f>AN8-AN4</f>
        <v/>
      </c>
      <c r="AO28" s="156">
        <f>AO8-AO4</f>
        <v/>
      </c>
      <c r="AP28" s="156">
        <f>AP8-AP4</f>
        <v/>
      </c>
      <c r="AQ28" s="156">
        <f>AQ8-AQ4</f>
        <v/>
      </c>
      <c r="AR28" s="156">
        <f>AR8-AR4</f>
        <v/>
      </c>
      <c r="AS28" s="156">
        <f>AS8-AS4</f>
        <v/>
      </c>
      <c r="AT28" s="156">
        <f>AT8-AT4</f>
        <v/>
      </c>
      <c r="AU28" s="156">
        <f>AU8-AU4</f>
        <v/>
      </c>
      <c r="AV28" s="156">
        <f>AV8-AV4</f>
        <v/>
      </c>
      <c r="AW28" s="156">
        <f>AW8-AW4</f>
        <v/>
      </c>
      <c r="AX28" s="156">
        <f>AX8-AX4</f>
        <v/>
      </c>
      <c r="AZ28" s="143" t="n">
        <v>-5.5</v>
      </c>
      <c r="BA28" s="161" t="n">
        <v>-6</v>
      </c>
    </row>
    <row r="29" ht="25" customHeight="1">
      <c r="B29" s="163" t="inlineStr">
        <is>
          <t>GBP AUD</t>
        </is>
      </c>
      <c r="C29" s="155">
        <f>C8-C3</f>
        <v/>
      </c>
      <c r="D29" s="155">
        <f>D8-D3</f>
        <v/>
      </c>
      <c r="E29" s="155">
        <f>E8-E3</f>
        <v/>
      </c>
      <c r="F29" s="155">
        <f>F8-F3</f>
        <v/>
      </c>
      <c r="G29" s="155">
        <f>G8-G3</f>
        <v/>
      </c>
      <c r="H29" s="155">
        <f>H8-H3</f>
        <v/>
      </c>
      <c r="I29" s="155">
        <f>I8-I3</f>
        <v/>
      </c>
      <c r="J29" s="155">
        <f>J8-J3</f>
        <v/>
      </c>
      <c r="K29" s="155">
        <f>K8-K3</f>
        <v/>
      </c>
      <c r="L29" s="155">
        <f>L8-L3</f>
        <v/>
      </c>
      <c r="M29" s="155">
        <f>M8-M3</f>
        <v/>
      </c>
      <c r="N29" s="155">
        <f>N8-N3</f>
        <v/>
      </c>
      <c r="O29" s="155">
        <f>O8-O3</f>
        <v/>
      </c>
      <c r="P29" s="155">
        <f>P8-P3</f>
        <v/>
      </c>
      <c r="Q29" s="155">
        <f>Q8-Q3</f>
        <v/>
      </c>
      <c r="R29" s="155">
        <f>R8-R3</f>
        <v/>
      </c>
      <c r="S29" s="155">
        <f>S8-S3</f>
        <v/>
      </c>
      <c r="T29" s="155">
        <f>T8-T3</f>
        <v/>
      </c>
      <c r="U29" s="155">
        <f>U8-U3</f>
        <v/>
      </c>
      <c r="V29" s="155">
        <f>V8-V3</f>
        <v/>
      </c>
      <c r="W29" s="155">
        <f>W8-W3</f>
        <v/>
      </c>
      <c r="X29" s="155">
        <f>X8-X3</f>
        <v/>
      </c>
      <c r="Y29" s="155">
        <f>Y8-Y3</f>
        <v/>
      </c>
      <c r="Z29" s="155">
        <f>Z8-Z3</f>
        <v/>
      </c>
      <c r="AA29" s="155">
        <f>AA8-AA3</f>
        <v/>
      </c>
      <c r="AB29" s="155">
        <f>AB8-AB3</f>
        <v/>
      </c>
      <c r="AC29" s="155">
        <f>AC8-AC3</f>
        <v/>
      </c>
      <c r="AD29" s="155">
        <f>AD8-AD3</f>
        <v/>
      </c>
      <c r="AE29" s="155">
        <f>AE8-AE3</f>
        <v/>
      </c>
      <c r="AF29" s="155">
        <f>AF8-AF3</f>
        <v/>
      </c>
      <c r="AG29" s="155">
        <f>AG8-AG3</f>
        <v/>
      </c>
      <c r="AH29" s="155">
        <f>AH8-AH3</f>
        <v/>
      </c>
      <c r="AI29" s="155">
        <f>AI8-AI3</f>
        <v/>
      </c>
      <c r="AJ29" s="155">
        <f>AJ8-AJ3</f>
        <v/>
      </c>
      <c r="AK29" s="155">
        <f>AK8-AK3</f>
        <v/>
      </c>
      <c r="AL29" s="155">
        <f>AL8-AL3</f>
        <v/>
      </c>
      <c r="AM29" s="155">
        <f>AM8-AM3</f>
        <v/>
      </c>
      <c r="AN29" s="155">
        <f>AN8-AN3</f>
        <v/>
      </c>
      <c r="AO29" s="156">
        <f>AO8-AO3</f>
        <v/>
      </c>
      <c r="AP29" s="156">
        <f>AP8-AP3</f>
        <v/>
      </c>
      <c r="AQ29" s="156">
        <f>AQ8-AQ3</f>
        <v/>
      </c>
      <c r="AR29" s="156">
        <f>AR8-AR3</f>
        <v/>
      </c>
      <c r="AS29" s="156">
        <f>AS8-AS3</f>
        <v/>
      </c>
      <c r="AT29" s="156">
        <f>AT8-AT3</f>
        <v/>
      </c>
      <c r="AU29" s="156">
        <f>AU8-AU3</f>
        <v/>
      </c>
      <c r="AV29" s="156">
        <f>AV8-AV3</f>
        <v/>
      </c>
      <c r="AW29" s="156">
        <f>AW8-AW3</f>
        <v/>
      </c>
      <c r="AX29" s="156">
        <f>AX8-AX3</f>
        <v/>
      </c>
      <c r="AZ29" s="143" t="n">
        <v>-6</v>
      </c>
      <c r="BA29" s="161" t="n">
        <v>-5</v>
      </c>
    </row>
    <row r="30" ht="25" customHeight="1">
      <c r="B30" s="164" t="inlineStr">
        <is>
          <t>GBP NZD</t>
        </is>
      </c>
      <c r="C30" s="155">
        <f>C8-C7</f>
        <v/>
      </c>
      <c r="D30" s="155">
        <f>D8-D7</f>
        <v/>
      </c>
      <c r="E30" s="155">
        <f>E8-E7</f>
        <v/>
      </c>
      <c r="F30" s="155">
        <f>F8-F7</f>
        <v/>
      </c>
      <c r="G30" s="155">
        <f>G8-G7</f>
        <v/>
      </c>
      <c r="H30" s="155">
        <f>H8-H7</f>
        <v/>
      </c>
      <c r="I30" s="155">
        <f>I8-I7</f>
        <v/>
      </c>
      <c r="J30" s="155">
        <f>J8-J7</f>
        <v/>
      </c>
      <c r="K30" s="155">
        <f>K8-K7</f>
        <v/>
      </c>
      <c r="L30" s="155">
        <f>L8-L7</f>
        <v/>
      </c>
      <c r="M30" s="155">
        <f>M8-M7</f>
        <v/>
      </c>
      <c r="N30" s="155">
        <f>N8-N7</f>
        <v/>
      </c>
      <c r="O30" s="155">
        <f>O8-O7</f>
        <v/>
      </c>
      <c r="P30" s="155">
        <f>P8-P7</f>
        <v/>
      </c>
      <c r="Q30" s="155">
        <f>Q8-Q7</f>
        <v/>
      </c>
      <c r="R30" s="155">
        <f>R8-R7</f>
        <v/>
      </c>
      <c r="S30" s="155">
        <f>S8-S7</f>
        <v/>
      </c>
      <c r="T30" s="155">
        <f>T8-T7</f>
        <v/>
      </c>
      <c r="U30" s="155">
        <f>U8-U7</f>
        <v/>
      </c>
      <c r="V30" s="155">
        <f>V8-V7</f>
        <v/>
      </c>
      <c r="W30" s="155">
        <f>W8-W7</f>
        <v/>
      </c>
      <c r="X30" s="155">
        <f>X8-X7</f>
        <v/>
      </c>
      <c r="Y30" s="155">
        <f>Y8-Y7</f>
        <v/>
      </c>
      <c r="Z30" s="155">
        <f>Z8-Z7</f>
        <v/>
      </c>
      <c r="AA30" s="155">
        <f>AA8-AA7</f>
        <v/>
      </c>
      <c r="AB30" s="155">
        <f>AB8-AB7</f>
        <v/>
      </c>
      <c r="AC30" s="155">
        <f>AC8-AC7</f>
        <v/>
      </c>
      <c r="AD30" s="155">
        <f>AD8-AD7</f>
        <v/>
      </c>
      <c r="AE30" s="155">
        <f>AE8-AE7</f>
        <v/>
      </c>
      <c r="AF30" s="155">
        <f>AF8-AF7</f>
        <v/>
      </c>
      <c r="AG30" s="155">
        <f>AG8-AG7</f>
        <v/>
      </c>
      <c r="AH30" s="155">
        <f>AH8-AH7</f>
        <v/>
      </c>
      <c r="AI30" s="155">
        <f>AI8-AI7</f>
        <v/>
      </c>
      <c r="AJ30" s="155">
        <f>AJ8-AJ7</f>
        <v/>
      </c>
      <c r="AK30" s="155">
        <f>AK8-AK7</f>
        <v/>
      </c>
      <c r="AL30" s="155">
        <f>AL8-AL7</f>
        <v/>
      </c>
      <c r="AM30" s="155">
        <f>AM8-AM7</f>
        <v/>
      </c>
      <c r="AN30" s="155">
        <f>AN8-AN7</f>
        <v/>
      </c>
      <c r="AO30" s="156">
        <f>AO8-AO7</f>
        <v/>
      </c>
      <c r="AP30" s="156">
        <f>AP8-AP7</f>
        <v/>
      </c>
      <c r="AQ30" s="156">
        <f>AQ8-AQ7</f>
        <v/>
      </c>
      <c r="AR30" s="156">
        <f>AR8-AR7</f>
        <v/>
      </c>
      <c r="AS30" s="156">
        <f>AS8-AS7</f>
        <v/>
      </c>
      <c r="AT30" s="156">
        <f>AT8-AT7</f>
        <v/>
      </c>
      <c r="AU30" s="156">
        <f>AU8-AU7</f>
        <v/>
      </c>
      <c r="AV30" s="156">
        <f>AV8-AV7</f>
        <v/>
      </c>
      <c r="AW30" s="156">
        <f>AW8-AW7</f>
        <v/>
      </c>
      <c r="AX30" s="156">
        <f>AX8-AX7</f>
        <v/>
      </c>
      <c r="AZ30" s="143" t="n">
        <v>-6.5</v>
      </c>
      <c r="BA30" s="161" t="n">
        <v>-4</v>
      </c>
    </row>
    <row r="31" ht="25" customHeight="1" thickBot="1">
      <c r="B31" s="165" t="inlineStr">
        <is>
          <t xml:space="preserve">CHF JPY </t>
        </is>
      </c>
      <c r="C31" s="155">
        <f>C6-C5</f>
        <v/>
      </c>
      <c r="D31" s="155">
        <f>D6-D5</f>
        <v/>
      </c>
      <c r="E31" s="155">
        <f>E6-E5</f>
        <v/>
      </c>
      <c r="F31" s="155">
        <f>F6-F5</f>
        <v/>
      </c>
      <c r="G31" s="155">
        <f>G6-G5</f>
        <v/>
      </c>
      <c r="H31" s="155">
        <f>H6-H5</f>
        <v/>
      </c>
      <c r="I31" s="155">
        <f>I6-I5</f>
        <v/>
      </c>
      <c r="J31" s="155">
        <f>J6-J5</f>
        <v/>
      </c>
      <c r="K31" s="155">
        <f>K6-K5</f>
        <v/>
      </c>
      <c r="L31" s="155">
        <f>L6-L5</f>
        <v/>
      </c>
      <c r="M31" s="155">
        <f>M6-M5</f>
        <v/>
      </c>
      <c r="N31" s="155">
        <f>N6-N5</f>
        <v/>
      </c>
      <c r="O31" s="155">
        <f>O6-O5</f>
        <v/>
      </c>
      <c r="P31" s="155">
        <f>P6-P5</f>
        <v/>
      </c>
      <c r="Q31" s="155">
        <f>Q6-Q5</f>
        <v/>
      </c>
      <c r="R31" s="155">
        <f>R6-R5</f>
        <v/>
      </c>
      <c r="S31" s="155">
        <f>S6-S5</f>
        <v/>
      </c>
      <c r="T31" s="155">
        <f>T6-T5</f>
        <v/>
      </c>
      <c r="U31" s="155">
        <f>U6-U5</f>
        <v/>
      </c>
      <c r="V31" s="155">
        <f>V6-V5</f>
        <v/>
      </c>
      <c r="W31" s="155">
        <f>W6-W5</f>
        <v/>
      </c>
      <c r="X31" s="155">
        <f>X6-X5</f>
        <v/>
      </c>
      <c r="Y31" s="155">
        <f>Y6-Y5</f>
        <v/>
      </c>
      <c r="Z31" s="155">
        <f>Z6-Z5</f>
        <v/>
      </c>
      <c r="AA31" s="155">
        <f>AA6-AA5</f>
        <v/>
      </c>
      <c r="AB31" s="155">
        <f>AB6-AB5</f>
        <v/>
      </c>
      <c r="AC31" s="155">
        <f>AC6-AC5</f>
        <v/>
      </c>
      <c r="AD31" s="155">
        <f>AD6-AD5</f>
        <v/>
      </c>
      <c r="AE31" s="155">
        <f>AE6-AE5</f>
        <v/>
      </c>
      <c r="AF31" s="155">
        <f>AF6-AF5</f>
        <v/>
      </c>
      <c r="AG31" s="155">
        <f>AG6-AG5</f>
        <v/>
      </c>
      <c r="AH31" s="155">
        <f>AH6-AH5</f>
        <v/>
      </c>
      <c r="AI31" s="155">
        <f>AI6-AI5</f>
        <v/>
      </c>
      <c r="AJ31" s="155">
        <f>AJ6-AJ5</f>
        <v/>
      </c>
      <c r="AK31" s="155">
        <f>AK6-AK5</f>
        <v/>
      </c>
      <c r="AL31" s="155">
        <f>AL6-AL5</f>
        <v/>
      </c>
      <c r="AM31" s="155">
        <f>AM6-AM5</f>
        <v/>
      </c>
      <c r="AN31" s="155">
        <f>AN6-AN5</f>
        <v/>
      </c>
      <c r="AO31" s="156">
        <f>AO6-AO5</f>
        <v/>
      </c>
      <c r="AP31" s="156">
        <f>AP6-AP5</f>
        <v/>
      </c>
      <c r="AQ31" s="156">
        <f>AQ6-AQ5</f>
        <v/>
      </c>
      <c r="AR31" s="156">
        <f>AR6-AR5</f>
        <v/>
      </c>
      <c r="AS31" s="156">
        <f>AS6-AS5</f>
        <v/>
      </c>
      <c r="AT31" s="156">
        <f>AT6-AT5</f>
        <v/>
      </c>
      <c r="AU31" s="156">
        <f>AU6-AU5</f>
        <v/>
      </c>
      <c r="AV31" s="156">
        <f>AV6-AV5</f>
        <v/>
      </c>
      <c r="AW31" s="156">
        <f>AW6-AW5</f>
        <v/>
      </c>
      <c r="AX31" s="156">
        <f>AX6-AX5</f>
        <v/>
      </c>
      <c r="AZ31" s="166" t="n">
        <v>-7</v>
      </c>
      <c r="BA31" s="167" t="n">
        <v>-3</v>
      </c>
    </row>
    <row r="32" ht="25" customHeight="1">
      <c r="B32" s="168" t="inlineStr">
        <is>
          <t>AUD USD</t>
        </is>
      </c>
      <c r="C32" s="155">
        <f>C3-C9</f>
        <v/>
      </c>
      <c r="D32" s="155">
        <f>D3-D9</f>
        <v/>
      </c>
      <c r="E32" s="155">
        <f>E3-E9</f>
        <v/>
      </c>
      <c r="F32" s="155">
        <f>F3-F9</f>
        <v/>
      </c>
      <c r="G32" s="155">
        <f>G3-G9</f>
        <v/>
      </c>
      <c r="H32" s="155">
        <f>H3-H9</f>
        <v/>
      </c>
      <c r="I32" s="155">
        <f>I3-I9</f>
        <v/>
      </c>
      <c r="J32" s="155">
        <f>J3-J9</f>
        <v/>
      </c>
      <c r="K32" s="155">
        <f>K3-K9</f>
        <v/>
      </c>
      <c r="L32" s="155">
        <f>L3-L9</f>
        <v/>
      </c>
      <c r="M32" s="155">
        <f>M3-M9</f>
        <v/>
      </c>
      <c r="N32" s="155">
        <f>N3-N9</f>
        <v/>
      </c>
      <c r="O32" s="155">
        <f>O3-O9</f>
        <v/>
      </c>
      <c r="P32" s="155">
        <f>P3-P9</f>
        <v/>
      </c>
      <c r="Q32" s="155">
        <f>Q3-Q9</f>
        <v/>
      </c>
      <c r="R32" s="155">
        <f>R3-R9</f>
        <v/>
      </c>
      <c r="S32" s="155">
        <f>S3-S9</f>
        <v/>
      </c>
      <c r="T32" s="155">
        <f>T3-T9</f>
        <v/>
      </c>
      <c r="U32" s="155">
        <f>U3-U9</f>
        <v/>
      </c>
      <c r="V32" s="155">
        <f>V3-V9</f>
        <v/>
      </c>
      <c r="W32" s="155">
        <f>W3-W9</f>
        <v/>
      </c>
      <c r="X32" s="155">
        <f>X3-X9</f>
        <v/>
      </c>
      <c r="Y32" s="155">
        <f>Y3-Y9</f>
        <v/>
      </c>
      <c r="Z32" s="155">
        <f>Z3-Z9</f>
        <v/>
      </c>
      <c r="AA32" s="155">
        <f>AA3-AA9</f>
        <v/>
      </c>
      <c r="AB32" s="155">
        <f>AB3-AB9</f>
        <v/>
      </c>
      <c r="AC32" s="155">
        <f>AC3-AC9</f>
        <v/>
      </c>
      <c r="AD32" s="155">
        <f>AD3-AD9</f>
        <v/>
      </c>
      <c r="AE32" s="155">
        <f>AE3-AE9</f>
        <v/>
      </c>
      <c r="AF32" s="155">
        <f>AF3-AF9</f>
        <v/>
      </c>
      <c r="AG32" s="155">
        <f>AG3-AG9</f>
        <v/>
      </c>
      <c r="AH32" s="155">
        <f>AH3-AH9</f>
        <v/>
      </c>
      <c r="AI32" s="155">
        <f>AI3-AI9</f>
        <v/>
      </c>
      <c r="AJ32" s="155">
        <f>AJ3-AJ9</f>
        <v/>
      </c>
      <c r="AK32" s="155">
        <f>AK3-AK9</f>
        <v/>
      </c>
      <c r="AL32" s="155">
        <f>AL3-AL9</f>
        <v/>
      </c>
      <c r="AM32" s="155">
        <f>AM3-AM9</f>
        <v/>
      </c>
      <c r="AN32" s="155">
        <f>AN3-AN9</f>
        <v/>
      </c>
      <c r="AO32" s="156">
        <f>AO3-AO9</f>
        <v/>
      </c>
      <c r="AP32" s="156">
        <f>AP3-AP9</f>
        <v/>
      </c>
      <c r="AQ32" s="156">
        <f>AQ3-AQ9</f>
        <v/>
      </c>
      <c r="AR32" s="156">
        <f>AR3-AR9</f>
        <v/>
      </c>
      <c r="AS32" s="156">
        <f>AS3-AS9</f>
        <v/>
      </c>
      <c r="AT32" s="156">
        <f>AT3-AT9</f>
        <v/>
      </c>
      <c r="AU32" s="156">
        <f>AU3-AU9</f>
        <v/>
      </c>
      <c r="AV32" s="156">
        <f>AV3-AV9</f>
        <v/>
      </c>
      <c r="AW32" s="156">
        <f>AW3-AW9</f>
        <v/>
      </c>
      <c r="AX32" s="156">
        <f>AX3-AX9</f>
        <v/>
      </c>
    </row>
    <row r="33" ht="25" customHeight="1">
      <c r="B33" s="168" t="inlineStr">
        <is>
          <t>AUD CHF</t>
        </is>
      </c>
      <c r="C33" s="155">
        <f>C3-C6</f>
        <v/>
      </c>
      <c r="D33" s="155">
        <f>D3-D6</f>
        <v/>
      </c>
      <c r="E33" s="155">
        <f>E3-E6</f>
        <v/>
      </c>
      <c r="F33" s="155">
        <f>F3-F6</f>
        <v/>
      </c>
      <c r="G33" s="155">
        <f>G3-G6</f>
        <v/>
      </c>
      <c r="H33" s="155">
        <f>H3-H6</f>
        <v/>
      </c>
      <c r="I33" s="155">
        <f>I3-I6</f>
        <v/>
      </c>
      <c r="J33" s="155">
        <f>J3-J6</f>
        <v/>
      </c>
      <c r="K33" s="155">
        <f>K3-K6</f>
        <v/>
      </c>
      <c r="L33" s="155">
        <f>L3-L6</f>
        <v/>
      </c>
      <c r="M33" s="155">
        <f>M3-M6</f>
        <v/>
      </c>
      <c r="N33" s="155">
        <f>N3-N6</f>
        <v/>
      </c>
      <c r="O33" s="155">
        <f>O3-O6</f>
        <v/>
      </c>
      <c r="P33" s="155">
        <f>P3-P6</f>
        <v/>
      </c>
      <c r="Q33" s="155">
        <f>Q3-Q6</f>
        <v/>
      </c>
      <c r="R33" s="155">
        <f>R3-R6</f>
        <v/>
      </c>
      <c r="S33" s="155">
        <f>S3-S6</f>
        <v/>
      </c>
      <c r="T33" s="155">
        <f>T3-T6</f>
        <v/>
      </c>
      <c r="U33" s="155">
        <f>U3-U6</f>
        <v/>
      </c>
      <c r="V33" s="155">
        <f>V3-V6</f>
        <v/>
      </c>
      <c r="W33" s="155">
        <f>W3-W6</f>
        <v/>
      </c>
      <c r="X33" s="155">
        <f>X3-X6</f>
        <v/>
      </c>
      <c r="Y33" s="155">
        <f>Y3-Y6</f>
        <v/>
      </c>
      <c r="Z33" s="155">
        <f>Z3-Z6</f>
        <v/>
      </c>
      <c r="AA33" s="155">
        <f>AA3-AA6</f>
        <v/>
      </c>
      <c r="AB33" s="155">
        <f>AB3-AB6</f>
        <v/>
      </c>
      <c r="AC33" s="155">
        <f>AC3-AC6</f>
        <v/>
      </c>
      <c r="AD33" s="155">
        <f>AD3-AD6</f>
        <v/>
      </c>
      <c r="AE33" s="155">
        <f>AE3-AE6</f>
        <v/>
      </c>
      <c r="AF33" s="155">
        <f>AF3-AF6</f>
        <v/>
      </c>
      <c r="AG33" s="155">
        <f>AG3-AG6</f>
        <v/>
      </c>
      <c r="AH33" s="155">
        <f>AH3-AH6</f>
        <v/>
      </c>
      <c r="AI33" s="155">
        <f>AI3-AI6</f>
        <v/>
      </c>
      <c r="AJ33" s="155">
        <f>AJ3-AJ6</f>
        <v/>
      </c>
      <c r="AK33" s="155">
        <f>AK3-AK6</f>
        <v/>
      </c>
      <c r="AL33" s="155">
        <f>AL3-AL6</f>
        <v/>
      </c>
      <c r="AM33" s="155">
        <f>AM3-AM6</f>
        <v/>
      </c>
      <c r="AN33" s="155">
        <f>AN3-AN6</f>
        <v/>
      </c>
      <c r="AO33" s="156">
        <f>AO3-AO6</f>
        <v/>
      </c>
      <c r="AP33" s="156">
        <f>AP3-AP6</f>
        <v/>
      </c>
      <c r="AQ33" s="156">
        <f>AQ3-AQ6</f>
        <v/>
      </c>
      <c r="AR33" s="156">
        <f>AR3-AR6</f>
        <v/>
      </c>
      <c r="AS33" s="156">
        <f>AS3-AS6</f>
        <v/>
      </c>
      <c r="AT33" s="156">
        <f>AT3-AT6</f>
        <v/>
      </c>
      <c r="AU33" s="156">
        <f>AU3-AU6</f>
        <v/>
      </c>
      <c r="AV33" s="156">
        <f>AV3-AV6</f>
        <v/>
      </c>
      <c r="AW33" s="156">
        <f>AW3-AW6</f>
        <v/>
      </c>
      <c r="AX33" s="156">
        <f>AX3-AX6</f>
        <v/>
      </c>
    </row>
    <row r="34" ht="25" customHeight="1">
      <c r="B34" s="168" t="inlineStr">
        <is>
          <t>AUD JPY</t>
        </is>
      </c>
      <c r="C34" s="155">
        <f>C3-C5</f>
        <v/>
      </c>
      <c r="D34" s="155">
        <f>D3-D5</f>
        <v/>
      </c>
      <c r="E34" s="155">
        <f>E3-E5</f>
        <v/>
      </c>
      <c r="F34" s="155">
        <f>F3-F5</f>
        <v/>
      </c>
      <c r="G34" s="155">
        <f>G3-G5</f>
        <v/>
      </c>
      <c r="H34" s="155">
        <f>H3-H5</f>
        <v/>
      </c>
      <c r="I34" s="155">
        <f>I3-I5</f>
        <v/>
      </c>
      <c r="J34" s="155">
        <f>J3-J5</f>
        <v/>
      </c>
      <c r="K34" s="155">
        <f>K3-K5</f>
        <v/>
      </c>
      <c r="L34" s="155">
        <f>L3-L5</f>
        <v/>
      </c>
      <c r="M34" s="155">
        <f>M3-M5</f>
        <v/>
      </c>
      <c r="N34" s="155">
        <f>N3-N5</f>
        <v/>
      </c>
      <c r="O34" s="155">
        <f>O3-O5</f>
        <v/>
      </c>
      <c r="P34" s="155">
        <f>P3-P5</f>
        <v/>
      </c>
      <c r="Q34" s="155">
        <f>Q3-Q5</f>
        <v/>
      </c>
      <c r="R34" s="155">
        <f>R3-R5</f>
        <v/>
      </c>
      <c r="S34" s="155">
        <f>S3-S5</f>
        <v/>
      </c>
      <c r="T34" s="155">
        <f>T3-T5</f>
        <v/>
      </c>
      <c r="U34" s="155">
        <f>U3-U5</f>
        <v/>
      </c>
      <c r="V34" s="155">
        <f>V3-V5</f>
        <v/>
      </c>
      <c r="W34" s="155">
        <f>W3-W5</f>
        <v/>
      </c>
      <c r="X34" s="155">
        <f>X3-X5</f>
        <v/>
      </c>
      <c r="Y34" s="155">
        <f>Y3-Y5</f>
        <v/>
      </c>
      <c r="Z34" s="155">
        <f>Z3-Z5</f>
        <v/>
      </c>
      <c r="AA34" s="155">
        <f>AA3-AA5</f>
        <v/>
      </c>
      <c r="AB34" s="155">
        <f>AB3-AB5</f>
        <v/>
      </c>
      <c r="AC34" s="155">
        <f>AC3-AC5</f>
        <v/>
      </c>
      <c r="AD34" s="155">
        <f>AD3-AD5</f>
        <v/>
      </c>
      <c r="AE34" s="155">
        <f>AE3-AE5</f>
        <v/>
      </c>
      <c r="AF34" s="155">
        <f>AF3-AF5</f>
        <v/>
      </c>
      <c r="AG34" s="155">
        <f>AG3-AG5</f>
        <v/>
      </c>
      <c r="AH34" s="155">
        <f>AH3-AH5</f>
        <v/>
      </c>
      <c r="AI34" s="155">
        <f>AI3-AI5</f>
        <v/>
      </c>
      <c r="AJ34" s="155">
        <f>AJ3-AJ5</f>
        <v/>
      </c>
      <c r="AK34" s="155">
        <f>AK3-AK5</f>
        <v/>
      </c>
      <c r="AL34" s="155">
        <f>AL3-AL5</f>
        <v/>
      </c>
      <c r="AM34" s="155">
        <f>AM3-AM5</f>
        <v/>
      </c>
      <c r="AN34" s="155">
        <f>AN3-AN5</f>
        <v/>
      </c>
      <c r="AO34" s="156">
        <f>AO3-AO5</f>
        <v/>
      </c>
      <c r="AP34" s="156">
        <f>AP3-AP5</f>
        <v/>
      </c>
      <c r="AQ34" s="156">
        <f>AQ3-AQ5</f>
        <v/>
      </c>
      <c r="AR34" s="156">
        <f>AR3-AR5</f>
        <v/>
      </c>
      <c r="AS34" s="156">
        <f>AS3-AS5</f>
        <v/>
      </c>
      <c r="AT34" s="156">
        <f>AT3-AT5</f>
        <v/>
      </c>
      <c r="AU34" s="156">
        <f>AU3-AU5</f>
        <v/>
      </c>
      <c r="AV34" s="156">
        <f>AV3-AV5</f>
        <v/>
      </c>
      <c r="AW34" s="156">
        <f>AW3-AW5</f>
        <v/>
      </c>
      <c r="AX34" s="156">
        <f>AX3-AX5</f>
        <v/>
      </c>
    </row>
    <row r="35" ht="25" customHeight="1">
      <c r="B35" s="169" t="inlineStr">
        <is>
          <t>AUD NZD</t>
        </is>
      </c>
      <c r="C35" s="155">
        <f>C3-C7</f>
        <v/>
      </c>
      <c r="D35" s="155">
        <f>D3-D7</f>
        <v/>
      </c>
      <c r="E35" s="155">
        <f>E3-E7</f>
        <v/>
      </c>
      <c r="F35" s="155">
        <f>F3-F7</f>
        <v/>
      </c>
      <c r="G35" s="155">
        <f>G3-G7</f>
        <v/>
      </c>
      <c r="H35" s="155">
        <f>H3-H7</f>
        <v/>
      </c>
      <c r="I35" s="155">
        <f>I3-I7</f>
        <v/>
      </c>
      <c r="J35" s="155">
        <f>J3-J7</f>
        <v/>
      </c>
      <c r="K35" s="155">
        <f>K3-K7</f>
        <v/>
      </c>
      <c r="L35" s="155">
        <f>L3-L7</f>
        <v/>
      </c>
      <c r="M35" s="155">
        <f>M3-M7</f>
        <v/>
      </c>
      <c r="N35" s="155">
        <f>N3-N7</f>
        <v/>
      </c>
      <c r="O35" s="155">
        <f>O3-O7</f>
        <v/>
      </c>
      <c r="P35" s="155">
        <f>P3-P7</f>
        <v/>
      </c>
      <c r="Q35" s="155">
        <f>Q3-Q7</f>
        <v/>
      </c>
      <c r="R35" s="155">
        <f>R3-R7</f>
        <v/>
      </c>
      <c r="S35" s="155">
        <f>S3-S7</f>
        <v/>
      </c>
      <c r="T35" s="155">
        <f>T3-T7</f>
        <v/>
      </c>
      <c r="U35" s="155">
        <f>U3-U7</f>
        <v/>
      </c>
      <c r="V35" s="155">
        <f>V3-V7</f>
        <v/>
      </c>
      <c r="W35" s="155">
        <f>W3-W7</f>
        <v/>
      </c>
      <c r="X35" s="155">
        <f>X3-X7</f>
        <v/>
      </c>
      <c r="Y35" s="155">
        <f>Y3-Y7</f>
        <v/>
      </c>
      <c r="Z35" s="155">
        <f>Z3-Z7</f>
        <v/>
      </c>
      <c r="AA35" s="155">
        <f>AA3-AA7</f>
        <v/>
      </c>
      <c r="AB35" s="155">
        <f>AB3-AB7</f>
        <v/>
      </c>
      <c r="AC35" s="155">
        <f>AC3-AC7</f>
        <v/>
      </c>
      <c r="AD35" s="155">
        <f>AD3-AD7</f>
        <v/>
      </c>
      <c r="AE35" s="155">
        <f>AE3-AE7</f>
        <v/>
      </c>
      <c r="AF35" s="155">
        <f>AF3-AF7</f>
        <v/>
      </c>
      <c r="AG35" s="155">
        <f>AG3-AG7</f>
        <v/>
      </c>
      <c r="AH35" s="155">
        <f>AH3-AH7</f>
        <v/>
      </c>
      <c r="AI35" s="155">
        <f>AI3-AI7</f>
        <v/>
      </c>
      <c r="AJ35" s="155">
        <f>AJ3-AJ7</f>
        <v/>
      </c>
      <c r="AK35" s="155">
        <f>AK3-AK7</f>
        <v/>
      </c>
      <c r="AL35" s="155">
        <f>AL3-AL7</f>
        <v/>
      </c>
      <c r="AM35" s="155">
        <f>AM3-AM7</f>
        <v/>
      </c>
      <c r="AN35" s="155">
        <f>AN3-AN7</f>
        <v/>
      </c>
      <c r="AO35" s="156">
        <f>AO3-AO7</f>
        <v/>
      </c>
      <c r="AP35" s="156">
        <f>AP3-AP7</f>
        <v/>
      </c>
      <c r="AQ35" s="156">
        <f>AQ3-AQ7</f>
        <v/>
      </c>
      <c r="AR35" s="156">
        <f>AR3-AR7</f>
        <v/>
      </c>
      <c r="AS35" s="156">
        <f>AS3-AS7</f>
        <v/>
      </c>
      <c r="AT35" s="156">
        <f>AT3-AT7</f>
        <v/>
      </c>
      <c r="AU35" s="156">
        <f>AU3-AU7</f>
        <v/>
      </c>
      <c r="AV35" s="156">
        <f>AV3-AV7</f>
        <v/>
      </c>
      <c r="AW35" s="156">
        <f>AW3-AW7</f>
        <v/>
      </c>
      <c r="AX35" s="156">
        <f>AX3-AX7</f>
        <v/>
      </c>
    </row>
    <row r="36" ht="25" customHeight="1">
      <c r="B36" s="169" t="inlineStr">
        <is>
          <t>AUD CAD</t>
        </is>
      </c>
      <c r="C36" s="155">
        <f>C3-C4</f>
        <v/>
      </c>
      <c r="D36" s="155">
        <f>D3-D4</f>
        <v/>
      </c>
      <c r="E36" s="155">
        <f>E3-E4</f>
        <v/>
      </c>
      <c r="F36" s="155">
        <f>F3-F4</f>
        <v/>
      </c>
      <c r="G36" s="155">
        <f>G3-G4</f>
        <v/>
      </c>
      <c r="H36" s="155">
        <f>H3-H4</f>
        <v/>
      </c>
      <c r="I36" s="155">
        <f>I3-I4</f>
        <v/>
      </c>
      <c r="J36" s="155">
        <f>J3-J4</f>
        <v/>
      </c>
      <c r="K36" s="155">
        <f>K3-K4</f>
        <v/>
      </c>
      <c r="L36" s="155">
        <f>L3-L4</f>
        <v/>
      </c>
      <c r="M36" s="155">
        <f>M3-M4</f>
        <v/>
      </c>
      <c r="N36" s="155">
        <f>N3-N4</f>
        <v/>
      </c>
      <c r="O36" s="155">
        <f>O3-O4</f>
        <v/>
      </c>
      <c r="P36" s="155">
        <f>P3-P4</f>
        <v/>
      </c>
      <c r="Q36" s="155">
        <f>Q3-Q4</f>
        <v/>
      </c>
      <c r="R36" s="155">
        <f>R3-R4</f>
        <v/>
      </c>
      <c r="S36" s="155">
        <f>S3-S4</f>
        <v/>
      </c>
      <c r="T36" s="155">
        <f>T3-T4</f>
        <v/>
      </c>
      <c r="U36" s="155">
        <f>U3-U4</f>
        <v/>
      </c>
      <c r="V36" s="155">
        <f>V3-V4</f>
        <v/>
      </c>
      <c r="W36" s="155">
        <f>W3-W4</f>
        <v/>
      </c>
      <c r="X36" s="155">
        <f>X3-X4</f>
        <v/>
      </c>
      <c r="Y36" s="155">
        <f>Y3-Y4</f>
        <v/>
      </c>
      <c r="Z36" s="155">
        <f>Z3-Z4</f>
        <v/>
      </c>
      <c r="AA36" s="155">
        <f>AA3-AA4</f>
        <v/>
      </c>
      <c r="AB36" s="155">
        <f>AB3-AB4</f>
        <v/>
      </c>
      <c r="AC36" s="155">
        <f>AC3-AC4</f>
        <v/>
      </c>
      <c r="AD36" s="155">
        <f>AD3-AD4</f>
        <v/>
      </c>
      <c r="AE36" s="155">
        <f>AE3-AE4</f>
        <v/>
      </c>
      <c r="AF36" s="155">
        <f>AF3-AF4</f>
        <v/>
      </c>
      <c r="AG36" s="155">
        <f>AG3-AG4</f>
        <v/>
      </c>
      <c r="AH36" s="155">
        <f>AH3-AH4</f>
        <v/>
      </c>
      <c r="AI36" s="155">
        <f>AI3-AI4</f>
        <v/>
      </c>
      <c r="AJ36" s="155">
        <f>AJ3-AJ4</f>
        <v/>
      </c>
      <c r="AK36" s="155">
        <f>AK3-AK4</f>
        <v/>
      </c>
      <c r="AL36" s="155">
        <f>AL3-AL4</f>
        <v/>
      </c>
      <c r="AM36" s="155">
        <f>AM3-AM4</f>
        <v/>
      </c>
      <c r="AN36" s="155">
        <f>AN3-AN4</f>
        <v/>
      </c>
      <c r="AO36" s="156">
        <f>AO3-AO4</f>
        <v/>
      </c>
      <c r="AP36" s="156">
        <f>AP3-AP4</f>
        <v/>
      </c>
      <c r="AQ36" s="156">
        <f>AQ3-AQ4</f>
        <v/>
      </c>
      <c r="AR36" s="156">
        <f>AR3-AR4</f>
        <v/>
      </c>
      <c r="AS36" s="156">
        <f>AS3-AS4</f>
        <v/>
      </c>
      <c r="AT36" s="156">
        <f>AT3-AT4</f>
        <v/>
      </c>
      <c r="AU36" s="156">
        <f>AU3-AU4</f>
        <v/>
      </c>
      <c r="AV36" s="156">
        <f>AV3-AV4</f>
        <v/>
      </c>
      <c r="AW36" s="156">
        <f>AW3-AW4</f>
        <v/>
      </c>
      <c r="AX36" s="156">
        <f>AX3-AX4</f>
        <v/>
      </c>
    </row>
    <row r="37" ht="25" customHeight="1">
      <c r="B37" s="170" t="inlineStr">
        <is>
          <t>CAD JPY</t>
        </is>
      </c>
      <c r="C37" s="155">
        <f>C4-C5</f>
        <v/>
      </c>
      <c r="D37" s="155">
        <f>D4-D5</f>
        <v/>
      </c>
      <c r="E37" s="155">
        <f>E4-E5</f>
        <v/>
      </c>
      <c r="F37" s="155">
        <f>F4-F5</f>
        <v/>
      </c>
      <c r="G37" s="155">
        <f>G4-G5</f>
        <v/>
      </c>
      <c r="H37" s="155">
        <f>H4-H5</f>
        <v/>
      </c>
      <c r="I37" s="155">
        <f>I4-I5</f>
        <v/>
      </c>
      <c r="J37" s="155">
        <f>J4-J5</f>
        <v/>
      </c>
      <c r="K37" s="155">
        <f>K4-K5</f>
        <v/>
      </c>
      <c r="L37" s="155">
        <f>L4-L5</f>
        <v/>
      </c>
      <c r="M37" s="155">
        <f>M4-M5</f>
        <v/>
      </c>
      <c r="N37" s="155">
        <f>N4-N5</f>
        <v/>
      </c>
      <c r="O37" s="155">
        <f>O4-O5</f>
        <v/>
      </c>
      <c r="P37" s="155">
        <f>P4-P5</f>
        <v/>
      </c>
      <c r="Q37" s="155">
        <f>Q4-Q5</f>
        <v/>
      </c>
      <c r="R37" s="155">
        <f>R4-R5</f>
        <v/>
      </c>
      <c r="S37" s="155">
        <f>S4-S5</f>
        <v/>
      </c>
      <c r="T37" s="155">
        <f>T4-T5</f>
        <v/>
      </c>
      <c r="U37" s="155">
        <f>U4-U5</f>
        <v/>
      </c>
      <c r="V37" s="155">
        <f>V4-V5</f>
        <v/>
      </c>
      <c r="W37" s="155">
        <f>W4-W5</f>
        <v/>
      </c>
      <c r="X37" s="155">
        <f>X4-X5</f>
        <v/>
      </c>
      <c r="Y37" s="155">
        <f>Y4-Y5</f>
        <v/>
      </c>
      <c r="Z37" s="155">
        <f>Z4-Z5</f>
        <v/>
      </c>
      <c r="AA37" s="155">
        <f>AA4-AA5</f>
        <v/>
      </c>
      <c r="AB37" s="155">
        <f>AB4-AB5</f>
        <v/>
      </c>
      <c r="AC37" s="155">
        <f>AC4-AC5</f>
        <v/>
      </c>
      <c r="AD37" s="155">
        <f>AD4-AD5</f>
        <v/>
      </c>
      <c r="AE37" s="155">
        <f>AE4-AE5</f>
        <v/>
      </c>
      <c r="AF37" s="155">
        <f>AF4-AF5</f>
        <v/>
      </c>
      <c r="AG37" s="155">
        <f>AG4-AG5</f>
        <v/>
      </c>
      <c r="AH37" s="155">
        <f>AH4-AH5</f>
        <v/>
      </c>
      <c r="AI37" s="155">
        <f>AI4-AI5</f>
        <v/>
      </c>
      <c r="AJ37" s="155">
        <f>AJ4-AJ5</f>
        <v/>
      </c>
      <c r="AK37" s="155">
        <f>AK4-AK5</f>
        <v/>
      </c>
      <c r="AL37" s="155">
        <f>AL4-AL5</f>
        <v/>
      </c>
      <c r="AM37" s="155">
        <f>AM4-AM5</f>
        <v/>
      </c>
      <c r="AN37" s="155">
        <f>AN4-AN5</f>
        <v/>
      </c>
      <c r="AO37" s="156">
        <f>AO4-AO5</f>
        <v/>
      </c>
      <c r="AP37" s="156">
        <f>AP4-AP5</f>
        <v/>
      </c>
      <c r="AQ37" s="156">
        <f>AQ4-AQ5</f>
        <v/>
      </c>
      <c r="AR37" s="156">
        <f>AR4-AR5</f>
        <v/>
      </c>
      <c r="AS37" s="156">
        <f>AS4-AS5</f>
        <v/>
      </c>
      <c r="AT37" s="156">
        <f>AT4-AT5</f>
        <v/>
      </c>
      <c r="AU37" s="156">
        <f>AU4-AU5</f>
        <v/>
      </c>
      <c r="AV37" s="156">
        <f>AV4-AV5</f>
        <v/>
      </c>
      <c r="AW37" s="156">
        <f>AW4-AW5</f>
        <v/>
      </c>
      <c r="AX37" s="156">
        <f>AX4-AX5</f>
        <v/>
      </c>
    </row>
    <row r="42" ht="14.5" customHeight="1">
      <c r="O42" s="82" t="n"/>
    </row>
    <row r="44" ht="25" customHeight="1">
      <c r="B44" s="153" t="inlineStr">
        <is>
          <t>SPREAD IR DIFF</t>
        </is>
      </c>
      <c r="C44" s="135" t="n">
        <v>44927</v>
      </c>
      <c r="D44" s="135" t="n">
        <v>44958</v>
      </c>
      <c r="E44" s="135" t="n">
        <v>44986</v>
      </c>
      <c r="F44" s="135" t="n">
        <v>45017</v>
      </c>
      <c r="G44" s="135" t="n">
        <v>45047</v>
      </c>
      <c r="H44" s="135" t="n">
        <v>45078</v>
      </c>
      <c r="I44" s="135" t="n">
        <v>45108</v>
      </c>
      <c r="J44" s="135" t="n">
        <v>45139</v>
      </c>
      <c r="K44" s="135" t="n">
        <v>45170</v>
      </c>
      <c r="L44" s="135" t="n">
        <v>45200</v>
      </c>
      <c r="M44" s="135" t="n">
        <v>45231</v>
      </c>
      <c r="N44" s="135" t="n">
        <v>45261</v>
      </c>
      <c r="O44" s="135" t="n">
        <v>45292</v>
      </c>
      <c r="P44" s="135" t="n">
        <v>45323</v>
      </c>
      <c r="Q44" s="135" t="n">
        <v>45352</v>
      </c>
      <c r="R44" s="135" t="n">
        <v>45383</v>
      </c>
      <c r="S44" s="135" t="n">
        <v>45413</v>
      </c>
      <c r="T44" s="135" t="n">
        <v>45444</v>
      </c>
      <c r="U44" s="135" t="n">
        <v>45474</v>
      </c>
      <c r="V44" s="135" t="n">
        <v>45505</v>
      </c>
      <c r="W44" s="135" t="n">
        <v>45536</v>
      </c>
      <c r="X44" s="135" t="n">
        <v>45566</v>
      </c>
      <c r="Y44" s="135" t="n">
        <v>45597</v>
      </c>
      <c r="Z44" s="135" t="n">
        <v>45627</v>
      </c>
      <c r="AA44" s="135" t="n">
        <v>45658</v>
      </c>
      <c r="AB44" s="135" t="n">
        <v>45689</v>
      </c>
      <c r="AC44" s="135" t="n">
        <v>45717</v>
      </c>
      <c r="AD44" s="135" t="n">
        <v>45748</v>
      </c>
      <c r="AE44" s="135" t="n">
        <v>45778</v>
      </c>
      <c r="AF44" s="135" t="n">
        <v>45809</v>
      </c>
      <c r="AG44" s="135" t="n">
        <v>45839</v>
      </c>
      <c r="AH44" s="135" t="n">
        <v>45870</v>
      </c>
      <c r="AI44" s="135" t="n">
        <v>45901</v>
      </c>
      <c r="AJ44" s="135" t="n">
        <v>45931</v>
      </c>
      <c r="AK44" s="135" t="n">
        <v>45962</v>
      </c>
      <c r="AL44" s="135" t="n">
        <v>45992</v>
      </c>
      <c r="AM44" s="135" t="n">
        <v>46023</v>
      </c>
      <c r="AN44" s="135" t="n">
        <v>46054</v>
      </c>
      <c r="AO44" s="135" t="n">
        <v>46082</v>
      </c>
      <c r="AP44" s="135" t="n">
        <v>46113</v>
      </c>
      <c r="AQ44" s="135" t="n">
        <v>46143</v>
      </c>
      <c r="AR44" s="135" t="n">
        <v>46174</v>
      </c>
      <c r="AS44" s="135" t="n">
        <v>46204</v>
      </c>
      <c r="AT44" s="135" t="n">
        <v>46235</v>
      </c>
      <c r="AU44" s="135" t="n">
        <v>46266</v>
      </c>
      <c r="AV44" s="135" t="n">
        <v>46296</v>
      </c>
      <c r="AW44" s="135" t="n">
        <v>46327</v>
      </c>
      <c r="AX44" s="191" t="n">
        <v>46357</v>
      </c>
      <c r="AY44" s="193" t="n"/>
      <c r="AZ44" s="194" t="n"/>
      <c r="BA44" s="193" t="n"/>
      <c r="BB44" s="194" t="n"/>
      <c r="BC44" s="193" t="inlineStr">
        <is>
          <t xml:space="preserve"> </t>
        </is>
      </c>
      <c r="BD44" s="194" t="n"/>
      <c r="BE44" s="193" t="n"/>
      <c r="BF44" s="194" t="n"/>
      <c r="BG44" s="193" t="n"/>
      <c r="BH44" s="194" t="n"/>
      <c r="BI44" s="193" t="n"/>
      <c r="BJ44" s="194" t="n"/>
    </row>
    <row r="45" ht="25" customHeight="1">
      <c r="B45" s="154" t="inlineStr">
        <is>
          <t>USD JPY</t>
        </is>
      </c>
      <c r="C45" s="186">
        <f t="array" ref="C45">_xlfn.XLOOKUP(MIN(ABS($AZ$3:$AZ$31 - MEDIAN(MIN($AZ$3:$AZ$31), MAX($AZ$3:$AZ$31), C15))), ABS($AZ$3:$AZ$31 - MEDIAN(MIN($AZ$3:$AZ$31), MAX($AZ$3:$AZ$31), C15)), $BA$3:$BA$31, "Error", 0)</f>
        <v/>
      </c>
      <c r="D45" s="186">
        <f t="array" ref="D45">_xlfn.XLOOKUP(MIN(ABS($AZ$3:$AZ$31 - MEDIAN(MIN($AZ$3:$AZ$31), MAX($AZ$3:$AZ$31), D15))), ABS($AZ$3:$AZ$31 - MEDIAN(MIN($AZ$3:$AZ$31), MAX($AZ$3:$AZ$31), D15)), $BA$3:$BA$31, "Error", 0)</f>
        <v/>
      </c>
      <c r="E45" s="186">
        <f t="array" ref="E45">_xlfn.XLOOKUP(MIN(ABS($AZ$3:$AZ$31 - MEDIAN(MIN($AZ$3:$AZ$31), MAX($AZ$3:$AZ$31), E15))), ABS($AZ$3:$AZ$31 - MEDIAN(MIN($AZ$3:$AZ$31), MAX($AZ$3:$AZ$31), E15)), $BA$3:$BA$31, "Error", 0)</f>
        <v/>
      </c>
      <c r="F45" s="186">
        <f t="array" ref="F45">_xlfn.XLOOKUP(MIN(ABS($AZ$3:$AZ$31 - MEDIAN(MIN($AZ$3:$AZ$31), MAX($AZ$3:$AZ$31), F15))), ABS($AZ$3:$AZ$31 - MEDIAN(MIN($AZ$3:$AZ$31), MAX($AZ$3:$AZ$31), F15)), $BA$3:$BA$31, "Error", 0)</f>
        <v/>
      </c>
      <c r="G45" s="186">
        <f t="array" ref="G45">_xlfn.XLOOKUP(MIN(ABS($AZ$3:$AZ$31 - MEDIAN(MIN($AZ$3:$AZ$31), MAX($AZ$3:$AZ$31), G15))), ABS($AZ$3:$AZ$31 - MEDIAN(MIN($AZ$3:$AZ$31), MAX($AZ$3:$AZ$31), G15)), $BA$3:$BA$31, "Error", 0)</f>
        <v/>
      </c>
      <c r="H45" s="186">
        <f t="array" ref="H45">_xlfn.XLOOKUP(MIN(ABS($AZ$3:$AZ$31 - MEDIAN(MIN($AZ$3:$AZ$31), MAX($AZ$3:$AZ$31), H15))), ABS($AZ$3:$AZ$31 - MEDIAN(MIN($AZ$3:$AZ$31), MAX($AZ$3:$AZ$31), H15)), $BA$3:$BA$31, "Error", 0)</f>
        <v/>
      </c>
      <c r="I45" s="186">
        <f t="array" ref="I45">_xlfn.XLOOKUP(MIN(ABS($AZ$3:$AZ$31 - MEDIAN(MIN($AZ$3:$AZ$31), MAX($AZ$3:$AZ$31), I15))), ABS($AZ$3:$AZ$31 - MEDIAN(MIN($AZ$3:$AZ$31), MAX($AZ$3:$AZ$31), I15)), $BA$3:$BA$31, "Error", 0)</f>
        <v/>
      </c>
      <c r="J45" s="186">
        <f t="array" ref="J45">_xlfn.XLOOKUP(MIN(ABS($AZ$3:$AZ$31 - MEDIAN(MIN($AZ$3:$AZ$31), MAX($AZ$3:$AZ$31), J15))), ABS($AZ$3:$AZ$31 - MEDIAN(MIN($AZ$3:$AZ$31), MAX($AZ$3:$AZ$31), J15)), $BA$3:$BA$31, "Error", 0)</f>
        <v/>
      </c>
      <c r="K45" s="186">
        <f t="array" ref="K45">_xlfn.XLOOKUP(MIN(ABS($AZ$3:$AZ$31 - MEDIAN(MIN($AZ$3:$AZ$31), MAX($AZ$3:$AZ$31), K15))), ABS($AZ$3:$AZ$31 - MEDIAN(MIN($AZ$3:$AZ$31), MAX($AZ$3:$AZ$31), K15)), $BA$3:$BA$31, "Error", 0)</f>
        <v/>
      </c>
      <c r="L45" s="186">
        <f t="array" ref="L45">_xlfn.XLOOKUP(MIN(ABS($AZ$3:$AZ$31 - MEDIAN(MIN($AZ$3:$AZ$31), MAX($AZ$3:$AZ$31), L15))), ABS($AZ$3:$AZ$31 - MEDIAN(MIN($AZ$3:$AZ$31), MAX($AZ$3:$AZ$31), L15)), $BA$3:$BA$31, "Error", 0)</f>
        <v/>
      </c>
      <c r="M45" s="186">
        <f t="array" ref="M45">_xlfn.XLOOKUP(MIN(ABS($AZ$3:$AZ$31 - MEDIAN(MIN($AZ$3:$AZ$31), MAX($AZ$3:$AZ$31), M15))), ABS($AZ$3:$AZ$31 - MEDIAN(MIN($AZ$3:$AZ$31), MAX($AZ$3:$AZ$31), M15)), $BA$3:$BA$31, "Error", 0)</f>
        <v/>
      </c>
      <c r="N45" s="186">
        <f t="array" ref="N45">_xlfn.XLOOKUP(MIN(ABS($AZ$3:$AZ$31 - MEDIAN(MIN($AZ$3:$AZ$31), MAX($AZ$3:$AZ$31), N15))), ABS($AZ$3:$AZ$31 - MEDIAN(MIN($AZ$3:$AZ$31), MAX($AZ$3:$AZ$31), N15)), $BA$3:$BA$31, "Error", 0)</f>
        <v/>
      </c>
      <c r="O45" s="186">
        <f t="array" ref="O45">_xlfn.XLOOKUP(MIN(ABS($AZ$3:$AZ$31 - MEDIAN(MIN($AZ$3:$AZ$31), MAX($AZ$3:$AZ$31), O15))), ABS($AZ$3:$AZ$31 - MEDIAN(MIN($AZ$3:$AZ$31), MAX($AZ$3:$AZ$31), O15)), $BA$3:$BA$31, "Error", 0)</f>
        <v/>
      </c>
      <c r="P45" s="186">
        <f t="array" ref="P45">_xlfn.XLOOKUP(MIN(ABS($AZ$3:$AZ$31 - MEDIAN(MIN($AZ$3:$AZ$31), MAX($AZ$3:$AZ$31), P15))), ABS($AZ$3:$AZ$31 - MEDIAN(MIN($AZ$3:$AZ$31), MAX($AZ$3:$AZ$31), P15)), $BA$3:$BA$31, "Error", 0)</f>
        <v/>
      </c>
      <c r="Q45" s="186">
        <f t="array" ref="Q45">_xlfn.XLOOKUP(MIN(ABS($AZ$3:$AZ$31 - MEDIAN(MIN($AZ$3:$AZ$31), MAX($AZ$3:$AZ$31), Q15))), ABS($AZ$3:$AZ$31 - MEDIAN(MIN($AZ$3:$AZ$31), MAX($AZ$3:$AZ$31), Q15)), $BA$3:$BA$31, "Error", 0)</f>
        <v/>
      </c>
      <c r="R45" s="186">
        <f t="array" ref="R45">_xlfn.XLOOKUP(MIN(ABS($AZ$3:$AZ$31 - MEDIAN(MIN($AZ$3:$AZ$31), MAX($AZ$3:$AZ$31), R15))), ABS($AZ$3:$AZ$31 - MEDIAN(MIN($AZ$3:$AZ$31), MAX($AZ$3:$AZ$31), R15)), $BA$3:$BA$31, "Error", 0)</f>
        <v/>
      </c>
      <c r="S45" s="186">
        <f t="array" ref="S45">_xlfn.XLOOKUP(MIN(ABS($AZ$3:$AZ$31 - MEDIAN(MIN($AZ$3:$AZ$31), MAX($AZ$3:$AZ$31), S15))), ABS($AZ$3:$AZ$31 - MEDIAN(MIN($AZ$3:$AZ$31), MAX($AZ$3:$AZ$31), S15)), $BA$3:$BA$31, "Error", 0)</f>
        <v/>
      </c>
      <c r="T45" s="186">
        <f t="array" ref="T45">_xlfn.XLOOKUP(MIN(ABS($AZ$3:$AZ$31 - MEDIAN(MIN($AZ$3:$AZ$31), MAX($AZ$3:$AZ$31), T15))), ABS($AZ$3:$AZ$31 - MEDIAN(MIN($AZ$3:$AZ$31), MAX($AZ$3:$AZ$31), T15)), $BA$3:$BA$31, "Error", 0)</f>
        <v/>
      </c>
      <c r="U45" s="186">
        <f t="array" ref="U45">_xlfn.XLOOKUP(MIN(ABS($AZ$3:$AZ$31 - MEDIAN(MIN($AZ$3:$AZ$31), MAX($AZ$3:$AZ$31), U15))), ABS($AZ$3:$AZ$31 - MEDIAN(MIN($AZ$3:$AZ$31), MAX($AZ$3:$AZ$31), U15)), $BA$3:$BA$31, "Error", 0)</f>
        <v/>
      </c>
      <c r="V45" s="186">
        <f t="array" ref="V45">_xlfn.XLOOKUP(MIN(ABS($AZ$3:$AZ$31 - MEDIAN(MIN($AZ$3:$AZ$31), MAX($AZ$3:$AZ$31), V15))), ABS($AZ$3:$AZ$31 - MEDIAN(MIN($AZ$3:$AZ$31), MAX($AZ$3:$AZ$31), V15)), $BA$3:$BA$31, "Error", 0)</f>
        <v/>
      </c>
      <c r="W45" s="186">
        <f t="array" ref="W45">_xlfn.XLOOKUP(MIN(ABS($AZ$3:$AZ$31 - MEDIAN(MIN($AZ$3:$AZ$31), MAX($AZ$3:$AZ$31), W15))), ABS($AZ$3:$AZ$31 - MEDIAN(MIN($AZ$3:$AZ$31), MAX($AZ$3:$AZ$31), W15)), $BA$3:$BA$31, "Error", 0)</f>
        <v/>
      </c>
      <c r="X45" s="186">
        <f t="array" ref="X45">_xlfn.XLOOKUP(MIN(ABS($AZ$3:$AZ$31 - MEDIAN(MIN($AZ$3:$AZ$31), MAX($AZ$3:$AZ$31), X15))), ABS($AZ$3:$AZ$31 - MEDIAN(MIN($AZ$3:$AZ$31), MAX($AZ$3:$AZ$31), X15)), $BA$3:$BA$31, "Error", 0)</f>
        <v/>
      </c>
      <c r="Y45" s="186">
        <f t="array" ref="Y45">_xlfn.XLOOKUP(MIN(ABS($AZ$3:$AZ$31 - MEDIAN(MIN($AZ$3:$AZ$31), MAX($AZ$3:$AZ$31), Y15))), ABS($AZ$3:$AZ$31 - MEDIAN(MIN($AZ$3:$AZ$31), MAX($AZ$3:$AZ$31), Y15)), $BA$3:$BA$31, "Error", 0)</f>
        <v/>
      </c>
      <c r="Z45" s="186">
        <f t="array" ref="Z45">_xlfn.XLOOKUP(MIN(ABS($AZ$3:$AZ$31 - MEDIAN(MIN($AZ$3:$AZ$31), MAX($AZ$3:$AZ$31), Z15))), ABS($AZ$3:$AZ$31 - MEDIAN(MIN($AZ$3:$AZ$31), MAX($AZ$3:$AZ$31), Z15)), $BA$3:$BA$31, "Error", 0)</f>
        <v/>
      </c>
      <c r="AA45" s="186">
        <f t="array" ref="AA45">_xlfn.XLOOKUP(MIN(ABS($AZ$3:$AZ$31 - MEDIAN(MIN($AZ$3:$AZ$31), MAX($AZ$3:$AZ$31), AA15))), ABS($AZ$3:$AZ$31 - MEDIAN(MIN($AZ$3:$AZ$31), MAX($AZ$3:$AZ$31), AA15)), $BA$3:$BA$31, "Error", 0)</f>
        <v/>
      </c>
      <c r="AB45" s="186">
        <f t="array" ref="AB45">_xlfn.XLOOKUP(MIN(ABS($AZ$3:$AZ$31 - MEDIAN(MIN($AZ$3:$AZ$31), MAX($AZ$3:$AZ$31), AB15))), ABS($AZ$3:$AZ$31 - MEDIAN(MIN($AZ$3:$AZ$31), MAX($AZ$3:$AZ$31), AB15)), $BA$3:$BA$31, "Error", 0)</f>
        <v/>
      </c>
      <c r="AC45" s="186">
        <f t="array" ref="AC45">_xlfn.XLOOKUP(MIN(ABS($AZ$3:$AZ$31 - MEDIAN(MIN($AZ$3:$AZ$31), MAX($AZ$3:$AZ$31), AC15))), ABS($AZ$3:$AZ$31 - MEDIAN(MIN($AZ$3:$AZ$31), MAX($AZ$3:$AZ$31), AC15)), $BA$3:$BA$31, "Error", 0)</f>
        <v/>
      </c>
      <c r="AD45" s="186">
        <f t="array" ref="AD45">_xlfn.XLOOKUP(MIN(ABS($AZ$3:$AZ$31 - MEDIAN(MIN($AZ$3:$AZ$31), MAX($AZ$3:$AZ$31), AD15))), ABS($AZ$3:$AZ$31 - MEDIAN(MIN($AZ$3:$AZ$31), MAX($AZ$3:$AZ$31), AD15)), $BA$3:$BA$31, "Error", 0)</f>
        <v/>
      </c>
      <c r="AE45" s="186">
        <f t="array" ref="AE45">_xlfn.XLOOKUP(MIN(ABS($AZ$3:$AZ$31 - MEDIAN(MIN($AZ$3:$AZ$31), MAX($AZ$3:$AZ$31), AE15))), ABS($AZ$3:$AZ$31 - MEDIAN(MIN($AZ$3:$AZ$31), MAX($AZ$3:$AZ$31), AE15)), $BA$3:$BA$31, "Error", 0)</f>
        <v/>
      </c>
      <c r="AF45" s="186">
        <f t="array" ref="AF45">_xlfn.XLOOKUP(MIN(ABS($AZ$3:$AZ$31 - MEDIAN(MIN($AZ$3:$AZ$31), MAX($AZ$3:$AZ$31), AF15))), ABS($AZ$3:$AZ$31 - MEDIAN(MIN($AZ$3:$AZ$31), MAX($AZ$3:$AZ$31), AF15)), $BA$3:$BA$31, "Error", 0)</f>
        <v/>
      </c>
      <c r="AG45" s="186">
        <f t="array" ref="AG45">_xlfn.XLOOKUP(MIN(ABS($AZ$3:$AZ$31 - MEDIAN(MIN($AZ$3:$AZ$31), MAX($AZ$3:$AZ$31), AG15))), ABS($AZ$3:$AZ$31 - MEDIAN(MIN($AZ$3:$AZ$31), MAX($AZ$3:$AZ$31), AG15)), $BA$3:$BA$31, "Error", 0)</f>
        <v/>
      </c>
      <c r="AH45" s="186">
        <f t="array" ref="AH45">_xlfn.XLOOKUP(MIN(ABS($AZ$3:$AZ$31 - MEDIAN(MIN($AZ$3:$AZ$31), MAX($AZ$3:$AZ$31), AH15))), ABS($AZ$3:$AZ$31 - MEDIAN(MIN($AZ$3:$AZ$31), MAX($AZ$3:$AZ$31), AH15)), $BA$3:$BA$31, "Error", 0)</f>
        <v/>
      </c>
      <c r="AI45" s="186">
        <f t="array" ref="AI45">_xlfn.XLOOKUP(MIN(ABS($AZ$3:$AZ$31 - MEDIAN(MIN($AZ$3:$AZ$31), MAX($AZ$3:$AZ$31), AI15))), ABS($AZ$3:$AZ$31 - MEDIAN(MIN($AZ$3:$AZ$31), MAX($AZ$3:$AZ$31), AI15)), $BA$3:$BA$31, "Error", 0)</f>
        <v/>
      </c>
      <c r="AJ45" s="186">
        <f t="array" ref="AJ45">_xlfn.XLOOKUP(MIN(ABS($AZ$3:$AZ$31 - MEDIAN(MIN($AZ$3:$AZ$31), MAX($AZ$3:$AZ$31), AJ15))), ABS($AZ$3:$AZ$31 - MEDIAN(MIN($AZ$3:$AZ$31), MAX($AZ$3:$AZ$31), AJ15)), $BA$3:$BA$31, "Error", 0)</f>
        <v/>
      </c>
      <c r="AK45" s="186">
        <f t="array" ref="AK45">_xlfn.XLOOKUP(MIN(ABS($AZ$3:$AZ$31 - MEDIAN(MIN($AZ$3:$AZ$31), MAX($AZ$3:$AZ$31), AK15))), ABS($AZ$3:$AZ$31 - MEDIAN(MIN($AZ$3:$AZ$31), MAX($AZ$3:$AZ$31), AK15)), $BA$3:$BA$31, "Error", 0)</f>
        <v/>
      </c>
      <c r="AL45" s="186">
        <f t="array" ref="AL45">_xlfn.XLOOKUP(MIN(ABS($AZ$3:$AZ$31 - MEDIAN(MIN($AZ$3:$AZ$31), MAX($AZ$3:$AZ$31), AL15))), ABS($AZ$3:$AZ$31 - MEDIAN(MIN($AZ$3:$AZ$31), MAX($AZ$3:$AZ$31), AL15)), $BA$3:$BA$31, "Error", 0)</f>
        <v/>
      </c>
      <c r="AM45" s="186">
        <f t="array" ref="AM45">_xlfn.XLOOKUP(MIN(ABS($AZ$3:$AZ$31 - MEDIAN(MIN($AZ$3:$AZ$31), MAX($AZ$3:$AZ$31), AM15))), ABS($AZ$3:$AZ$31 - MEDIAN(MIN($AZ$3:$AZ$31), MAX($AZ$3:$AZ$31), AM15)), $BA$3:$BA$31, "Error", 0)</f>
        <v/>
      </c>
      <c r="AN45" s="186">
        <f t="array" ref="AN45">_xlfn.XLOOKUP(MIN(ABS($AZ$3:$AZ$31 - MEDIAN(MIN($AZ$3:$AZ$31), MAX($AZ$3:$AZ$31), AN15))), ABS($AZ$3:$AZ$31 - MEDIAN(MIN($AZ$3:$AZ$31), MAX($AZ$3:$AZ$31), AN15)), $BA$3:$BA$31, "Error", 0)</f>
        <v/>
      </c>
      <c r="AO45" s="186">
        <f t="array" ref="AO45">_xlfn.XLOOKUP(MIN(ABS($AZ$3:$AZ$31 - MEDIAN(MIN($AZ$3:$AZ$31), MAX($AZ$3:$AZ$31), AO15))), ABS($AZ$3:$AZ$31 - MEDIAN(MIN($AZ$3:$AZ$31), MAX($AZ$3:$AZ$31), AO15)), $BA$3:$BA$31, "Error", 0)</f>
        <v/>
      </c>
      <c r="AP45" s="186">
        <f t="array" ref="AP45">_xlfn.XLOOKUP(MIN(ABS($AZ$3:$AZ$31 - MEDIAN(MIN($AZ$3:$AZ$31), MAX($AZ$3:$AZ$31), AP15))), ABS($AZ$3:$AZ$31 - MEDIAN(MIN($AZ$3:$AZ$31), MAX($AZ$3:$AZ$31), AP15)), $BA$3:$BA$31, "Error", 0)</f>
        <v/>
      </c>
      <c r="AQ45" s="186">
        <f t="array" ref="AQ45">_xlfn.XLOOKUP(MIN(ABS($AZ$3:$AZ$31 - MEDIAN(MIN($AZ$3:$AZ$31), MAX($AZ$3:$AZ$31), AQ15))), ABS($AZ$3:$AZ$31 - MEDIAN(MIN($AZ$3:$AZ$31), MAX($AZ$3:$AZ$31), AQ15)), $BA$3:$BA$31, "Error", 0)</f>
        <v/>
      </c>
      <c r="AR45" s="186">
        <f t="array" ref="AR45">_xlfn.XLOOKUP(MIN(ABS($AZ$3:$AZ$31 - MEDIAN(MIN($AZ$3:$AZ$31), MAX($AZ$3:$AZ$31), AR15))), ABS($AZ$3:$AZ$31 - MEDIAN(MIN($AZ$3:$AZ$31), MAX($AZ$3:$AZ$31), AR15)), $BA$3:$BA$31, "Error", 0)</f>
        <v/>
      </c>
      <c r="AS45" s="186">
        <f t="array" ref="AS45">_xlfn.XLOOKUP(MIN(ABS($AZ$3:$AZ$31 - MEDIAN(MIN($AZ$3:$AZ$31), MAX($AZ$3:$AZ$31), AS15))), ABS($AZ$3:$AZ$31 - MEDIAN(MIN($AZ$3:$AZ$31), MAX($AZ$3:$AZ$31), AS15)), $BA$3:$BA$31, "Error", 0)</f>
        <v/>
      </c>
      <c r="AT45" s="186">
        <f t="array" ref="AT45">_xlfn.XLOOKUP(MIN(ABS($AZ$3:$AZ$31 - MEDIAN(MIN($AZ$3:$AZ$31), MAX($AZ$3:$AZ$31), AT15))), ABS($AZ$3:$AZ$31 - MEDIAN(MIN($AZ$3:$AZ$31), MAX($AZ$3:$AZ$31), AT15)), $BA$3:$BA$31, "Error", 0)</f>
        <v/>
      </c>
      <c r="AU45" s="186">
        <f t="array" ref="AU45">_xlfn.XLOOKUP(MIN(ABS($AZ$3:$AZ$31 - MEDIAN(MIN($AZ$3:$AZ$31), MAX($AZ$3:$AZ$31), AU15))), ABS($AZ$3:$AZ$31 - MEDIAN(MIN($AZ$3:$AZ$31), MAX($AZ$3:$AZ$31), AU15)), $BA$3:$BA$31, "Error", 0)</f>
        <v/>
      </c>
      <c r="AV45" s="186">
        <f t="array" ref="AV45">_xlfn.XLOOKUP(MIN(ABS($AZ$3:$AZ$31 - MEDIAN(MIN($AZ$3:$AZ$31), MAX($AZ$3:$AZ$31), AV15))), ABS($AZ$3:$AZ$31 - MEDIAN(MIN($AZ$3:$AZ$31), MAX($AZ$3:$AZ$31), AV15)), $BA$3:$BA$31, "Error", 0)</f>
        <v/>
      </c>
      <c r="AW45" s="186">
        <f t="array" ref="AW45">_xlfn.XLOOKUP(MIN(ABS($AZ$3:$AZ$31 - MEDIAN(MIN($AZ$3:$AZ$31), MAX($AZ$3:$AZ$31), AW15))), ABS($AZ$3:$AZ$31 - MEDIAN(MIN($AZ$3:$AZ$31), MAX($AZ$3:$AZ$31), AW15)), $BA$3:$BA$31, "Error", 0)</f>
        <v/>
      </c>
      <c r="AX45" s="192">
        <f t="array" ref="AX45">_xlfn.XLOOKUP(MIN(ABS($AZ$3:$AZ$31 - MEDIAN(MIN($AZ$3:$AZ$31), MAX($AZ$3:$AZ$31), AX15))), ABS($AZ$3:$AZ$31 - MEDIAN(MIN($AZ$3:$AZ$31), MAX($AZ$3:$AZ$31), AX15)), $BA$3:$BA$31, "Error", 0)</f>
        <v/>
      </c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</row>
    <row r="46" ht="25" customHeight="1">
      <c r="B46" s="282" t="inlineStr">
        <is>
          <t>USD CHF</t>
        </is>
      </c>
      <c r="C46" s="186">
        <f t="array" ref="C46">_xlfn.XLOOKUP(MIN(ABS($AZ$3:$AZ$31 - MEDIAN(MIN($AZ$3:$AZ$31), MAX($AZ$3:$AZ$31), C16))), ABS($AZ$3:$AZ$31 - MEDIAN(MIN($AZ$3:$AZ$31), MAX($AZ$3:$AZ$31), C16)), $BA$3:$BA$31, "Error", 0)</f>
        <v/>
      </c>
      <c r="D46" s="186">
        <f t="array" ref="D46">_xlfn.XLOOKUP(MIN(ABS($AZ$3:$AZ$31 - MEDIAN(MIN($AZ$3:$AZ$31), MAX($AZ$3:$AZ$31), D16))), ABS($AZ$3:$AZ$31 - MEDIAN(MIN($AZ$3:$AZ$31), MAX($AZ$3:$AZ$31), D16)), $BA$3:$BA$31, "Error", 0)</f>
        <v/>
      </c>
      <c r="E46" s="186">
        <f t="array" ref="E46">_xlfn.XLOOKUP(MIN(ABS($AZ$3:$AZ$31 - MEDIAN(MIN($AZ$3:$AZ$31), MAX($AZ$3:$AZ$31), E16))), ABS($AZ$3:$AZ$31 - MEDIAN(MIN($AZ$3:$AZ$31), MAX($AZ$3:$AZ$31), E16)), $BA$3:$BA$31, "Error", 0)</f>
        <v/>
      </c>
      <c r="F46" s="186">
        <f t="array" ref="F46">_xlfn.XLOOKUP(MIN(ABS($AZ$3:$AZ$31 - MEDIAN(MIN($AZ$3:$AZ$31), MAX($AZ$3:$AZ$31), F16))), ABS($AZ$3:$AZ$31 - MEDIAN(MIN($AZ$3:$AZ$31), MAX($AZ$3:$AZ$31), F16)), $BA$3:$BA$31, "Error", 0)</f>
        <v/>
      </c>
      <c r="G46" s="186">
        <f t="array" ref="G46">_xlfn.XLOOKUP(MIN(ABS($AZ$3:$AZ$31 - MEDIAN(MIN($AZ$3:$AZ$31), MAX($AZ$3:$AZ$31), G16))), ABS($AZ$3:$AZ$31 - MEDIAN(MIN($AZ$3:$AZ$31), MAX($AZ$3:$AZ$31), G16)), $BA$3:$BA$31, "Error", 0)</f>
        <v/>
      </c>
      <c r="H46" s="186">
        <f t="array" ref="H46">_xlfn.XLOOKUP(MIN(ABS($AZ$3:$AZ$31 - MEDIAN(MIN($AZ$3:$AZ$31), MAX($AZ$3:$AZ$31), H16))), ABS($AZ$3:$AZ$31 - MEDIAN(MIN($AZ$3:$AZ$31), MAX($AZ$3:$AZ$31), H16)), $BA$3:$BA$31, "Error", 0)</f>
        <v/>
      </c>
      <c r="I46" s="186">
        <f t="array" ref="I46">_xlfn.XLOOKUP(MIN(ABS($AZ$3:$AZ$31 - MEDIAN(MIN($AZ$3:$AZ$31), MAX($AZ$3:$AZ$31), I16))), ABS($AZ$3:$AZ$31 - MEDIAN(MIN($AZ$3:$AZ$31), MAX($AZ$3:$AZ$31), I16)), $BA$3:$BA$31, "Error", 0)</f>
        <v/>
      </c>
      <c r="J46" s="186">
        <f t="array" ref="J46">_xlfn.XLOOKUP(MIN(ABS($AZ$3:$AZ$31 - MEDIAN(MIN($AZ$3:$AZ$31), MAX($AZ$3:$AZ$31), J16))), ABS($AZ$3:$AZ$31 - MEDIAN(MIN($AZ$3:$AZ$31), MAX($AZ$3:$AZ$31), J16)), $BA$3:$BA$31, "Error", 0)</f>
        <v/>
      </c>
      <c r="K46" s="186">
        <f t="array" ref="K46">_xlfn.XLOOKUP(MIN(ABS($AZ$3:$AZ$31 - MEDIAN(MIN($AZ$3:$AZ$31), MAX($AZ$3:$AZ$31), K16))), ABS($AZ$3:$AZ$31 - MEDIAN(MIN($AZ$3:$AZ$31), MAX($AZ$3:$AZ$31), K16)), $BA$3:$BA$31, "Error", 0)</f>
        <v/>
      </c>
      <c r="L46" s="186">
        <f t="array" ref="L46">_xlfn.XLOOKUP(MIN(ABS($AZ$3:$AZ$31 - MEDIAN(MIN($AZ$3:$AZ$31), MAX($AZ$3:$AZ$31), L16))), ABS($AZ$3:$AZ$31 - MEDIAN(MIN($AZ$3:$AZ$31), MAX($AZ$3:$AZ$31), L16)), $BA$3:$BA$31, "Error", 0)</f>
        <v/>
      </c>
      <c r="M46" s="186">
        <f t="array" ref="M46">_xlfn.XLOOKUP(MIN(ABS($AZ$3:$AZ$31 - MEDIAN(MIN($AZ$3:$AZ$31), MAX($AZ$3:$AZ$31), M16))), ABS($AZ$3:$AZ$31 - MEDIAN(MIN($AZ$3:$AZ$31), MAX($AZ$3:$AZ$31), M16)), $BA$3:$BA$31, "Error", 0)</f>
        <v/>
      </c>
      <c r="N46" s="186">
        <f t="array" ref="N46">_xlfn.XLOOKUP(MIN(ABS($AZ$3:$AZ$31 - MEDIAN(MIN($AZ$3:$AZ$31), MAX($AZ$3:$AZ$31), N16))), ABS($AZ$3:$AZ$31 - MEDIAN(MIN($AZ$3:$AZ$31), MAX($AZ$3:$AZ$31), N16)), $BA$3:$BA$31, "Error", 0)</f>
        <v/>
      </c>
      <c r="O46" s="186">
        <f t="array" ref="O46">_xlfn.XLOOKUP(MIN(ABS($AZ$3:$AZ$31 - MEDIAN(MIN($AZ$3:$AZ$31), MAX($AZ$3:$AZ$31), O16))), ABS($AZ$3:$AZ$31 - MEDIAN(MIN($AZ$3:$AZ$31), MAX($AZ$3:$AZ$31), O16)), $BA$3:$BA$31, "Error", 0)</f>
        <v/>
      </c>
      <c r="P46" s="186">
        <f t="array" ref="P46">_xlfn.XLOOKUP(MIN(ABS($AZ$3:$AZ$31 - MEDIAN(MIN($AZ$3:$AZ$31), MAX($AZ$3:$AZ$31), P16))), ABS($AZ$3:$AZ$31 - MEDIAN(MIN($AZ$3:$AZ$31), MAX($AZ$3:$AZ$31), P16)), $BA$3:$BA$31, "Error", 0)</f>
        <v/>
      </c>
      <c r="Q46" s="186">
        <f t="array" ref="Q46">_xlfn.XLOOKUP(MIN(ABS($AZ$3:$AZ$31 - MEDIAN(MIN($AZ$3:$AZ$31), MAX($AZ$3:$AZ$31), Q16))), ABS($AZ$3:$AZ$31 - MEDIAN(MIN($AZ$3:$AZ$31), MAX($AZ$3:$AZ$31), Q16)), $BA$3:$BA$31, "Error", 0)</f>
        <v/>
      </c>
      <c r="R46" s="186">
        <f t="array" ref="R46">_xlfn.XLOOKUP(MIN(ABS($AZ$3:$AZ$31 - MEDIAN(MIN($AZ$3:$AZ$31), MAX($AZ$3:$AZ$31), R16))), ABS($AZ$3:$AZ$31 - MEDIAN(MIN($AZ$3:$AZ$31), MAX($AZ$3:$AZ$31), R16)), $BA$3:$BA$31, "Error", 0)</f>
        <v/>
      </c>
      <c r="S46" s="186">
        <f t="array" ref="S46">_xlfn.XLOOKUP(MIN(ABS($AZ$3:$AZ$31 - MEDIAN(MIN($AZ$3:$AZ$31), MAX($AZ$3:$AZ$31), S16))), ABS($AZ$3:$AZ$31 - MEDIAN(MIN($AZ$3:$AZ$31), MAX($AZ$3:$AZ$31), S16)), $BA$3:$BA$31, "Error", 0)</f>
        <v/>
      </c>
      <c r="T46" s="186">
        <f t="array" ref="T46">_xlfn.XLOOKUP(MIN(ABS($AZ$3:$AZ$31 - MEDIAN(MIN($AZ$3:$AZ$31), MAX($AZ$3:$AZ$31), T16))), ABS($AZ$3:$AZ$31 - MEDIAN(MIN($AZ$3:$AZ$31), MAX($AZ$3:$AZ$31), T16)), $BA$3:$BA$31, "Error", 0)</f>
        <v/>
      </c>
      <c r="U46" s="186">
        <f t="array" ref="U46">_xlfn.XLOOKUP(MIN(ABS($AZ$3:$AZ$31 - MEDIAN(MIN($AZ$3:$AZ$31), MAX($AZ$3:$AZ$31), U16))), ABS($AZ$3:$AZ$31 - MEDIAN(MIN($AZ$3:$AZ$31), MAX($AZ$3:$AZ$31), U16)), $BA$3:$BA$31, "Error", 0)</f>
        <v/>
      </c>
      <c r="V46" s="186">
        <f t="array" ref="V46">_xlfn.XLOOKUP(MIN(ABS($AZ$3:$AZ$31 - MEDIAN(MIN($AZ$3:$AZ$31), MAX($AZ$3:$AZ$31), V16))), ABS($AZ$3:$AZ$31 - MEDIAN(MIN($AZ$3:$AZ$31), MAX($AZ$3:$AZ$31), V16)), $BA$3:$BA$31, "Error", 0)</f>
        <v/>
      </c>
      <c r="W46" s="186">
        <f t="array" ref="W46">_xlfn.XLOOKUP(MIN(ABS($AZ$3:$AZ$31 - MEDIAN(MIN($AZ$3:$AZ$31), MAX($AZ$3:$AZ$31), W16))), ABS($AZ$3:$AZ$31 - MEDIAN(MIN($AZ$3:$AZ$31), MAX($AZ$3:$AZ$31), W16)), $BA$3:$BA$31, "Error", 0)</f>
        <v/>
      </c>
      <c r="X46" s="186">
        <f t="array" ref="X46">_xlfn.XLOOKUP(MIN(ABS($AZ$3:$AZ$31 - MEDIAN(MIN($AZ$3:$AZ$31), MAX($AZ$3:$AZ$31), X16))), ABS($AZ$3:$AZ$31 - MEDIAN(MIN($AZ$3:$AZ$31), MAX($AZ$3:$AZ$31), X16)), $BA$3:$BA$31, "Error", 0)</f>
        <v/>
      </c>
      <c r="Y46" s="186">
        <f t="array" ref="Y46">_xlfn.XLOOKUP(MIN(ABS($AZ$3:$AZ$31 - MEDIAN(MIN($AZ$3:$AZ$31), MAX($AZ$3:$AZ$31), Y16))), ABS($AZ$3:$AZ$31 - MEDIAN(MIN($AZ$3:$AZ$31), MAX($AZ$3:$AZ$31), Y16)), $BA$3:$BA$31, "Error", 0)</f>
        <v/>
      </c>
      <c r="Z46" s="186">
        <f t="array" ref="Z46">_xlfn.XLOOKUP(MIN(ABS($AZ$3:$AZ$31 - MEDIAN(MIN($AZ$3:$AZ$31), MAX($AZ$3:$AZ$31), Z16))), ABS($AZ$3:$AZ$31 - MEDIAN(MIN($AZ$3:$AZ$31), MAX($AZ$3:$AZ$31), Z16)), $BA$3:$BA$31, "Error", 0)</f>
        <v/>
      </c>
      <c r="AA46" s="186">
        <f t="array" ref="AA46">_xlfn.XLOOKUP(MIN(ABS($AZ$3:$AZ$31 - MEDIAN(MIN($AZ$3:$AZ$31), MAX($AZ$3:$AZ$31), AA16))), ABS($AZ$3:$AZ$31 - MEDIAN(MIN($AZ$3:$AZ$31), MAX($AZ$3:$AZ$31), AA16)), $BA$3:$BA$31, "Error", 0)</f>
        <v/>
      </c>
      <c r="AB46" s="186">
        <f t="array" ref="AB46">_xlfn.XLOOKUP(MIN(ABS($AZ$3:$AZ$31 - MEDIAN(MIN($AZ$3:$AZ$31), MAX($AZ$3:$AZ$31), AB16))), ABS($AZ$3:$AZ$31 - MEDIAN(MIN($AZ$3:$AZ$31), MAX($AZ$3:$AZ$31), AB16)), $BA$3:$BA$31, "Error", 0)</f>
        <v/>
      </c>
      <c r="AC46" s="186">
        <f t="array" ref="AC46">_xlfn.XLOOKUP(MIN(ABS($AZ$3:$AZ$31 - MEDIAN(MIN($AZ$3:$AZ$31), MAX($AZ$3:$AZ$31), AC16))), ABS($AZ$3:$AZ$31 - MEDIAN(MIN($AZ$3:$AZ$31), MAX($AZ$3:$AZ$31), AC16)), $BA$3:$BA$31, "Error", 0)</f>
        <v/>
      </c>
      <c r="AD46" s="186">
        <f t="array" ref="AD46">_xlfn.XLOOKUP(MIN(ABS($AZ$3:$AZ$31 - MEDIAN(MIN($AZ$3:$AZ$31), MAX($AZ$3:$AZ$31), AD16))), ABS($AZ$3:$AZ$31 - MEDIAN(MIN($AZ$3:$AZ$31), MAX($AZ$3:$AZ$31), AD16)), $BA$3:$BA$31, "Error", 0)</f>
        <v/>
      </c>
      <c r="AE46" s="186">
        <f t="array" ref="AE46">_xlfn.XLOOKUP(MIN(ABS($AZ$3:$AZ$31 - MEDIAN(MIN($AZ$3:$AZ$31), MAX($AZ$3:$AZ$31), AE16))), ABS($AZ$3:$AZ$31 - MEDIAN(MIN($AZ$3:$AZ$31), MAX($AZ$3:$AZ$31), AE16)), $BA$3:$BA$31, "Error", 0)</f>
        <v/>
      </c>
      <c r="AF46" s="186">
        <f t="array" ref="AF46">_xlfn.XLOOKUP(MIN(ABS($AZ$3:$AZ$31 - MEDIAN(MIN($AZ$3:$AZ$31), MAX($AZ$3:$AZ$31), AF16))), ABS($AZ$3:$AZ$31 - MEDIAN(MIN($AZ$3:$AZ$31), MAX($AZ$3:$AZ$31), AF16)), $BA$3:$BA$31, "Error", 0)</f>
        <v/>
      </c>
      <c r="AG46" s="186">
        <f t="array" ref="AG46">_xlfn.XLOOKUP(MIN(ABS($AZ$3:$AZ$31 - MEDIAN(MIN($AZ$3:$AZ$31), MAX($AZ$3:$AZ$31), AG16))), ABS($AZ$3:$AZ$31 - MEDIAN(MIN($AZ$3:$AZ$31), MAX($AZ$3:$AZ$31), AG16)), $BA$3:$BA$31, "Error", 0)</f>
        <v/>
      </c>
      <c r="AH46" s="186">
        <f t="array" ref="AH46">_xlfn.XLOOKUP(MIN(ABS($AZ$3:$AZ$31 - MEDIAN(MIN($AZ$3:$AZ$31), MAX($AZ$3:$AZ$31), AH16))), ABS($AZ$3:$AZ$31 - MEDIAN(MIN($AZ$3:$AZ$31), MAX($AZ$3:$AZ$31), AH16)), $BA$3:$BA$31, "Error", 0)</f>
        <v/>
      </c>
      <c r="AI46" s="186">
        <f t="array" ref="AI46">_xlfn.XLOOKUP(MIN(ABS($AZ$3:$AZ$31 - MEDIAN(MIN($AZ$3:$AZ$31), MAX($AZ$3:$AZ$31), AI16))), ABS($AZ$3:$AZ$31 - MEDIAN(MIN($AZ$3:$AZ$31), MAX($AZ$3:$AZ$31), AI16)), $BA$3:$BA$31, "Error", 0)</f>
        <v/>
      </c>
      <c r="AJ46" s="186">
        <f t="array" ref="AJ46">_xlfn.XLOOKUP(MIN(ABS($AZ$3:$AZ$31 - MEDIAN(MIN($AZ$3:$AZ$31), MAX($AZ$3:$AZ$31), AJ16))), ABS($AZ$3:$AZ$31 - MEDIAN(MIN($AZ$3:$AZ$31), MAX($AZ$3:$AZ$31), AJ16)), $BA$3:$BA$31, "Error", 0)</f>
        <v/>
      </c>
      <c r="AK46" s="186">
        <f t="array" ref="AK46">_xlfn.XLOOKUP(MIN(ABS($AZ$3:$AZ$31 - MEDIAN(MIN($AZ$3:$AZ$31), MAX($AZ$3:$AZ$31), AK16))), ABS($AZ$3:$AZ$31 - MEDIAN(MIN($AZ$3:$AZ$31), MAX($AZ$3:$AZ$31), AK16)), $BA$3:$BA$31, "Error", 0)</f>
        <v/>
      </c>
      <c r="AL46" s="186">
        <f t="array" ref="AL46">_xlfn.XLOOKUP(MIN(ABS($AZ$3:$AZ$31 - MEDIAN(MIN($AZ$3:$AZ$31), MAX($AZ$3:$AZ$31), AL16))), ABS($AZ$3:$AZ$31 - MEDIAN(MIN($AZ$3:$AZ$31), MAX($AZ$3:$AZ$31), AL16)), $BA$3:$BA$31, "Error", 0)</f>
        <v/>
      </c>
      <c r="AM46" s="186">
        <f t="array" ref="AM46">_xlfn.XLOOKUP(MIN(ABS($AZ$3:$AZ$31 - MEDIAN(MIN($AZ$3:$AZ$31), MAX($AZ$3:$AZ$31), AM16))), ABS($AZ$3:$AZ$31 - MEDIAN(MIN($AZ$3:$AZ$31), MAX($AZ$3:$AZ$31), AM16)), $BA$3:$BA$31, "Error", 0)</f>
        <v/>
      </c>
      <c r="AN46" s="186">
        <f t="array" ref="AN46">_xlfn.XLOOKUP(MIN(ABS($AZ$3:$AZ$31 - MEDIAN(MIN($AZ$3:$AZ$31), MAX($AZ$3:$AZ$31), AN16))), ABS($AZ$3:$AZ$31 - MEDIAN(MIN($AZ$3:$AZ$31), MAX($AZ$3:$AZ$31), AN16)), $BA$3:$BA$31, "Error", 0)</f>
        <v/>
      </c>
      <c r="AO46" s="186">
        <f t="array" ref="AO46">_xlfn.XLOOKUP(MIN(ABS($AZ$3:$AZ$31 - MEDIAN(MIN($AZ$3:$AZ$31), MAX($AZ$3:$AZ$31), AO16))), ABS($AZ$3:$AZ$31 - MEDIAN(MIN($AZ$3:$AZ$31), MAX($AZ$3:$AZ$31), AO16)), $BA$3:$BA$31, "Error", 0)</f>
        <v/>
      </c>
      <c r="AP46" s="186">
        <f t="array" ref="AP46">_xlfn.XLOOKUP(MIN(ABS($AZ$3:$AZ$31 - MEDIAN(MIN($AZ$3:$AZ$31), MAX($AZ$3:$AZ$31), AP16))), ABS($AZ$3:$AZ$31 - MEDIAN(MIN($AZ$3:$AZ$31), MAX($AZ$3:$AZ$31), AP16)), $BA$3:$BA$31, "Error", 0)</f>
        <v/>
      </c>
      <c r="AQ46" s="186">
        <f t="array" ref="AQ46">_xlfn.XLOOKUP(MIN(ABS($AZ$3:$AZ$31 - MEDIAN(MIN($AZ$3:$AZ$31), MAX($AZ$3:$AZ$31), AQ16))), ABS($AZ$3:$AZ$31 - MEDIAN(MIN($AZ$3:$AZ$31), MAX($AZ$3:$AZ$31), AQ16)), $BA$3:$BA$31, "Error", 0)</f>
        <v/>
      </c>
      <c r="AR46" s="186">
        <f t="array" ref="AR46">_xlfn.XLOOKUP(MIN(ABS($AZ$3:$AZ$31 - MEDIAN(MIN($AZ$3:$AZ$31), MAX($AZ$3:$AZ$31), AR16))), ABS($AZ$3:$AZ$31 - MEDIAN(MIN($AZ$3:$AZ$31), MAX($AZ$3:$AZ$31), AR16)), $BA$3:$BA$31, "Error", 0)</f>
        <v/>
      </c>
      <c r="AS46" s="186">
        <f t="array" ref="AS46">_xlfn.XLOOKUP(MIN(ABS($AZ$3:$AZ$31 - MEDIAN(MIN($AZ$3:$AZ$31), MAX($AZ$3:$AZ$31), AS16))), ABS($AZ$3:$AZ$31 - MEDIAN(MIN($AZ$3:$AZ$31), MAX($AZ$3:$AZ$31), AS16)), $BA$3:$BA$31, "Error", 0)</f>
        <v/>
      </c>
      <c r="AT46" s="186">
        <f t="array" ref="AT46">_xlfn.XLOOKUP(MIN(ABS($AZ$3:$AZ$31 - MEDIAN(MIN($AZ$3:$AZ$31), MAX($AZ$3:$AZ$31), AT16))), ABS($AZ$3:$AZ$31 - MEDIAN(MIN($AZ$3:$AZ$31), MAX($AZ$3:$AZ$31), AT16)), $BA$3:$BA$31, "Error", 0)</f>
        <v/>
      </c>
      <c r="AU46" s="186">
        <f t="array" ref="AU46">_xlfn.XLOOKUP(MIN(ABS($AZ$3:$AZ$31 - MEDIAN(MIN($AZ$3:$AZ$31), MAX($AZ$3:$AZ$31), AU16))), ABS($AZ$3:$AZ$31 - MEDIAN(MIN($AZ$3:$AZ$31), MAX($AZ$3:$AZ$31), AU16)), $BA$3:$BA$31, "Error", 0)</f>
        <v/>
      </c>
      <c r="AV46" s="186">
        <f t="array" ref="AV46">_xlfn.XLOOKUP(MIN(ABS($AZ$3:$AZ$31 - MEDIAN(MIN($AZ$3:$AZ$31), MAX($AZ$3:$AZ$31), AV16))), ABS($AZ$3:$AZ$31 - MEDIAN(MIN($AZ$3:$AZ$31), MAX($AZ$3:$AZ$31), AV16)), $BA$3:$BA$31, "Error", 0)</f>
        <v/>
      </c>
      <c r="AW46" s="186">
        <f t="array" ref="AW46">_xlfn.XLOOKUP(MIN(ABS($AZ$3:$AZ$31 - MEDIAN(MIN($AZ$3:$AZ$31), MAX($AZ$3:$AZ$31), AW16))), ABS($AZ$3:$AZ$31 - MEDIAN(MIN($AZ$3:$AZ$31), MAX($AZ$3:$AZ$31), AW16)), $BA$3:$BA$31, "Error", 0)</f>
        <v/>
      </c>
      <c r="AX46" s="192">
        <f t="array" ref="AX46">_xlfn.XLOOKUP(MIN(ABS($AZ$3:$AZ$31 - MEDIAN(MIN($AZ$3:$AZ$31), MAX($AZ$3:$AZ$31), AX16))), ABS($AZ$3:$AZ$31 - MEDIAN(MIN($AZ$3:$AZ$31), MAX($AZ$3:$AZ$31), AX16)), $BA$3:$BA$31, "Error", 0)</f>
        <v/>
      </c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</row>
    <row r="47" ht="25" customHeight="1">
      <c r="B47" s="282" t="inlineStr">
        <is>
          <t>USD CAD</t>
        </is>
      </c>
      <c r="C47" s="186">
        <f t="array" ref="C47">_xlfn.XLOOKUP(MIN(ABS($AZ$3:$AZ$31 - MEDIAN(MIN($AZ$3:$AZ$31), MAX($AZ$3:$AZ$31), C17))), ABS($AZ$3:$AZ$31 - MEDIAN(MIN($AZ$3:$AZ$31), MAX($AZ$3:$AZ$31), C17)), $BA$3:$BA$31, "Error", 0)</f>
        <v/>
      </c>
      <c r="D47" s="186">
        <f t="array" ref="D47">_xlfn.XLOOKUP(MIN(ABS($AZ$3:$AZ$31 - MEDIAN(MIN($AZ$3:$AZ$31), MAX($AZ$3:$AZ$31), D17))), ABS($AZ$3:$AZ$31 - MEDIAN(MIN($AZ$3:$AZ$31), MAX($AZ$3:$AZ$31), D17)), $BA$3:$BA$31, "Error", 0)</f>
        <v/>
      </c>
      <c r="E47" s="186">
        <f t="array" ref="E47">_xlfn.XLOOKUP(MIN(ABS($AZ$3:$AZ$31 - MEDIAN(MIN($AZ$3:$AZ$31), MAX($AZ$3:$AZ$31), E17))), ABS($AZ$3:$AZ$31 - MEDIAN(MIN($AZ$3:$AZ$31), MAX($AZ$3:$AZ$31), E17)), $BA$3:$BA$31, "Error", 0)</f>
        <v/>
      </c>
      <c r="F47" s="186">
        <f t="array" ref="F47">_xlfn.XLOOKUP(MIN(ABS($AZ$3:$AZ$31 - MEDIAN(MIN($AZ$3:$AZ$31), MAX($AZ$3:$AZ$31), F17))), ABS($AZ$3:$AZ$31 - MEDIAN(MIN($AZ$3:$AZ$31), MAX($AZ$3:$AZ$31), F17)), $BA$3:$BA$31, "Error", 0)</f>
        <v/>
      </c>
      <c r="G47" s="186">
        <f t="array" ref="G47">_xlfn.XLOOKUP(MIN(ABS($AZ$3:$AZ$31 - MEDIAN(MIN($AZ$3:$AZ$31), MAX($AZ$3:$AZ$31), G17))), ABS($AZ$3:$AZ$31 - MEDIAN(MIN($AZ$3:$AZ$31), MAX($AZ$3:$AZ$31), G17)), $BA$3:$BA$31, "Error", 0)</f>
        <v/>
      </c>
      <c r="H47" s="186">
        <f t="array" ref="H47">_xlfn.XLOOKUP(MIN(ABS($AZ$3:$AZ$31 - MEDIAN(MIN($AZ$3:$AZ$31), MAX($AZ$3:$AZ$31), H17))), ABS($AZ$3:$AZ$31 - MEDIAN(MIN($AZ$3:$AZ$31), MAX($AZ$3:$AZ$31), H17)), $BA$3:$BA$31, "Error", 0)</f>
        <v/>
      </c>
      <c r="I47" s="186">
        <f t="array" ref="I47">_xlfn.XLOOKUP(MIN(ABS($AZ$3:$AZ$31 - MEDIAN(MIN($AZ$3:$AZ$31), MAX($AZ$3:$AZ$31), I17))), ABS($AZ$3:$AZ$31 - MEDIAN(MIN($AZ$3:$AZ$31), MAX($AZ$3:$AZ$31), I17)), $BA$3:$BA$31, "Error", 0)</f>
        <v/>
      </c>
      <c r="J47" s="186">
        <f t="array" ref="J47">_xlfn.XLOOKUP(MIN(ABS($AZ$3:$AZ$31 - MEDIAN(MIN($AZ$3:$AZ$31), MAX($AZ$3:$AZ$31), J17))), ABS($AZ$3:$AZ$31 - MEDIAN(MIN($AZ$3:$AZ$31), MAX($AZ$3:$AZ$31), J17)), $BA$3:$BA$31, "Error", 0)</f>
        <v/>
      </c>
      <c r="K47" s="186">
        <f t="array" ref="K47">_xlfn.XLOOKUP(MIN(ABS($AZ$3:$AZ$31 - MEDIAN(MIN($AZ$3:$AZ$31), MAX($AZ$3:$AZ$31), K17))), ABS($AZ$3:$AZ$31 - MEDIAN(MIN($AZ$3:$AZ$31), MAX($AZ$3:$AZ$31), K17)), $BA$3:$BA$31, "Error", 0)</f>
        <v/>
      </c>
      <c r="L47" s="186">
        <f t="array" ref="L47">_xlfn.XLOOKUP(MIN(ABS($AZ$3:$AZ$31 - MEDIAN(MIN($AZ$3:$AZ$31), MAX($AZ$3:$AZ$31), L17))), ABS($AZ$3:$AZ$31 - MEDIAN(MIN($AZ$3:$AZ$31), MAX($AZ$3:$AZ$31), L17)), $BA$3:$BA$31, "Error", 0)</f>
        <v/>
      </c>
      <c r="M47" s="186">
        <f t="array" ref="M47">_xlfn.XLOOKUP(MIN(ABS($AZ$3:$AZ$31 - MEDIAN(MIN($AZ$3:$AZ$31), MAX($AZ$3:$AZ$31), M17))), ABS($AZ$3:$AZ$31 - MEDIAN(MIN($AZ$3:$AZ$31), MAX($AZ$3:$AZ$31), M17)), $BA$3:$BA$31, "Error", 0)</f>
        <v/>
      </c>
      <c r="N47" s="186">
        <f t="array" ref="N47">_xlfn.XLOOKUP(MIN(ABS($AZ$3:$AZ$31 - MEDIAN(MIN($AZ$3:$AZ$31), MAX($AZ$3:$AZ$31), N17))), ABS($AZ$3:$AZ$31 - MEDIAN(MIN($AZ$3:$AZ$31), MAX($AZ$3:$AZ$31), N17)), $BA$3:$BA$31, "Error", 0)</f>
        <v/>
      </c>
      <c r="O47" s="186">
        <f t="array" ref="O47">_xlfn.XLOOKUP(MIN(ABS($AZ$3:$AZ$31 - MEDIAN(MIN($AZ$3:$AZ$31), MAX($AZ$3:$AZ$31), O17))), ABS($AZ$3:$AZ$31 - MEDIAN(MIN($AZ$3:$AZ$31), MAX($AZ$3:$AZ$31), O17)), $BA$3:$BA$31, "Error", 0)</f>
        <v/>
      </c>
      <c r="P47" s="186">
        <f t="array" ref="P47">_xlfn.XLOOKUP(MIN(ABS($AZ$3:$AZ$31 - MEDIAN(MIN($AZ$3:$AZ$31), MAX($AZ$3:$AZ$31), P17))), ABS($AZ$3:$AZ$31 - MEDIAN(MIN($AZ$3:$AZ$31), MAX($AZ$3:$AZ$31), P17)), $BA$3:$BA$31, "Error", 0)</f>
        <v/>
      </c>
      <c r="Q47" s="186">
        <f t="array" ref="Q47">_xlfn.XLOOKUP(MIN(ABS($AZ$3:$AZ$31 - MEDIAN(MIN($AZ$3:$AZ$31), MAX($AZ$3:$AZ$31), Q17))), ABS($AZ$3:$AZ$31 - MEDIAN(MIN($AZ$3:$AZ$31), MAX($AZ$3:$AZ$31), Q17)), $BA$3:$BA$31, "Error", 0)</f>
        <v/>
      </c>
      <c r="R47" s="186">
        <f t="array" ref="R47">_xlfn.XLOOKUP(MIN(ABS($AZ$3:$AZ$31 - MEDIAN(MIN($AZ$3:$AZ$31), MAX($AZ$3:$AZ$31), R17))), ABS($AZ$3:$AZ$31 - MEDIAN(MIN($AZ$3:$AZ$31), MAX($AZ$3:$AZ$31), R17)), $BA$3:$BA$31, "Error", 0)</f>
        <v/>
      </c>
      <c r="S47" s="186">
        <f t="array" ref="S47">_xlfn.XLOOKUP(MIN(ABS($AZ$3:$AZ$31 - MEDIAN(MIN($AZ$3:$AZ$31), MAX($AZ$3:$AZ$31), S17))), ABS($AZ$3:$AZ$31 - MEDIAN(MIN($AZ$3:$AZ$31), MAX($AZ$3:$AZ$31), S17)), $BA$3:$BA$31, "Error", 0)</f>
        <v/>
      </c>
      <c r="T47" s="186">
        <f t="array" ref="T47">_xlfn.XLOOKUP(MIN(ABS($AZ$3:$AZ$31 - MEDIAN(MIN($AZ$3:$AZ$31), MAX($AZ$3:$AZ$31), T17))), ABS($AZ$3:$AZ$31 - MEDIAN(MIN($AZ$3:$AZ$31), MAX($AZ$3:$AZ$31), T17)), $BA$3:$BA$31, "Error", 0)</f>
        <v/>
      </c>
      <c r="U47" s="186">
        <f t="array" ref="U47">_xlfn.XLOOKUP(MIN(ABS($AZ$3:$AZ$31 - MEDIAN(MIN($AZ$3:$AZ$31), MAX($AZ$3:$AZ$31), U17))), ABS($AZ$3:$AZ$31 - MEDIAN(MIN($AZ$3:$AZ$31), MAX($AZ$3:$AZ$31), U17)), $BA$3:$BA$31, "Error", 0)</f>
        <v/>
      </c>
      <c r="V47" s="186">
        <f t="array" ref="V47">_xlfn.XLOOKUP(MIN(ABS($AZ$3:$AZ$31 - MEDIAN(MIN($AZ$3:$AZ$31), MAX($AZ$3:$AZ$31), V17))), ABS($AZ$3:$AZ$31 - MEDIAN(MIN($AZ$3:$AZ$31), MAX($AZ$3:$AZ$31), V17)), $BA$3:$BA$31, "Error", 0)</f>
        <v/>
      </c>
      <c r="W47" s="186">
        <f t="array" ref="W47">_xlfn.XLOOKUP(MIN(ABS($AZ$3:$AZ$31 - MEDIAN(MIN($AZ$3:$AZ$31), MAX($AZ$3:$AZ$31), W17))), ABS($AZ$3:$AZ$31 - MEDIAN(MIN($AZ$3:$AZ$31), MAX($AZ$3:$AZ$31), W17)), $BA$3:$BA$31, "Error", 0)</f>
        <v/>
      </c>
      <c r="X47" s="186">
        <f t="array" ref="X47">_xlfn.XLOOKUP(MIN(ABS($AZ$3:$AZ$31 - MEDIAN(MIN($AZ$3:$AZ$31), MAX($AZ$3:$AZ$31), X17))), ABS($AZ$3:$AZ$31 - MEDIAN(MIN($AZ$3:$AZ$31), MAX($AZ$3:$AZ$31), X17)), $BA$3:$BA$31, "Error", 0)</f>
        <v/>
      </c>
      <c r="Y47" s="186">
        <f t="array" ref="Y47">_xlfn.XLOOKUP(MIN(ABS($AZ$3:$AZ$31 - MEDIAN(MIN($AZ$3:$AZ$31), MAX($AZ$3:$AZ$31), Y17))), ABS($AZ$3:$AZ$31 - MEDIAN(MIN($AZ$3:$AZ$31), MAX($AZ$3:$AZ$31), Y17)), $BA$3:$BA$31, "Error", 0)</f>
        <v/>
      </c>
      <c r="Z47" s="186">
        <f t="array" ref="Z47">_xlfn.XLOOKUP(MIN(ABS($AZ$3:$AZ$31 - MEDIAN(MIN($AZ$3:$AZ$31), MAX($AZ$3:$AZ$31), Z17))), ABS($AZ$3:$AZ$31 - MEDIAN(MIN($AZ$3:$AZ$31), MAX($AZ$3:$AZ$31), Z17)), $BA$3:$BA$31, "Error", 0)</f>
        <v/>
      </c>
      <c r="AA47" s="186">
        <f t="array" ref="AA47">_xlfn.XLOOKUP(MIN(ABS($AZ$3:$AZ$31 - MEDIAN(MIN($AZ$3:$AZ$31), MAX($AZ$3:$AZ$31), AA17))), ABS($AZ$3:$AZ$31 - MEDIAN(MIN($AZ$3:$AZ$31), MAX($AZ$3:$AZ$31), AA17)), $BA$3:$BA$31, "Error", 0)</f>
        <v/>
      </c>
      <c r="AB47" s="186">
        <f t="array" ref="AB47">_xlfn.XLOOKUP(MIN(ABS($AZ$3:$AZ$31 - MEDIAN(MIN($AZ$3:$AZ$31), MAX($AZ$3:$AZ$31), AB17))), ABS($AZ$3:$AZ$31 - MEDIAN(MIN($AZ$3:$AZ$31), MAX($AZ$3:$AZ$31), AB17)), $BA$3:$BA$31, "Error", 0)</f>
        <v/>
      </c>
      <c r="AC47" s="186">
        <f t="array" ref="AC47">_xlfn.XLOOKUP(MIN(ABS($AZ$3:$AZ$31 - MEDIAN(MIN($AZ$3:$AZ$31), MAX($AZ$3:$AZ$31), AC17))), ABS($AZ$3:$AZ$31 - MEDIAN(MIN($AZ$3:$AZ$31), MAX($AZ$3:$AZ$31), AC17)), $BA$3:$BA$31, "Error", 0)</f>
        <v/>
      </c>
      <c r="AD47" s="186">
        <f t="array" ref="AD47">_xlfn.XLOOKUP(MIN(ABS($AZ$3:$AZ$31 - MEDIAN(MIN($AZ$3:$AZ$31), MAX($AZ$3:$AZ$31), AD17))), ABS($AZ$3:$AZ$31 - MEDIAN(MIN($AZ$3:$AZ$31), MAX($AZ$3:$AZ$31), AD17)), $BA$3:$BA$31, "Error", 0)</f>
        <v/>
      </c>
      <c r="AE47" s="186">
        <f t="array" ref="AE47">_xlfn.XLOOKUP(MIN(ABS($AZ$3:$AZ$31 - MEDIAN(MIN($AZ$3:$AZ$31), MAX($AZ$3:$AZ$31), AE17))), ABS($AZ$3:$AZ$31 - MEDIAN(MIN($AZ$3:$AZ$31), MAX($AZ$3:$AZ$31), AE17)), $BA$3:$BA$31, "Error", 0)</f>
        <v/>
      </c>
      <c r="AF47" s="186">
        <f t="array" ref="AF47">_xlfn.XLOOKUP(MIN(ABS($AZ$3:$AZ$31 - MEDIAN(MIN($AZ$3:$AZ$31), MAX($AZ$3:$AZ$31), AF17))), ABS($AZ$3:$AZ$31 - MEDIAN(MIN($AZ$3:$AZ$31), MAX($AZ$3:$AZ$31), AF17)), $BA$3:$BA$31, "Error", 0)</f>
        <v/>
      </c>
      <c r="AG47" s="186">
        <f t="array" ref="AG47">_xlfn.XLOOKUP(MIN(ABS($AZ$3:$AZ$31 - MEDIAN(MIN($AZ$3:$AZ$31), MAX($AZ$3:$AZ$31), AG17))), ABS($AZ$3:$AZ$31 - MEDIAN(MIN($AZ$3:$AZ$31), MAX($AZ$3:$AZ$31), AG17)), $BA$3:$BA$31, "Error", 0)</f>
        <v/>
      </c>
      <c r="AH47" s="186">
        <f t="array" ref="AH47">_xlfn.XLOOKUP(MIN(ABS($AZ$3:$AZ$31 - MEDIAN(MIN($AZ$3:$AZ$31), MAX($AZ$3:$AZ$31), AH17))), ABS($AZ$3:$AZ$31 - MEDIAN(MIN($AZ$3:$AZ$31), MAX($AZ$3:$AZ$31), AH17)), $BA$3:$BA$31, "Error", 0)</f>
        <v/>
      </c>
      <c r="AI47" s="186">
        <f t="array" ref="AI47">_xlfn.XLOOKUP(MIN(ABS($AZ$3:$AZ$31 - MEDIAN(MIN($AZ$3:$AZ$31), MAX($AZ$3:$AZ$31), AI17))), ABS($AZ$3:$AZ$31 - MEDIAN(MIN($AZ$3:$AZ$31), MAX($AZ$3:$AZ$31), AI17)), $BA$3:$BA$31, "Error", 0)</f>
        <v/>
      </c>
      <c r="AJ47" s="186">
        <f t="array" ref="AJ47">_xlfn.XLOOKUP(MIN(ABS($AZ$3:$AZ$31 - MEDIAN(MIN($AZ$3:$AZ$31), MAX($AZ$3:$AZ$31), AJ17))), ABS($AZ$3:$AZ$31 - MEDIAN(MIN($AZ$3:$AZ$31), MAX($AZ$3:$AZ$31), AJ17)), $BA$3:$BA$31, "Error", 0)</f>
        <v/>
      </c>
      <c r="AK47" s="186">
        <f t="array" ref="AK47">_xlfn.XLOOKUP(MIN(ABS($AZ$3:$AZ$31 - MEDIAN(MIN($AZ$3:$AZ$31), MAX($AZ$3:$AZ$31), AK17))), ABS($AZ$3:$AZ$31 - MEDIAN(MIN($AZ$3:$AZ$31), MAX($AZ$3:$AZ$31), AK17)), $BA$3:$BA$31, "Error", 0)</f>
        <v/>
      </c>
      <c r="AL47" s="186">
        <f t="array" ref="AL47">_xlfn.XLOOKUP(MIN(ABS($AZ$3:$AZ$31 - MEDIAN(MIN($AZ$3:$AZ$31), MAX($AZ$3:$AZ$31), AL17))), ABS($AZ$3:$AZ$31 - MEDIAN(MIN($AZ$3:$AZ$31), MAX($AZ$3:$AZ$31), AL17)), $BA$3:$BA$31, "Error", 0)</f>
        <v/>
      </c>
      <c r="AM47" s="186">
        <f t="array" ref="AM47">_xlfn.XLOOKUP(MIN(ABS($AZ$3:$AZ$31 - MEDIAN(MIN($AZ$3:$AZ$31), MAX($AZ$3:$AZ$31), AM17))), ABS($AZ$3:$AZ$31 - MEDIAN(MIN($AZ$3:$AZ$31), MAX($AZ$3:$AZ$31), AM17)), $BA$3:$BA$31, "Error", 0)</f>
        <v/>
      </c>
      <c r="AN47" s="186">
        <f t="array" ref="AN47">_xlfn.XLOOKUP(MIN(ABS($AZ$3:$AZ$31 - MEDIAN(MIN($AZ$3:$AZ$31), MAX($AZ$3:$AZ$31), AN17))), ABS($AZ$3:$AZ$31 - MEDIAN(MIN($AZ$3:$AZ$31), MAX($AZ$3:$AZ$31), AN17)), $BA$3:$BA$31, "Error", 0)</f>
        <v/>
      </c>
      <c r="AO47" s="186">
        <f t="array" ref="AO47">_xlfn.XLOOKUP(MIN(ABS($AZ$3:$AZ$31 - MEDIAN(MIN($AZ$3:$AZ$31), MAX($AZ$3:$AZ$31), AO17))), ABS($AZ$3:$AZ$31 - MEDIAN(MIN($AZ$3:$AZ$31), MAX($AZ$3:$AZ$31), AO17)), $BA$3:$BA$31, "Error", 0)</f>
        <v/>
      </c>
      <c r="AP47" s="186">
        <f t="array" ref="AP47">_xlfn.XLOOKUP(MIN(ABS($AZ$3:$AZ$31 - MEDIAN(MIN($AZ$3:$AZ$31), MAX($AZ$3:$AZ$31), AP17))), ABS($AZ$3:$AZ$31 - MEDIAN(MIN($AZ$3:$AZ$31), MAX($AZ$3:$AZ$31), AP17)), $BA$3:$BA$31, "Error", 0)</f>
        <v/>
      </c>
      <c r="AQ47" s="186">
        <f t="array" ref="AQ47">_xlfn.XLOOKUP(MIN(ABS($AZ$3:$AZ$31 - MEDIAN(MIN($AZ$3:$AZ$31), MAX($AZ$3:$AZ$31), AQ17))), ABS($AZ$3:$AZ$31 - MEDIAN(MIN($AZ$3:$AZ$31), MAX($AZ$3:$AZ$31), AQ17)), $BA$3:$BA$31, "Error", 0)</f>
        <v/>
      </c>
      <c r="AR47" s="186">
        <f t="array" ref="AR47">_xlfn.XLOOKUP(MIN(ABS($AZ$3:$AZ$31 - MEDIAN(MIN($AZ$3:$AZ$31), MAX($AZ$3:$AZ$31), AR17))), ABS($AZ$3:$AZ$31 - MEDIAN(MIN($AZ$3:$AZ$31), MAX($AZ$3:$AZ$31), AR17)), $BA$3:$BA$31, "Error", 0)</f>
        <v/>
      </c>
      <c r="AS47" s="186">
        <f t="array" ref="AS47">_xlfn.XLOOKUP(MIN(ABS($AZ$3:$AZ$31 - MEDIAN(MIN($AZ$3:$AZ$31), MAX($AZ$3:$AZ$31), AS17))), ABS($AZ$3:$AZ$31 - MEDIAN(MIN($AZ$3:$AZ$31), MAX($AZ$3:$AZ$31), AS17)), $BA$3:$BA$31, "Error", 0)</f>
        <v/>
      </c>
      <c r="AT47" s="186">
        <f t="array" ref="AT47">_xlfn.XLOOKUP(MIN(ABS($AZ$3:$AZ$31 - MEDIAN(MIN($AZ$3:$AZ$31), MAX($AZ$3:$AZ$31), AT17))), ABS($AZ$3:$AZ$31 - MEDIAN(MIN($AZ$3:$AZ$31), MAX($AZ$3:$AZ$31), AT17)), $BA$3:$BA$31, "Error", 0)</f>
        <v/>
      </c>
      <c r="AU47" s="186">
        <f t="array" ref="AU47">_xlfn.XLOOKUP(MIN(ABS($AZ$3:$AZ$31 - MEDIAN(MIN($AZ$3:$AZ$31), MAX($AZ$3:$AZ$31), AU17))), ABS($AZ$3:$AZ$31 - MEDIAN(MIN($AZ$3:$AZ$31), MAX($AZ$3:$AZ$31), AU17)), $BA$3:$BA$31, "Error", 0)</f>
        <v/>
      </c>
      <c r="AV47" s="186">
        <f t="array" ref="AV47">_xlfn.XLOOKUP(MIN(ABS($AZ$3:$AZ$31 - MEDIAN(MIN($AZ$3:$AZ$31), MAX($AZ$3:$AZ$31), AV17))), ABS($AZ$3:$AZ$31 - MEDIAN(MIN($AZ$3:$AZ$31), MAX($AZ$3:$AZ$31), AV17)), $BA$3:$BA$31, "Error", 0)</f>
        <v/>
      </c>
      <c r="AW47" s="186">
        <f t="array" ref="AW47">_xlfn.XLOOKUP(MIN(ABS($AZ$3:$AZ$31 - MEDIAN(MIN($AZ$3:$AZ$31), MAX($AZ$3:$AZ$31), AW17))), ABS($AZ$3:$AZ$31 - MEDIAN(MIN($AZ$3:$AZ$31), MAX($AZ$3:$AZ$31), AW17)), $BA$3:$BA$31, "Error", 0)</f>
        <v/>
      </c>
      <c r="AX47" s="192">
        <f t="array" ref="AX47">_xlfn.XLOOKUP(MIN(ABS($AZ$3:$AZ$31 - MEDIAN(MIN($AZ$3:$AZ$31), MAX($AZ$3:$AZ$31), AX17))), ABS($AZ$3:$AZ$31 - MEDIAN(MIN($AZ$3:$AZ$31), MAX($AZ$3:$AZ$31), AX17)), $BA$3:$BA$31, "Error", 0)</f>
        <v/>
      </c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</row>
    <row r="48" ht="25" customHeight="1">
      <c r="B48" s="160" t="inlineStr">
        <is>
          <t>EUR USD</t>
        </is>
      </c>
      <c r="C48" s="186">
        <f t="array" ref="C48">_xlfn.XLOOKUP(MIN(ABS($AZ$3:$AZ$31 - MEDIAN(MIN($AZ$3:$AZ$31), MAX($AZ$3:$AZ$31), C18))), ABS($AZ$3:$AZ$31 - MEDIAN(MIN($AZ$3:$AZ$31), MAX($AZ$3:$AZ$31), C18)), $BA$3:$BA$31, "Error", 0)</f>
        <v/>
      </c>
      <c r="D48" s="186">
        <f t="array" ref="D48">_xlfn.XLOOKUP(MIN(ABS($AZ$3:$AZ$31 - MEDIAN(MIN($AZ$3:$AZ$31), MAX($AZ$3:$AZ$31), D18))), ABS($AZ$3:$AZ$31 - MEDIAN(MIN($AZ$3:$AZ$31), MAX($AZ$3:$AZ$31), D18)), $BA$3:$BA$31, "Error", 0)</f>
        <v/>
      </c>
      <c r="E48" s="186">
        <f t="array" ref="E48">_xlfn.XLOOKUP(MIN(ABS($AZ$3:$AZ$31 - MEDIAN(MIN($AZ$3:$AZ$31), MAX($AZ$3:$AZ$31), E18))), ABS($AZ$3:$AZ$31 - MEDIAN(MIN($AZ$3:$AZ$31), MAX($AZ$3:$AZ$31), E18)), $BA$3:$BA$31, "Error", 0)</f>
        <v/>
      </c>
      <c r="F48" s="186">
        <f t="array" ref="F48">_xlfn.XLOOKUP(MIN(ABS($AZ$3:$AZ$31 - MEDIAN(MIN($AZ$3:$AZ$31), MAX($AZ$3:$AZ$31), F18))), ABS($AZ$3:$AZ$31 - MEDIAN(MIN($AZ$3:$AZ$31), MAX($AZ$3:$AZ$31), F18)), $BA$3:$BA$31, "Error", 0)</f>
        <v/>
      </c>
      <c r="G48" s="186">
        <f t="array" ref="G48">_xlfn.XLOOKUP(MIN(ABS($AZ$3:$AZ$31 - MEDIAN(MIN($AZ$3:$AZ$31), MAX($AZ$3:$AZ$31), G18))), ABS($AZ$3:$AZ$31 - MEDIAN(MIN($AZ$3:$AZ$31), MAX($AZ$3:$AZ$31), G18)), $BA$3:$BA$31, "Error", 0)</f>
        <v/>
      </c>
      <c r="H48" s="186">
        <f t="array" ref="H48">_xlfn.XLOOKUP(MIN(ABS($AZ$3:$AZ$31 - MEDIAN(MIN($AZ$3:$AZ$31), MAX($AZ$3:$AZ$31), H18))), ABS($AZ$3:$AZ$31 - MEDIAN(MIN($AZ$3:$AZ$31), MAX($AZ$3:$AZ$31), H18)), $BA$3:$BA$31, "Error", 0)</f>
        <v/>
      </c>
      <c r="I48" s="186">
        <f t="array" ref="I48">_xlfn.XLOOKUP(MIN(ABS($AZ$3:$AZ$31 - MEDIAN(MIN($AZ$3:$AZ$31), MAX($AZ$3:$AZ$31), I18))), ABS($AZ$3:$AZ$31 - MEDIAN(MIN($AZ$3:$AZ$31), MAX($AZ$3:$AZ$31), I18)), $BA$3:$BA$31, "Error", 0)</f>
        <v/>
      </c>
      <c r="J48" s="186">
        <f t="array" ref="J48">_xlfn.XLOOKUP(MIN(ABS($AZ$3:$AZ$31 - MEDIAN(MIN($AZ$3:$AZ$31), MAX($AZ$3:$AZ$31), J18))), ABS($AZ$3:$AZ$31 - MEDIAN(MIN($AZ$3:$AZ$31), MAX($AZ$3:$AZ$31), J18)), $BA$3:$BA$31, "Error", 0)</f>
        <v/>
      </c>
      <c r="K48" s="186">
        <f t="array" ref="K48">_xlfn.XLOOKUP(MIN(ABS($AZ$3:$AZ$31 - MEDIAN(MIN($AZ$3:$AZ$31), MAX($AZ$3:$AZ$31), K18))), ABS($AZ$3:$AZ$31 - MEDIAN(MIN($AZ$3:$AZ$31), MAX($AZ$3:$AZ$31), K18)), $BA$3:$BA$31, "Error", 0)</f>
        <v/>
      </c>
      <c r="L48" s="186">
        <f t="array" ref="L48">_xlfn.XLOOKUP(MIN(ABS($AZ$3:$AZ$31 - MEDIAN(MIN($AZ$3:$AZ$31), MAX($AZ$3:$AZ$31), L18))), ABS($AZ$3:$AZ$31 - MEDIAN(MIN($AZ$3:$AZ$31), MAX($AZ$3:$AZ$31), L18)), $BA$3:$BA$31, "Error", 0)</f>
        <v/>
      </c>
      <c r="M48" s="186">
        <f t="array" ref="M48">_xlfn.XLOOKUP(MIN(ABS($AZ$3:$AZ$31 - MEDIAN(MIN($AZ$3:$AZ$31), MAX($AZ$3:$AZ$31), M18))), ABS($AZ$3:$AZ$31 - MEDIAN(MIN($AZ$3:$AZ$31), MAX($AZ$3:$AZ$31), M18)), $BA$3:$BA$31, "Error", 0)</f>
        <v/>
      </c>
      <c r="N48" s="186">
        <f t="array" ref="N48">_xlfn.XLOOKUP(MIN(ABS($AZ$3:$AZ$31 - MEDIAN(MIN($AZ$3:$AZ$31), MAX($AZ$3:$AZ$31), N18))), ABS($AZ$3:$AZ$31 - MEDIAN(MIN($AZ$3:$AZ$31), MAX($AZ$3:$AZ$31), N18)), $BA$3:$BA$31, "Error", 0)</f>
        <v/>
      </c>
      <c r="O48" s="186">
        <f t="array" ref="O48">_xlfn.XLOOKUP(MIN(ABS($AZ$3:$AZ$31 - MEDIAN(MIN($AZ$3:$AZ$31), MAX($AZ$3:$AZ$31), O18))), ABS($AZ$3:$AZ$31 - MEDIAN(MIN($AZ$3:$AZ$31), MAX($AZ$3:$AZ$31), O18)), $BA$3:$BA$31, "Error", 0)</f>
        <v/>
      </c>
      <c r="P48" s="186">
        <f t="array" ref="P48">_xlfn.XLOOKUP(MIN(ABS($AZ$3:$AZ$31 - MEDIAN(MIN($AZ$3:$AZ$31), MAX($AZ$3:$AZ$31), P18))), ABS($AZ$3:$AZ$31 - MEDIAN(MIN($AZ$3:$AZ$31), MAX($AZ$3:$AZ$31), P18)), $BA$3:$BA$31, "Error", 0)</f>
        <v/>
      </c>
      <c r="Q48" s="186">
        <f t="array" ref="Q48">_xlfn.XLOOKUP(MIN(ABS($AZ$3:$AZ$31 - MEDIAN(MIN($AZ$3:$AZ$31), MAX($AZ$3:$AZ$31), Q18))), ABS($AZ$3:$AZ$31 - MEDIAN(MIN($AZ$3:$AZ$31), MAX($AZ$3:$AZ$31), Q18)), $BA$3:$BA$31, "Error", 0)</f>
        <v/>
      </c>
      <c r="R48" s="186">
        <f t="array" ref="R48">_xlfn.XLOOKUP(MIN(ABS($AZ$3:$AZ$31 - MEDIAN(MIN($AZ$3:$AZ$31), MAX($AZ$3:$AZ$31), R18))), ABS($AZ$3:$AZ$31 - MEDIAN(MIN($AZ$3:$AZ$31), MAX($AZ$3:$AZ$31), R18)), $BA$3:$BA$31, "Error", 0)</f>
        <v/>
      </c>
      <c r="S48" s="186">
        <f t="array" ref="S48">_xlfn.XLOOKUP(MIN(ABS($AZ$3:$AZ$31 - MEDIAN(MIN($AZ$3:$AZ$31), MAX($AZ$3:$AZ$31), S18))), ABS($AZ$3:$AZ$31 - MEDIAN(MIN($AZ$3:$AZ$31), MAX($AZ$3:$AZ$31), S18)), $BA$3:$BA$31, "Error", 0)</f>
        <v/>
      </c>
      <c r="T48" s="186">
        <f t="array" ref="T48">_xlfn.XLOOKUP(MIN(ABS($AZ$3:$AZ$31 - MEDIAN(MIN($AZ$3:$AZ$31), MAX($AZ$3:$AZ$31), T18))), ABS($AZ$3:$AZ$31 - MEDIAN(MIN($AZ$3:$AZ$31), MAX($AZ$3:$AZ$31), T18)), $BA$3:$BA$31, "Error", 0)</f>
        <v/>
      </c>
      <c r="U48" s="186">
        <f t="array" ref="U48">_xlfn.XLOOKUP(MIN(ABS($AZ$3:$AZ$31 - MEDIAN(MIN($AZ$3:$AZ$31), MAX($AZ$3:$AZ$31), U18))), ABS($AZ$3:$AZ$31 - MEDIAN(MIN($AZ$3:$AZ$31), MAX($AZ$3:$AZ$31), U18)), $BA$3:$BA$31, "Error", 0)</f>
        <v/>
      </c>
      <c r="V48" s="186">
        <f t="array" ref="V48">_xlfn.XLOOKUP(MIN(ABS($AZ$3:$AZ$31 - MEDIAN(MIN($AZ$3:$AZ$31), MAX($AZ$3:$AZ$31), V18))), ABS($AZ$3:$AZ$31 - MEDIAN(MIN($AZ$3:$AZ$31), MAX($AZ$3:$AZ$31), V18)), $BA$3:$BA$31, "Error", 0)</f>
        <v/>
      </c>
      <c r="W48" s="186">
        <f t="array" ref="W48">_xlfn.XLOOKUP(MIN(ABS($AZ$3:$AZ$31 - MEDIAN(MIN($AZ$3:$AZ$31), MAX($AZ$3:$AZ$31), W18))), ABS($AZ$3:$AZ$31 - MEDIAN(MIN($AZ$3:$AZ$31), MAX($AZ$3:$AZ$31), W18)), $BA$3:$BA$31, "Error", 0)</f>
        <v/>
      </c>
      <c r="X48" s="186">
        <f t="array" ref="X48">_xlfn.XLOOKUP(MIN(ABS($AZ$3:$AZ$31 - MEDIAN(MIN($AZ$3:$AZ$31), MAX($AZ$3:$AZ$31), X18))), ABS($AZ$3:$AZ$31 - MEDIAN(MIN($AZ$3:$AZ$31), MAX($AZ$3:$AZ$31), X18)), $BA$3:$BA$31, "Error", 0)</f>
        <v/>
      </c>
      <c r="Y48" s="186">
        <f t="array" ref="Y48">_xlfn.XLOOKUP(MIN(ABS($AZ$3:$AZ$31 - MEDIAN(MIN($AZ$3:$AZ$31), MAX($AZ$3:$AZ$31), Y18))), ABS($AZ$3:$AZ$31 - MEDIAN(MIN($AZ$3:$AZ$31), MAX($AZ$3:$AZ$31), Y18)), $BA$3:$BA$31, "Error", 0)</f>
        <v/>
      </c>
      <c r="Z48" s="186">
        <f t="array" ref="Z48">_xlfn.XLOOKUP(MIN(ABS($AZ$3:$AZ$31 - MEDIAN(MIN($AZ$3:$AZ$31), MAX($AZ$3:$AZ$31), Z18))), ABS($AZ$3:$AZ$31 - MEDIAN(MIN($AZ$3:$AZ$31), MAX($AZ$3:$AZ$31), Z18)), $BA$3:$BA$31, "Error", 0)</f>
        <v/>
      </c>
      <c r="AA48" s="186">
        <f t="array" ref="AA48">_xlfn.XLOOKUP(MIN(ABS($AZ$3:$AZ$31 - MEDIAN(MIN($AZ$3:$AZ$31), MAX($AZ$3:$AZ$31), AA18))), ABS($AZ$3:$AZ$31 - MEDIAN(MIN($AZ$3:$AZ$31), MAX($AZ$3:$AZ$31), AA18)), $BA$3:$BA$31, "Error", 0)</f>
        <v/>
      </c>
      <c r="AB48" s="186">
        <f t="array" ref="AB48">_xlfn.XLOOKUP(MIN(ABS($AZ$3:$AZ$31 - MEDIAN(MIN($AZ$3:$AZ$31), MAX($AZ$3:$AZ$31), AB18))), ABS($AZ$3:$AZ$31 - MEDIAN(MIN($AZ$3:$AZ$31), MAX($AZ$3:$AZ$31), AB18)), $BA$3:$BA$31, "Error", 0)</f>
        <v/>
      </c>
      <c r="AC48" s="186">
        <f t="array" ref="AC48">_xlfn.XLOOKUP(MIN(ABS($AZ$3:$AZ$31 - MEDIAN(MIN($AZ$3:$AZ$31), MAX($AZ$3:$AZ$31), AC18))), ABS($AZ$3:$AZ$31 - MEDIAN(MIN($AZ$3:$AZ$31), MAX($AZ$3:$AZ$31), AC18)), $BA$3:$BA$31, "Error", 0)</f>
        <v/>
      </c>
      <c r="AD48" s="186">
        <f t="array" ref="AD48">_xlfn.XLOOKUP(MIN(ABS($AZ$3:$AZ$31 - MEDIAN(MIN($AZ$3:$AZ$31), MAX($AZ$3:$AZ$31), AD18))), ABS($AZ$3:$AZ$31 - MEDIAN(MIN($AZ$3:$AZ$31), MAX($AZ$3:$AZ$31), AD18)), $BA$3:$BA$31, "Error", 0)</f>
        <v/>
      </c>
      <c r="AE48" s="186">
        <f t="array" ref="AE48">_xlfn.XLOOKUP(MIN(ABS($AZ$3:$AZ$31 - MEDIAN(MIN($AZ$3:$AZ$31), MAX($AZ$3:$AZ$31), AE18))), ABS($AZ$3:$AZ$31 - MEDIAN(MIN($AZ$3:$AZ$31), MAX($AZ$3:$AZ$31), AE18)), $BA$3:$BA$31, "Error", 0)</f>
        <v/>
      </c>
      <c r="AF48" s="186">
        <f t="array" ref="AF48">_xlfn.XLOOKUP(MIN(ABS($AZ$3:$AZ$31 - MEDIAN(MIN($AZ$3:$AZ$31), MAX($AZ$3:$AZ$31), AF18))), ABS($AZ$3:$AZ$31 - MEDIAN(MIN($AZ$3:$AZ$31), MAX($AZ$3:$AZ$31), AF18)), $BA$3:$BA$31, "Error", 0)</f>
        <v/>
      </c>
      <c r="AG48" s="186">
        <f t="array" ref="AG48">_xlfn.XLOOKUP(MIN(ABS($AZ$3:$AZ$31 - MEDIAN(MIN($AZ$3:$AZ$31), MAX($AZ$3:$AZ$31), AG18))), ABS($AZ$3:$AZ$31 - MEDIAN(MIN($AZ$3:$AZ$31), MAX($AZ$3:$AZ$31), AG18)), $BA$3:$BA$31, "Error", 0)</f>
        <v/>
      </c>
      <c r="AH48" s="186">
        <f t="array" ref="AH48">_xlfn.XLOOKUP(MIN(ABS($AZ$3:$AZ$31 - MEDIAN(MIN($AZ$3:$AZ$31), MAX($AZ$3:$AZ$31), AH18))), ABS($AZ$3:$AZ$31 - MEDIAN(MIN($AZ$3:$AZ$31), MAX($AZ$3:$AZ$31), AH18)), $BA$3:$BA$31, "Error", 0)</f>
        <v/>
      </c>
      <c r="AI48" s="186">
        <f t="array" ref="AI48">_xlfn.XLOOKUP(MIN(ABS($AZ$3:$AZ$31 - MEDIAN(MIN($AZ$3:$AZ$31), MAX($AZ$3:$AZ$31), AI18))), ABS($AZ$3:$AZ$31 - MEDIAN(MIN($AZ$3:$AZ$31), MAX($AZ$3:$AZ$31), AI18)), $BA$3:$BA$31, "Error", 0)</f>
        <v/>
      </c>
      <c r="AJ48" s="186">
        <f t="array" ref="AJ48">_xlfn.XLOOKUP(MIN(ABS($AZ$3:$AZ$31 - MEDIAN(MIN($AZ$3:$AZ$31), MAX($AZ$3:$AZ$31), AJ18))), ABS($AZ$3:$AZ$31 - MEDIAN(MIN($AZ$3:$AZ$31), MAX($AZ$3:$AZ$31), AJ18)), $BA$3:$BA$31, "Error", 0)</f>
        <v/>
      </c>
      <c r="AK48" s="186">
        <f t="array" ref="AK48">_xlfn.XLOOKUP(MIN(ABS($AZ$3:$AZ$31 - MEDIAN(MIN($AZ$3:$AZ$31), MAX($AZ$3:$AZ$31), AK18))), ABS($AZ$3:$AZ$31 - MEDIAN(MIN($AZ$3:$AZ$31), MAX($AZ$3:$AZ$31), AK18)), $BA$3:$BA$31, "Error", 0)</f>
        <v/>
      </c>
      <c r="AL48" s="186">
        <f t="array" ref="AL48">_xlfn.XLOOKUP(MIN(ABS($AZ$3:$AZ$31 - MEDIAN(MIN($AZ$3:$AZ$31), MAX($AZ$3:$AZ$31), AL18))), ABS($AZ$3:$AZ$31 - MEDIAN(MIN($AZ$3:$AZ$31), MAX($AZ$3:$AZ$31), AL18)), $BA$3:$BA$31, "Error", 0)</f>
        <v/>
      </c>
      <c r="AM48" s="186">
        <f t="array" ref="AM48">_xlfn.XLOOKUP(MIN(ABS($AZ$3:$AZ$31 - MEDIAN(MIN($AZ$3:$AZ$31), MAX($AZ$3:$AZ$31), AM18))), ABS($AZ$3:$AZ$31 - MEDIAN(MIN($AZ$3:$AZ$31), MAX($AZ$3:$AZ$31), AM18)), $BA$3:$BA$31, "Error", 0)</f>
        <v/>
      </c>
      <c r="AN48" s="186">
        <f t="array" ref="AN48">_xlfn.XLOOKUP(MIN(ABS($AZ$3:$AZ$31 - MEDIAN(MIN($AZ$3:$AZ$31), MAX($AZ$3:$AZ$31), AN18))), ABS($AZ$3:$AZ$31 - MEDIAN(MIN($AZ$3:$AZ$31), MAX($AZ$3:$AZ$31), AN18)), $BA$3:$BA$31, "Error", 0)</f>
        <v/>
      </c>
      <c r="AO48" s="186">
        <f t="array" ref="AO48">_xlfn.XLOOKUP(MIN(ABS($AZ$3:$AZ$31 - MEDIAN(MIN($AZ$3:$AZ$31), MAX($AZ$3:$AZ$31), AO18))), ABS($AZ$3:$AZ$31 - MEDIAN(MIN($AZ$3:$AZ$31), MAX($AZ$3:$AZ$31), AO18)), $BA$3:$BA$31, "Error", 0)</f>
        <v/>
      </c>
      <c r="AP48" s="186">
        <f t="array" ref="AP48">_xlfn.XLOOKUP(MIN(ABS($AZ$3:$AZ$31 - MEDIAN(MIN($AZ$3:$AZ$31), MAX($AZ$3:$AZ$31), AP18))), ABS($AZ$3:$AZ$31 - MEDIAN(MIN($AZ$3:$AZ$31), MAX($AZ$3:$AZ$31), AP18)), $BA$3:$BA$31, "Error", 0)</f>
        <v/>
      </c>
      <c r="AQ48" s="186">
        <f t="array" ref="AQ48">_xlfn.XLOOKUP(MIN(ABS($AZ$3:$AZ$31 - MEDIAN(MIN($AZ$3:$AZ$31), MAX($AZ$3:$AZ$31), AQ18))), ABS($AZ$3:$AZ$31 - MEDIAN(MIN($AZ$3:$AZ$31), MAX($AZ$3:$AZ$31), AQ18)), $BA$3:$BA$31, "Error", 0)</f>
        <v/>
      </c>
      <c r="AR48" s="186">
        <f t="array" ref="AR48">_xlfn.XLOOKUP(MIN(ABS($AZ$3:$AZ$31 - MEDIAN(MIN($AZ$3:$AZ$31), MAX($AZ$3:$AZ$31), AR18))), ABS($AZ$3:$AZ$31 - MEDIAN(MIN($AZ$3:$AZ$31), MAX($AZ$3:$AZ$31), AR18)), $BA$3:$BA$31, "Error", 0)</f>
        <v/>
      </c>
      <c r="AS48" s="186">
        <f t="array" ref="AS48">_xlfn.XLOOKUP(MIN(ABS($AZ$3:$AZ$31 - MEDIAN(MIN($AZ$3:$AZ$31), MAX($AZ$3:$AZ$31), AS18))), ABS($AZ$3:$AZ$31 - MEDIAN(MIN($AZ$3:$AZ$31), MAX($AZ$3:$AZ$31), AS18)), $BA$3:$BA$31, "Error", 0)</f>
        <v/>
      </c>
      <c r="AT48" s="186">
        <f t="array" ref="AT48">_xlfn.XLOOKUP(MIN(ABS($AZ$3:$AZ$31 - MEDIAN(MIN($AZ$3:$AZ$31), MAX($AZ$3:$AZ$31), AT18))), ABS($AZ$3:$AZ$31 - MEDIAN(MIN($AZ$3:$AZ$31), MAX($AZ$3:$AZ$31), AT18)), $BA$3:$BA$31, "Error", 0)</f>
        <v/>
      </c>
      <c r="AU48" s="186">
        <f t="array" ref="AU48">_xlfn.XLOOKUP(MIN(ABS($AZ$3:$AZ$31 - MEDIAN(MIN($AZ$3:$AZ$31), MAX($AZ$3:$AZ$31), AU18))), ABS($AZ$3:$AZ$31 - MEDIAN(MIN($AZ$3:$AZ$31), MAX($AZ$3:$AZ$31), AU18)), $BA$3:$BA$31, "Error", 0)</f>
        <v/>
      </c>
      <c r="AV48" s="186">
        <f t="array" ref="AV48">_xlfn.XLOOKUP(MIN(ABS($AZ$3:$AZ$31 - MEDIAN(MIN($AZ$3:$AZ$31), MAX($AZ$3:$AZ$31), AV18))), ABS($AZ$3:$AZ$31 - MEDIAN(MIN($AZ$3:$AZ$31), MAX($AZ$3:$AZ$31), AV18)), $BA$3:$BA$31, "Error", 0)</f>
        <v/>
      </c>
      <c r="AW48" s="186">
        <f t="array" ref="AW48">_xlfn.XLOOKUP(MIN(ABS($AZ$3:$AZ$31 - MEDIAN(MIN($AZ$3:$AZ$31), MAX($AZ$3:$AZ$31), AW18))), ABS($AZ$3:$AZ$31 - MEDIAN(MIN($AZ$3:$AZ$31), MAX($AZ$3:$AZ$31), AW18)), $BA$3:$BA$31, "Error", 0)</f>
        <v/>
      </c>
      <c r="AX48" s="192">
        <f t="array" ref="AX48">_xlfn.XLOOKUP(MIN(ABS($AZ$3:$AZ$31 - MEDIAN(MIN($AZ$3:$AZ$31), MAX($AZ$3:$AZ$31), AX18))), ABS($AZ$3:$AZ$31 - MEDIAN(MIN($AZ$3:$AZ$31), MAX($AZ$3:$AZ$31), AX18)), $BA$3:$BA$31, "Error", 0)</f>
        <v/>
      </c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</row>
    <row r="49" ht="25" customHeight="1">
      <c r="B49" s="160" t="inlineStr">
        <is>
          <t>EUR JPY</t>
        </is>
      </c>
      <c r="C49" s="186">
        <f t="array" ref="C49">_xlfn.XLOOKUP(MIN(ABS($AZ$3:$AZ$31 - MEDIAN(MIN($AZ$3:$AZ$31), MAX($AZ$3:$AZ$31), C19))), ABS($AZ$3:$AZ$31 - MEDIAN(MIN($AZ$3:$AZ$31), MAX($AZ$3:$AZ$31), C19)), $BA$3:$BA$31, "Error", 0)</f>
        <v/>
      </c>
      <c r="D49" s="186">
        <f t="array" ref="D49">_xlfn.XLOOKUP(MIN(ABS($AZ$3:$AZ$31 - MEDIAN(MIN($AZ$3:$AZ$31), MAX($AZ$3:$AZ$31), D19))), ABS($AZ$3:$AZ$31 - MEDIAN(MIN($AZ$3:$AZ$31), MAX($AZ$3:$AZ$31), D19)), $BA$3:$BA$31, "Error", 0)</f>
        <v/>
      </c>
      <c r="E49" s="186">
        <f t="array" ref="E49">_xlfn.XLOOKUP(MIN(ABS($AZ$3:$AZ$31 - MEDIAN(MIN($AZ$3:$AZ$31), MAX($AZ$3:$AZ$31), E19))), ABS($AZ$3:$AZ$31 - MEDIAN(MIN($AZ$3:$AZ$31), MAX($AZ$3:$AZ$31), E19)), $BA$3:$BA$31, "Error", 0)</f>
        <v/>
      </c>
      <c r="F49" s="186">
        <f t="array" ref="F49">_xlfn.XLOOKUP(MIN(ABS($AZ$3:$AZ$31 - MEDIAN(MIN($AZ$3:$AZ$31), MAX($AZ$3:$AZ$31), F19))), ABS($AZ$3:$AZ$31 - MEDIAN(MIN($AZ$3:$AZ$31), MAX($AZ$3:$AZ$31), F19)), $BA$3:$BA$31, "Error", 0)</f>
        <v/>
      </c>
      <c r="G49" s="186">
        <f t="array" ref="G49">_xlfn.XLOOKUP(MIN(ABS($AZ$3:$AZ$31 - MEDIAN(MIN($AZ$3:$AZ$31), MAX($AZ$3:$AZ$31), G19))), ABS($AZ$3:$AZ$31 - MEDIAN(MIN($AZ$3:$AZ$31), MAX($AZ$3:$AZ$31), G19)), $BA$3:$BA$31, "Error", 0)</f>
        <v/>
      </c>
      <c r="H49" s="186">
        <f t="array" ref="H49">_xlfn.XLOOKUP(MIN(ABS($AZ$3:$AZ$31 - MEDIAN(MIN($AZ$3:$AZ$31), MAX($AZ$3:$AZ$31), H19))), ABS($AZ$3:$AZ$31 - MEDIAN(MIN($AZ$3:$AZ$31), MAX($AZ$3:$AZ$31), H19)), $BA$3:$BA$31, "Error", 0)</f>
        <v/>
      </c>
      <c r="I49" s="186">
        <f t="array" ref="I49">_xlfn.XLOOKUP(MIN(ABS($AZ$3:$AZ$31 - MEDIAN(MIN($AZ$3:$AZ$31), MAX($AZ$3:$AZ$31), I19))), ABS($AZ$3:$AZ$31 - MEDIAN(MIN($AZ$3:$AZ$31), MAX($AZ$3:$AZ$31), I19)), $BA$3:$BA$31, "Error", 0)</f>
        <v/>
      </c>
      <c r="J49" s="186">
        <f t="array" ref="J49">_xlfn.XLOOKUP(MIN(ABS($AZ$3:$AZ$31 - MEDIAN(MIN($AZ$3:$AZ$31), MAX($AZ$3:$AZ$31), J19))), ABS($AZ$3:$AZ$31 - MEDIAN(MIN($AZ$3:$AZ$31), MAX($AZ$3:$AZ$31), J19)), $BA$3:$BA$31, "Error", 0)</f>
        <v/>
      </c>
      <c r="K49" s="186">
        <f t="array" ref="K49">_xlfn.XLOOKUP(MIN(ABS($AZ$3:$AZ$31 - MEDIAN(MIN($AZ$3:$AZ$31), MAX($AZ$3:$AZ$31), K19))), ABS($AZ$3:$AZ$31 - MEDIAN(MIN($AZ$3:$AZ$31), MAX($AZ$3:$AZ$31), K19)), $BA$3:$BA$31, "Error", 0)</f>
        <v/>
      </c>
      <c r="L49" s="186">
        <f t="array" ref="L49">_xlfn.XLOOKUP(MIN(ABS($AZ$3:$AZ$31 - MEDIAN(MIN($AZ$3:$AZ$31), MAX($AZ$3:$AZ$31), L19))), ABS($AZ$3:$AZ$31 - MEDIAN(MIN($AZ$3:$AZ$31), MAX($AZ$3:$AZ$31), L19)), $BA$3:$BA$31, "Error", 0)</f>
        <v/>
      </c>
      <c r="M49" s="186">
        <f t="array" ref="M49">_xlfn.XLOOKUP(MIN(ABS($AZ$3:$AZ$31 - MEDIAN(MIN($AZ$3:$AZ$31), MAX($AZ$3:$AZ$31), M19))), ABS($AZ$3:$AZ$31 - MEDIAN(MIN($AZ$3:$AZ$31), MAX($AZ$3:$AZ$31), M19)), $BA$3:$BA$31, "Error", 0)</f>
        <v/>
      </c>
      <c r="N49" s="186">
        <f t="array" ref="N49">_xlfn.XLOOKUP(MIN(ABS($AZ$3:$AZ$31 - MEDIAN(MIN($AZ$3:$AZ$31), MAX($AZ$3:$AZ$31), N19))), ABS($AZ$3:$AZ$31 - MEDIAN(MIN($AZ$3:$AZ$31), MAX($AZ$3:$AZ$31), N19)), $BA$3:$BA$31, "Error", 0)</f>
        <v/>
      </c>
      <c r="O49" s="186">
        <f t="array" ref="O49">_xlfn.XLOOKUP(MIN(ABS($AZ$3:$AZ$31 - MEDIAN(MIN($AZ$3:$AZ$31), MAX($AZ$3:$AZ$31), O19))), ABS($AZ$3:$AZ$31 - MEDIAN(MIN($AZ$3:$AZ$31), MAX($AZ$3:$AZ$31), O19)), $BA$3:$BA$31, "Error", 0)</f>
        <v/>
      </c>
      <c r="P49" s="186">
        <f t="array" ref="P49">_xlfn.XLOOKUP(MIN(ABS($AZ$3:$AZ$31 - MEDIAN(MIN($AZ$3:$AZ$31), MAX($AZ$3:$AZ$31), P19))), ABS($AZ$3:$AZ$31 - MEDIAN(MIN($AZ$3:$AZ$31), MAX($AZ$3:$AZ$31), P19)), $BA$3:$BA$31, "Error", 0)</f>
        <v/>
      </c>
      <c r="Q49" s="186">
        <f t="array" ref="Q49">_xlfn.XLOOKUP(MIN(ABS($AZ$3:$AZ$31 - MEDIAN(MIN($AZ$3:$AZ$31), MAX($AZ$3:$AZ$31), Q19))), ABS($AZ$3:$AZ$31 - MEDIAN(MIN($AZ$3:$AZ$31), MAX($AZ$3:$AZ$31), Q19)), $BA$3:$BA$31, "Error", 0)</f>
        <v/>
      </c>
      <c r="R49" s="186">
        <f t="array" ref="R49">_xlfn.XLOOKUP(MIN(ABS($AZ$3:$AZ$31 - MEDIAN(MIN($AZ$3:$AZ$31), MAX($AZ$3:$AZ$31), R19))), ABS($AZ$3:$AZ$31 - MEDIAN(MIN($AZ$3:$AZ$31), MAX($AZ$3:$AZ$31), R19)), $BA$3:$BA$31, "Error", 0)</f>
        <v/>
      </c>
      <c r="S49" s="186">
        <f t="array" ref="S49">_xlfn.XLOOKUP(MIN(ABS($AZ$3:$AZ$31 - MEDIAN(MIN($AZ$3:$AZ$31), MAX($AZ$3:$AZ$31), S19))), ABS($AZ$3:$AZ$31 - MEDIAN(MIN($AZ$3:$AZ$31), MAX($AZ$3:$AZ$31), S19)), $BA$3:$BA$31, "Error", 0)</f>
        <v/>
      </c>
      <c r="T49" s="186">
        <f t="array" ref="T49">_xlfn.XLOOKUP(MIN(ABS($AZ$3:$AZ$31 - MEDIAN(MIN($AZ$3:$AZ$31), MAX($AZ$3:$AZ$31), T19))), ABS($AZ$3:$AZ$31 - MEDIAN(MIN($AZ$3:$AZ$31), MAX($AZ$3:$AZ$31), T19)), $BA$3:$BA$31, "Error", 0)</f>
        <v/>
      </c>
      <c r="U49" s="186">
        <f t="array" ref="U49">_xlfn.XLOOKUP(MIN(ABS($AZ$3:$AZ$31 - MEDIAN(MIN($AZ$3:$AZ$31), MAX($AZ$3:$AZ$31), U19))), ABS($AZ$3:$AZ$31 - MEDIAN(MIN($AZ$3:$AZ$31), MAX($AZ$3:$AZ$31), U19)), $BA$3:$BA$31, "Error", 0)</f>
        <v/>
      </c>
      <c r="V49" s="186">
        <f t="array" ref="V49">_xlfn.XLOOKUP(MIN(ABS($AZ$3:$AZ$31 - MEDIAN(MIN($AZ$3:$AZ$31), MAX($AZ$3:$AZ$31), V19))), ABS($AZ$3:$AZ$31 - MEDIAN(MIN($AZ$3:$AZ$31), MAX($AZ$3:$AZ$31), V19)), $BA$3:$BA$31, "Error", 0)</f>
        <v/>
      </c>
      <c r="W49" s="186">
        <f t="array" ref="W49">_xlfn.XLOOKUP(MIN(ABS($AZ$3:$AZ$31 - MEDIAN(MIN($AZ$3:$AZ$31), MAX($AZ$3:$AZ$31), W19))), ABS($AZ$3:$AZ$31 - MEDIAN(MIN($AZ$3:$AZ$31), MAX($AZ$3:$AZ$31), W19)), $BA$3:$BA$31, "Error", 0)</f>
        <v/>
      </c>
      <c r="X49" s="186">
        <f t="array" ref="X49">_xlfn.XLOOKUP(MIN(ABS($AZ$3:$AZ$31 - MEDIAN(MIN($AZ$3:$AZ$31), MAX($AZ$3:$AZ$31), X19))), ABS($AZ$3:$AZ$31 - MEDIAN(MIN($AZ$3:$AZ$31), MAX($AZ$3:$AZ$31), X19)), $BA$3:$BA$31, "Error", 0)</f>
        <v/>
      </c>
      <c r="Y49" s="186">
        <f t="array" ref="Y49">_xlfn.XLOOKUP(MIN(ABS($AZ$3:$AZ$31 - MEDIAN(MIN($AZ$3:$AZ$31), MAX($AZ$3:$AZ$31), Y19))), ABS($AZ$3:$AZ$31 - MEDIAN(MIN($AZ$3:$AZ$31), MAX($AZ$3:$AZ$31), Y19)), $BA$3:$BA$31, "Error", 0)</f>
        <v/>
      </c>
      <c r="Z49" s="186">
        <f t="array" ref="Z49">_xlfn.XLOOKUP(MIN(ABS($AZ$3:$AZ$31 - MEDIAN(MIN($AZ$3:$AZ$31), MAX($AZ$3:$AZ$31), Z19))), ABS($AZ$3:$AZ$31 - MEDIAN(MIN($AZ$3:$AZ$31), MAX($AZ$3:$AZ$31), Z19)), $BA$3:$BA$31, "Error", 0)</f>
        <v/>
      </c>
      <c r="AA49" s="186">
        <f t="array" ref="AA49">_xlfn.XLOOKUP(MIN(ABS($AZ$3:$AZ$31 - MEDIAN(MIN($AZ$3:$AZ$31), MAX($AZ$3:$AZ$31), AA19))), ABS($AZ$3:$AZ$31 - MEDIAN(MIN($AZ$3:$AZ$31), MAX($AZ$3:$AZ$31), AA19)), $BA$3:$BA$31, "Error", 0)</f>
        <v/>
      </c>
      <c r="AB49" s="186">
        <f t="array" ref="AB49">_xlfn.XLOOKUP(MIN(ABS($AZ$3:$AZ$31 - MEDIAN(MIN($AZ$3:$AZ$31), MAX($AZ$3:$AZ$31), AB19))), ABS($AZ$3:$AZ$31 - MEDIAN(MIN($AZ$3:$AZ$31), MAX($AZ$3:$AZ$31), AB19)), $BA$3:$BA$31, "Error", 0)</f>
        <v/>
      </c>
      <c r="AC49" s="186">
        <f t="array" ref="AC49">_xlfn.XLOOKUP(MIN(ABS($AZ$3:$AZ$31 - MEDIAN(MIN($AZ$3:$AZ$31), MAX($AZ$3:$AZ$31), AC19))), ABS($AZ$3:$AZ$31 - MEDIAN(MIN($AZ$3:$AZ$31), MAX($AZ$3:$AZ$31), AC19)), $BA$3:$BA$31, "Error", 0)</f>
        <v/>
      </c>
      <c r="AD49" s="186">
        <f t="array" ref="AD49">_xlfn.XLOOKUP(MIN(ABS($AZ$3:$AZ$31 - MEDIAN(MIN($AZ$3:$AZ$31), MAX($AZ$3:$AZ$31), AD19))), ABS($AZ$3:$AZ$31 - MEDIAN(MIN($AZ$3:$AZ$31), MAX($AZ$3:$AZ$31), AD19)), $BA$3:$BA$31, "Error", 0)</f>
        <v/>
      </c>
      <c r="AE49" s="186">
        <f t="array" ref="AE49">_xlfn.XLOOKUP(MIN(ABS($AZ$3:$AZ$31 - MEDIAN(MIN($AZ$3:$AZ$31), MAX($AZ$3:$AZ$31), AE19))), ABS($AZ$3:$AZ$31 - MEDIAN(MIN($AZ$3:$AZ$31), MAX($AZ$3:$AZ$31), AE19)), $BA$3:$BA$31, "Error", 0)</f>
        <v/>
      </c>
      <c r="AF49" s="186">
        <f t="array" ref="AF49">_xlfn.XLOOKUP(MIN(ABS($AZ$3:$AZ$31 - MEDIAN(MIN($AZ$3:$AZ$31), MAX($AZ$3:$AZ$31), AF19))), ABS($AZ$3:$AZ$31 - MEDIAN(MIN($AZ$3:$AZ$31), MAX($AZ$3:$AZ$31), AF19)), $BA$3:$BA$31, "Error", 0)</f>
        <v/>
      </c>
      <c r="AG49" s="186">
        <f t="array" ref="AG49">_xlfn.XLOOKUP(MIN(ABS($AZ$3:$AZ$31 - MEDIAN(MIN($AZ$3:$AZ$31), MAX($AZ$3:$AZ$31), AG19))), ABS($AZ$3:$AZ$31 - MEDIAN(MIN($AZ$3:$AZ$31), MAX($AZ$3:$AZ$31), AG19)), $BA$3:$BA$31, "Error", 0)</f>
        <v/>
      </c>
      <c r="AH49" s="186">
        <f t="array" ref="AH49">_xlfn.XLOOKUP(MIN(ABS($AZ$3:$AZ$31 - MEDIAN(MIN($AZ$3:$AZ$31), MAX($AZ$3:$AZ$31), AH19))), ABS($AZ$3:$AZ$31 - MEDIAN(MIN($AZ$3:$AZ$31), MAX($AZ$3:$AZ$31), AH19)), $BA$3:$BA$31, "Error", 0)</f>
        <v/>
      </c>
      <c r="AI49" s="186">
        <f t="array" ref="AI49">_xlfn.XLOOKUP(MIN(ABS($AZ$3:$AZ$31 - MEDIAN(MIN($AZ$3:$AZ$31), MAX($AZ$3:$AZ$31), AI19))), ABS($AZ$3:$AZ$31 - MEDIAN(MIN($AZ$3:$AZ$31), MAX($AZ$3:$AZ$31), AI19)), $BA$3:$BA$31, "Error", 0)</f>
        <v/>
      </c>
      <c r="AJ49" s="186">
        <f t="array" ref="AJ49">_xlfn.XLOOKUP(MIN(ABS($AZ$3:$AZ$31 - MEDIAN(MIN($AZ$3:$AZ$31), MAX($AZ$3:$AZ$31), AJ19))), ABS($AZ$3:$AZ$31 - MEDIAN(MIN($AZ$3:$AZ$31), MAX($AZ$3:$AZ$31), AJ19)), $BA$3:$BA$31, "Error", 0)</f>
        <v/>
      </c>
      <c r="AK49" s="186">
        <f t="array" ref="AK49">_xlfn.XLOOKUP(MIN(ABS($AZ$3:$AZ$31 - MEDIAN(MIN($AZ$3:$AZ$31), MAX($AZ$3:$AZ$31), AK19))), ABS($AZ$3:$AZ$31 - MEDIAN(MIN($AZ$3:$AZ$31), MAX($AZ$3:$AZ$31), AK19)), $BA$3:$BA$31, "Error", 0)</f>
        <v/>
      </c>
      <c r="AL49" s="186">
        <f t="array" ref="AL49">_xlfn.XLOOKUP(MIN(ABS($AZ$3:$AZ$31 - MEDIAN(MIN($AZ$3:$AZ$31), MAX($AZ$3:$AZ$31), AL19))), ABS($AZ$3:$AZ$31 - MEDIAN(MIN($AZ$3:$AZ$31), MAX($AZ$3:$AZ$31), AL19)), $BA$3:$BA$31, "Error", 0)</f>
        <v/>
      </c>
      <c r="AM49" s="186">
        <f t="array" ref="AM49">_xlfn.XLOOKUP(MIN(ABS($AZ$3:$AZ$31 - MEDIAN(MIN($AZ$3:$AZ$31), MAX($AZ$3:$AZ$31), AM19))), ABS($AZ$3:$AZ$31 - MEDIAN(MIN($AZ$3:$AZ$31), MAX($AZ$3:$AZ$31), AM19)), $BA$3:$BA$31, "Error", 0)</f>
        <v/>
      </c>
      <c r="AN49" s="186">
        <f t="array" ref="AN49">_xlfn.XLOOKUP(MIN(ABS($AZ$3:$AZ$31 - MEDIAN(MIN($AZ$3:$AZ$31), MAX($AZ$3:$AZ$31), AN19))), ABS($AZ$3:$AZ$31 - MEDIAN(MIN($AZ$3:$AZ$31), MAX($AZ$3:$AZ$31), AN19)), $BA$3:$BA$31, "Error", 0)</f>
        <v/>
      </c>
      <c r="AO49" s="186">
        <f t="array" ref="AO49">_xlfn.XLOOKUP(MIN(ABS($AZ$3:$AZ$31 - MEDIAN(MIN($AZ$3:$AZ$31), MAX($AZ$3:$AZ$31), AO19))), ABS($AZ$3:$AZ$31 - MEDIAN(MIN($AZ$3:$AZ$31), MAX($AZ$3:$AZ$31), AO19)), $BA$3:$BA$31, "Error", 0)</f>
        <v/>
      </c>
      <c r="AP49" s="186">
        <f t="array" ref="AP49">_xlfn.XLOOKUP(MIN(ABS($AZ$3:$AZ$31 - MEDIAN(MIN($AZ$3:$AZ$31), MAX($AZ$3:$AZ$31), AP19))), ABS($AZ$3:$AZ$31 - MEDIAN(MIN($AZ$3:$AZ$31), MAX($AZ$3:$AZ$31), AP19)), $BA$3:$BA$31, "Error", 0)</f>
        <v/>
      </c>
      <c r="AQ49" s="186">
        <f t="array" ref="AQ49">_xlfn.XLOOKUP(MIN(ABS($AZ$3:$AZ$31 - MEDIAN(MIN($AZ$3:$AZ$31), MAX($AZ$3:$AZ$31), AQ19))), ABS($AZ$3:$AZ$31 - MEDIAN(MIN($AZ$3:$AZ$31), MAX($AZ$3:$AZ$31), AQ19)), $BA$3:$BA$31, "Error", 0)</f>
        <v/>
      </c>
      <c r="AR49" s="186">
        <f t="array" ref="AR49">_xlfn.XLOOKUP(MIN(ABS($AZ$3:$AZ$31 - MEDIAN(MIN($AZ$3:$AZ$31), MAX($AZ$3:$AZ$31), AR19))), ABS($AZ$3:$AZ$31 - MEDIAN(MIN($AZ$3:$AZ$31), MAX($AZ$3:$AZ$31), AR19)), $BA$3:$BA$31, "Error", 0)</f>
        <v/>
      </c>
      <c r="AS49" s="186">
        <f t="array" ref="AS49">_xlfn.XLOOKUP(MIN(ABS($AZ$3:$AZ$31 - MEDIAN(MIN($AZ$3:$AZ$31), MAX($AZ$3:$AZ$31), AS19))), ABS($AZ$3:$AZ$31 - MEDIAN(MIN($AZ$3:$AZ$31), MAX($AZ$3:$AZ$31), AS19)), $BA$3:$BA$31, "Error", 0)</f>
        <v/>
      </c>
      <c r="AT49" s="186">
        <f t="array" ref="AT49">_xlfn.XLOOKUP(MIN(ABS($AZ$3:$AZ$31 - MEDIAN(MIN($AZ$3:$AZ$31), MAX($AZ$3:$AZ$31), AT19))), ABS($AZ$3:$AZ$31 - MEDIAN(MIN($AZ$3:$AZ$31), MAX($AZ$3:$AZ$31), AT19)), $BA$3:$BA$31, "Error", 0)</f>
        <v/>
      </c>
      <c r="AU49" s="186">
        <f t="array" ref="AU49">_xlfn.XLOOKUP(MIN(ABS($AZ$3:$AZ$31 - MEDIAN(MIN($AZ$3:$AZ$31), MAX($AZ$3:$AZ$31), AU19))), ABS($AZ$3:$AZ$31 - MEDIAN(MIN($AZ$3:$AZ$31), MAX($AZ$3:$AZ$31), AU19)), $BA$3:$BA$31, "Error", 0)</f>
        <v/>
      </c>
      <c r="AV49" s="186">
        <f t="array" ref="AV49">_xlfn.XLOOKUP(MIN(ABS($AZ$3:$AZ$31 - MEDIAN(MIN($AZ$3:$AZ$31), MAX($AZ$3:$AZ$31), AV19))), ABS($AZ$3:$AZ$31 - MEDIAN(MIN($AZ$3:$AZ$31), MAX($AZ$3:$AZ$31), AV19)), $BA$3:$BA$31, "Error", 0)</f>
        <v/>
      </c>
      <c r="AW49" s="186">
        <f t="array" ref="AW49">_xlfn.XLOOKUP(MIN(ABS($AZ$3:$AZ$31 - MEDIAN(MIN($AZ$3:$AZ$31), MAX($AZ$3:$AZ$31), AW19))), ABS($AZ$3:$AZ$31 - MEDIAN(MIN($AZ$3:$AZ$31), MAX($AZ$3:$AZ$31), AW19)), $BA$3:$BA$31, "Error", 0)</f>
        <v/>
      </c>
      <c r="AX49" s="192">
        <f t="array" ref="AX49">_xlfn.XLOOKUP(MIN(ABS($AZ$3:$AZ$31 - MEDIAN(MIN($AZ$3:$AZ$31), MAX($AZ$3:$AZ$31), AX19))), ABS($AZ$3:$AZ$31 - MEDIAN(MIN($AZ$3:$AZ$31), MAX($AZ$3:$AZ$31), AX19)), $BA$3:$BA$31, "Error", 0)</f>
        <v/>
      </c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</row>
    <row r="50" ht="25" customHeight="1">
      <c r="B50" s="160" t="inlineStr">
        <is>
          <t>EUR CHF</t>
        </is>
      </c>
      <c r="C50" s="186">
        <f t="array" ref="C50">_xlfn.XLOOKUP(MIN(ABS($AZ$3:$AZ$31 - MEDIAN(MIN($AZ$3:$AZ$31), MAX($AZ$3:$AZ$31), C20))), ABS($AZ$3:$AZ$31 - MEDIAN(MIN($AZ$3:$AZ$31), MAX($AZ$3:$AZ$31), C20)), $BA$3:$BA$31, "Error", 0)</f>
        <v/>
      </c>
      <c r="D50" s="186">
        <f t="array" ref="D50">_xlfn.XLOOKUP(MIN(ABS($AZ$3:$AZ$31 - MEDIAN(MIN($AZ$3:$AZ$31), MAX($AZ$3:$AZ$31), D20))), ABS($AZ$3:$AZ$31 - MEDIAN(MIN($AZ$3:$AZ$31), MAX($AZ$3:$AZ$31), D20)), $BA$3:$BA$31, "Error", 0)</f>
        <v/>
      </c>
      <c r="E50" s="186">
        <f t="array" ref="E50">_xlfn.XLOOKUP(MIN(ABS($AZ$3:$AZ$31 - MEDIAN(MIN($AZ$3:$AZ$31), MAX($AZ$3:$AZ$31), E20))), ABS($AZ$3:$AZ$31 - MEDIAN(MIN($AZ$3:$AZ$31), MAX($AZ$3:$AZ$31), E20)), $BA$3:$BA$31, "Error", 0)</f>
        <v/>
      </c>
      <c r="F50" s="186">
        <f t="array" ref="F50">_xlfn.XLOOKUP(MIN(ABS($AZ$3:$AZ$31 - MEDIAN(MIN($AZ$3:$AZ$31), MAX($AZ$3:$AZ$31), F20))), ABS($AZ$3:$AZ$31 - MEDIAN(MIN($AZ$3:$AZ$31), MAX($AZ$3:$AZ$31), F20)), $BA$3:$BA$31, "Error", 0)</f>
        <v/>
      </c>
      <c r="G50" s="186">
        <f t="array" ref="G50">_xlfn.XLOOKUP(MIN(ABS($AZ$3:$AZ$31 - MEDIAN(MIN($AZ$3:$AZ$31), MAX($AZ$3:$AZ$31), G20))), ABS($AZ$3:$AZ$31 - MEDIAN(MIN($AZ$3:$AZ$31), MAX($AZ$3:$AZ$31), G20)), $BA$3:$BA$31, "Error", 0)</f>
        <v/>
      </c>
      <c r="H50" s="186">
        <f t="array" ref="H50">_xlfn.XLOOKUP(MIN(ABS($AZ$3:$AZ$31 - MEDIAN(MIN($AZ$3:$AZ$31), MAX($AZ$3:$AZ$31), H20))), ABS($AZ$3:$AZ$31 - MEDIAN(MIN($AZ$3:$AZ$31), MAX($AZ$3:$AZ$31), H20)), $BA$3:$BA$31, "Error", 0)</f>
        <v/>
      </c>
      <c r="I50" s="186">
        <f t="array" ref="I50">_xlfn.XLOOKUP(MIN(ABS($AZ$3:$AZ$31 - MEDIAN(MIN($AZ$3:$AZ$31), MAX($AZ$3:$AZ$31), I20))), ABS($AZ$3:$AZ$31 - MEDIAN(MIN($AZ$3:$AZ$31), MAX($AZ$3:$AZ$31), I20)), $BA$3:$BA$31, "Error", 0)</f>
        <v/>
      </c>
      <c r="J50" s="186">
        <f t="array" ref="J50">_xlfn.XLOOKUP(MIN(ABS($AZ$3:$AZ$31 - MEDIAN(MIN($AZ$3:$AZ$31), MAX($AZ$3:$AZ$31), J20))), ABS($AZ$3:$AZ$31 - MEDIAN(MIN($AZ$3:$AZ$31), MAX($AZ$3:$AZ$31), J20)), $BA$3:$BA$31, "Error", 0)</f>
        <v/>
      </c>
      <c r="K50" s="186">
        <f t="array" ref="K50">_xlfn.XLOOKUP(MIN(ABS($AZ$3:$AZ$31 - MEDIAN(MIN($AZ$3:$AZ$31), MAX($AZ$3:$AZ$31), K20))), ABS($AZ$3:$AZ$31 - MEDIAN(MIN($AZ$3:$AZ$31), MAX($AZ$3:$AZ$31), K20)), $BA$3:$BA$31, "Error", 0)</f>
        <v/>
      </c>
      <c r="L50" s="186">
        <f t="array" ref="L50">_xlfn.XLOOKUP(MIN(ABS($AZ$3:$AZ$31 - MEDIAN(MIN($AZ$3:$AZ$31), MAX($AZ$3:$AZ$31), L20))), ABS($AZ$3:$AZ$31 - MEDIAN(MIN($AZ$3:$AZ$31), MAX($AZ$3:$AZ$31), L20)), $BA$3:$BA$31, "Error", 0)</f>
        <v/>
      </c>
      <c r="M50" s="186">
        <f t="array" ref="M50">_xlfn.XLOOKUP(MIN(ABS($AZ$3:$AZ$31 - MEDIAN(MIN($AZ$3:$AZ$31), MAX($AZ$3:$AZ$31), M20))), ABS($AZ$3:$AZ$31 - MEDIAN(MIN($AZ$3:$AZ$31), MAX($AZ$3:$AZ$31), M20)), $BA$3:$BA$31, "Error", 0)</f>
        <v/>
      </c>
      <c r="N50" s="186">
        <f t="array" ref="N50">_xlfn.XLOOKUP(MIN(ABS($AZ$3:$AZ$31 - MEDIAN(MIN($AZ$3:$AZ$31), MAX($AZ$3:$AZ$31), N20))), ABS($AZ$3:$AZ$31 - MEDIAN(MIN($AZ$3:$AZ$31), MAX($AZ$3:$AZ$31), N20)), $BA$3:$BA$31, "Error", 0)</f>
        <v/>
      </c>
      <c r="O50" s="186">
        <f t="array" ref="O50">_xlfn.XLOOKUP(MIN(ABS($AZ$3:$AZ$31 - MEDIAN(MIN($AZ$3:$AZ$31), MAX($AZ$3:$AZ$31), O20))), ABS($AZ$3:$AZ$31 - MEDIAN(MIN($AZ$3:$AZ$31), MAX($AZ$3:$AZ$31), O20)), $BA$3:$BA$31, "Error", 0)</f>
        <v/>
      </c>
      <c r="P50" s="186">
        <f t="array" ref="P50">_xlfn.XLOOKUP(MIN(ABS($AZ$3:$AZ$31 - MEDIAN(MIN($AZ$3:$AZ$31), MAX($AZ$3:$AZ$31), P20))), ABS($AZ$3:$AZ$31 - MEDIAN(MIN($AZ$3:$AZ$31), MAX($AZ$3:$AZ$31), P20)), $BA$3:$BA$31, "Error", 0)</f>
        <v/>
      </c>
      <c r="Q50" s="186">
        <f t="array" ref="Q50">_xlfn.XLOOKUP(MIN(ABS($AZ$3:$AZ$31 - MEDIAN(MIN($AZ$3:$AZ$31), MAX($AZ$3:$AZ$31), Q20))), ABS($AZ$3:$AZ$31 - MEDIAN(MIN($AZ$3:$AZ$31), MAX($AZ$3:$AZ$31), Q20)), $BA$3:$BA$31, "Error", 0)</f>
        <v/>
      </c>
      <c r="R50" s="186">
        <f t="array" ref="R50">_xlfn.XLOOKUP(MIN(ABS($AZ$3:$AZ$31 - MEDIAN(MIN($AZ$3:$AZ$31), MAX($AZ$3:$AZ$31), R20))), ABS($AZ$3:$AZ$31 - MEDIAN(MIN($AZ$3:$AZ$31), MAX($AZ$3:$AZ$31), R20)), $BA$3:$BA$31, "Error", 0)</f>
        <v/>
      </c>
      <c r="S50" s="186">
        <f t="array" ref="S50">_xlfn.XLOOKUP(MIN(ABS($AZ$3:$AZ$31 - MEDIAN(MIN($AZ$3:$AZ$31), MAX($AZ$3:$AZ$31), S20))), ABS($AZ$3:$AZ$31 - MEDIAN(MIN($AZ$3:$AZ$31), MAX($AZ$3:$AZ$31), S20)), $BA$3:$BA$31, "Error", 0)</f>
        <v/>
      </c>
      <c r="T50" s="186">
        <f t="array" ref="T50">_xlfn.XLOOKUP(MIN(ABS($AZ$3:$AZ$31 - MEDIAN(MIN($AZ$3:$AZ$31), MAX($AZ$3:$AZ$31), T20))), ABS($AZ$3:$AZ$31 - MEDIAN(MIN($AZ$3:$AZ$31), MAX($AZ$3:$AZ$31), T20)), $BA$3:$BA$31, "Error", 0)</f>
        <v/>
      </c>
      <c r="U50" s="186">
        <f t="array" ref="U50">_xlfn.XLOOKUP(MIN(ABS($AZ$3:$AZ$31 - MEDIAN(MIN($AZ$3:$AZ$31), MAX($AZ$3:$AZ$31), U20))), ABS($AZ$3:$AZ$31 - MEDIAN(MIN($AZ$3:$AZ$31), MAX($AZ$3:$AZ$31), U20)), $BA$3:$BA$31, "Error", 0)</f>
        <v/>
      </c>
      <c r="V50" s="186">
        <f t="array" ref="V50">_xlfn.XLOOKUP(MIN(ABS($AZ$3:$AZ$31 - MEDIAN(MIN($AZ$3:$AZ$31), MAX($AZ$3:$AZ$31), V20))), ABS($AZ$3:$AZ$31 - MEDIAN(MIN($AZ$3:$AZ$31), MAX($AZ$3:$AZ$31), V20)), $BA$3:$BA$31, "Error", 0)</f>
        <v/>
      </c>
      <c r="W50" s="186">
        <f t="array" ref="W50">_xlfn.XLOOKUP(MIN(ABS($AZ$3:$AZ$31 - MEDIAN(MIN($AZ$3:$AZ$31), MAX($AZ$3:$AZ$31), W20))), ABS($AZ$3:$AZ$31 - MEDIAN(MIN($AZ$3:$AZ$31), MAX($AZ$3:$AZ$31), W20)), $BA$3:$BA$31, "Error", 0)</f>
        <v/>
      </c>
      <c r="X50" s="186">
        <f t="array" ref="X50">_xlfn.XLOOKUP(MIN(ABS($AZ$3:$AZ$31 - MEDIAN(MIN($AZ$3:$AZ$31), MAX($AZ$3:$AZ$31), X20))), ABS($AZ$3:$AZ$31 - MEDIAN(MIN($AZ$3:$AZ$31), MAX($AZ$3:$AZ$31), X20)), $BA$3:$BA$31, "Error", 0)</f>
        <v/>
      </c>
      <c r="Y50" s="186">
        <f t="array" ref="Y50">_xlfn.XLOOKUP(MIN(ABS($AZ$3:$AZ$31 - MEDIAN(MIN($AZ$3:$AZ$31), MAX($AZ$3:$AZ$31), Y20))), ABS($AZ$3:$AZ$31 - MEDIAN(MIN($AZ$3:$AZ$31), MAX($AZ$3:$AZ$31), Y20)), $BA$3:$BA$31, "Error", 0)</f>
        <v/>
      </c>
      <c r="Z50" s="186">
        <f t="array" ref="Z50">_xlfn.XLOOKUP(MIN(ABS($AZ$3:$AZ$31 - MEDIAN(MIN($AZ$3:$AZ$31), MAX($AZ$3:$AZ$31), Z20))), ABS($AZ$3:$AZ$31 - MEDIAN(MIN($AZ$3:$AZ$31), MAX($AZ$3:$AZ$31), Z20)), $BA$3:$BA$31, "Error", 0)</f>
        <v/>
      </c>
      <c r="AA50" s="186">
        <f t="array" ref="AA50">_xlfn.XLOOKUP(MIN(ABS($AZ$3:$AZ$31 - MEDIAN(MIN($AZ$3:$AZ$31), MAX($AZ$3:$AZ$31), AA20))), ABS($AZ$3:$AZ$31 - MEDIAN(MIN($AZ$3:$AZ$31), MAX($AZ$3:$AZ$31), AA20)), $BA$3:$BA$31, "Error", 0)</f>
        <v/>
      </c>
      <c r="AB50" s="186">
        <f t="array" ref="AB50">_xlfn.XLOOKUP(MIN(ABS($AZ$3:$AZ$31 - MEDIAN(MIN($AZ$3:$AZ$31), MAX($AZ$3:$AZ$31), AB20))), ABS($AZ$3:$AZ$31 - MEDIAN(MIN($AZ$3:$AZ$31), MAX($AZ$3:$AZ$31), AB20)), $BA$3:$BA$31, "Error", 0)</f>
        <v/>
      </c>
      <c r="AC50" s="186">
        <f t="array" ref="AC50">_xlfn.XLOOKUP(MIN(ABS($AZ$3:$AZ$31 - MEDIAN(MIN($AZ$3:$AZ$31), MAX($AZ$3:$AZ$31), AC20))), ABS($AZ$3:$AZ$31 - MEDIAN(MIN($AZ$3:$AZ$31), MAX($AZ$3:$AZ$31), AC20)), $BA$3:$BA$31, "Error", 0)</f>
        <v/>
      </c>
      <c r="AD50" s="186">
        <f t="array" ref="AD50">_xlfn.XLOOKUP(MIN(ABS($AZ$3:$AZ$31 - MEDIAN(MIN($AZ$3:$AZ$31), MAX($AZ$3:$AZ$31), AD20))), ABS($AZ$3:$AZ$31 - MEDIAN(MIN($AZ$3:$AZ$31), MAX($AZ$3:$AZ$31), AD20)), $BA$3:$BA$31, "Error", 0)</f>
        <v/>
      </c>
      <c r="AE50" s="186">
        <f t="array" ref="AE50">_xlfn.XLOOKUP(MIN(ABS($AZ$3:$AZ$31 - MEDIAN(MIN($AZ$3:$AZ$31), MAX($AZ$3:$AZ$31), AE20))), ABS($AZ$3:$AZ$31 - MEDIAN(MIN($AZ$3:$AZ$31), MAX($AZ$3:$AZ$31), AE20)), $BA$3:$BA$31, "Error", 0)</f>
        <v/>
      </c>
      <c r="AF50" s="186">
        <f t="array" ref="AF50">_xlfn.XLOOKUP(MIN(ABS($AZ$3:$AZ$31 - MEDIAN(MIN($AZ$3:$AZ$31), MAX($AZ$3:$AZ$31), AF20))), ABS($AZ$3:$AZ$31 - MEDIAN(MIN($AZ$3:$AZ$31), MAX($AZ$3:$AZ$31), AF20)), $BA$3:$BA$31, "Error", 0)</f>
        <v/>
      </c>
      <c r="AG50" s="186">
        <f t="array" ref="AG50">_xlfn.XLOOKUP(MIN(ABS($AZ$3:$AZ$31 - MEDIAN(MIN($AZ$3:$AZ$31), MAX($AZ$3:$AZ$31), AG20))), ABS($AZ$3:$AZ$31 - MEDIAN(MIN($AZ$3:$AZ$31), MAX($AZ$3:$AZ$31), AG20)), $BA$3:$BA$31, "Error", 0)</f>
        <v/>
      </c>
      <c r="AH50" s="186">
        <f t="array" ref="AH50">_xlfn.XLOOKUP(MIN(ABS($AZ$3:$AZ$31 - MEDIAN(MIN($AZ$3:$AZ$31), MAX($AZ$3:$AZ$31), AH20))), ABS($AZ$3:$AZ$31 - MEDIAN(MIN($AZ$3:$AZ$31), MAX($AZ$3:$AZ$31), AH20)), $BA$3:$BA$31, "Error", 0)</f>
        <v/>
      </c>
      <c r="AI50" s="186">
        <f t="array" ref="AI50">_xlfn.XLOOKUP(MIN(ABS($AZ$3:$AZ$31 - MEDIAN(MIN($AZ$3:$AZ$31), MAX($AZ$3:$AZ$31), AI20))), ABS($AZ$3:$AZ$31 - MEDIAN(MIN($AZ$3:$AZ$31), MAX($AZ$3:$AZ$31), AI20)), $BA$3:$BA$31, "Error", 0)</f>
        <v/>
      </c>
      <c r="AJ50" s="186">
        <f t="array" ref="AJ50">_xlfn.XLOOKUP(MIN(ABS($AZ$3:$AZ$31 - MEDIAN(MIN($AZ$3:$AZ$31), MAX($AZ$3:$AZ$31), AJ20))), ABS($AZ$3:$AZ$31 - MEDIAN(MIN($AZ$3:$AZ$31), MAX($AZ$3:$AZ$31), AJ20)), $BA$3:$BA$31, "Error", 0)</f>
        <v/>
      </c>
      <c r="AK50" s="186">
        <f t="array" ref="AK50">_xlfn.XLOOKUP(MIN(ABS($AZ$3:$AZ$31 - MEDIAN(MIN($AZ$3:$AZ$31), MAX($AZ$3:$AZ$31), AK20))), ABS($AZ$3:$AZ$31 - MEDIAN(MIN($AZ$3:$AZ$31), MAX($AZ$3:$AZ$31), AK20)), $BA$3:$BA$31, "Error", 0)</f>
        <v/>
      </c>
      <c r="AL50" s="186">
        <f t="array" ref="AL50">_xlfn.XLOOKUP(MIN(ABS($AZ$3:$AZ$31 - MEDIAN(MIN($AZ$3:$AZ$31), MAX($AZ$3:$AZ$31), AL20))), ABS($AZ$3:$AZ$31 - MEDIAN(MIN($AZ$3:$AZ$31), MAX($AZ$3:$AZ$31), AL20)), $BA$3:$BA$31, "Error", 0)</f>
        <v/>
      </c>
      <c r="AM50" s="186">
        <f t="array" ref="AM50">_xlfn.XLOOKUP(MIN(ABS($AZ$3:$AZ$31 - MEDIAN(MIN($AZ$3:$AZ$31), MAX($AZ$3:$AZ$31), AM20))), ABS($AZ$3:$AZ$31 - MEDIAN(MIN($AZ$3:$AZ$31), MAX($AZ$3:$AZ$31), AM20)), $BA$3:$BA$31, "Error", 0)</f>
        <v/>
      </c>
      <c r="AN50" s="186">
        <f t="array" ref="AN50">_xlfn.XLOOKUP(MIN(ABS($AZ$3:$AZ$31 - MEDIAN(MIN($AZ$3:$AZ$31), MAX($AZ$3:$AZ$31), AN20))), ABS($AZ$3:$AZ$31 - MEDIAN(MIN($AZ$3:$AZ$31), MAX($AZ$3:$AZ$31), AN20)), $BA$3:$BA$31, "Error", 0)</f>
        <v/>
      </c>
      <c r="AO50" s="186">
        <f t="array" ref="AO50">_xlfn.XLOOKUP(MIN(ABS($AZ$3:$AZ$31 - MEDIAN(MIN($AZ$3:$AZ$31), MAX($AZ$3:$AZ$31), AO20))), ABS($AZ$3:$AZ$31 - MEDIAN(MIN($AZ$3:$AZ$31), MAX($AZ$3:$AZ$31), AO20)), $BA$3:$BA$31, "Error", 0)</f>
        <v/>
      </c>
      <c r="AP50" s="186">
        <f t="array" ref="AP50">_xlfn.XLOOKUP(MIN(ABS($AZ$3:$AZ$31 - MEDIAN(MIN($AZ$3:$AZ$31), MAX($AZ$3:$AZ$31), AP20))), ABS($AZ$3:$AZ$31 - MEDIAN(MIN($AZ$3:$AZ$31), MAX($AZ$3:$AZ$31), AP20)), $BA$3:$BA$31, "Error", 0)</f>
        <v/>
      </c>
      <c r="AQ50" s="186">
        <f t="array" ref="AQ50">_xlfn.XLOOKUP(MIN(ABS($AZ$3:$AZ$31 - MEDIAN(MIN($AZ$3:$AZ$31), MAX($AZ$3:$AZ$31), AQ20))), ABS($AZ$3:$AZ$31 - MEDIAN(MIN($AZ$3:$AZ$31), MAX($AZ$3:$AZ$31), AQ20)), $BA$3:$BA$31, "Error", 0)</f>
        <v/>
      </c>
      <c r="AR50" s="186">
        <f t="array" ref="AR50">_xlfn.XLOOKUP(MIN(ABS($AZ$3:$AZ$31 - MEDIAN(MIN($AZ$3:$AZ$31), MAX($AZ$3:$AZ$31), AR20))), ABS($AZ$3:$AZ$31 - MEDIAN(MIN($AZ$3:$AZ$31), MAX($AZ$3:$AZ$31), AR20)), $BA$3:$BA$31, "Error", 0)</f>
        <v/>
      </c>
      <c r="AS50" s="186">
        <f t="array" ref="AS50">_xlfn.XLOOKUP(MIN(ABS($AZ$3:$AZ$31 - MEDIAN(MIN($AZ$3:$AZ$31), MAX($AZ$3:$AZ$31), AS20))), ABS($AZ$3:$AZ$31 - MEDIAN(MIN($AZ$3:$AZ$31), MAX($AZ$3:$AZ$31), AS20)), $BA$3:$BA$31, "Error", 0)</f>
        <v/>
      </c>
      <c r="AT50" s="186">
        <f t="array" ref="AT50">_xlfn.XLOOKUP(MIN(ABS($AZ$3:$AZ$31 - MEDIAN(MIN($AZ$3:$AZ$31), MAX($AZ$3:$AZ$31), AT20))), ABS($AZ$3:$AZ$31 - MEDIAN(MIN($AZ$3:$AZ$31), MAX($AZ$3:$AZ$31), AT20)), $BA$3:$BA$31, "Error", 0)</f>
        <v/>
      </c>
      <c r="AU50" s="186">
        <f t="array" ref="AU50">_xlfn.XLOOKUP(MIN(ABS($AZ$3:$AZ$31 - MEDIAN(MIN($AZ$3:$AZ$31), MAX($AZ$3:$AZ$31), AU20))), ABS($AZ$3:$AZ$31 - MEDIAN(MIN($AZ$3:$AZ$31), MAX($AZ$3:$AZ$31), AU20)), $BA$3:$BA$31, "Error", 0)</f>
        <v/>
      </c>
      <c r="AV50" s="186">
        <f t="array" ref="AV50">_xlfn.XLOOKUP(MIN(ABS($AZ$3:$AZ$31 - MEDIAN(MIN($AZ$3:$AZ$31), MAX($AZ$3:$AZ$31), AV20))), ABS($AZ$3:$AZ$31 - MEDIAN(MIN($AZ$3:$AZ$31), MAX($AZ$3:$AZ$31), AV20)), $BA$3:$BA$31, "Error", 0)</f>
        <v/>
      </c>
      <c r="AW50" s="186">
        <f t="array" ref="AW50">_xlfn.XLOOKUP(MIN(ABS($AZ$3:$AZ$31 - MEDIAN(MIN($AZ$3:$AZ$31), MAX($AZ$3:$AZ$31), AW20))), ABS($AZ$3:$AZ$31 - MEDIAN(MIN($AZ$3:$AZ$31), MAX($AZ$3:$AZ$31), AW20)), $BA$3:$BA$31, "Error", 0)</f>
        <v/>
      </c>
      <c r="AX50" s="192">
        <f t="array" ref="AX50">_xlfn.XLOOKUP(MIN(ABS($AZ$3:$AZ$31 - MEDIAN(MIN($AZ$3:$AZ$31), MAX($AZ$3:$AZ$31), AX20))), ABS($AZ$3:$AZ$31 - MEDIAN(MIN($AZ$3:$AZ$31), MAX($AZ$3:$AZ$31), AX20)), $BA$3:$BA$31, "Error", 0)</f>
        <v/>
      </c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</row>
    <row r="51" ht="25" customHeight="1">
      <c r="B51" s="160" t="inlineStr">
        <is>
          <t>EUR GBP</t>
        </is>
      </c>
      <c r="C51" s="186">
        <f t="array" ref="C51">_xlfn.XLOOKUP(MIN(ABS($AZ$3:$AZ$31 - MEDIAN(MIN($AZ$3:$AZ$31), MAX($AZ$3:$AZ$31), C21))), ABS($AZ$3:$AZ$31 - MEDIAN(MIN($AZ$3:$AZ$31), MAX($AZ$3:$AZ$31), C21)), $BA$3:$BA$31, "Error", 0)</f>
        <v/>
      </c>
      <c r="D51" s="186">
        <f t="array" ref="D51">_xlfn.XLOOKUP(MIN(ABS($AZ$3:$AZ$31 - MEDIAN(MIN($AZ$3:$AZ$31), MAX($AZ$3:$AZ$31), D21))), ABS($AZ$3:$AZ$31 - MEDIAN(MIN($AZ$3:$AZ$31), MAX($AZ$3:$AZ$31), D21)), $BA$3:$BA$31, "Error", 0)</f>
        <v/>
      </c>
      <c r="E51" s="186">
        <f t="array" ref="E51">_xlfn.XLOOKUP(MIN(ABS($AZ$3:$AZ$31 - MEDIAN(MIN($AZ$3:$AZ$31), MAX($AZ$3:$AZ$31), E21))), ABS($AZ$3:$AZ$31 - MEDIAN(MIN($AZ$3:$AZ$31), MAX($AZ$3:$AZ$31), E21)), $BA$3:$BA$31, "Error", 0)</f>
        <v/>
      </c>
      <c r="F51" s="186">
        <f t="array" ref="F51">_xlfn.XLOOKUP(MIN(ABS($AZ$3:$AZ$31 - MEDIAN(MIN($AZ$3:$AZ$31), MAX($AZ$3:$AZ$31), F21))), ABS($AZ$3:$AZ$31 - MEDIAN(MIN($AZ$3:$AZ$31), MAX($AZ$3:$AZ$31), F21)), $BA$3:$BA$31, "Error", 0)</f>
        <v/>
      </c>
      <c r="G51" s="186">
        <f t="array" ref="G51">_xlfn.XLOOKUP(MIN(ABS($AZ$3:$AZ$31 - MEDIAN(MIN($AZ$3:$AZ$31), MAX($AZ$3:$AZ$31), G21))), ABS($AZ$3:$AZ$31 - MEDIAN(MIN($AZ$3:$AZ$31), MAX($AZ$3:$AZ$31), G21)), $BA$3:$BA$31, "Error", 0)</f>
        <v/>
      </c>
      <c r="H51" s="186">
        <f t="array" ref="H51">_xlfn.XLOOKUP(MIN(ABS($AZ$3:$AZ$31 - MEDIAN(MIN($AZ$3:$AZ$31), MAX($AZ$3:$AZ$31), H21))), ABS($AZ$3:$AZ$31 - MEDIAN(MIN($AZ$3:$AZ$31), MAX($AZ$3:$AZ$31), H21)), $BA$3:$BA$31, "Error", 0)</f>
        <v/>
      </c>
      <c r="I51" s="186">
        <f t="array" ref="I51">_xlfn.XLOOKUP(MIN(ABS($AZ$3:$AZ$31 - MEDIAN(MIN($AZ$3:$AZ$31), MAX($AZ$3:$AZ$31), I21))), ABS($AZ$3:$AZ$31 - MEDIAN(MIN($AZ$3:$AZ$31), MAX($AZ$3:$AZ$31), I21)), $BA$3:$BA$31, "Error", 0)</f>
        <v/>
      </c>
      <c r="J51" s="186">
        <f t="array" ref="J51">_xlfn.XLOOKUP(MIN(ABS($AZ$3:$AZ$31 - MEDIAN(MIN($AZ$3:$AZ$31), MAX($AZ$3:$AZ$31), J21))), ABS($AZ$3:$AZ$31 - MEDIAN(MIN($AZ$3:$AZ$31), MAX($AZ$3:$AZ$31), J21)), $BA$3:$BA$31, "Error", 0)</f>
        <v/>
      </c>
      <c r="K51" s="186">
        <f t="array" ref="K51">_xlfn.XLOOKUP(MIN(ABS($AZ$3:$AZ$31 - MEDIAN(MIN($AZ$3:$AZ$31), MAX($AZ$3:$AZ$31), K21))), ABS($AZ$3:$AZ$31 - MEDIAN(MIN($AZ$3:$AZ$31), MAX($AZ$3:$AZ$31), K21)), $BA$3:$BA$31, "Error", 0)</f>
        <v/>
      </c>
      <c r="L51" s="186">
        <f t="array" ref="L51">_xlfn.XLOOKUP(MIN(ABS($AZ$3:$AZ$31 - MEDIAN(MIN($AZ$3:$AZ$31), MAX($AZ$3:$AZ$31), L21))), ABS($AZ$3:$AZ$31 - MEDIAN(MIN($AZ$3:$AZ$31), MAX($AZ$3:$AZ$31), L21)), $BA$3:$BA$31, "Error", 0)</f>
        <v/>
      </c>
      <c r="M51" s="186">
        <f t="array" ref="M51">_xlfn.XLOOKUP(MIN(ABS($AZ$3:$AZ$31 - MEDIAN(MIN($AZ$3:$AZ$31), MAX($AZ$3:$AZ$31), M21))), ABS($AZ$3:$AZ$31 - MEDIAN(MIN($AZ$3:$AZ$31), MAX($AZ$3:$AZ$31), M21)), $BA$3:$BA$31, "Error", 0)</f>
        <v/>
      </c>
      <c r="N51" s="186">
        <f t="array" ref="N51">_xlfn.XLOOKUP(MIN(ABS($AZ$3:$AZ$31 - MEDIAN(MIN($AZ$3:$AZ$31), MAX($AZ$3:$AZ$31), N21))), ABS($AZ$3:$AZ$31 - MEDIAN(MIN($AZ$3:$AZ$31), MAX($AZ$3:$AZ$31), N21)), $BA$3:$BA$31, "Error", 0)</f>
        <v/>
      </c>
      <c r="O51" s="186">
        <f t="array" ref="O51">_xlfn.XLOOKUP(MIN(ABS($AZ$3:$AZ$31 - MEDIAN(MIN($AZ$3:$AZ$31), MAX($AZ$3:$AZ$31), O21))), ABS($AZ$3:$AZ$31 - MEDIAN(MIN($AZ$3:$AZ$31), MAX($AZ$3:$AZ$31), O21)), $BA$3:$BA$31, "Error", 0)</f>
        <v/>
      </c>
      <c r="P51" s="186">
        <f t="array" ref="P51">_xlfn.XLOOKUP(MIN(ABS($AZ$3:$AZ$31 - MEDIAN(MIN($AZ$3:$AZ$31), MAX($AZ$3:$AZ$31), P21))), ABS($AZ$3:$AZ$31 - MEDIAN(MIN($AZ$3:$AZ$31), MAX($AZ$3:$AZ$31), P21)), $BA$3:$BA$31, "Error", 0)</f>
        <v/>
      </c>
      <c r="Q51" s="186">
        <f t="array" ref="Q51">_xlfn.XLOOKUP(MIN(ABS($AZ$3:$AZ$31 - MEDIAN(MIN($AZ$3:$AZ$31), MAX($AZ$3:$AZ$31), Q21))), ABS($AZ$3:$AZ$31 - MEDIAN(MIN($AZ$3:$AZ$31), MAX($AZ$3:$AZ$31), Q21)), $BA$3:$BA$31, "Error", 0)</f>
        <v/>
      </c>
      <c r="R51" s="186">
        <f t="array" ref="R51">_xlfn.XLOOKUP(MIN(ABS($AZ$3:$AZ$31 - MEDIAN(MIN($AZ$3:$AZ$31), MAX($AZ$3:$AZ$31), R21))), ABS($AZ$3:$AZ$31 - MEDIAN(MIN($AZ$3:$AZ$31), MAX($AZ$3:$AZ$31), R21)), $BA$3:$BA$31, "Error", 0)</f>
        <v/>
      </c>
      <c r="S51" s="186">
        <f t="array" ref="S51">_xlfn.XLOOKUP(MIN(ABS($AZ$3:$AZ$31 - MEDIAN(MIN($AZ$3:$AZ$31), MAX($AZ$3:$AZ$31), S21))), ABS($AZ$3:$AZ$31 - MEDIAN(MIN($AZ$3:$AZ$31), MAX($AZ$3:$AZ$31), S21)), $BA$3:$BA$31, "Error", 0)</f>
        <v/>
      </c>
      <c r="T51" s="186">
        <f t="array" ref="T51">_xlfn.XLOOKUP(MIN(ABS($AZ$3:$AZ$31 - MEDIAN(MIN($AZ$3:$AZ$31), MAX($AZ$3:$AZ$31), T21))), ABS($AZ$3:$AZ$31 - MEDIAN(MIN($AZ$3:$AZ$31), MAX($AZ$3:$AZ$31), T21)), $BA$3:$BA$31, "Error", 0)</f>
        <v/>
      </c>
      <c r="U51" s="186">
        <f t="array" ref="U51">_xlfn.XLOOKUP(MIN(ABS($AZ$3:$AZ$31 - MEDIAN(MIN($AZ$3:$AZ$31), MAX($AZ$3:$AZ$31), U21))), ABS($AZ$3:$AZ$31 - MEDIAN(MIN($AZ$3:$AZ$31), MAX($AZ$3:$AZ$31), U21)), $BA$3:$BA$31, "Error", 0)</f>
        <v/>
      </c>
      <c r="V51" s="186">
        <f t="array" ref="V51">_xlfn.XLOOKUP(MIN(ABS($AZ$3:$AZ$31 - MEDIAN(MIN($AZ$3:$AZ$31), MAX($AZ$3:$AZ$31), V21))), ABS($AZ$3:$AZ$31 - MEDIAN(MIN($AZ$3:$AZ$31), MAX($AZ$3:$AZ$31), V21)), $BA$3:$BA$31, "Error", 0)</f>
        <v/>
      </c>
      <c r="W51" s="186">
        <f t="array" ref="W51">_xlfn.XLOOKUP(MIN(ABS($AZ$3:$AZ$31 - MEDIAN(MIN($AZ$3:$AZ$31), MAX($AZ$3:$AZ$31), W21))), ABS($AZ$3:$AZ$31 - MEDIAN(MIN($AZ$3:$AZ$31), MAX($AZ$3:$AZ$31), W21)), $BA$3:$BA$31, "Error", 0)</f>
        <v/>
      </c>
      <c r="X51" s="186">
        <f t="array" ref="X51">_xlfn.XLOOKUP(MIN(ABS($AZ$3:$AZ$31 - MEDIAN(MIN($AZ$3:$AZ$31), MAX($AZ$3:$AZ$31), X21))), ABS($AZ$3:$AZ$31 - MEDIAN(MIN($AZ$3:$AZ$31), MAX($AZ$3:$AZ$31), X21)), $BA$3:$BA$31, "Error", 0)</f>
        <v/>
      </c>
      <c r="Y51" s="186">
        <f t="array" ref="Y51">_xlfn.XLOOKUP(MIN(ABS($AZ$3:$AZ$31 - MEDIAN(MIN($AZ$3:$AZ$31), MAX($AZ$3:$AZ$31), Y21))), ABS($AZ$3:$AZ$31 - MEDIAN(MIN($AZ$3:$AZ$31), MAX($AZ$3:$AZ$31), Y21)), $BA$3:$BA$31, "Error", 0)</f>
        <v/>
      </c>
      <c r="Z51" s="186">
        <f t="array" ref="Z51">_xlfn.XLOOKUP(MIN(ABS($AZ$3:$AZ$31 - MEDIAN(MIN($AZ$3:$AZ$31), MAX($AZ$3:$AZ$31), Z21))), ABS($AZ$3:$AZ$31 - MEDIAN(MIN($AZ$3:$AZ$31), MAX($AZ$3:$AZ$31), Z21)), $BA$3:$BA$31, "Error", 0)</f>
        <v/>
      </c>
      <c r="AA51" s="186">
        <f t="array" ref="AA51">_xlfn.XLOOKUP(MIN(ABS($AZ$3:$AZ$31 - MEDIAN(MIN($AZ$3:$AZ$31), MAX($AZ$3:$AZ$31), AA21))), ABS($AZ$3:$AZ$31 - MEDIAN(MIN($AZ$3:$AZ$31), MAX($AZ$3:$AZ$31), AA21)), $BA$3:$BA$31, "Error", 0)</f>
        <v/>
      </c>
      <c r="AB51" s="186">
        <f t="array" ref="AB51">_xlfn.XLOOKUP(MIN(ABS($AZ$3:$AZ$31 - MEDIAN(MIN($AZ$3:$AZ$31), MAX($AZ$3:$AZ$31), AB21))), ABS($AZ$3:$AZ$31 - MEDIAN(MIN($AZ$3:$AZ$31), MAX($AZ$3:$AZ$31), AB21)), $BA$3:$BA$31, "Error", 0)</f>
        <v/>
      </c>
      <c r="AC51" s="186">
        <f t="array" ref="AC51">_xlfn.XLOOKUP(MIN(ABS($AZ$3:$AZ$31 - MEDIAN(MIN($AZ$3:$AZ$31), MAX($AZ$3:$AZ$31), AC21))), ABS($AZ$3:$AZ$31 - MEDIAN(MIN($AZ$3:$AZ$31), MAX($AZ$3:$AZ$31), AC21)), $BA$3:$BA$31, "Error", 0)</f>
        <v/>
      </c>
      <c r="AD51" s="186">
        <f t="array" ref="AD51">_xlfn.XLOOKUP(MIN(ABS($AZ$3:$AZ$31 - MEDIAN(MIN($AZ$3:$AZ$31), MAX($AZ$3:$AZ$31), AD21))), ABS($AZ$3:$AZ$31 - MEDIAN(MIN($AZ$3:$AZ$31), MAX($AZ$3:$AZ$31), AD21)), $BA$3:$BA$31, "Error", 0)</f>
        <v/>
      </c>
      <c r="AE51" s="186">
        <f t="array" ref="AE51">_xlfn.XLOOKUP(MIN(ABS($AZ$3:$AZ$31 - MEDIAN(MIN($AZ$3:$AZ$31), MAX($AZ$3:$AZ$31), AE21))), ABS($AZ$3:$AZ$31 - MEDIAN(MIN($AZ$3:$AZ$31), MAX($AZ$3:$AZ$31), AE21)), $BA$3:$BA$31, "Error", 0)</f>
        <v/>
      </c>
      <c r="AF51" s="186">
        <f t="array" ref="AF51">_xlfn.XLOOKUP(MIN(ABS($AZ$3:$AZ$31 - MEDIAN(MIN($AZ$3:$AZ$31), MAX($AZ$3:$AZ$31), AF21))), ABS($AZ$3:$AZ$31 - MEDIAN(MIN($AZ$3:$AZ$31), MAX($AZ$3:$AZ$31), AF21)), $BA$3:$BA$31, "Error", 0)</f>
        <v/>
      </c>
      <c r="AG51" s="186">
        <f t="array" ref="AG51">_xlfn.XLOOKUP(MIN(ABS($AZ$3:$AZ$31 - MEDIAN(MIN($AZ$3:$AZ$31), MAX($AZ$3:$AZ$31), AG21))), ABS($AZ$3:$AZ$31 - MEDIAN(MIN($AZ$3:$AZ$31), MAX($AZ$3:$AZ$31), AG21)), $BA$3:$BA$31, "Error", 0)</f>
        <v/>
      </c>
      <c r="AH51" s="186">
        <f t="array" ref="AH51">_xlfn.XLOOKUP(MIN(ABS($AZ$3:$AZ$31 - MEDIAN(MIN($AZ$3:$AZ$31), MAX($AZ$3:$AZ$31), AH21))), ABS($AZ$3:$AZ$31 - MEDIAN(MIN($AZ$3:$AZ$31), MAX($AZ$3:$AZ$31), AH21)), $BA$3:$BA$31, "Error", 0)</f>
        <v/>
      </c>
      <c r="AI51" s="186">
        <f t="array" ref="AI51">_xlfn.XLOOKUP(MIN(ABS($AZ$3:$AZ$31 - MEDIAN(MIN($AZ$3:$AZ$31), MAX($AZ$3:$AZ$31), AI21))), ABS($AZ$3:$AZ$31 - MEDIAN(MIN($AZ$3:$AZ$31), MAX($AZ$3:$AZ$31), AI21)), $BA$3:$BA$31, "Error", 0)</f>
        <v/>
      </c>
      <c r="AJ51" s="186">
        <f t="array" ref="AJ51">_xlfn.XLOOKUP(MIN(ABS($AZ$3:$AZ$31 - MEDIAN(MIN($AZ$3:$AZ$31), MAX($AZ$3:$AZ$31), AJ21))), ABS($AZ$3:$AZ$31 - MEDIAN(MIN($AZ$3:$AZ$31), MAX($AZ$3:$AZ$31), AJ21)), $BA$3:$BA$31, "Error", 0)</f>
        <v/>
      </c>
      <c r="AK51" s="186">
        <f t="array" ref="AK51">_xlfn.XLOOKUP(MIN(ABS($AZ$3:$AZ$31 - MEDIAN(MIN($AZ$3:$AZ$31), MAX($AZ$3:$AZ$31), AK21))), ABS($AZ$3:$AZ$31 - MEDIAN(MIN($AZ$3:$AZ$31), MAX($AZ$3:$AZ$31), AK21)), $BA$3:$BA$31, "Error", 0)</f>
        <v/>
      </c>
      <c r="AL51" s="186">
        <f t="array" ref="AL51">_xlfn.XLOOKUP(MIN(ABS($AZ$3:$AZ$31 - MEDIAN(MIN($AZ$3:$AZ$31), MAX($AZ$3:$AZ$31), AL21))), ABS($AZ$3:$AZ$31 - MEDIAN(MIN($AZ$3:$AZ$31), MAX($AZ$3:$AZ$31), AL21)), $BA$3:$BA$31, "Error", 0)</f>
        <v/>
      </c>
      <c r="AM51" s="186">
        <f t="array" ref="AM51">_xlfn.XLOOKUP(MIN(ABS($AZ$3:$AZ$31 - MEDIAN(MIN($AZ$3:$AZ$31), MAX($AZ$3:$AZ$31), AM21))), ABS($AZ$3:$AZ$31 - MEDIAN(MIN($AZ$3:$AZ$31), MAX($AZ$3:$AZ$31), AM21)), $BA$3:$BA$31, "Error", 0)</f>
        <v/>
      </c>
      <c r="AN51" s="186">
        <f t="array" ref="AN51">_xlfn.XLOOKUP(MIN(ABS($AZ$3:$AZ$31 - MEDIAN(MIN($AZ$3:$AZ$31), MAX($AZ$3:$AZ$31), AN21))), ABS($AZ$3:$AZ$31 - MEDIAN(MIN($AZ$3:$AZ$31), MAX($AZ$3:$AZ$31), AN21)), $BA$3:$BA$31, "Error", 0)</f>
        <v/>
      </c>
      <c r="AO51" s="186">
        <f t="array" ref="AO51">_xlfn.XLOOKUP(MIN(ABS($AZ$3:$AZ$31 - MEDIAN(MIN($AZ$3:$AZ$31), MAX($AZ$3:$AZ$31), AO21))), ABS($AZ$3:$AZ$31 - MEDIAN(MIN($AZ$3:$AZ$31), MAX($AZ$3:$AZ$31), AO21)), $BA$3:$BA$31, "Error", 0)</f>
        <v/>
      </c>
      <c r="AP51" s="186">
        <f t="array" ref="AP51">_xlfn.XLOOKUP(MIN(ABS($AZ$3:$AZ$31 - MEDIAN(MIN($AZ$3:$AZ$31), MAX($AZ$3:$AZ$31), AP21))), ABS($AZ$3:$AZ$31 - MEDIAN(MIN($AZ$3:$AZ$31), MAX($AZ$3:$AZ$31), AP21)), $BA$3:$BA$31, "Error", 0)</f>
        <v/>
      </c>
      <c r="AQ51" s="186">
        <f t="array" ref="AQ51">_xlfn.XLOOKUP(MIN(ABS($AZ$3:$AZ$31 - MEDIAN(MIN($AZ$3:$AZ$31), MAX($AZ$3:$AZ$31), AQ21))), ABS($AZ$3:$AZ$31 - MEDIAN(MIN($AZ$3:$AZ$31), MAX($AZ$3:$AZ$31), AQ21)), $BA$3:$BA$31, "Error", 0)</f>
        <v/>
      </c>
      <c r="AR51" s="186">
        <f t="array" ref="AR51">_xlfn.XLOOKUP(MIN(ABS($AZ$3:$AZ$31 - MEDIAN(MIN($AZ$3:$AZ$31), MAX($AZ$3:$AZ$31), AR21))), ABS($AZ$3:$AZ$31 - MEDIAN(MIN($AZ$3:$AZ$31), MAX($AZ$3:$AZ$31), AR21)), $BA$3:$BA$31, "Error", 0)</f>
        <v/>
      </c>
      <c r="AS51" s="186">
        <f t="array" ref="AS51">_xlfn.XLOOKUP(MIN(ABS($AZ$3:$AZ$31 - MEDIAN(MIN($AZ$3:$AZ$31), MAX($AZ$3:$AZ$31), AS21))), ABS($AZ$3:$AZ$31 - MEDIAN(MIN($AZ$3:$AZ$31), MAX($AZ$3:$AZ$31), AS21)), $BA$3:$BA$31, "Error", 0)</f>
        <v/>
      </c>
      <c r="AT51" s="186">
        <f t="array" ref="AT51">_xlfn.XLOOKUP(MIN(ABS($AZ$3:$AZ$31 - MEDIAN(MIN($AZ$3:$AZ$31), MAX($AZ$3:$AZ$31), AT21))), ABS($AZ$3:$AZ$31 - MEDIAN(MIN($AZ$3:$AZ$31), MAX($AZ$3:$AZ$31), AT21)), $BA$3:$BA$31, "Error", 0)</f>
        <v/>
      </c>
      <c r="AU51" s="186">
        <f t="array" ref="AU51">_xlfn.XLOOKUP(MIN(ABS($AZ$3:$AZ$31 - MEDIAN(MIN($AZ$3:$AZ$31), MAX($AZ$3:$AZ$31), AU21))), ABS($AZ$3:$AZ$31 - MEDIAN(MIN($AZ$3:$AZ$31), MAX($AZ$3:$AZ$31), AU21)), $BA$3:$BA$31, "Error", 0)</f>
        <v/>
      </c>
      <c r="AV51" s="186">
        <f t="array" ref="AV51">_xlfn.XLOOKUP(MIN(ABS($AZ$3:$AZ$31 - MEDIAN(MIN($AZ$3:$AZ$31), MAX($AZ$3:$AZ$31), AV21))), ABS($AZ$3:$AZ$31 - MEDIAN(MIN($AZ$3:$AZ$31), MAX($AZ$3:$AZ$31), AV21)), $BA$3:$BA$31, "Error", 0)</f>
        <v/>
      </c>
      <c r="AW51" s="186">
        <f t="array" ref="AW51">_xlfn.XLOOKUP(MIN(ABS($AZ$3:$AZ$31 - MEDIAN(MIN($AZ$3:$AZ$31), MAX($AZ$3:$AZ$31), AW21))), ABS($AZ$3:$AZ$31 - MEDIAN(MIN($AZ$3:$AZ$31), MAX($AZ$3:$AZ$31), AW21)), $BA$3:$BA$31, "Error", 0)</f>
        <v/>
      </c>
      <c r="AX51" s="192">
        <f t="array" ref="AX51">_xlfn.XLOOKUP(MIN(ABS($AZ$3:$AZ$31 - MEDIAN(MIN($AZ$3:$AZ$31), MAX($AZ$3:$AZ$31), AX21))), ABS($AZ$3:$AZ$31 - MEDIAN(MIN($AZ$3:$AZ$31), MAX($AZ$3:$AZ$31), AX21)), $BA$3:$BA$31, "Error", 0)</f>
        <v/>
      </c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</row>
    <row r="52" ht="25" customHeight="1">
      <c r="B52" s="162" t="inlineStr">
        <is>
          <t>EUR CAD</t>
        </is>
      </c>
      <c r="C52" s="186">
        <f t="array" ref="C52">_xlfn.XLOOKUP(MIN(ABS($AZ$3:$AZ$31 - MEDIAN(MIN($AZ$3:$AZ$31), MAX($AZ$3:$AZ$31), C22))), ABS($AZ$3:$AZ$31 - MEDIAN(MIN($AZ$3:$AZ$31), MAX($AZ$3:$AZ$31), C22)), $BA$3:$BA$31, "Error", 0)</f>
        <v/>
      </c>
      <c r="D52" s="186">
        <f t="array" ref="D52">_xlfn.XLOOKUP(MIN(ABS($AZ$3:$AZ$31 - MEDIAN(MIN($AZ$3:$AZ$31), MAX($AZ$3:$AZ$31), D22))), ABS($AZ$3:$AZ$31 - MEDIAN(MIN($AZ$3:$AZ$31), MAX($AZ$3:$AZ$31), D22)), $BA$3:$BA$31, "Error", 0)</f>
        <v/>
      </c>
      <c r="E52" s="186">
        <f t="array" ref="E52">_xlfn.XLOOKUP(MIN(ABS($AZ$3:$AZ$31 - MEDIAN(MIN($AZ$3:$AZ$31), MAX($AZ$3:$AZ$31), E22))), ABS($AZ$3:$AZ$31 - MEDIAN(MIN($AZ$3:$AZ$31), MAX($AZ$3:$AZ$31), E22)), $BA$3:$BA$31, "Error", 0)</f>
        <v/>
      </c>
      <c r="F52" s="186">
        <f t="array" ref="F52">_xlfn.XLOOKUP(MIN(ABS($AZ$3:$AZ$31 - MEDIAN(MIN($AZ$3:$AZ$31), MAX($AZ$3:$AZ$31), F22))), ABS($AZ$3:$AZ$31 - MEDIAN(MIN($AZ$3:$AZ$31), MAX($AZ$3:$AZ$31), F22)), $BA$3:$BA$31, "Error", 0)</f>
        <v/>
      </c>
      <c r="G52" s="186">
        <f t="array" ref="G52">_xlfn.XLOOKUP(MIN(ABS($AZ$3:$AZ$31 - MEDIAN(MIN($AZ$3:$AZ$31), MAX($AZ$3:$AZ$31), G22))), ABS($AZ$3:$AZ$31 - MEDIAN(MIN($AZ$3:$AZ$31), MAX($AZ$3:$AZ$31), G22)), $BA$3:$BA$31, "Error", 0)</f>
        <v/>
      </c>
      <c r="H52" s="186">
        <f t="array" ref="H52">_xlfn.XLOOKUP(MIN(ABS($AZ$3:$AZ$31 - MEDIAN(MIN($AZ$3:$AZ$31), MAX($AZ$3:$AZ$31), H22))), ABS($AZ$3:$AZ$31 - MEDIAN(MIN($AZ$3:$AZ$31), MAX($AZ$3:$AZ$31), H22)), $BA$3:$BA$31, "Error", 0)</f>
        <v/>
      </c>
      <c r="I52" s="186">
        <f t="array" ref="I52">_xlfn.XLOOKUP(MIN(ABS($AZ$3:$AZ$31 - MEDIAN(MIN($AZ$3:$AZ$31), MAX($AZ$3:$AZ$31), I22))), ABS($AZ$3:$AZ$31 - MEDIAN(MIN($AZ$3:$AZ$31), MAX($AZ$3:$AZ$31), I22)), $BA$3:$BA$31, "Error", 0)</f>
        <v/>
      </c>
      <c r="J52" s="186">
        <f t="array" ref="J52">_xlfn.XLOOKUP(MIN(ABS($AZ$3:$AZ$31 - MEDIAN(MIN($AZ$3:$AZ$31), MAX($AZ$3:$AZ$31), J22))), ABS($AZ$3:$AZ$31 - MEDIAN(MIN($AZ$3:$AZ$31), MAX($AZ$3:$AZ$31), J22)), $BA$3:$BA$31, "Error", 0)</f>
        <v/>
      </c>
      <c r="K52" s="186">
        <f t="array" ref="K52">_xlfn.XLOOKUP(MIN(ABS($AZ$3:$AZ$31 - MEDIAN(MIN($AZ$3:$AZ$31), MAX($AZ$3:$AZ$31), K22))), ABS($AZ$3:$AZ$31 - MEDIAN(MIN($AZ$3:$AZ$31), MAX($AZ$3:$AZ$31), K22)), $BA$3:$BA$31, "Error", 0)</f>
        <v/>
      </c>
      <c r="L52" s="186">
        <f t="array" ref="L52">_xlfn.XLOOKUP(MIN(ABS($AZ$3:$AZ$31 - MEDIAN(MIN($AZ$3:$AZ$31), MAX($AZ$3:$AZ$31), L22))), ABS($AZ$3:$AZ$31 - MEDIAN(MIN($AZ$3:$AZ$31), MAX($AZ$3:$AZ$31), L22)), $BA$3:$BA$31, "Error", 0)</f>
        <v/>
      </c>
      <c r="M52" s="186">
        <f t="array" ref="M52">_xlfn.XLOOKUP(MIN(ABS($AZ$3:$AZ$31 - MEDIAN(MIN($AZ$3:$AZ$31), MAX($AZ$3:$AZ$31), M22))), ABS($AZ$3:$AZ$31 - MEDIAN(MIN($AZ$3:$AZ$31), MAX($AZ$3:$AZ$31), M22)), $BA$3:$BA$31, "Error", 0)</f>
        <v/>
      </c>
      <c r="N52" s="186">
        <f t="array" ref="N52">_xlfn.XLOOKUP(MIN(ABS($AZ$3:$AZ$31 - MEDIAN(MIN($AZ$3:$AZ$31), MAX($AZ$3:$AZ$31), N22))), ABS($AZ$3:$AZ$31 - MEDIAN(MIN($AZ$3:$AZ$31), MAX($AZ$3:$AZ$31), N22)), $BA$3:$BA$31, "Error", 0)</f>
        <v/>
      </c>
      <c r="O52" s="186">
        <f t="array" ref="O52">_xlfn.XLOOKUP(MIN(ABS($AZ$3:$AZ$31 - MEDIAN(MIN($AZ$3:$AZ$31), MAX($AZ$3:$AZ$31), O22))), ABS($AZ$3:$AZ$31 - MEDIAN(MIN($AZ$3:$AZ$31), MAX($AZ$3:$AZ$31), O22)), $BA$3:$BA$31, "Error", 0)</f>
        <v/>
      </c>
      <c r="P52" s="186">
        <f t="array" ref="P52">_xlfn.XLOOKUP(MIN(ABS($AZ$3:$AZ$31 - MEDIAN(MIN($AZ$3:$AZ$31), MAX($AZ$3:$AZ$31), P22))), ABS($AZ$3:$AZ$31 - MEDIAN(MIN($AZ$3:$AZ$31), MAX($AZ$3:$AZ$31), P22)), $BA$3:$BA$31, "Error", 0)</f>
        <v/>
      </c>
      <c r="Q52" s="186">
        <f t="array" ref="Q52">_xlfn.XLOOKUP(MIN(ABS($AZ$3:$AZ$31 - MEDIAN(MIN($AZ$3:$AZ$31), MAX($AZ$3:$AZ$31), Q22))), ABS($AZ$3:$AZ$31 - MEDIAN(MIN($AZ$3:$AZ$31), MAX($AZ$3:$AZ$31), Q22)), $BA$3:$BA$31, "Error", 0)</f>
        <v/>
      </c>
      <c r="R52" s="186">
        <f t="array" ref="R52">_xlfn.XLOOKUP(MIN(ABS($AZ$3:$AZ$31 - MEDIAN(MIN($AZ$3:$AZ$31), MAX($AZ$3:$AZ$31), R22))), ABS($AZ$3:$AZ$31 - MEDIAN(MIN($AZ$3:$AZ$31), MAX($AZ$3:$AZ$31), R22)), $BA$3:$BA$31, "Error", 0)</f>
        <v/>
      </c>
      <c r="S52" s="186">
        <f t="array" ref="S52">_xlfn.XLOOKUP(MIN(ABS($AZ$3:$AZ$31 - MEDIAN(MIN($AZ$3:$AZ$31), MAX($AZ$3:$AZ$31), S22))), ABS($AZ$3:$AZ$31 - MEDIAN(MIN($AZ$3:$AZ$31), MAX($AZ$3:$AZ$31), S22)), $BA$3:$BA$31, "Error", 0)</f>
        <v/>
      </c>
      <c r="T52" s="186">
        <f t="array" ref="T52">_xlfn.XLOOKUP(MIN(ABS($AZ$3:$AZ$31 - MEDIAN(MIN($AZ$3:$AZ$31), MAX($AZ$3:$AZ$31), T22))), ABS($AZ$3:$AZ$31 - MEDIAN(MIN($AZ$3:$AZ$31), MAX($AZ$3:$AZ$31), T22)), $BA$3:$BA$31, "Error", 0)</f>
        <v/>
      </c>
      <c r="U52" s="186">
        <f t="array" ref="U52">_xlfn.XLOOKUP(MIN(ABS($AZ$3:$AZ$31 - MEDIAN(MIN($AZ$3:$AZ$31), MAX($AZ$3:$AZ$31), U22))), ABS($AZ$3:$AZ$31 - MEDIAN(MIN($AZ$3:$AZ$31), MAX($AZ$3:$AZ$31), U22)), $BA$3:$BA$31, "Error", 0)</f>
        <v/>
      </c>
      <c r="V52" s="186">
        <f t="array" ref="V52">_xlfn.XLOOKUP(MIN(ABS($AZ$3:$AZ$31 - MEDIAN(MIN($AZ$3:$AZ$31), MAX($AZ$3:$AZ$31), V22))), ABS($AZ$3:$AZ$31 - MEDIAN(MIN($AZ$3:$AZ$31), MAX($AZ$3:$AZ$31), V22)), $BA$3:$BA$31, "Error", 0)</f>
        <v/>
      </c>
      <c r="W52" s="186">
        <f t="array" ref="W52">_xlfn.XLOOKUP(MIN(ABS($AZ$3:$AZ$31 - MEDIAN(MIN($AZ$3:$AZ$31), MAX($AZ$3:$AZ$31), W22))), ABS($AZ$3:$AZ$31 - MEDIAN(MIN($AZ$3:$AZ$31), MAX($AZ$3:$AZ$31), W22)), $BA$3:$BA$31, "Error", 0)</f>
        <v/>
      </c>
      <c r="X52" s="186">
        <f t="array" ref="X52">_xlfn.XLOOKUP(MIN(ABS($AZ$3:$AZ$31 - MEDIAN(MIN($AZ$3:$AZ$31), MAX($AZ$3:$AZ$31), X22))), ABS($AZ$3:$AZ$31 - MEDIAN(MIN($AZ$3:$AZ$31), MAX($AZ$3:$AZ$31), X22)), $BA$3:$BA$31, "Error", 0)</f>
        <v/>
      </c>
      <c r="Y52" s="186">
        <f t="array" ref="Y52">_xlfn.XLOOKUP(MIN(ABS($AZ$3:$AZ$31 - MEDIAN(MIN($AZ$3:$AZ$31), MAX($AZ$3:$AZ$31), Y22))), ABS($AZ$3:$AZ$31 - MEDIAN(MIN($AZ$3:$AZ$31), MAX($AZ$3:$AZ$31), Y22)), $BA$3:$BA$31, "Error", 0)</f>
        <v/>
      </c>
      <c r="Z52" s="186">
        <f t="array" ref="Z52">_xlfn.XLOOKUP(MIN(ABS($AZ$3:$AZ$31 - MEDIAN(MIN($AZ$3:$AZ$31), MAX($AZ$3:$AZ$31), Z22))), ABS($AZ$3:$AZ$31 - MEDIAN(MIN($AZ$3:$AZ$31), MAX($AZ$3:$AZ$31), Z22)), $BA$3:$BA$31, "Error", 0)</f>
        <v/>
      </c>
      <c r="AA52" s="186">
        <f t="array" ref="AA52">_xlfn.XLOOKUP(MIN(ABS($AZ$3:$AZ$31 - MEDIAN(MIN($AZ$3:$AZ$31), MAX($AZ$3:$AZ$31), AA22))), ABS($AZ$3:$AZ$31 - MEDIAN(MIN($AZ$3:$AZ$31), MAX($AZ$3:$AZ$31), AA22)), $BA$3:$BA$31, "Error", 0)</f>
        <v/>
      </c>
      <c r="AB52" s="186">
        <f t="array" ref="AB52">_xlfn.XLOOKUP(MIN(ABS($AZ$3:$AZ$31 - MEDIAN(MIN($AZ$3:$AZ$31), MAX($AZ$3:$AZ$31), AB22))), ABS($AZ$3:$AZ$31 - MEDIAN(MIN($AZ$3:$AZ$31), MAX($AZ$3:$AZ$31), AB22)), $BA$3:$BA$31, "Error", 0)</f>
        <v/>
      </c>
      <c r="AC52" s="186">
        <f t="array" ref="AC52">_xlfn.XLOOKUP(MIN(ABS($AZ$3:$AZ$31 - MEDIAN(MIN($AZ$3:$AZ$31), MAX($AZ$3:$AZ$31), AC22))), ABS($AZ$3:$AZ$31 - MEDIAN(MIN($AZ$3:$AZ$31), MAX($AZ$3:$AZ$31), AC22)), $BA$3:$BA$31, "Error", 0)</f>
        <v/>
      </c>
      <c r="AD52" s="186">
        <f t="array" ref="AD52">_xlfn.XLOOKUP(MIN(ABS($AZ$3:$AZ$31 - MEDIAN(MIN($AZ$3:$AZ$31), MAX($AZ$3:$AZ$31), AD22))), ABS($AZ$3:$AZ$31 - MEDIAN(MIN($AZ$3:$AZ$31), MAX($AZ$3:$AZ$31), AD22)), $BA$3:$BA$31, "Error", 0)</f>
        <v/>
      </c>
      <c r="AE52" s="186">
        <f t="array" ref="AE52">_xlfn.XLOOKUP(MIN(ABS($AZ$3:$AZ$31 - MEDIAN(MIN($AZ$3:$AZ$31), MAX($AZ$3:$AZ$31), AE22))), ABS($AZ$3:$AZ$31 - MEDIAN(MIN($AZ$3:$AZ$31), MAX($AZ$3:$AZ$31), AE22)), $BA$3:$BA$31, "Error", 0)</f>
        <v/>
      </c>
      <c r="AF52" s="186">
        <f t="array" ref="AF52">_xlfn.XLOOKUP(MIN(ABS($AZ$3:$AZ$31 - MEDIAN(MIN($AZ$3:$AZ$31), MAX($AZ$3:$AZ$31), AF22))), ABS($AZ$3:$AZ$31 - MEDIAN(MIN($AZ$3:$AZ$31), MAX($AZ$3:$AZ$31), AF22)), $BA$3:$BA$31, "Error", 0)</f>
        <v/>
      </c>
      <c r="AG52" s="186">
        <f t="array" ref="AG52">_xlfn.XLOOKUP(MIN(ABS($AZ$3:$AZ$31 - MEDIAN(MIN($AZ$3:$AZ$31), MAX($AZ$3:$AZ$31), AG22))), ABS($AZ$3:$AZ$31 - MEDIAN(MIN($AZ$3:$AZ$31), MAX($AZ$3:$AZ$31), AG22)), $BA$3:$BA$31, "Error", 0)</f>
        <v/>
      </c>
      <c r="AH52" s="186">
        <f t="array" ref="AH52">_xlfn.XLOOKUP(MIN(ABS($AZ$3:$AZ$31 - MEDIAN(MIN($AZ$3:$AZ$31), MAX($AZ$3:$AZ$31), AH22))), ABS($AZ$3:$AZ$31 - MEDIAN(MIN($AZ$3:$AZ$31), MAX($AZ$3:$AZ$31), AH22)), $BA$3:$BA$31, "Error", 0)</f>
        <v/>
      </c>
      <c r="AI52" s="186">
        <f t="array" ref="AI52">_xlfn.XLOOKUP(MIN(ABS($AZ$3:$AZ$31 - MEDIAN(MIN($AZ$3:$AZ$31), MAX($AZ$3:$AZ$31), AI22))), ABS($AZ$3:$AZ$31 - MEDIAN(MIN($AZ$3:$AZ$31), MAX($AZ$3:$AZ$31), AI22)), $BA$3:$BA$31, "Error", 0)</f>
        <v/>
      </c>
      <c r="AJ52" s="186">
        <f t="array" ref="AJ52">_xlfn.XLOOKUP(MIN(ABS($AZ$3:$AZ$31 - MEDIAN(MIN($AZ$3:$AZ$31), MAX($AZ$3:$AZ$31), AJ22))), ABS($AZ$3:$AZ$31 - MEDIAN(MIN($AZ$3:$AZ$31), MAX($AZ$3:$AZ$31), AJ22)), $BA$3:$BA$31, "Error", 0)</f>
        <v/>
      </c>
      <c r="AK52" s="186">
        <f t="array" ref="AK52">_xlfn.XLOOKUP(MIN(ABS($AZ$3:$AZ$31 - MEDIAN(MIN($AZ$3:$AZ$31), MAX($AZ$3:$AZ$31), AK22))), ABS($AZ$3:$AZ$31 - MEDIAN(MIN($AZ$3:$AZ$31), MAX($AZ$3:$AZ$31), AK22)), $BA$3:$BA$31, "Error", 0)</f>
        <v/>
      </c>
      <c r="AL52" s="186">
        <f t="array" ref="AL52">_xlfn.XLOOKUP(MIN(ABS($AZ$3:$AZ$31 - MEDIAN(MIN($AZ$3:$AZ$31), MAX($AZ$3:$AZ$31), AL22))), ABS($AZ$3:$AZ$31 - MEDIAN(MIN($AZ$3:$AZ$31), MAX($AZ$3:$AZ$31), AL22)), $BA$3:$BA$31, "Error", 0)</f>
        <v/>
      </c>
      <c r="AM52" s="186">
        <f t="array" ref="AM52">_xlfn.XLOOKUP(MIN(ABS($AZ$3:$AZ$31 - MEDIAN(MIN($AZ$3:$AZ$31), MAX($AZ$3:$AZ$31), AM22))), ABS($AZ$3:$AZ$31 - MEDIAN(MIN($AZ$3:$AZ$31), MAX($AZ$3:$AZ$31), AM22)), $BA$3:$BA$31, "Error", 0)</f>
        <v/>
      </c>
      <c r="AN52" s="186">
        <f t="array" ref="AN52">_xlfn.XLOOKUP(MIN(ABS($AZ$3:$AZ$31 - MEDIAN(MIN($AZ$3:$AZ$31), MAX($AZ$3:$AZ$31), AN22))), ABS($AZ$3:$AZ$31 - MEDIAN(MIN($AZ$3:$AZ$31), MAX($AZ$3:$AZ$31), AN22)), $BA$3:$BA$31, "Error", 0)</f>
        <v/>
      </c>
      <c r="AO52" s="186">
        <f t="array" ref="AO52">_xlfn.XLOOKUP(MIN(ABS($AZ$3:$AZ$31 - MEDIAN(MIN($AZ$3:$AZ$31), MAX($AZ$3:$AZ$31), AO22))), ABS($AZ$3:$AZ$31 - MEDIAN(MIN($AZ$3:$AZ$31), MAX($AZ$3:$AZ$31), AO22)), $BA$3:$BA$31, "Error", 0)</f>
        <v/>
      </c>
      <c r="AP52" s="186">
        <f t="array" ref="AP52">_xlfn.XLOOKUP(MIN(ABS($AZ$3:$AZ$31 - MEDIAN(MIN($AZ$3:$AZ$31), MAX($AZ$3:$AZ$31), AP22))), ABS($AZ$3:$AZ$31 - MEDIAN(MIN($AZ$3:$AZ$31), MAX($AZ$3:$AZ$31), AP22)), $BA$3:$BA$31, "Error", 0)</f>
        <v/>
      </c>
      <c r="AQ52" s="186">
        <f t="array" ref="AQ52">_xlfn.XLOOKUP(MIN(ABS($AZ$3:$AZ$31 - MEDIAN(MIN($AZ$3:$AZ$31), MAX($AZ$3:$AZ$31), AQ22))), ABS($AZ$3:$AZ$31 - MEDIAN(MIN($AZ$3:$AZ$31), MAX($AZ$3:$AZ$31), AQ22)), $BA$3:$BA$31, "Error", 0)</f>
        <v/>
      </c>
      <c r="AR52" s="186">
        <f t="array" ref="AR52">_xlfn.XLOOKUP(MIN(ABS($AZ$3:$AZ$31 - MEDIAN(MIN($AZ$3:$AZ$31), MAX($AZ$3:$AZ$31), AR22))), ABS($AZ$3:$AZ$31 - MEDIAN(MIN($AZ$3:$AZ$31), MAX($AZ$3:$AZ$31), AR22)), $BA$3:$BA$31, "Error", 0)</f>
        <v/>
      </c>
      <c r="AS52" s="186">
        <f t="array" ref="AS52">_xlfn.XLOOKUP(MIN(ABS($AZ$3:$AZ$31 - MEDIAN(MIN($AZ$3:$AZ$31), MAX($AZ$3:$AZ$31), AS22))), ABS($AZ$3:$AZ$31 - MEDIAN(MIN($AZ$3:$AZ$31), MAX($AZ$3:$AZ$31), AS22)), $BA$3:$BA$31, "Error", 0)</f>
        <v/>
      </c>
      <c r="AT52" s="186">
        <f t="array" ref="AT52">_xlfn.XLOOKUP(MIN(ABS($AZ$3:$AZ$31 - MEDIAN(MIN($AZ$3:$AZ$31), MAX($AZ$3:$AZ$31), AT22))), ABS($AZ$3:$AZ$31 - MEDIAN(MIN($AZ$3:$AZ$31), MAX($AZ$3:$AZ$31), AT22)), $BA$3:$BA$31, "Error", 0)</f>
        <v/>
      </c>
      <c r="AU52" s="186">
        <f t="array" ref="AU52">_xlfn.XLOOKUP(MIN(ABS($AZ$3:$AZ$31 - MEDIAN(MIN($AZ$3:$AZ$31), MAX($AZ$3:$AZ$31), AU22))), ABS($AZ$3:$AZ$31 - MEDIAN(MIN($AZ$3:$AZ$31), MAX($AZ$3:$AZ$31), AU22)), $BA$3:$BA$31, "Error", 0)</f>
        <v/>
      </c>
      <c r="AV52" s="186">
        <f t="array" ref="AV52">_xlfn.XLOOKUP(MIN(ABS($AZ$3:$AZ$31 - MEDIAN(MIN($AZ$3:$AZ$31), MAX($AZ$3:$AZ$31), AV22))), ABS($AZ$3:$AZ$31 - MEDIAN(MIN($AZ$3:$AZ$31), MAX($AZ$3:$AZ$31), AV22)), $BA$3:$BA$31, "Error", 0)</f>
        <v/>
      </c>
      <c r="AW52" s="186">
        <f t="array" ref="AW52">_xlfn.XLOOKUP(MIN(ABS($AZ$3:$AZ$31 - MEDIAN(MIN($AZ$3:$AZ$31), MAX($AZ$3:$AZ$31), AW22))), ABS($AZ$3:$AZ$31 - MEDIAN(MIN($AZ$3:$AZ$31), MAX($AZ$3:$AZ$31), AW22)), $BA$3:$BA$31, "Error", 0)</f>
        <v/>
      </c>
      <c r="AX52" s="192">
        <f t="array" ref="AX52">_xlfn.XLOOKUP(MIN(ABS($AZ$3:$AZ$31 - MEDIAN(MIN($AZ$3:$AZ$31), MAX($AZ$3:$AZ$31), AX22))), ABS($AZ$3:$AZ$31 - MEDIAN(MIN($AZ$3:$AZ$31), MAX($AZ$3:$AZ$31), AX22)), $BA$3:$BA$31, "Error", 0)</f>
        <v/>
      </c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</row>
    <row r="53" ht="25" customHeight="1">
      <c r="B53" s="160" t="inlineStr">
        <is>
          <t>EUR AUD</t>
        </is>
      </c>
      <c r="C53" s="186">
        <f t="array" ref="C53">_xlfn.XLOOKUP(MIN(ABS($AZ$3:$AZ$31 - MEDIAN(MIN($AZ$3:$AZ$31), MAX($AZ$3:$AZ$31), C23))), ABS($AZ$3:$AZ$31 - MEDIAN(MIN($AZ$3:$AZ$31), MAX($AZ$3:$AZ$31), C23)), $BA$3:$BA$31, "Error", 0)</f>
        <v/>
      </c>
      <c r="D53" s="186">
        <f t="array" ref="D53">_xlfn.XLOOKUP(MIN(ABS($AZ$3:$AZ$31 - MEDIAN(MIN($AZ$3:$AZ$31), MAX($AZ$3:$AZ$31), D23))), ABS($AZ$3:$AZ$31 - MEDIAN(MIN($AZ$3:$AZ$31), MAX($AZ$3:$AZ$31), D23)), $BA$3:$BA$31, "Error", 0)</f>
        <v/>
      </c>
      <c r="E53" s="186">
        <f t="array" ref="E53">_xlfn.XLOOKUP(MIN(ABS($AZ$3:$AZ$31 - MEDIAN(MIN($AZ$3:$AZ$31), MAX($AZ$3:$AZ$31), E23))), ABS($AZ$3:$AZ$31 - MEDIAN(MIN($AZ$3:$AZ$31), MAX($AZ$3:$AZ$31), E23)), $BA$3:$BA$31, "Error", 0)</f>
        <v/>
      </c>
      <c r="F53" s="186">
        <f t="array" ref="F53">_xlfn.XLOOKUP(MIN(ABS($AZ$3:$AZ$31 - MEDIAN(MIN($AZ$3:$AZ$31), MAX($AZ$3:$AZ$31), F23))), ABS($AZ$3:$AZ$31 - MEDIAN(MIN($AZ$3:$AZ$31), MAX($AZ$3:$AZ$31), F23)), $BA$3:$BA$31, "Error", 0)</f>
        <v/>
      </c>
      <c r="G53" s="186">
        <f t="array" ref="G53">_xlfn.XLOOKUP(MIN(ABS($AZ$3:$AZ$31 - MEDIAN(MIN($AZ$3:$AZ$31), MAX($AZ$3:$AZ$31), G23))), ABS($AZ$3:$AZ$31 - MEDIAN(MIN($AZ$3:$AZ$31), MAX($AZ$3:$AZ$31), G23)), $BA$3:$BA$31, "Error", 0)</f>
        <v/>
      </c>
      <c r="H53" s="186">
        <f t="array" ref="H53">_xlfn.XLOOKUP(MIN(ABS($AZ$3:$AZ$31 - MEDIAN(MIN($AZ$3:$AZ$31), MAX($AZ$3:$AZ$31), H23))), ABS($AZ$3:$AZ$31 - MEDIAN(MIN($AZ$3:$AZ$31), MAX($AZ$3:$AZ$31), H23)), $BA$3:$BA$31, "Error", 0)</f>
        <v/>
      </c>
      <c r="I53" s="186">
        <f t="array" ref="I53">_xlfn.XLOOKUP(MIN(ABS($AZ$3:$AZ$31 - MEDIAN(MIN($AZ$3:$AZ$31), MAX($AZ$3:$AZ$31), I23))), ABS($AZ$3:$AZ$31 - MEDIAN(MIN($AZ$3:$AZ$31), MAX($AZ$3:$AZ$31), I23)), $BA$3:$BA$31, "Error", 0)</f>
        <v/>
      </c>
      <c r="J53" s="186">
        <f t="array" ref="J53">_xlfn.XLOOKUP(MIN(ABS($AZ$3:$AZ$31 - MEDIAN(MIN($AZ$3:$AZ$31), MAX($AZ$3:$AZ$31), J23))), ABS($AZ$3:$AZ$31 - MEDIAN(MIN($AZ$3:$AZ$31), MAX($AZ$3:$AZ$31), J23)), $BA$3:$BA$31, "Error", 0)</f>
        <v/>
      </c>
      <c r="K53" s="186">
        <f t="array" ref="K53">_xlfn.XLOOKUP(MIN(ABS($AZ$3:$AZ$31 - MEDIAN(MIN($AZ$3:$AZ$31), MAX($AZ$3:$AZ$31), K23))), ABS($AZ$3:$AZ$31 - MEDIAN(MIN($AZ$3:$AZ$31), MAX($AZ$3:$AZ$31), K23)), $BA$3:$BA$31, "Error", 0)</f>
        <v/>
      </c>
      <c r="L53" s="186">
        <f t="array" ref="L53">_xlfn.XLOOKUP(MIN(ABS($AZ$3:$AZ$31 - MEDIAN(MIN($AZ$3:$AZ$31), MAX($AZ$3:$AZ$31), L23))), ABS($AZ$3:$AZ$31 - MEDIAN(MIN($AZ$3:$AZ$31), MAX($AZ$3:$AZ$31), L23)), $BA$3:$BA$31, "Error", 0)</f>
        <v/>
      </c>
      <c r="M53" s="186">
        <f t="array" ref="M53">_xlfn.XLOOKUP(MIN(ABS($AZ$3:$AZ$31 - MEDIAN(MIN($AZ$3:$AZ$31), MAX($AZ$3:$AZ$31), M23))), ABS($AZ$3:$AZ$31 - MEDIAN(MIN($AZ$3:$AZ$31), MAX($AZ$3:$AZ$31), M23)), $BA$3:$BA$31, "Error", 0)</f>
        <v/>
      </c>
      <c r="N53" s="186">
        <f t="array" ref="N53">_xlfn.XLOOKUP(MIN(ABS($AZ$3:$AZ$31 - MEDIAN(MIN($AZ$3:$AZ$31), MAX($AZ$3:$AZ$31), N23))), ABS($AZ$3:$AZ$31 - MEDIAN(MIN($AZ$3:$AZ$31), MAX($AZ$3:$AZ$31), N23)), $BA$3:$BA$31, "Error", 0)</f>
        <v/>
      </c>
      <c r="O53" s="186">
        <f t="array" ref="O53">_xlfn.XLOOKUP(MIN(ABS($AZ$3:$AZ$31 - MEDIAN(MIN($AZ$3:$AZ$31), MAX($AZ$3:$AZ$31), O23))), ABS($AZ$3:$AZ$31 - MEDIAN(MIN($AZ$3:$AZ$31), MAX($AZ$3:$AZ$31), O23)), $BA$3:$BA$31, "Error", 0)</f>
        <v/>
      </c>
      <c r="P53" s="186">
        <f t="array" ref="P53">_xlfn.XLOOKUP(MIN(ABS($AZ$3:$AZ$31 - MEDIAN(MIN($AZ$3:$AZ$31), MAX($AZ$3:$AZ$31), P23))), ABS($AZ$3:$AZ$31 - MEDIAN(MIN($AZ$3:$AZ$31), MAX($AZ$3:$AZ$31), P23)), $BA$3:$BA$31, "Error", 0)</f>
        <v/>
      </c>
      <c r="Q53" s="186">
        <f t="array" ref="Q53">_xlfn.XLOOKUP(MIN(ABS($AZ$3:$AZ$31 - MEDIAN(MIN($AZ$3:$AZ$31), MAX($AZ$3:$AZ$31), Q23))), ABS($AZ$3:$AZ$31 - MEDIAN(MIN($AZ$3:$AZ$31), MAX($AZ$3:$AZ$31), Q23)), $BA$3:$BA$31, "Error", 0)</f>
        <v/>
      </c>
      <c r="R53" s="186">
        <f t="array" ref="R53">_xlfn.XLOOKUP(MIN(ABS($AZ$3:$AZ$31 - MEDIAN(MIN($AZ$3:$AZ$31), MAX($AZ$3:$AZ$31), R23))), ABS($AZ$3:$AZ$31 - MEDIAN(MIN($AZ$3:$AZ$31), MAX($AZ$3:$AZ$31), R23)), $BA$3:$BA$31, "Error", 0)</f>
        <v/>
      </c>
      <c r="S53" s="186">
        <f t="array" ref="S53">_xlfn.XLOOKUP(MIN(ABS($AZ$3:$AZ$31 - MEDIAN(MIN($AZ$3:$AZ$31), MAX($AZ$3:$AZ$31), S23))), ABS($AZ$3:$AZ$31 - MEDIAN(MIN($AZ$3:$AZ$31), MAX($AZ$3:$AZ$31), S23)), $BA$3:$BA$31, "Error", 0)</f>
        <v/>
      </c>
      <c r="T53" s="186">
        <f t="array" ref="T53">_xlfn.XLOOKUP(MIN(ABS($AZ$3:$AZ$31 - MEDIAN(MIN($AZ$3:$AZ$31), MAX($AZ$3:$AZ$31), T23))), ABS($AZ$3:$AZ$31 - MEDIAN(MIN($AZ$3:$AZ$31), MAX($AZ$3:$AZ$31), T23)), $BA$3:$BA$31, "Error", 0)</f>
        <v/>
      </c>
      <c r="U53" s="186">
        <f t="array" ref="U53">_xlfn.XLOOKUP(MIN(ABS($AZ$3:$AZ$31 - MEDIAN(MIN($AZ$3:$AZ$31), MAX($AZ$3:$AZ$31), U23))), ABS($AZ$3:$AZ$31 - MEDIAN(MIN($AZ$3:$AZ$31), MAX($AZ$3:$AZ$31), U23)), $BA$3:$BA$31, "Error", 0)</f>
        <v/>
      </c>
      <c r="V53" s="186">
        <f t="array" ref="V53">_xlfn.XLOOKUP(MIN(ABS($AZ$3:$AZ$31 - MEDIAN(MIN($AZ$3:$AZ$31), MAX($AZ$3:$AZ$31), V23))), ABS($AZ$3:$AZ$31 - MEDIAN(MIN($AZ$3:$AZ$31), MAX($AZ$3:$AZ$31), V23)), $BA$3:$BA$31, "Error", 0)</f>
        <v/>
      </c>
      <c r="W53" s="186">
        <f t="array" ref="W53">_xlfn.XLOOKUP(MIN(ABS($AZ$3:$AZ$31 - MEDIAN(MIN($AZ$3:$AZ$31), MAX($AZ$3:$AZ$31), W23))), ABS($AZ$3:$AZ$31 - MEDIAN(MIN($AZ$3:$AZ$31), MAX($AZ$3:$AZ$31), W23)), $BA$3:$BA$31, "Error", 0)</f>
        <v/>
      </c>
      <c r="X53" s="186">
        <f t="array" ref="X53">_xlfn.XLOOKUP(MIN(ABS($AZ$3:$AZ$31 - MEDIAN(MIN($AZ$3:$AZ$31), MAX($AZ$3:$AZ$31), X23))), ABS($AZ$3:$AZ$31 - MEDIAN(MIN($AZ$3:$AZ$31), MAX($AZ$3:$AZ$31), X23)), $BA$3:$BA$31, "Error", 0)</f>
        <v/>
      </c>
      <c r="Y53" s="186">
        <f t="array" ref="Y53">_xlfn.XLOOKUP(MIN(ABS($AZ$3:$AZ$31 - MEDIAN(MIN($AZ$3:$AZ$31), MAX($AZ$3:$AZ$31), Y23))), ABS($AZ$3:$AZ$31 - MEDIAN(MIN($AZ$3:$AZ$31), MAX($AZ$3:$AZ$31), Y23)), $BA$3:$BA$31, "Error", 0)</f>
        <v/>
      </c>
      <c r="Z53" s="186">
        <f t="array" ref="Z53">_xlfn.XLOOKUP(MIN(ABS($AZ$3:$AZ$31 - MEDIAN(MIN($AZ$3:$AZ$31), MAX($AZ$3:$AZ$31), Z23))), ABS($AZ$3:$AZ$31 - MEDIAN(MIN($AZ$3:$AZ$31), MAX($AZ$3:$AZ$31), Z23)), $BA$3:$BA$31, "Error", 0)</f>
        <v/>
      </c>
      <c r="AA53" s="186">
        <f t="array" ref="AA53">_xlfn.XLOOKUP(MIN(ABS($AZ$3:$AZ$31 - MEDIAN(MIN($AZ$3:$AZ$31), MAX($AZ$3:$AZ$31), AA23))), ABS($AZ$3:$AZ$31 - MEDIAN(MIN($AZ$3:$AZ$31), MAX($AZ$3:$AZ$31), AA23)), $BA$3:$BA$31, "Error", 0)</f>
        <v/>
      </c>
      <c r="AB53" s="186">
        <f t="array" ref="AB53">_xlfn.XLOOKUP(MIN(ABS($AZ$3:$AZ$31 - MEDIAN(MIN($AZ$3:$AZ$31), MAX($AZ$3:$AZ$31), AB23))), ABS($AZ$3:$AZ$31 - MEDIAN(MIN($AZ$3:$AZ$31), MAX($AZ$3:$AZ$31), AB23)), $BA$3:$BA$31, "Error", 0)</f>
        <v/>
      </c>
      <c r="AC53" s="186">
        <f t="array" ref="AC53">_xlfn.XLOOKUP(MIN(ABS($AZ$3:$AZ$31 - MEDIAN(MIN($AZ$3:$AZ$31), MAX($AZ$3:$AZ$31), AC23))), ABS($AZ$3:$AZ$31 - MEDIAN(MIN($AZ$3:$AZ$31), MAX($AZ$3:$AZ$31), AC23)), $BA$3:$BA$31, "Error", 0)</f>
        <v/>
      </c>
      <c r="AD53" s="186">
        <f t="array" ref="AD53">_xlfn.XLOOKUP(MIN(ABS($AZ$3:$AZ$31 - MEDIAN(MIN($AZ$3:$AZ$31), MAX($AZ$3:$AZ$31), AD23))), ABS($AZ$3:$AZ$31 - MEDIAN(MIN($AZ$3:$AZ$31), MAX($AZ$3:$AZ$31), AD23)), $BA$3:$BA$31, "Error", 0)</f>
        <v/>
      </c>
      <c r="AE53" s="186">
        <f t="array" ref="AE53">_xlfn.XLOOKUP(MIN(ABS($AZ$3:$AZ$31 - MEDIAN(MIN($AZ$3:$AZ$31), MAX($AZ$3:$AZ$31), AE23))), ABS($AZ$3:$AZ$31 - MEDIAN(MIN($AZ$3:$AZ$31), MAX($AZ$3:$AZ$31), AE23)), $BA$3:$BA$31, "Error", 0)</f>
        <v/>
      </c>
      <c r="AF53" s="186">
        <f t="array" ref="AF53">_xlfn.XLOOKUP(MIN(ABS($AZ$3:$AZ$31 - MEDIAN(MIN($AZ$3:$AZ$31), MAX($AZ$3:$AZ$31), AF23))), ABS($AZ$3:$AZ$31 - MEDIAN(MIN($AZ$3:$AZ$31), MAX($AZ$3:$AZ$31), AF23)), $BA$3:$BA$31, "Error", 0)</f>
        <v/>
      </c>
      <c r="AG53" s="186">
        <f t="array" ref="AG53">_xlfn.XLOOKUP(MIN(ABS($AZ$3:$AZ$31 - MEDIAN(MIN($AZ$3:$AZ$31), MAX($AZ$3:$AZ$31), AG23))), ABS($AZ$3:$AZ$31 - MEDIAN(MIN($AZ$3:$AZ$31), MAX($AZ$3:$AZ$31), AG23)), $BA$3:$BA$31, "Error", 0)</f>
        <v/>
      </c>
      <c r="AH53" s="186">
        <f t="array" ref="AH53">_xlfn.XLOOKUP(MIN(ABS($AZ$3:$AZ$31 - MEDIAN(MIN($AZ$3:$AZ$31), MAX($AZ$3:$AZ$31), AH23))), ABS($AZ$3:$AZ$31 - MEDIAN(MIN($AZ$3:$AZ$31), MAX($AZ$3:$AZ$31), AH23)), $BA$3:$BA$31, "Error", 0)</f>
        <v/>
      </c>
      <c r="AI53" s="186">
        <f t="array" ref="AI53">_xlfn.XLOOKUP(MIN(ABS($AZ$3:$AZ$31 - MEDIAN(MIN($AZ$3:$AZ$31), MAX($AZ$3:$AZ$31), AI23))), ABS($AZ$3:$AZ$31 - MEDIAN(MIN($AZ$3:$AZ$31), MAX($AZ$3:$AZ$31), AI23)), $BA$3:$BA$31, "Error", 0)</f>
        <v/>
      </c>
      <c r="AJ53" s="186">
        <f t="array" ref="AJ53">_xlfn.XLOOKUP(MIN(ABS($AZ$3:$AZ$31 - MEDIAN(MIN($AZ$3:$AZ$31), MAX($AZ$3:$AZ$31), AJ23))), ABS($AZ$3:$AZ$31 - MEDIAN(MIN($AZ$3:$AZ$31), MAX($AZ$3:$AZ$31), AJ23)), $BA$3:$BA$31, "Error", 0)</f>
        <v/>
      </c>
      <c r="AK53" s="186">
        <f t="array" ref="AK53">_xlfn.XLOOKUP(MIN(ABS($AZ$3:$AZ$31 - MEDIAN(MIN($AZ$3:$AZ$31), MAX($AZ$3:$AZ$31), AK23))), ABS($AZ$3:$AZ$31 - MEDIAN(MIN($AZ$3:$AZ$31), MAX($AZ$3:$AZ$31), AK23)), $BA$3:$BA$31, "Error", 0)</f>
        <v/>
      </c>
      <c r="AL53" s="186">
        <f t="array" ref="AL53">_xlfn.XLOOKUP(MIN(ABS($AZ$3:$AZ$31 - MEDIAN(MIN($AZ$3:$AZ$31), MAX($AZ$3:$AZ$31), AL23))), ABS($AZ$3:$AZ$31 - MEDIAN(MIN($AZ$3:$AZ$31), MAX($AZ$3:$AZ$31), AL23)), $BA$3:$BA$31, "Error", 0)</f>
        <v/>
      </c>
      <c r="AM53" s="186">
        <f t="array" ref="AM53">_xlfn.XLOOKUP(MIN(ABS($AZ$3:$AZ$31 - MEDIAN(MIN($AZ$3:$AZ$31), MAX($AZ$3:$AZ$31), AM23))), ABS($AZ$3:$AZ$31 - MEDIAN(MIN($AZ$3:$AZ$31), MAX($AZ$3:$AZ$31), AM23)), $BA$3:$BA$31, "Error", 0)</f>
        <v/>
      </c>
      <c r="AN53" s="186">
        <f t="array" ref="AN53">_xlfn.XLOOKUP(MIN(ABS($AZ$3:$AZ$31 - MEDIAN(MIN($AZ$3:$AZ$31), MAX($AZ$3:$AZ$31), AN23))), ABS($AZ$3:$AZ$31 - MEDIAN(MIN($AZ$3:$AZ$31), MAX($AZ$3:$AZ$31), AN23)), $BA$3:$BA$31, "Error", 0)</f>
        <v/>
      </c>
      <c r="AO53" s="186">
        <f t="array" ref="AO53">_xlfn.XLOOKUP(MIN(ABS($AZ$3:$AZ$31 - MEDIAN(MIN($AZ$3:$AZ$31), MAX($AZ$3:$AZ$31), AO23))), ABS($AZ$3:$AZ$31 - MEDIAN(MIN($AZ$3:$AZ$31), MAX($AZ$3:$AZ$31), AO23)), $BA$3:$BA$31, "Error", 0)</f>
        <v/>
      </c>
      <c r="AP53" s="186">
        <f t="array" ref="AP53">_xlfn.XLOOKUP(MIN(ABS($AZ$3:$AZ$31 - MEDIAN(MIN($AZ$3:$AZ$31), MAX($AZ$3:$AZ$31), AP23))), ABS($AZ$3:$AZ$31 - MEDIAN(MIN($AZ$3:$AZ$31), MAX($AZ$3:$AZ$31), AP23)), $BA$3:$BA$31, "Error", 0)</f>
        <v/>
      </c>
      <c r="AQ53" s="186">
        <f t="array" ref="AQ53">_xlfn.XLOOKUP(MIN(ABS($AZ$3:$AZ$31 - MEDIAN(MIN($AZ$3:$AZ$31), MAX($AZ$3:$AZ$31), AQ23))), ABS($AZ$3:$AZ$31 - MEDIAN(MIN($AZ$3:$AZ$31), MAX($AZ$3:$AZ$31), AQ23)), $BA$3:$BA$31, "Error", 0)</f>
        <v/>
      </c>
      <c r="AR53" s="186">
        <f t="array" ref="AR53">_xlfn.XLOOKUP(MIN(ABS($AZ$3:$AZ$31 - MEDIAN(MIN($AZ$3:$AZ$31), MAX($AZ$3:$AZ$31), AR23))), ABS($AZ$3:$AZ$31 - MEDIAN(MIN($AZ$3:$AZ$31), MAX($AZ$3:$AZ$31), AR23)), $BA$3:$BA$31, "Error", 0)</f>
        <v/>
      </c>
      <c r="AS53" s="186">
        <f t="array" ref="AS53">_xlfn.XLOOKUP(MIN(ABS($AZ$3:$AZ$31 - MEDIAN(MIN($AZ$3:$AZ$31), MAX($AZ$3:$AZ$31), AS23))), ABS($AZ$3:$AZ$31 - MEDIAN(MIN($AZ$3:$AZ$31), MAX($AZ$3:$AZ$31), AS23)), $BA$3:$BA$31, "Error", 0)</f>
        <v/>
      </c>
      <c r="AT53" s="186">
        <f t="array" ref="AT53">_xlfn.XLOOKUP(MIN(ABS($AZ$3:$AZ$31 - MEDIAN(MIN($AZ$3:$AZ$31), MAX($AZ$3:$AZ$31), AT23))), ABS($AZ$3:$AZ$31 - MEDIAN(MIN($AZ$3:$AZ$31), MAX($AZ$3:$AZ$31), AT23)), $BA$3:$BA$31, "Error", 0)</f>
        <v/>
      </c>
      <c r="AU53" s="186">
        <f t="array" ref="AU53">_xlfn.XLOOKUP(MIN(ABS($AZ$3:$AZ$31 - MEDIAN(MIN($AZ$3:$AZ$31), MAX($AZ$3:$AZ$31), AU23))), ABS($AZ$3:$AZ$31 - MEDIAN(MIN($AZ$3:$AZ$31), MAX($AZ$3:$AZ$31), AU23)), $BA$3:$BA$31, "Error", 0)</f>
        <v/>
      </c>
      <c r="AV53" s="186">
        <f t="array" ref="AV53">_xlfn.XLOOKUP(MIN(ABS($AZ$3:$AZ$31 - MEDIAN(MIN($AZ$3:$AZ$31), MAX($AZ$3:$AZ$31), AV23))), ABS($AZ$3:$AZ$31 - MEDIAN(MIN($AZ$3:$AZ$31), MAX($AZ$3:$AZ$31), AV23)), $BA$3:$BA$31, "Error", 0)</f>
        <v/>
      </c>
      <c r="AW53" s="186">
        <f t="array" ref="AW53">_xlfn.XLOOKUP(MIN(ABS($AZ$3:$AZ$31 - MEDIAN(MIN($AZ$3:$AZ$31), MAX($AZ$3:$AZ$31), AW23))), ABS($AZ$3:$AZ$31 - MEDIAN(MIN($AZ$3:$AZ$31), MAX($AZ$3:$AZ$31), AW23)), $BA$3:$BA$31, "Error", 0)</f>
        <v/>
      </c>
      <c r="AX53" s="192">
        <f t="array" ref="AX53">_xlfn.XLOOKUP(MIN(ABS($AZ$3:$AZ$31 - MEDIAN(MIN($AZ$3:$AZ$31), MAX($AZ$3:$AZ$31), AX23))), ABS($AZ$3:$AZ$31 - MEDIAN(MIN($AZ$3:$AZ$31), MAX($AZ$3:$AZ$31), AX23)), $BA$3:$BA$31, "Error", 0)</f>
        <v/>
      </c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</row>
    <row r="54" ht="25" customHeight="1">
      <c r="B54" s="162" t="inlineStr">
        <is>
          <t>EUR NZD</t>
        </is>
      </c>
      <c r="C54" s="186">
        <f t="array" ref="C54">_xlfn.XLOOKUP(MIN(ABS($AZ$3:$AZ$31 - MEDIAN(MIN($AZ$3:$AZ$31), MAX($AZ$3:$AZ$31), C24))), ABS($AZ$3:$AZ$31 - MEDIAN(MIN($AZ$3:$AZ$31), MAX($AZ$3:$AZ$31), C24)), $BA$3:$BA$31, "Error", 0)</f>
        <v/>
      </c>
      <c r="D54" s="186">
        <f t="array" ref="D54">_xlfn.XLOOKUP(MIN(ABS($AZ$3:$AZ$31 - MEDIAN(MIN($AZ$3:$AZ$31), MAX($AZ$3:$AZ$31), D24))), ABS($AZ$3:$AZ$31 - MEDIAN(MIN($AZ$3:$AZ$31), MAX($AZ$3:$AZ$31), D24)), $BA$3:$BA$31, "Error", 0)</f>
        <v/>
      </c>
      <c r="E54" s="186">
        <f t="array" ref="E54">_xlfn.XLOOKUP(MIN(ABS($AZ$3:$AZ$31 - MEDIAN(MIN($AZ$3:$AZ$31), MAX($AZ$3:$AZ$31), E24))), ABS($AZ$3:$AZ$31 - MEDIAN(MIN($AZ$3:$AZ$31), MAX($AZ$3:$AZ$31), E24)), $BA$3:$BA$31, "Error", 0)</f>
        <v/>
      </c>
      <c r="F54" s="186">
        <f t="array" ref="F54">_xlfn.XLOOKUP(MIN(ABS($AZ$3:$AZ$31 - MEDIAN(MIN($AZ$3:$AZ$31), MAX($AZ$3:$AZ$31), F24))), ABS($AZ$3:$AZ$31 - MEDIAN(MIN($AZ$3:$AZ$31), MAX($AZ$3:$AZ$31), F24)), $BA$3:$BA$31, "Error", 0)</f>
        <v/>
      </c>
      <c r="G54" s="186">
        <f t="array" ref="G54">_xlfn.XLOOKUP(MIN(ABS($AZ$3:$AZ$31 - MEDIAN(MIN($AZ$3:$AZ$31), MAX($AZ$3:$AZ$31), G24))), ABS($AZ$3:$AZ$31 - MEDIAN(MIN($AZ$3:$AZ$31), MAX($AZ$3:$AZ$31), G24)), $BA$3:$BA$31, "Error", 0)</f>
        <v/>
      </c>
      <c r="H54" s="186">
        <f t="array" ref="H54">_xlfn.XLOOKUP(MIN(ABS($AZ$3:$AZ$31 - MEDIAN(MIN($AZ$3:$AZ$31), MAX($AZ$3:$AZ$31), H24))), ABS($AZ$3:$AZ$31 - MEDIAN(MIN($AZ$3:$AZ$31), MAX($AZ$3:$AZ$31), H24)), $BA$3:$BA$31, "Error", 0)</f>
        <v/>
      </c>
      <c r="I54" s="186">
        <f t="array" ref="I54">_xlfn.XLOOKUP(MIN(ABS($AZ$3:$AZ$31 - MEDIAN(MIN($AZ$3:$AZ$31), MAX($AZ$3:$AZ$31), I24))), ABS($AZ$3:$AZ$31 - MEDIAN(MIN($AZ$3:$AZ$31), MAX($AZ$3:$AZ$31), I24)), $BA$3:$BA$31, "Error", 0)</f>
        <v/>
      </c>
      <c r="J54" s="186">
        <f t="array" ref="J54">_xlfn.XLOOKUP(MIN(ABS($AZ$3:$AZ$31 - MEDIAN(MIN($AZ$3:$AZ$31), MAX($AZ$3:$AZ$31), J24))), ABS($AZ$3:$AZ$31 - MEDIAN(MIN($AZ$3:$AZ$31), MAX($AZ$3:$AZ$31), J24)), $BA$3:$BA$31, "Error", 0)</f>
        <v/>
      </c>
      <c r="K54" s="186">
        <f t="array" ref="K54">_xlfn.XLOOKUP(MIN(ABS($AZ$3:$AZ$31 - MEDIAN(MIN($AZ$3:$AZ$31), MAX($AZ$3:$AZ$31), K24))), ABS($AZ$3:$AZ$31 - MEDIAN(MIN($AZ$3:$AZ$31), MAX($AZ$3:$AZ$31), K24)), $BA$3:$BA$31, "Error", 0)</f>
        <v/>
      </c>
      <c r="L54" s="186">
        <f t="array" ref="L54">_xlfn.XLOOKUP(MIN(ABS($AZ$3:$AZ$31 - MEDIAN(MIN($AZ$3:$AZ$31), MAX($AZ$3:$AZ$31), L24))), ABS($AZ$3:$AZ$31 - MEDIAN(MIN($AZ$3:$AZ$31), MAX($AZ$3:$AZ$31), L24)), $BA$3:$BA$31, "Error", 0)</f>
        <v/>
      </c>
      <c r="M54" s="186">
        <f t="array" ref="M54">_xlfn.XLOOKUP(MIN(ABS($AZ$3:$AZ$31 - MEDIAN(MIN($AZ$3:$AZ$31), MAX($AZ$3:$AZ$31), M24))), ABS($AZ$3:$AZ$31 - MEDIAN(MIN($AZ$3:$AZ$31), MAX($AZ$3:$AZ$31), M24)), $BA$3:$BA$31, "Error", 0)</f>
        <v/>
      </c>
      <c r="N54" s="186">
        <f t="array" ref="N54">_xlfn.XLOOKUP(MIN(ABS($AZ$3:$AZ$31 - MEDIAN(MIN($AZ$3:$AZ$31), MAX($AZ$3:$AZ$31), N24))), ABS($AZ$3:$AZ$31 - MEDIAN(MIN($AZ$3:$AZ$31), MAX($AZ$3:$AZ$31), N24)), $BA$3:$BA$31, "Error", 0)</f>
        <v/>
      </c>
      <c r="O54" s="186">
        <f t="array" ref="O54">_xlfn.XLOOKUP(MIN(ABS($AZ$3:$AZ$31 - MEDIAN(MIN($AZ$3:$AZ$31), MAX($AZ$3:$AZ$31), O24))), ABS($AZ$3:$AZ$31 - MEDIAN(MIN($AZ$3:$AZ$31), MAX($AZ$3:$AZ$31), O24)), $BA$3:$BA$31, "Error", 0)</f>
        <v/>
      </c>
      <c r="P54" s="186">
        <f t="array" ref="P54">_xlfn.XLOOKUP(MIN(ABS($AZ$3:$AZ$31 - MEDIAN(MIN($AZ$3:$AZ$31), MAX($AZ$3:$AZ$31), P24))), ABS($AZ$3:$AZ$31 - MEDIAN(MIN($AZ$3:$AZ$31), MAX($AZ$3:$AZ$31), P24)), $BA$3:$BA$31, "Error", 0)</f>
        <v/>
      </c>
      <c r="Q54" s="186">
        <f t="array" ref="Q54">_xlfn.XLOOKUP(MIN(ABS($AZ$3:$AZ$31 - MEDIAN(MIN($AZ$3:$AZ$31), MAX($AZ$3:$AZ$31), Q24))), ABS($AZ$3:$AZ$31 - MEDIAN(MIN($AZ$3:$AZ$31), MAX($AZ$3:$AZ$31), Q24)), $BA$3:$BA$31, "Error", 0)</f>
        <v/>
      </c>
      <c r="R54" s="186">
        <f t="array" ref="R54">_xlfn.XLOOKUP(MIN(ABS($AZ$3:$AZ$31 - MEDIAN(MIN($AZ$3:$AZ$31), MAX($AZ$3:$AZ$31), R24))), ABS($AZ$3:$AZ$31 - MEDIAN(MIN($AZ$3:$AZ$31), MAX($AZ$3:$AZ$31), R24)), $BA$3:$BA$31, "Error", 0)</f>
        <v/>
      </c>
      <c r="S54" s="186">
        <f t="array" ref="S54">_xlfn.XLOOKUP(MIN(ABS($AZ$3:$AZ$31 - MEDIAN(MIN($AZ$3:$AZ$31), MAX($AZ$3:$AZ$31), S24))), ABS($AZ$3:$AZ$31 - MEDIAN(MIN($AZ$3:$AZ$31), MAX($AZ$3:$AZ$31), S24)), $BA$3:$BA$31, "Error", 0)</f>
        <v/>
      </c>
      <c r="T54" s="186">
        <f t="array" ref="T54">_xlfn.XLOOKUP(MIN(ABS($AZ$3:$AZ$31 - MEDIAN(MIN($AZ$3:$AZ$31), MAX($AZ$3:$AZ$31), T24))), ABS($AZ$3:$AZ$31 - MEDIAN(MIN($AZ$3:$AZ$31), MAX($AZ$3:$AZ$31), T24)), $BA$3:$BA$31, "Error", 0)</f>
        <v/>
      </c>
      <c r="U54" s="186">
        <f t="array" ref="U54">_xlfn.XLOOKUP(MIN(ABS($AZ$3:$AZ$31 - MEDIAN(MIN($AZ$3:$AZ$31), MAX($AZ$3:$AZ$31), U24))), ABS($AZ$3:$AZ$31 - MEDIAN(MIN($AZ$3:$AZ$31), MAX($AZ$3:$AZ$31), U24)), $BA$3:$BA$31, "Error", 0)</f>
        <v/>
      </c>
      <c r="V54" s="186">
        <f t="array" ref="V54">_xlfn.XLOOKUP(MIN(ABS($AZ$3:$AZ$31 - MEDIAN(MIN($AZ$3:$AZ$31), MAX($AZ$3:$AZ$31), V24))), ABS($AZ$3:$AZ$31 - MEDIAN(MIN($AZ$3:$AZ$31), MAX($AZ$3:$AZ$31), V24)), $BA$3:$BA$31, "Error", 0)</f>
        <v/>
      </c>
      <c r="W54" s="186">
        <f t="array" ref="W54">_xlfn.XLOOKUP(MIN(ABS($AZ$3:$AZ$31 - MEDIAN(MIN($AZ$3:$AZ$31), MAX($AZ$3:$AZ$31), W24))), ABS($AZ$3:$AZ$31 - MEDIAN(MIN($AZ$3:$AZ$31), MAX($AZ$3:$AZ$31), W24)), $BA$3:$BA$31, "Error", 0)</f>
        <v/>
      </c>
      <c r="X54" s="186">
        <f t="array" ref="X54">_xlfn.XLOOKUP(MIN(ABS($AZ$3:$AZ$31 - MEDIAN(MIN($AZ$3:$AZ$31), MAX($AZ$3:$AZ$31), X24))), ABS($AZ$3:$AZ$31 - MEDIAN(MIN($AZ$3:$AZ$31), MAX($AZ$3:$AZ$31), X24)), $BA$3:$BA$31, "Error", 0)</f>
        <v/>
      </c>
      <c r="Y54" s="186">
        <f t="array" ref="Y54">_xlfn.XLOOKUP(MIN(ABS($AZ$3:$AZ$31 - MEDIAN(MIN($AZ$3:$AZ$31), MAX($AZ$3:$AZ$31), Y24))), ABS($AZ$3:$AZ$31 - MEDIAN(MIN($AZ$3:$AZ$31), MAX($AZ$3:$AZ$31), Y24)), $BA$3:$BA$31, "Error", 0)</f>
        <v/>
      </c>
      <c r="Z54" s="186">
        <f t="array" ref="Z54">_xlfn.XLOOKUP(MIN(ABS($AZ$3:$AZ$31 - MEDIAN(MIN($AZ$3:$AZ$31), MAX($AZ$3:$AZ$31), Z24))), ABS($AZ$3:$AZ$31 - MEDIAN(MIN($AZ$3:$AZ$31), MAX($AZ$3:$AZ$31), Z24)), $BA$3:$BA$31, "Error", 0)</f>
        <v/>
      </c>
      <c r="AA54" s="186">
        <f t="array" ref="AA54">_xlfn.XLOOKUP(MIN(ABS($AZ$3:$AZ$31 - MEDIAN(MIN($AZ$3:$AZ$31), MAX($AZ$3:$AZ$31), AA24))), ABS($AZ$3:$AZ$31 - MEDIAN(MIN($AZ$3:$AZ$31), MAX($AZ$3:$AZ$31), AA24)), $BA$3:$BA$31, "Error", 0)</f>
        <v/>
      </c>
      <c r="AB54" s="186">
        <f t="array" ref="AB54">_xlfn.XLOOKUP(MIN(ABS($AZ$3:$AZ$31 - MEDIAN(MIN($AZ$3:$AZ$31), MAX($AZ$3:$AZ$31), AB24))), ABS($AZ$3:$AZ$31 - MEDIAN(MIN($AZ$3:$AZ$31), MAX($AZ$3:$AZ$31), AB24)), $BA$3:$BA$31, "Error", 0)</f>
        <v/>
      </c>
      <c r="AC54" s="186">
        <f t="array" ref="AC54">_xlfn.XLOOKUP(MIN(ABS($AZ$3:$AZ$31 - MEDIAN(MIN($AZ$3:$AZ$31), MAX($AZ$3:$AZ$31), AC24))), ABS($AZ$3:$AZ$31 - MEDIAN(MIN($AZ$3:$AZ$31), MAX($AZ$3:$AZ$31), AC24)), $BA$3:$BA$31, "Error", 0)</f>
        <v/>
      </c>
      <c r="AD54" s="186">
        <f t="array" ref="AD54">_xlfn.XLOOKUP(MIN(ABS($AZ$3:$AZ$31 - MEDIAN(MIN($AZ$3:$AZ$31), MAX($AZ$3:$AZ$31), AD24))), ABS($AZ$3:$AZ$31 - MEDIAN(MIN($AZ$3:$AZ$31), MAX($AZ$3:$AZ$31), AD24)), $BA$3:$BA$31, "Error", 0)</f>
        <v/>
      </c>
      <c r="AE54" s="186">
        <f t="array" ref="AE54">_xlfn.XLOOKUP(MIN(ABS($AZ$3:$AZ$31 - MEDIAN(MIN($AZ$3:$AZ$31), MAX($AZ$3:$AZ$31), AE24))), ABS($AZ$3:$AZ$31 - MEDIAN(MIN($AZ$3:$AZ$31), MAX($AZ$3:$AZ$31), AE24)), $BA$3:$BA$31, "Error", 0)</f>
        <v/>
      </c>
      <c r="AF54" s="186">
        <f t="array" ref="AF54">_xlfn.XLOOKUP(MIN(ABS($AZ$3:$AZ$31 - MEDIAN(MIN($AZ$3:$AZ$31), MAX($AZ$3:$AZ$31), AF24))), ABS($AZ$3:$AZ$31 - MEDIAN(MIN($AZ$3:$AZ$31), MAX($AZ$3:$AZ$31), AF24)), $BA$3:$BA$31, "Error", 0)</f>
        <v/>
      </c>
      <c r="AG54" s="186">
        <f t="array" ref="AG54">_xlfn.XLOOKUP(MIN(ABS($AZ$3:$AZ$31 - MEDIAN(MIN($AZ$3:$AZ$31), MAX($AZ$3:$AZ$31), AG24))), ABS($AZ$3:$AZ$31 - MEDIAN(MIN($AZ$3:$AZ$31), MAX($AZ$3:$AZ$31), AG24)), $BA$3:$BA$31, "Error", 0)</f>
        <v/>
      </c>
      <c r="AH54" s="186">
        <f t="array" ref="AH54">_xlfn.XLOOKUP(MIN(ABS($AZ$3:$AZ$31 - MEDIAN(MIN($AZ$3:$AZ$31), MAX($AZ$3:$AZ$31), AH24))), ABS($AZ$3:$AZ$31 - MEDIAN(MIN($AZ$3:$AZ$31), MAX($AZ$3:$AZ$31), AH24)), $BA$3:$BA$31, "Error", 0)</f>
        <v/>
      </c>
      <c r="AI54" s="186">
        <f t="array" ref="AI54">_xlfn.XLOOKUP(MIN(ABS($AZ$3:$AZ$31 - MEDIAN(MIN($AZ$3:$AZ$31), MAX($AZ$3:$AZ$31), AI24))), ABS($AZ$3:$AZ$31 - MEDIAN(MIN($AZ$3:$AZ$31), MAX($AZ$3:$AZ$31), AI24)), $BA$3:$BA$31, "Error", 0)</f>
        <v/>
      </c>
      <c r="AJ54" s="186">
        <f t="array" ref="AJ54">_xlfn.XLOOKUP(MIN(ABS($AZ$3:$AZ$31 - MEDIAN(MIN($AZ$3:$AZ$31), MAX($AZ$3:$AZ$31), AJ24))), ABS($AZ$3:$AZ$31 - MEDIAN(MIN($AZ$3:$AZ$31), MAX($AZ$3:$AZ$31), AJ24)), $BA$3:$BA$31, "Error", 0)</f>
        <v/>
      </c>
      <c r="AK54" s="186">
        <f t="array" ref="AK54">_xlfn.XLOOKUP(MIN(ABS($AZ$3:$AZ$31 - MEDIAN(MIN($AZ$3:$AZ$31), MAX($AZ$3:$AZ$31), AK24))), ABS($AZ$3:$AZ$31 - MEDIAN(MIN($AZ$3:$AZ$31), MAX($AZ$3:$AZ$31), AK24)), $BA$3:$BA$31, "Error", 0)</f>
        <v/>
      </c>
      <c r="AL54" s="186">
        <f t="array" ref="AL54">_xlfn.XLOOKUP(MIN(ABS($AZ$3:$AZ$31 - MEDIAN(MIN($AZ$3:$AZ$31), MAX($AZ$3:$AZ$31), AL24))), ABS($AZ$3:$AZ$31 - MEDIAN(MIN($AZ$3:$AZ$31), MAX($AZ$3:$AZ$31), AL24)), $BA$3:$BA$31, "Error", 0)</f>
        <v/>
      </c>
      <c r="AM54" s="186">
        <f t="array" ref="AM54">_xlfn.XLOOKUP(MIN(ABS($AZ$3:$AZ$31 - MEDIAN(MIN($AZ$3:$AZ$31), MAX($AZ$3:$AZ$31), AM24))), ABS($AZ$3:$AZ$31 - MEDIAN(MIN($AZ$3:$AZ$31), MAX($AZ$3:$AZ$31), AM24)), $BA$3:$BA$31, "Error", 0)</f>
        <v/>
      </c>
      <c r="AN54" s="186">
        <f t="array" ref="AN54">_xlfn.XLOOKUP(MIN(ABS($AZ$3:$AZ$31 - MEDIAN(MIN($AZ$3:$AZ$31), MAX($AZ$3:$AZ$31), AN24))), ABS($AZ$3:$AZ$31 - MEDIAN(MIN($AZ$3:$AZ$31), MAX($AZ$3:$AZ$31), AN24)), $BA$3:$BA$31, "Error", 0)</f>
        <v/>
      </c>
      <c r="AO54" s="186">
        <f t="array" ref="AO54">_xlfn.XLOOKUP(MIN(ABS($AZ$3:$AZ$31 - MEDIAN(MIN($AZ$3:$AZ$31), MAX($AZ$3:$AZ$31), AO24))), ABS($AZ$3:$AZ$31 - MEDIAN(MIN($AZ$3:$AZ$31), MAX($AZ$3:$AZ$31), AO24)), $BA$3:$BA$31, "Error", 0)</f>
        <v/>
      </c>
      <c r="AP54" s="186">
        <f t="array" ref="AP54">_xlfn.XLOOKUP(MIN(ABS($AZ$3:$AZ$31 - MEDIAN(MIN($AZ$3:$AZ$31), MAX($AZ$3:$AZ$31), AP24))), ABS($AZ$3:$AZ$31 - MEDIAN(MIN($AZ$3:$AZ$31), MAX($AZ$3:$AZ$31), AP24)), $BA$3:$BA$31, "Error", 0)</f>
        <v/>
      </c>
      <c r="AQ54" s="186">
        <f t="array" ref="AQ54">_xlfn.XLOOKUP(MIN(ABS($AZ$3:$AZ$31 - MEDIAN(MIN($AZ$3:$AZ$31), MAX($AZ$3:$AZ$31), AQ24))), ABS($AZ$3:$AZ$31 - MEDIAN(MIN($AZ$3:$AZ$31), MAX($AZ$3:$AZ$31), AQ24)), $BA$3:$BA$31, "Error", 0)</f>
        <v/>
      </c>
      <c r="AR54" s="186">
        <f t="array" ref="AR54">_xlfn.XLOOKUP(MIN(ABS($AZ$3:$AZ$31 - MEDIAN(MIN($AZ$3:$AZ$31), MAX($AZ$3:$AZ$31), AR24))), ABS($AZ$3:$AZ$31 - MEDIAN(MIN($AZ$3:$AZ$31), MAX($AZ$3:$AZ$31), AR24)), $BA$3:$BA$31, "Error", 0)</f>
        <v/>
      </c>
      <c r="AS54" s="186">
        <f t="array" ref="AS54">_xlfn.XLOOKUP(MIN(ABS($AZ$3:$AZ$31 - MEDIAN(MIN($AZ$3:$AZ$31), MAX($AZ$3:$AZ$31), AS24))), ABS($AZ$3:$AZ$31 - MEDIAN(MIN($AZ$3:$AZ$31), MAX($AZ$3:$AZ$31), AS24)), $BA$3:$BA$31, "Error", 0)</f>
        <v/>
      </c>
      <c r="AT54" s="186">
        <f t="array" ref="AT54">_xlfn.XLOOKUP(MIN(ABS($AZ$3:$AZ$31 - MEDIAN(MIN($AZ$3:$AZ$31), MAX($AZ$3:$AZ$31), AT24))), ABS($AZ$3:$AZ$31 - MEDIAN(MIN($AZ$3:$AZ$31), MAX($AZ$3:$AZ$31), AT24)), $BA$3:$BA$31, "Error", 0)</f>
        <v/>
      </c>
      <c r="AU54" s="186">
        <f t="array" ref="AU54">_xlfn.XLOOKUP(MIN(ABS($AZ$3:$AZ$31 - MEDIAN(MIN($AZ$3:$AZ$31), MAX($AZ$3:$AZ$31), AU24))), ABS($AZ$3:$AZ$31 - MEDIAN(MIN($AZ$3:$AZ$31), MAX($AZ$3:$AZ$31), AU24)), $BA$3:$BA$31, "Error", 0)</f>
        <v/>
      </c>
      <c r="AV54" s="186">
        <f t="array" ref="AV54">_xlfn.XLOOKUP(MIN(ABS($AZ$3:$AZ$31 - MEDIAN(MIN($AZ$3:$AZ$31), MAX($AZ$3:$AZ$31), AV24))), ABS($AZ$3:$AZ$31 - MEDIAN(MIN($AZ$3:$AZ$31), MAX($AZ$3:$AZ$31), AV24)), $BA$3:$BA$31, "Error", 0)</f>
        <v/>
      </c>
      <c r="AW54" s="186">
        <f t="array" ref="AW54">_xlfn.XLOOKUP(MIN(ABS($AZ$3:$AZ$31 - MEDIAN(MIN($AZ$3:$AZ$31), MAX($AZ$3:$AZ$31), AW24))), ABS($AZ$3:$AZ$31 - MEDIAN(MIN($AZ$3:$AZ$31), MAX($AZ$3:$AZ$31), AW24)), $BA$3:$BA$31, "Error", 0)</f>
        <v/>
      </c>
      <c r="AX54" s="192">
        <f t="array" ref="AX54">_xlfn.XLOOKUP(MIN(ABS($AZ$3:$AZ$31 - MEDIAN(MIN($AZ$3:$AZ$31), MAX($AZ$3:$AZ$31), AX24))), ABS($AZ$3:$AZ$31 - MEDIAN(MIN($AZ$3:$AZ$31), MAX($AZ$3:$AZ$31), AX24)), $BA$3:$BA$31, "Error", 0)</f>
        <v/>
      </c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</row>
    <row r="55" ht="25" customHeight="1">
      <c r="B55" s="163" t="inlineStr">
        <is>
          <t>GBP USD</t>
        </is>
      </c>
      <c r="C55" s="186">
        <f t="array" ref="C55">_xlfn.XLOOKUP(MIN(ABS($AZ$3:$AZ$31 - MEDIAN(MIN($AZ$3:$AZ$31), MAX($AZ$3:$AZ$31), C25))), ABS($AZ$3:$AZ$31 - MEDIAN(MIN($AZ$3:$AZ$31), MAX($AZ$3:$AZ$31), C25)), $BA$3:$BA$31, "Error", 0)</f>
        <v/>
      </c>
      <c r="D55" s="186">
        <f t="array" ref="D55">_xlfn.XLOOKUP(MIN(ABS($AZ$3:$AZ$31 - MEDIAN(MIN($AZ$3:$AZ$31), MAX($AZ$3:$AZ$31), D25))), ABS($AZ$3:$AZ$31 - MEDIAN(MIN($AZ$3:$AZ$31), MAX($AZ$3:$AZ$31), D25)), $BA$3:$BA$31, "Error", 0)</f>
        <v/>
      </c>
      <c r="E55" s="186">
        <f t="array" ref="E55">_xlfn.XLOOKUP(MIN(ABS($AZ$3:$AZ$31 - MEDIAN(MIN($AZ$3:$AZ$31), MAX($AZ$3:$AZ$31), E25))), ABS($AZ$3:$AZ$31 - MEDIAN(MIN($AZ$3:$AZ$31), MAX($AZ$3:$AZ$31), E25)), $BA$3:$BA$31, "Error", 0)</f>
        <v/>
      </c>
      <c r="F55" s="186">
        <f t="array" ref="F55">_xlfn.XLOOKUP(MIN(ABS($AZ$3:$AZ$31 - MEDIAN(MIN($AZ$3:$AZ$31), MAX($AZ$3:$AZ$31), F25))), ABS($AZ$3:$AZ$31 - MEDIAN(MIN($AZ$3:$AZ$31), MAX($AZ$3:$AZ$31), F25)), $BA$3:$BA$31, "Error", 0)</f>
        <v/>
      </c>
      <c r="G55" s="186">
        <f t="array" ref="G55">_xlfn.XLOOKUP(MIN(ABS($AZ$3:$AZ$31 - MEDIAN(MIN($AZ$3:$AZ$31), MAX($AZ$3:$AZ$31), G25))), ABS($AZ$3:$AZ$31 - MEDIAN(MIN($AZ$3:$AZ$31), MAX($AZ$3:$AZ$31), G25)), $BA$3:$BA$31, "Error", 0)</f>
        <v/>
      </c>
      <c r="H55" s="186">
        <f t="array" ref="H55">_xlfn.XLOOKUP(MIN(ABS($AZ$3:$AZ$31 - MEDIAN(MIN($AZ$3:$AZ$31), MAX($AZ$3:$AZ$31), H25))), ABS($AZ$3:$AZ$31 - MEDIAN(MIN($AZ$3:$AZ$31), MAX($AZ$3:$AZ$31), H25)), $BA$3:$BA$31, "Error", 0)</f>
        <v/>
      </c>
      <c r="I55" s="186">
        <f t="array" ref="I55">_xlfn.XLOOKUP(MIN(ABS($AZ$3:$AZ$31 - MEDIAN(MIN($AZ$3:$AZ$31), MAX($AZ$3:$AZ$31), I25))), ABS($AZ$3:$AZ$31 - MEDIAN(MIN($AZ$3:$AZ$31), MAX($AZ$3:$AZ$31), I25)), $BA$3:$BA$31, "Error", 0)</f>
        <v/>
      </c>
      <c r="J55" s="186">
        <f t="array" ref="J55">_xlfn.XLOOKUP(MIN(ABS($AZ$3:$AZ$31 - MEDIAN(MIN($AZ$3:$AZ$31), MAX($AZ$3:$AZ$31), J25))), ABS($AZ$3:$AZ$31 - MEDIAN(MIN($AZ$3:$AZ$31), MAX($AZ$3:$AZ$31), J25)), $BA$3:$BA$31, "Error", 0)</f>
        <v/>
      </c>
      <c r="K55" s="186">
        <f t="array" ref="K55">_xlfn.XLOOKUP(MIN(ABS($AZ$3:$AZ$31 - MEDIAN(MIN($AZ$3:$AZ$31), MAX($AZ$3:$AZ$31), K25))), ABS($AZ$3:$AZ$31 - MEDIAN(MIN($AZ$3:$AZ$31), MAX($AZ$3:$AZ$31), K25)), $BA$3:$BA$31, "Error", 0)</f>
        <v/>
      </c>
      <c r="L55" s="186">
        <f t="array" ref="L55">_xlfn.XLOOKUP(MIN(ABS($AZ$3:$AZ$31 - MEDIAN(MIN($AZ$3:$AZ$31), MAX($AZ$3:$AZ$31), L25))), ABS($AZ$3:$AZ$31 - MEDIAN(MIN($AZ$3:$AZ$31), MAX($AZ$3:$AZ$31), L25)), $BA$3:$BA$31, "Error", 0)</f>
        <v/>
      </c>
      <c r="M55" s="186">
        <f t="array" ref="M55">_xlfn.XLOOKUP(MIN(ABS($AZ$3:$AZ$31 - MEDIAN(MIN($AZ$3:$AZ$31), MAX($AZ$3:$AZ$31), M25))), ABS($AZ$3:$AZ$31 - MEDIAN(MIN($AZ$3:$AZ$31), MAX($AZ$3:$AZ$31), M25)), $BA$3:$BA$31, "Error", 0)</f>
        <v/>
      </c>
      <c r="N55" s="186">
        <f t="array" ref="N55">_xlfn.XLOOKUP(MIN(ABS($AZ$3:$AZ$31 - MEDIAN(MIN($AZ$3:$AZ$31), MAX($AZ$3:$AZ$31), N25))), ABS($AZ$3:$AZ$31 - MEDIAN(MIN($AZ$3:$AZ$31), MAX($AZ$3:$AZ$31), N25)), $BA$3:$BA$31, "Error", 0)</f>
        <v/>
      </c>
      <c r="O55" s="186">
        <f t="array" ref="O55">_xlfn.XLOOKUP(MIN(ABS($AZ$3:$AZ$31 - MEDIAN(MIN($AZ$3:$AZ$31), MAX($AZ$3:$AZ$31), O25))), ABS($AZ$3:$AZ$31 - MEDIAN(MIN($AZ$3:$AZ$31), MAX($AZ$3:$AZ$31), O25)), $BA$3:$BA$31, "Error", 0)</f>
        <v/>
      </c>
      <c r="P55" s="186">
        <f t="array" ref="P55">_xlfn.XLOOKUP(MIN(ABS($AZ$3:$AZ$31 - MEDIAN(MIN($AZ$3:$AZ$31), MAX($AZ$3:$AZ$31), P25))), ABS($AZ$3:$AZ$31 - MEDIAN(MIN($AZ$3:$AZ$31), MAX($AZ$3:$AZ$31), P25)), $BA$3:$BA$31, "Error", 0)</f>
        <v/>
      </c>
      <c r="Q55" s="186">
        <f t="array" ref="Q55">_xlfn.XLOOKUP(MIN(ABS($AZ$3:$AZ$31 - MEDIAN(MIN($AZ$3:$AZ$31), MAX($AZ$3:$AZ$31), Q25))), ABS($AZ$3:$AZ$31 - MEDIAN(MIN($AZ$3:$AZ$31), MAX($AZ$3:$AZ$31), Q25)), $BA$3:$BA$31, "Error", 0)</f>
        <v/>
      </c>
      <c r="R55" s="186">
        <f t="array" ref="R55">_xlfn.XLOOKUP(MIN(ABS($AZ$3:$AZ$31 - MEDIAN(MIN($AZ$3:$AZ$31), MAX($AZ$3:$AZ$31), R25))), ABS($AZ$3:$AZ$31 - MEDIAN(MIN($AZ$3:$AZ$31), MAX($AZ$3:$AZ$31), R25)), $BA$3:$BA$31, "Error", 0)</f>
        <v/>
      </c>
      <c r="S55" s="186">
        <f t="array" ref="S55">_xlfn.XLOOKUP(MIN(ABS($AZ$3:$AZ$31 - MEDIAN(MIN($AZ$3:$AZ$31), MAX($AZ$3:$AZ$31), S25))), ABS($AZ$3:$AZ$31 - MEDIAN(MIN($AZ$3:$AZ$31), MAX($AZ$3:$AZ$31), S25)), $BA$3:$BA$31, "Error", 0)</f>
        <v/>
      </c>
      <c r="T55" s="186">
        <f t="array" ref="T55">_xlfn.XLOOKUP(MIN(ABS($AZ$3:$AZ$31 - MEDIAN(MIN($AZ$3:$AZ$31), MAX($AZ$3:$AZ$31), T25))), ABS($AZ$3:$AZ$31 - MEDIAN(MIN($AZ$3:$AZ$31), MAX($AZ$3:$AZ$31), T25)), $BA$3:$BA$31, "Error", 0)</f>
        <v/>
      </c>
      <c r="U55" s="186">
        <f t="array" ref="U55">_xlfn.XLOOKUP(MIN(ABS($AZ$3:$AZ$31 - MEDIAN(MIN($AZ$3:$AZ$31), MAX($AZ$3:$AZ$31), U25))), ABS($AZ$3:$AZ$31 - MEDIAN(MIN($AZ$3:$AZ$31), MAX($AZ$3:$AZ$31), U25)), $BA$3:$BA$31, "Error", 0)</f>
        <v/>
      </c>
      <c r="V55" s="186">
        <f t="array" ref="V55">_xlfn.XLOOKUP(MIN(ABS($AZ$3:$AZ$31 - MEDIAN(MIN($AZ$3:$AZ$31), MAX($AZ$3:$AZ$31), V25))), ABS($AZ$3:$AZ$31 - MEDIAN(MIN($AZ$3:$AZ$31), MAX($AZ$3:$AZ$31), V25)), $BA$3:$BA$31, "Error", 0)</f>
        <v/>
      </c>
      <c r="W55" s="186">
        <f t="array" ref="W55">_xlfn.XLOOKUP(MIN(ABS($AZ$3:$AZ$31 - MEDIAN(MIN($AZ$3:$AZ$31), MAX($AZ$3:$AZ$31), W25))), ABS($AZ$3:$AZ$31 - MEDIAN(MIN($AZ$3:$AZ$31), MAX($AZ$3:$AZ$31), W25)), $BA$3:$BA$31, "Error", 0)</f>
        <v/>
      </c>
      <c r="X55" s="186">
        <f t="array" ref="X55">_xlfn.XLOOKUP(MIN(ABS($AZ$3:$AZ$31 - MEDIAN(MIN($AZ$3:$AZ$31), MAX($AZ$3:$AZ$31), X25))), ABS($AZ$3:$AZ$31 - MEDIAN(MIN($AZ$3:$AZ$31), MAX($AZ$3:$AZ$31), X25)), $BA$3:$BA$31, "Error", 0)</f>
        <v/>
      </c>
      <c r="Y55" s="186">
        <f t="array" ref="Y55">_xlfn.XLOOKUP(MIN(ABS($AZ$3:$AZ$31 - MEDIAN(MIN($AZ$3:$AZ$31), MAX($AZ$3:$AZ$31), Y25))), ABS($AZ$3:$AZ$31 - MEDIAN(MIN($AZ$3:$AZ$31), MAX($AZ$3:$AZ$31), Y25)), $BA$3:$BA$31, "Error", 0)</f>
        <v/>
      </c>
      <c r="Z55" s="186">
        <f t="array" ref="Z55">_xlfn.XLOOKUP(MIN(ABS($AZ$3:$AZ$31 - MEDIAN(MIN($AZ$3:$AZ$31), MAX($AZ$3:$AZ$31), Z25))), ABS($AZ$3:$AZ$31 - MEDIAN(MIN($AZ$3:$AZ$31), MAX($AZ$3:$AZ$31), Z25)), $BA$3:$BA$31, "Error", 0)</f>
        <v/>
      </c>
      <c r="AA55" s="186">
        <f t="array" ref="AA55">_xlfn.XLOOKUP(MIN(ABS($AZ$3:$AZ$31 - MEDIAN(MIN($AZ$3:$AZ$31), MAX($AZ$3:$AZ$31), AA25))), ABS($AZ$3:$AZ$31 - MEDIAN(MIN($AZ$3:$AZ$31), MAX($AZ$3:$AZ$31), AA25)), $BA$3:$BA$31, "Error", 0)</f>
        <v/>
      </c>
      <c r="AB55" s="186">
        <f t="array" ref="AB55">_xlfn.XLOOKUP(MIN(ABS($AZ$3:$AZ$31 - MEDIAN(MIN($AZ$3:$AZ$31), MAX($AZ$3:$AZ$31), AB25))), ABS($AZ$3:$AZ$31 - MEDIAN(MIN($AZ$3:$AZ$31), MAX($AZ$3:$AZ$31), AB25)), $BA$3:$BA$31, "Error", 0)</f>
        <v/>
      </c>
      <c r="AC55" s="186">
        <f t="array" ref="AC55">_xlfn.XLOOKUP(MIN(ABS($AZ$3:$AZ$31 - MEDIAN(MIN($AZ$3:$AZ$31), MAX($AZ$3:$AZ$31), AC25))), ABS($AZ$3:$AZ$31 - MEDIAN(MIN($AZ$3:$AZ$31), MAX($AZ$3:$AZ$31), AC25)), $BA$3:$BA$31, "Error", 0)</f>
        <v/>
      </c>
      <c r="AD55" s="186">
        <f t="array" ref="AD55">_xlfn.XLOOKUP(MIN(ABS($AZ$3:$AZ$31 - MEDIAN(MIN($AZ$3:$AZ$31), MAX($AZ$3:$AZ$31), AD25))), ABS($AZ$3:$AZ$31 - MEDIAN(MIN($AZ$3:$AZ$31), MAX($AZ$3:$AZ$31), AD25)), $BA$3:$BA$31, "Error", 0)</f>
        <v/>
      </c>
      <c r="AE55" s="186">
        <f t="array" ref="AE55">_xlfn.XLOOKUP(MIN(ABS($AZ$3:$AZ$31 - MEDIAN(MIN($AZ$3:$AZ$31), MAX($AZ$3:$AZ$31), AE25))), ABS($AZ$3:$AZ$31 - MEDIAN(MIN($AZ$3:$AZ$31), MAX($AZ$3:$AZ$31), AE25)), $BA$3:$BA$31, "Error", 0)</f>
        <v/>
      </c>
      <c r="AF55" s="186">
        <f t="array" ref="AF55">_xlfn.XLOOKUP(MIN(ABS($AZ$3:$AZ$31 - MEDIAN(MIN($AZ$3:$AZ$31), MAX($AZ$3:$AZ$31), AF25))), ABS($AZ$3:$AZ$31 - MEDIAN(MIN($AZ$3:$AZ$31), MAX($AZ$3:$AZ$31), AF25)), $BA$3:$BA$31, "Error", 0)</f>
        <v/>
      </c>
      <c r="AG55" s="186">
        <f t="array" ref="AG55">_xlfn.XLOOKUP(MIN(ABS($AZ$3:$AZ$31 - MEDIAN(MIN($AZ$3:$AZ$31), MAX($AZ$3:$AZ$31), AG25))), ABS($AZ$3:$AZ$31 - MEDIAN(MIN($AZ$3:$AZ$31), MAX($AZ$3:$AZ$31), AG25)), $BA$3:$BA$31, "Error", 0)</f>
        <v/>
      </c>
      <c r="AH55" s="186">
        <f t="array" ref="AH55">_xlfn.XLOOKUP(MIN(ABS($AZ$3:$AZ$31 - MEDIAN(MIN($AZ$3:$AZ$31), MAX($AZ$3:$AZ$31), AH25))), ABS($AZ$3:$AZ$31 - MEDIAN(MIN($AZ$3:$AZ$31), MAX($AZ$3:$AZ$31), AH25)), $BA$3:$BA$31, "Error", 0)</f>
        <v/>
      </c>
      <c r="AI55" s="186">
        <f t="array" ref="AI55">_xlfn.XLOOKUP(MIN(ABS($AZ$3:$AZ$31 - MEDIAN(MIN($AZ$3:$AZ$31), MAX($AZ$3:$AZ$31), AI25))), ABS($AZ$3:$AZ$31 - MEDIAN(MIN($AZ$3:$AZ$31), MAX($AZ$3:$AZ$31), AI25)), $BA$3:$BA$31, "Error", 0)</f>
        <v/>
      </c>
      <c r="AJ55" s="186">
        <f t="array" ref="AJ55">_xlfn.XLOOKUP(MIN(ABS($AZ$3:$AZ$31 - MEDIAN(MIN($AZ$3:$AZ$31), MAX($AZ$3:$AZ$31), AJ25))), ABS($AZ$3:$AZ$31 - MEDIAN(MIN($AZ$3:$AZ$31), MAX($AZ$3:$AZ$31), AJ25)), $BA$3:$BA$31, "Error", 0)</f>
        <v/>
      </c>
      <c r="AK55" s="186">
        <f t="array" ref="AK55">_xlfn.XLOOKUP(MIN(ABS($AZ$3:$AZ$31 - MEDIAN(MIN($AZ$3:$AZ$31), MAX($AZ$3:$AZ$31), AK25))), ABS($AZ$3:$AZ$31 - MEDIAN(MIN($AZ$3:$AZ$31), MAX($AZ$3:$AZ$31), AK25)), $BA$3:$BA$31, "Error", 0)</f>
        <v/>
      </c>
      <c r="AL55" s="186">
        <f t="array" ref="AL55">_xlfn.XLOOKUP(MIN(ABS($AZ$3:$AZ$31 - MEDIAN(MIN($AZ$3:$AZ$31), MAX($AZ$3:$AZ$31), AL25))), ABS($AZ$3:$AZ$31 - MEDIAN(MIN($AZ$3:$AZ$31), MAX($AZ$3:$AZ$31), AL25)), $BA$3:$BA$31, "Error", 0)</f>
        <v/>
      </c>
      <c r="AM55" s="186">
        <f t="array" ref="AM55">_xlfn.XLOOKUP(MIN(ABS($AZ$3:$AZ$31 - MEDIAN(MIN($AZ$3:$AZ$31), MAX($AZ$3:$AZ$31), AM25))), ABS($AZ$3:$AZ$31 - MEDIAN(MIN($AZ$3:$AZ$31), MAX($AZ$3:$AZ$31), AM25)), $BA$3:$BA$31, "Error", 0)</f>
        <v/>
      </c>
      <c r="AN55" s="186">
        <f t="array" ref="AN55">_xlfn.XLOOKUP(MIN(ABS($AZ$3:$AZ$31 - MEDIAN(MIN($AZ$3:$AZ$31), MAX($AZ$3:$AZ$31), AN25))), ABS($AZ$3:$AZ$31 - MEDIAN(MIN($AZ$3:$AZ$31), MAX($AZ$3:$AZ$31), AN25)), $BA$3:$BA$31, "Error", 0)</f>
        <v/>
      </c>
      <c r="AO55" s="186">
        <f t="array" ref="AO55">_xlfn.XLOOKUP(MIN(ABS($AZ$3:$AZ$31 - MEDIAN(MIN($AZ$3:$AZ$31), MAX($AZ$3:$AZ$31), AO25))), ABS($AZ$3:$AZ$31 - MEDIAN(MIN($AZ$3:$AZ$31), MAX($AZ$3:$AZ$31), AO25)), $BA$3:$BA$31, "Error", 0)</f>
        <v/>
      </c>
      <c r="AP55" s="186">
        <f t="array" ref="AP55">_xlfn.XLOOKUP(MIN(ABS($AZ$3:$AZ$31 - MEDIAN(MIN($AZ$3:$AZ$31), MAX($AZ$3:$AZ$31), AP25))), ABS($AZ$3:$AZ$31 - MEDIAN(MIN($AZ$3:$AZ$31), MAX($AZ$3:$AZ$31), AP25)), $BA$3:$BA$31, "Error", 0)</f>
        <v/>
      </c>
      <c r="AQ55" s="186">
        <f t="array" ref="AQ55">_xlfn.XLOOKUP(MIN(ABS($AZ$3:$AZ$31 - MEDIAN(MIN($AZ$3:$AZ$31), MAX($AZ$3:$AZ$31), AQ25))), ABS($AZ$3:$AZ$31 - MEDIAN(MIN($AZ$3:$AZ$31), MAX($AZ$3:$AZ$31), AQ25)), $BA$3:$BA$31, "Error", 0)</f>
        <v/>
      </c>
      <c r="AR55" s="186">
        <f t="array" ref="AR55">_xlfn.XLOOKUP(MIN(ABS($AZ$3:$AZ$31 - MEDIAN(MIN($AZ$3:$AZ$31), MAX($AZ$3:$AZ$31), AR25))), ABS($AZ$3:$AZ$31 - MEDIAN(MIN($AZ$3:$AZ$31), MAX($AZ$3:$AZ$31), AR25)), $BA$3:$BA$31, "Error", 0)</f>
        <v/>
      </c>
      <c r="AS55" s="186">
        <f t="array" ref="AS55">_xlfn.XLOOKUP(MIN(ABS($AZ$3:$AZ$31 - MEDIAN(MIN($AZ$3:$AZ$31), MAX($AZ$3:$AZ$31), AS25))), ABS($AZ$3:$AZ$31 - MEDIAN(MIN($AZ$3:$AZ$31), MAX($AZ$3:$AZ$31), AS25)), $BA$3:$BA$31, "Error", 0)</f>
        <v/>
      </c>
      <c r="AT55" s="186">
        <f t="array" ref="AT55">_xlfn.XLOOKUP(MIN(ABS($AZ$3:$AZ$31 - MEDIAN(MIN($AZ$3:$AZ$31), MAX($AZ$3:$AZ$31), AT25))), ABS($AZ$3:$AZ$31 - MEDIAN(MIN($AZ$3:$AZ$31), MAX($AZ$3:$AZ$31), AT25)), $BA$3:$BA$31, "Error", 0)</f>
        <v/>
      </c>
      <c r="AU55" s="186">
        <f t="array" ref="AU55">_xlfn.XLOOKUP(MIN(ABS($AZ$3:$AZ$31 - MEDIAN(MIN($AZ$3:$AZ$31), MAX($AZ$3:$AZ$31), AU25))), ABS($AZ$3:$AZ$31 - MEDIAN(MIN($AZ$3:$AZ$31), MAX($AZ$3:$AZ$31), AU25)), $BA$3:$BA$31, "Error", 0)</f>
        <v/>
      </c>
      <c r="AV55" s="186">
        <f t="array" ref="AV55">_xlfn.XLOOKUP(MIN(ABS($AZ$3:$AZ$31 - MEDIAN(MIN($AZ$3:$AZ$31), MAX($AZ$3:$AZ$31), AV25))), ABS($AZ$3:$AZ$31 - MEDIAN(MIN($AZ$3:$AZ$31), MAX($AZ$3:$AZ$31), AV25)), $BA$3:$BA$31, "Error", 0)</f>
        <v/>
      </c>
      <c r="AW55" s="186">
        <f t="array" ref="AW55">_xlfn.XLOOKUP(MIN(ABS($AZ$3:$AZ$31 - MEDIAN(MIN($AZ$3:$AZ$31), MAX($AZ$3:$AZ$31), AW25))), ABS($AZ$3:$AZ$31 - MEDIAN(MIN($AZ$3:$AZ$31), MAX($AZ$3:$AZ$31), AW25)), $BA$3:$BA$31, "Error", 0)</f>
        <v/>
      </c>
      <c r="AX55" s="192">
        <f t="array" ref="AX55">_xlfn.XLOOKUP(MIN(ABS($AZ$3:$AZ$31 - MEDIAN(MIN($AZ$3:$AZ$31), MAX($AZ$3:$AZ$31), AX25))), ABS($AZ$3:$AZ$31 - MEDIAN(MIN($AZ$3:$AZ$31), MAX($AZ$3:$AZ$31), AX25)), $BA$3:$BA$31, "Error", 0)</f>
        <v/>
      </c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</row>
    <row r="56" ht="25" customHeight="1">
      <c r="B56" s="163" t="inlineStr">
        <is>
          <t>GBP JPY</t>
        </is>
      </c>
      <c r="C56" s="186">
        <f t="array" ref="C56">_xlfn.XLOOKUP(MIN(ABS($AZ$3:$AZ$31 - MEDIAN(MIN($AZ$3:$AZ$31), MAX($AZ$3:$AZ$31), C26))), ABS($AZ$3:$AZ$31 - MEDIAN(MIN($AZ$3:$AZ$31), MAX($AZ$3:$AZ$31), C26)), $BA$3:$BA$31, "Error", 0)</f>
        <v/>
      </c>
      <c r="D56" s="186">
        <f t="array" ref="D56">_xlfn.XLOOKUP(MIN(ABS($AZ$3:$AZ$31 - MEDIAN(MIN($AZ$3:$AZ$31), MAX($AZ$3:$AZ$31), D26))), ABS($AZ$3:$AZ$31 - MEDIAN(MIN($AZ$3:$AZ$31), MAX($AZ$3:$AZ$31), D26)), $BA$3:$BA$31, "Error", 0)</f>
        <v/>
      </c>
      <c r="E56" s="186">
        <f t="array" ref="E56">_xlfn.XLOOKUP(MIN(ABS($AZ$3:$AZ$31 - MEDIAN(MIN($AZ$3:$AZ$31), MAX($AZ$3:$AZ$31), E26))), ABS($AZ$3:$AZ$31 - MEDIAN(MIN($AZ$3:$AZ$31), MAX($AZ$3:$AZ$31), E26)), $BA$3:$BA$31, "Error", 0)</f>
        <v/>
      </c>
      <c r="F56" s="186">
        <f t="array" ref="F56">_xlfn.XLOOKUP(MIN(ABS($AZ$3:$AZ$31 - MEDIAN(MIN($AZ$3:$AZ$31), MAX($AZ$3:$AZ$31), F26))), ABS($AZ$3:$AZ$31 - MEDIAN(MIN($AZ$3:$AZ$31), MAX($AZ$3:$AZ$31), F26)), $BA$3:$BA$31, "Error", 0)</f>
        <v/>
      </c>
      <c r="G56" s="186">
        <f t="array" ref="G56">_xlfn.XLOOKUP(MIN(ABS($AZ$3:$AZ$31 - MEDIAN(MIN($AZ$3:$AZ$31), MAX($AZ$3:$AZ$31), G26))), ABS($AZ$3:$AZ$31 - MEDIAN(MIN($AZ$3:$AZ$31), MAX($AZ$3:$AZ$31), G26)), $BA$3:$BA$31, "Error", 0)</f>
        <v/>
      </c>
      <c r="H56" s="186">
        <f t="array" ref="H56">_xlfn.XLOOKUP(MIN(ABS($AZ$3:$AZ$31 - MEDIAN(MIN($AZ$3:$AZ$31), MAX($AZ$3:$AZ$31), H26))), ABS($AZ$3:$AZ$31 - MEDIAN(MIN($AZ$3:$AZ$31), MAX($AZ$3:$AZ$31), H26)), $BA$3:$BA$31, "Error", 0)</f>
        <v/>
      </c>
      <c r="I56" s="186">
        <f t="array" ref="I56">_xlfn.XLOOKUP(MIN(ABS($AZ$3:$AZ$31 - MEDIAN(MIN($AZ$3:$AZ$31), MAX($AZ$3:$AZ$31), I26))), ABS($AZ$3:$AZ$31 - MEDIAN(MIN($AZ$3:$AZ$31), MAX($AZ$3:$AZ$31), I26)), $BA$3:$BA$31, "Error", 0)</f>
        <v/>
      </c>
      <c r="J56" s="186">
        <f t="array" ref="J56">_xlfn.XLOOKUP(MIN(ABS($AZ$3:$AZ$31 - MEDIAN(MIN($AZ$3:$AZ$31), MAX($AZ$3:$AZ$31), J26))), ABS($AZ$3:$AZ$31 - MEDIAN(MIN($AZ$3:$AZ$31), MAX($AZ$3:$AZ$31), J26)), $BA$3:$BA$31, "Error", 0)</f>
        <v/>
      </c>
      <c r="K56" s="186">
        <f t="array" ref="K56">_xlfn.XLOOKUP(MIN(ABS($AZ$3:$AZ$31 - MEDIAN(MIN($AZ$3:$AZ$31), MAX($AZ$3:$AZ$31), K26))), ABS($AZ$3:$AZ$31 - MEDIAN(MIN($AZ$3:$AZ$31), MAX($AZ$3:$AZ$31), K26)), $BA$3:$BA$31, "Error", 0)</f>
        <v/>
      </c>
      <c r="L56" s="186">
        <f t="array" ref="L56">_xlfn.XLOOKUP(MIN(ABS($AZ$3:$AZ$31 - MEDIAN(MIN($AZ$3:$AZ$31), MAX($AZ$3:$AZ$31), L26))), ABS($AZ$3:$AZ$31 - MEDIAN(MIN($AZ$3:$AZ$31), MAX($AZ$3:$AZ$31), L26)), $BA$3:$BA$31, "Error", 0)</f>
        <v/>
      </c>
      <c r="M56" s="186">
        <f t="array" ref="M56">_xlfn.XLOOKUP(MIN(ABS($AZ$3:$AZ$31 - MEDIAN(MIN($AZ$3:$AZ$31), MAX($AZ$3:$AZ$31), M26))), ABS($AZ$3:$AZ$31 - MEDIAN(MIN($AZ$3:$AZ$31), MAX($AZ$3:$AZ$31), M26)), $BA$3:$BA$31, "Error", 0)</f>
        <v/>
      </c>
      <c r="N56" s="186">
        <f t="array" ref="N56">_xlfn.XLOOKUP(MIN(ABS($AZ$3:$AZ$31 - MEDIAN(MIN($AZ$3:$AZ$31), MAX($AZ$3:$AZ$31), N26))), ABS($AZ$3:$AZ$31 - MEDIAN(MIN($AZ$3:$AZ$31), MAX($AZ$3:$AZ$31), N26)), $BA$3:$BA$31, "Error", 0)</f>
        <v/>
      </c>
      <c r="O56" s="186">
        <f t="array" ref="O56">_xlfn.XLOOKUP(MIN(ABS($AZ$3:$AZ$31 - MEDIAN(MIN($AZ$3:$AZ$31), MAX($AZ$3:$AZ$31), O26))), ABS($AZ$3:$AZ$31 - MEDIAN(MIN($AZ$3:$AZ$31), MAX($AZ$3:$AZ$31), O26)), $BA$3:$BA$31, "Error", 0)</f>
        <v/>
      </c>
      <c r="P56" s="186">
        <f t="array" ref="P56">_xlfn.XLOOKUP(MIN(ABS($AZ$3:$AZ$31 - MEDIAN(MIN($AZ$3:$AZ$31), MAX($AZ$3:$AZ$31), P26))), ABS($AZ$3:$AZ$31 - MEDIAN(MIN($AZ$3:$AZ$31), MAX($AZ$3:$AZ$31), P26)), $BA$3:$BA$31, "Error", 0)</f>
        <v/>
      </c>
      <c r="Q56" s="186">
        <f t="array" ref="Q56">_xlfn.XLOOKUP(MIN(ABS($AZ$3:$AZ$31 - MEDIAN(MIN($AZ$3:$AZ$31), MAX($AZ$3:$AZ$31), Q26))), ABS($AZ$3:$AZ$31 - MEDIAN(MIN($AZ$3:$AZ$31), MAX($AZ$3:$AZ$31), Q26)), $BA$3:$BA$31, "Error", 0)</f>
        <v/>
      </c>
      <c r="R56" s="186">
        <f t="array" ref="R56">_xlfn.XLOOKUP(MIN(ABS($AZ$3:$AZ$31 - MEDIAN(MIN($AZ$3:$AZ$31), MAX($AZ$3:$AZ$31), R26))), ABS($AZ$3:$AZ$31 - MEDIAN(MIN($AZ$3:$AZ$31), MAX($AZ$3:$AZ$31), R26)), $BA$3:$BA$31, "Error", 0)</f>
        <v/>
      </c>
      <c r="S56" s="186">
        <f t="array" ref="S56">_xlfn.XLOOKUP(MIN(ABS($AZ$3:$AZ$31 - MEDIAN(MIN($AZ$3:$AZ$31), MAX($AZ$3:$AZ$31), S26))), ABS($AZ$3:$AZ$31 - MEDIAN(MIN($AZ$3:$AZ$31), MAX($AZ$3:$AZ$31), S26)), $BA$3:$BA$31, "Error", 0)</f>
        <v/>
      </c>
      <c r="T56" s="186">
        <f t="array" ref="T56">_xlfn.XLOOKUP(MIN(ABS($AZ$3:$AZ$31 - MEDIAN(MIN($AZ$3:$AZ$31), MAX($AZ$3:$AZ$31), T26))), ABS($AZ$3:$AZ$31 - MEDIAN(MIN($AZ$3:$AZ$31), MAX($AZ$3:$AZ$31), T26)), $BA$3:$BA$31, "Error", 0)</f>
        <v/>
      </c>
      <c r="U56" s="186">
        <f t="array" ref="U56">_xlfn.XLOOKUP(MIN(ABS($AZ$3:$AZ$31 - MEDIAN(MIN($AZ$3:$AZ$31), MAX($AZ$3:$AZ$31), U26))), ABS($AZ$3:$AZ$31 - MEDIAN(MIN($AZ$3:$AZ$31), MAX($AZ$3:$AZ$31), U26)), $BA$3:$BA$31, "Error", 0)</f>
        <v/>
      </c>
      <c r="V56" s="186">
        <f t="array" ref="V56">_xlfn.XLOOKUP(MIN(ABS($AZ$3:$AZ$31 - MEDIAN(MIN($AZ$3:$AZ$31), MAX($AZ$3:$AZ$31), V26))), ABS($AZ$3:$AZ$31 - MEDIAN(MIN($AZ$3:$AZ$31), MAX($AZ$3:$AZ$31), V26)), $BA$3:$BA$31, "Error", 0)</f>
        <v/>
      </c>
      <c r="W56" s="186">
        <f t="array" ref="W56">_xlfn.XLOOKUP(MIN(ABS($AZ$3:$AZ$31 - MEDIAN(MIN($AZ$3:$AZ$31), MAX($AZ$3:$AZ$31), W26))), ABS($AZ$3:$AZ$31 - MEDIAN(MIN($AZ$3:$AZ$31), MAX($AZ$3:$AZ$31), W26)), $BA$3:$BA$31, "Error", 0)</f>
        <v/>
      </c>
      <c r="X56" s="186">
        <f t="array" ref="X56">_xlfn.XLOOKUP(MIN(ABS($AZ$3:$AZ$31 - MEDIAN(MIN($AZ$3:$AZ$31), MAX($AZ$3:$AZ$31), X26))), ABS($AZ$3:$AZ$31 - MEDIAN(MIN($AZ$3:$AZ$31), MAX($AZ$3:$AZ$31), X26)), $BA$3:$BA$31, "Error", 0)</f>
        <v/>
      </c>
      <c r="Y56" s="186">
        <f t="array" ref="Y56">_xlfn.XLOOKUP(MIN(ABS($AZ$3:$AZ$31 - MEDIAN(MIN($AZ$3:$AZ$31), MAX($AZ$3:$AZ$31), Y26))), ABS($AZ$3:$AZ$31 - MEDIAN(MIN($AZ$3:$AZ$31), MAX($AZ$3:$AZ$31), Y26)), $BA$3:$BA$31, "Error", 0)</f>
        <v/>
      </c>
      <c r="Z56" s="186">
        <f t="array" ref="Z56">_xlfn.XLOOKUP(MIN(ABS($AZ$3:$AZ$31 - MEDIAN(MIN($AZ$3:$AZ$31), MAX($AZ$3:$AZ$31), Z26))), ABS($AZ$3:$AZ$31 - MEDIAN(MIN($AZ$3:$AZ$31), MAX($AZ$3:$AZ$31), Z26)), $BA$3:$BA$31, "Error", 0)</f>
        <v/>
      </c>
      <c r="AA56" s="186">
        <f t="array" ref="AA56">_xlfn.XLOOKUP(MIN(ABS($AZ$3:$AZ$31 - MEDIAN(MIN($AZ$3:$AZ$31), MAX($AZ$3:$AZ$31), AA26))), ABS($AZ$3:$AZ$31 - MEDIAN(MIN($AZ$3:$AZ$31), MAX($AZ$3:$AZ$31), AA26)), $BA$3:$BA$31, "Error", 0)</f>
        <v/>
      </c>
      <c r="AB56" s="186">
        <f t="array" ref="AB56">_xlfn.XLOOKUP(MIN(ABS($AZ$3:$AZ$31 - MEDIAN(MIN($AZ$3:$AZ$31), MAX($AZ$3:$AZ$31), AB26))), ABS($AZ$3:$AZ$31 - MEDIAN(MIN($AZ$3:$AZ$31), MAX($AZ$3:$AZ$31), AB26)), $BA$3:$BA$31, "Error", 0)</f>
        <v/>
      </c>
      <c r="AC56" s="186">
        <f t="array" ref="AC56">_xlfn.XLOOKUP(MIN(ABS($AZ$3:$AZ$31 - MEDIAN(MIN($AZ$3:$AZ$31), MAX($AZ$3:$AZ$31), AC26))), ABS($AZ$3:$AZ$31 - MEDIAN(MIN($AZ$3:$AZ$31), MAX($AZ$3:$AZ$31), AC26)), $BA$3:$BA$31, "Error", 0)</f>
        <v/>
      </c>
      <c r="AD56" s="186">
        <f t="array" ref="AD56">_xlfn.XLOOKUP(MIN(ABS($AZ$3:$AZ$31 - MEDIAN(MIN($AZ$3:$AZ$31), MAX($AZ$3:$AZ$31), AD26))), ABS($AZ$3:$AZ$31 - MEDIAN(MIN($AZ$3:$AZ$31), MAX($AZ$3:$AZ$31), AD26)), $BA$3:$BA$31, "Error", 0)</f>
        <v/>
      </c>
      <c r="AE56" s="186">
        <f t="array" ref="AE56">_xlfn.XLOOKUP(MIN(ABS($AZ$3:$AZ$31 - MEDIAN(MIN($AZ$3:$AZ$31), MAX($AZ$3:$AZ$31), AE26))), ABS($AZ$3:$AZ$31 - MEDIAN(MIN($AZ$3:$AZ$31), MAX($AZ$3:$AZ$31), AE26)), $BA$3:$BA$31, "Error", 0)</f>
        <v/>
      </c>
      <c r="AF56" s="186">
        <f t="array" ref="AF56">_xlfn.XLOOKUP(MIN(ABS($AZ$3:$AZ$31 - MEDIAN(MIN($AZ$3:$AZ$31), MAX($AZ$3:$AZ$31), AF26))), ABS($AZ$3:$AZ$31 - MEDIAN(MIN($AZ$3:$AZ$31), MAX($AZ$3:$AZ$31), AF26)), $BA$3:$BA$31, "Error", 0)</f>
        <v/>
      </c>
      <c r="AG56" s="186">
        <f t="array" ref="AG56">_xlfn.XLOOKUP(MIN(ABS($AZ$3:$AZ$31 - MEDIAN(MIN($AZ$3:$AZ$31), MAX($AZ$3:$AZ$31), AG26))), ABS($AZ$3:$AZ$31 - MEDIAN(MIN($AZ$3:$AZ$31), MAX($AZ$3:$AZ$31), AG26)), $BA$3:$BA$31, "Error", 0)</f>
        <v/>
      </c>
      <c r="AH56" s="186">
        <f t="array" ref="AH56">_xlfn.XLOOKUP(MIN(ABS($AZ$3:$AZ$31 - MEDIAN(MIN($AZ$3:$AZ$31), MAX($AZ$3:$AZ$31), AH26))), ABS($AZ$3:$AZ$31 - MEDIAN(MIN($AZ$3:$AZ$31), MAX($AZ$3:$AZ$31), AH26)), $BA$3:$BA$31, "Error", 0)</f>
        <v/>
      </c>
      <c r="AI56" s="186">
        <f t="array" ref="AI56">_xlfn.XLOOKUP(MIN(ABS($AZ$3:$AZ$31 - MEDIAN(MIN($AZ$3:$AZ$31), MAX($AZ$3:$AZ$31), AI26))), ABS($AZ$3:$AZ$31 - MEDIAN(MIN($AZ$3:$AZ$31), MAX($AZ$3:$AZ$31), AI26)), $BA$3:$BA$31, "Error", 0)</f>
        <v/>
      </c>
      <c r="AJ56" s="186">
        <f t="array" ref="AJ56">_xlfn.XLOOKUP(MIN(ABS($AZ$3:$AZ$31 - MEDIAN(MIN($AZ$3:$AZ$31), MAX($AZ$3:$AZ$31), AJ26))), ABS($AZ$3:$AZ$31 - MEDIAN(MIN($AZ$3:$AZ$31), MAX($AZ$3:$AZ$31), AJ26)), $BA$3:$BA$31, "Error", 0)</f>
        <v/>
      </c>
      <c r="AK56" s="186">
        <f t="array" ref="AK56">_xlfn.XLOOKUP(MIN(ABS($AZ$3:$AZ$31 - MEDIAN(MIN($AZ$3:$AZ$31), MAX($AZ$3:$AZ$31), AK26))), ABS($AZ$3:$AZ$31 - MEDIAN(MIN($AZ$3:$AZ$31), MAX($AZ$3:$AZ$31), AK26)), $BA$3:$BA$31, "Error", 0)</f>
        <v/>
      </c>
      <c r="AL56" s="186">
        <f t="array" ref="AL56">_xlfn.XLOOKUP(MIN(ABS($AZ$3:$AZ$31 - MEDIAN(MIN($AZ$3:$AZ$31), MAX($AZ$3:$AZ$31), AL26))), ABS($AZ$3:$AZ$31 - MEDIAN(MIN($AZ$3:$AZ$31), MAX($AZ$3:$AZ$31), AL26)), $BA$3:$BA$31, "Error", 0)</f>
        <v/>
      </c>
      <c r="AM56" s="186">
        <f t="array" ref="AM56">_xlfn.XLOOKUP(MIN(ABS($AZ$3:$AZ$31 - MEDIAN(MIN($AZ$3:$AZ$31), MAX($AZ$3:$AZ$31), AM26))), ABS($AZ$3:$AZ$31 - MEDIAN(MIN($AZ$3:$AZ$31), MAX($AZ$3:$AZ$31), AM26)), $BA$3:$BA$31, "Error", 0)</f>
        <v/>
      </c>
      <c r="AN56" s="186">
        <f t="array" ref="AN56">_xlfn.XLOOKUP(MIN(ABS($AZ$3:$AZ$31 - MEDIAN(MIN($AZ$3:$AZ$31), MAX($AZ$3:$AZ$31), AN26))), ABS($AZ$3:$AZ$31 - MEDIAN(MIN($AZ$3:$AZ$31), MAX($AZ$3:$AZ$31), AN26)), $BA$3:$BA$31, "Error", 0)</f>
        <v/>
      </c>
      <c r="AO56" s="186">
        <f t="array" ref="AO56">_xlfn.XLOOKUP(MIN(ABS($AZ$3:$AZ$31 - MEDIAN(MIN($AZ$3:$AZ$31), MAX($AZ$3:$AZ$31), AO26))), ABS($AZ$3:$AZ$31 - MEDIAN(MIN($AZ$3:$AZ$31), MAX($AZ$3:$AZ$31), AO26)), $BA$3:$BA$31, "Error", 0)</f>
        <v/>
      </c>
      <c r="AP56" s="186">
        <f t="array" ref="AP56">_xlfn.XLOOKUP(MIN(ABS($AZ$3:$AZ$31 - MEDIAN(MIN($AZ$3:$AZ$31), MAX($AZ$3:$AZ$31), AP26))), ABS($AZ$3:$AZ$31 - MEDIAN(MIN($AZ$3:$AZ$31), MAX($AZ$3:$AZ$31), AP26)), $BA$3:$BA$31, "Error", 0)</f>
        <v/>
      </c>
      <c r="AQ56" s="186">
        <f t="array" ref="AQ56">_xlfn.XLOOKUP(MIN(ABS($AZ$3:$AZ$31 - MEDIAN(MIN($AZ$3:$AZ$31), MAX($AZ$3:$AZ$31), AQ26))), ABS($AZ$3:$AZ$31 - MEDIAN(MIN($AZ$3:$AZ$31), MAX($AZ$3:$AZ$31), AQ26)), $BA$3:$BA$31, "Error", 0)</f>
        <v/>
      </c>
      <c r="AR56" s="186">
        <f t="array" ref="AR56">_xlfn.XLOOKUP(MIN(ABS($AZ$3:$AZ$31 - MEDIAN(MIN($AZ$3:$AZ$31), MAX($AZ$3:$AZ$31), AR26))), ABS($AZ$3:$AZ$31 - MEDIAN(MIN($AZ$3:$AZ$31), MAX($AZ$3:$AZ$31), AR26)), $BA$3:$BA$31, "Error", 0)</f>
        <v/>
      </c>
      <c r="AS56" s="186">
        <f t="array" ref="AS56">_xlfn.XLOOKUP(MIN(ABS($AZ$3:$AZ$31 - MEDIAN(MIN($AZ$3:$AZ$31), MAX($AZ$3:$AZ$31), AS26))), ABS($AZ$3:$AZ$31 - MEDIAN(MIN($AZ$3:$AZ$31), MAX($AZ$3:$AZ$31), AS26)), $BA$3:$BA$31, "Error", 0)</f>
        <v/>
      </c>
      <c r="AT56" s="186">
        <f t="array" ref="AT56">_xlfn.XLOOKUP(MIN(ABS($AZ$3:$AZ$31 - MEDIAN(MIN($AZ$3:$AZ$31), MAX($AZ$3:$AZ$31), AT26))), ABS($AZ$3:$AZ$31 - MEDIAN(MIN($AZ$3:$AZ$31), MAX($AZ$3:$AZ$31), AT26)), $BA$3:$BA$31, "Error", 0)</f>
        <v/>
      </c>
      <c r="AU56" s="186">
        <f t="array" ref="AU56">_xlfn.XLOOKUP(MIN(ABS($AZ$3:$AZ$31 - MEDIAN(MIN($AZ$3:$AZ$31), MAX($AZ$3:$AZ$31), AU26))), ABS($AZ$3:$AZ$31 - MEDIAN(MIN($AZ$3:$AZ$31), MAX($AZ$3:$AZ$31), AU26)), $BA$3:$BA$31, "Error", 0)</f>
        <v/>
      </c>
      <c r="AV56" s="186">
        <f t="array" ref="AV56">_xlfn.XLOOKUP(MIN(ABS($AZ$3:$AZ$31 - MEDIAN(MIN($AZ$3:$AZ$31), MAX($AZ$3:$AZ$31), AV26))), ABS($AZ$3:$AZ$31 - MEDIAN(MIN($AZ$3:$AZ$31), MAX($AZ$3:$AZ$31), AV26)), $BA$3:$BA$31, "Error", 0)</f>
        <v/>
      </c>
      <c r="AW56" s="186">
        <f t="array" ref="AW56">_xlfn.XLOOKUP(MIN(ABS($AZ$3:$AZ$31 - MEDIAN(MIN($AZ$3:$AZ$31), MAX($AZ$3:$AZ$31), AW26))), ABS($AZ$3:$AZ$31 - MEDIAN(MIN($AZ$3:$AZ$31), MAX($AZ$3:$AZ$31), AW26)), $BA$3:$BA$31, "Error", 0)</f>
        <v/>
      </c>
      <c r="AX56" s="192">
        <f t="array" ref="AX56">_xlfn.XLOOKUP(MIN(ABS($AZ$3:$AZ$31 - MEDIAN(MIN($AZ$3:$AZ$31), MAX($AZ$3:$AZ$31), AX26))), ABS($AZ$3:$AZ$31 - MEDIAN(MIN($AZ$3:$AZ$31), MAX($AZ$3:$AZ$31), AX26)), $BA$3:$BA$31, "Error", 0)</f>
        <v/>
      </c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</row>
    <row r="57" ht="25" customHeight="1">
      <c r="B57" s="163" t="inlineStr">
        <is>
          <t>GBP CHF</t>
        </is>
      </c>
      <c r="C57" s="186">
        <f t="array" ref="C57">_xlfn.XLOOKUP(MIN(ABS($AZ$3:$AZ$31 - MEDIAN(MIN($AZ$3:$AZ$31), MAX($AZ$3:$AZ$31), C27))), ABS($AZ$3:$AZ$31 - MEDIAN(MIN($AZ$3:$AZ$31), MAX($AZ$3:$AZ$31), C27)), $BA$3:$BA$31, "Error", 0)</f>
        <v/>
      </c>
      <c r="D57" s="186">
        <f t="array" ref="D57">_xlfn.XLOOKUP(MIN(ABS($AZ$3:$AZ$31 - MEDIAN(MIN($AZ$3:$AZ$31), MAX($AZ$3:$AZ$31), D27))), ABS($AZ$3:$AZ$31 - MEDIAN(MIN($AZ$3:$AZ$31), MAX($AZ$3:$AZ$31), D27)), $BA$3:$BA$31, "Error", 0)</f>
        <v/>
      </c>
      <c r="E57" s="186">
        <f t="array" ref="E57">_xlfn.XLOOKUP(MIN(ABS($AZ$3:$AZ$31 - MEDIAN(MIN($AZ$3:$AZ$31), MAX($AZ$3:$AZ$31), E27))), ABS($AZ$3:$AZ$31 - MEDIAN(MIN($AZ$3:$AZ$31), MAX($AZ$3:$AZ$31), E27)), $BA$3:$BA$31, "Error", 0)</f>
        <v/>
      </c>
      <c r="F57" s="186">
        <f t="array" ref="F57">_xlfn.XLOOKUP(MIN(ABS($AZ$3:$AZ$31 - MEDIAN(MIN($AZ$3:$AZ$31), MAX($AZ$3:$AZ$31), F27))), ABS($AZ$3:$AZ$31 - MEDIAN(MIN($AZ$3:$AZ$31), MAX($AZ$3:$AZ$31), F27)), $BA$3:$BA$31, "Error", 0)</f>
        <v/>
      </c>
      <c r="G57" s="186">
        <f t="array" ref="G57">_xlfn.XLOOKUP(MIN(ABS($AZ$3:$AZ$31 - MEDIAN(MIN($AZ$3:$AZ$31), MAX($AZ$3:$AZ$31), G27))), ABS($AZ$3:$AZ$31 - MEDIAN(MIN($AZ$3:$AZ$31), MAX($AZ$3:$AZ$31), G27)), $BA$3:$BA$31, "Error", 0)</f>
        <v/>
      </c>
      <c r="H57" s="186">
        <f t="array" ref="H57">_xlfn.XLOOKUP(MIN(ABS($AZ$3:$AZ$31 - MEDIAN(MIN($AZ$3:$AZ$31), MAX($AZ$3:$AZ$31), H27))), ABS($AZ$3:$AZ$31 - MEDIAN(MIN($AZ$3:$AZ$31), MAX($AZ$3:$AZ$31), H27)), $BA$3:$BA$31, "Error", 0)</f>
        <v/>
      </c>
      <c r="I57" s="186">
        <f t="array" ref="I57">_xlfn.XLOOKUP(MIN(ABS($AZ$3:$AZ$31 - MEDIAN(MIN($AZ$3:$AZ$31), MAX($AZ$3:$AZ$31), I27))), ABS($AZ$3:$AZ$31 - MEDIAN(MIN($AZ$3:$AZ$31), MAX($AZ$3:$AZ$31), I27)), $BA$3:$BA$31, "Error", 0)</f>
        <v/>
      </c>
      <c r="J57" s="186">
        <f t="array" ref="J57">_xlfn.XLOOKUP(MIN(ABS($AZ$3:$AZ$31 - MEDIAN(MIN($AZ$3:$AZ$31), MAX($AZ$3:$AZ$31), J27))), ABS($AZ$3:$AZ$31 - MEDIAN(MIN($AZ$3:$AZ$31), MAX($AZ$3:$AZ$31), J27)), $BA$3:$BA$31, "Error", 0)</f>
        <v/>
      </c>
      <c r="K57" s="186">
        <f t="array" ref="K57">_xlfn.XLOOKUP(MIN(ABS($AZ$3:$AZ$31 - MEDIAN(MIN($AZ$3:$AZ$31), MAX($AZ$3:$AZ$31), K27))), ABS($AZ$3:$AZ$31 - MEDIAN(MIN($AZ$3:$AZ$31), MAX($AZ$3:$AZ$31), K27)), $BA$3:$BA$31, "Error", 0)</f>
        <v/>
      </c>
      <c r="L57" s="186">
        <f t="array" ref="L57">_xlfn.XLOOKUP(MIN(ABS($AZ$3:$AZ$31 - MEDIAN(MIN($AZ$3:$AZ$31), MAX($AZ$3:$AZ$31), L27))), ABS($AZ$3:$AZ$31 - MEDIAN(MIN($AZ$3:$AZ$31), MAX($AZ$3:$AZ$31), L27)), $BA$3:$BA$31, "Error", 0)</f>
        <v/>
      </c>
      <c r="M57" s="186">
        <f t="array" ref="M57">_xlfn.XLOOKUP(MIN(ABS($AZ$3:$AZ$31 - MEDIAN(MIN($AZ$3:$AZ$31), MAX($AZ$3:$AZ$31), M27))), ABS($AZ$3:$AZ$31 - MEDIAN(MIN($AZ$3:$AZ$31), MAX($AZ$3:$AZ$31), M27)), $BA$3:$BA$31, "Error", 0)</f>
        <v/>
      </c>
      <c r="N57" s="186">
        <f t="array" ref="N57">_xlfn.XLOOKUP(MIN(ABS($AZ$3:$AZ$31 - MEDIAN(MIN($AZ$3:$AZ$31), MAX($AZ$3:$AZ$31), N27))), ABS($AZ$3:$AZ$31 - MEDIAN(MIN($AZ$3:$AZ$31), MAX($AZ$3:$AZ$31), N27)), $BA$3:$BA$31, "Error", 0)</f>
        <v/>
      </c>
      <c r="O57" s="186">
        <f t="array" ref="O57">_xlfn.XLOOKUP(MIN(ABS($AZ$3:$AZ$31 - MEDIAN(MIN($AZ$3:$AZ$31), MAX($AZ$3:$AZ$31), O27))), ABS($AZ$3:$AZ$31 - MEDIAN(MIN($AZ$3:$AZ$31), MAX($AZ$3:$AZ$31), O27)), $BA$3:$BA$31, "Error", 0)</f>
        <v/>
      </c>
      <c r="P57" s="186">
        <f t="array" ref="P57">_xlfn.XLOOKUP(MIN(ABS($AZ$3:$AZ$31 - MEDIAN(MIN($AZ$3:$AZ$31), MAX($AZ$3:$AZ$31), P27))), ABS($AZ$3:$AZ$31 - MEDIAN(MIN($AZ$3:$AZ$31), MAX($AZ$3:$AZ$31), P27)), $BA$3:$BA$31, "Error", 0)</f>
        <v/>
      </c>
      <c r="Q57" s="186">
        <f t="array" ref="Q57">_xlfn.XLOOKUP(MIN(ABS($AZ$3:$AZ$31 - MEDIAN(MIN($AZ$3:$AZ$31), MAX($AZ$3:$AZ$31), Q27))), ABS($AZ$3:$AZ$31 - MEDIAN(MIN($AZ$3:$AZ$31), MAX($AZ$3:$AZ$31), Q27)), $BA$3:$BA$31, "Error", 0)</f>
        <v/>
      </c>
      <c r="R57" s="186">
        <f t="array" ref="R57">_xlfn.XLOOKUP(MIN(ABS($AZ$3:$AZ$31 - MEDIAN(MIN($AZ$3:$AZ$31), MAX($AZ$3:$AZ$31), R27))), ABS($AZ$3:$AZ$31 - MEDIAN(MIN($AZ$3:$AZ$31), MAX($AZ$3:$AZ$31), R27)), $BA$3:$BA$31, "Error", 0)</f>
        <v/>
      </c>
      <c r="S57" s="186">
        <f t="array" ref="S57">_xlfn.XLOOKUP(MIN(ABS($AZ$3:$AZ$31 - MEDIAN(MIN($AZ$3:$AZ$31), MAX($AZ$3:$AZ$31), S27))), ABS($AZ$3:$AZ$31 - MEDIAN(MIN($AZ$3:$AZ$31), MAX($AZ$3:$AZ$31), S27)), $BA$3:$BA$31, "Error", 0)</f>
        <v/>
      </c>
      <c r="T57" s="186">
        <f t="array" ref="T57">_xlfn.XLOOKUP(MIN(ABS($AZ$3:$AZ$31 - MEDIAN(MIN($AZ$3:$AZ$31), MAX($AZ$3:$AZ$31), T27))), ABS($AZ$3:$AZ$31 - MEDIAN(MIN($AZ$3:$AZ$31), MAX($AZ$3:$AZ$31), T27)), $BA$3:$BA$31, "Error", 0)</f>
        <v/>
      </c>
      <c r="U57" s="186">
        <f t="array" ref="U57">_xlfn.XLOOKUP(MIN(ABS($AZ$3:$AZ$31 - MEDIAN(MIN($AZ$3:$AZ$31), MAX($AZ$3:$AZ$31), U27))), ABS($AZ$3:$AZ$31 - MEDIAN(MIN($AZ$3:$AZ$31), MAX($AZ$3:$AZ$31), U27)), $BA$3:$BA$31, "Error", 0)</f>
        <v/>
      </c>
      <c r="V57" s="186">
        <f t="array" ref="V57">_xlfn.XLOOKUP(MIN(ABS($AZ$3:$AZ$31 - MEDIAN(MIN($AZ$3:$AZ$31), MAX($AZ$3:$AZ$31), V27))), ABS($AZ$3:$AZ$31 - MEDIAN(MIN($AZ$3:$AZ$31), MAX($AZ$3:$AZ$31), V27)), $BA$3:$BA$31, "Error", 0)</f>
        <v/>
      </c>
      <c r="W57" s="186">
        <f t="array" ref="W57">_xlfn.XLOOKUP(MIN(ABS($AZ$3:$AZ$31 - MEDIAN(MIN($AZ$3:$AZ$31), MAX($AZ$3:$AZ$31), W27))), ABS($AZ$3:$AZ$31 - MEDIAN(MIN($AZ$3:$AZ$31), MAX($AZ$3:$AZ$31), W27)), $BA$3:$BA$31, "Error", 0)</f>
        <v/>
      </c>
      <c r="X57" s="186">
        <f t="array" ref="X57">_xlfn.XLOOKUP(MIN(ABS($AZ$3:$AZ$31 - MEDIAN(MIN($AZ$3:$AZ$31), MAX($AZ$3:$AZ$31), X27))), ABS($AZ$3:$AZ$31 - MEDIAN(MIN($AZ$3:$AZ$31), MAX($AZ$3:$AZ$31), X27)), $BA$3:$BA$31, "Error", 0)</f>
        <v/>
      </c>
      <c r="Y57" s="186">
        <f t="array" ref="Y57">_xlfn.XLOOKUP(MIN(ABS($AZ$3:$AZ$31 - MEDIAN(MIN($AZ$3:$AZ$31), MAX($AZ$3:$AZ$31), Y27))), ABS($AZ$3:$AZ$31 - MEDIAN(MIN($AZ$3:$AZ$31), MAX($AZ$3:$AZ$31), Y27)), $BA$3:$BA$31, "Error", 0)</f>
        <v/>
      </c>
      <c r="Z57" s="186">
        <f t="array" ref="Z57">_xlfn.XLOOKUP(MIN(ABS($AZ$3:$AZ$31 - MEDIAN(MIN($AZ$3:$AZ$31), MAX($AZ$3:$AZ$31), Z27))), ABS($AZ$3:$AZ$31 - MEDIAN(MIN($AZ$3:$AZ$31), MAX($AZ$3:$AZ$31), Z27)), $BA$3:$BA$31, "Error", 0)</f>
        <v/>
      </c>
      <c r="AA57" s="186">
        <f t="array" ref="AA57">_xlfn.XLOOKUP(MIN(ABS($AZ$3:$AZ$31 - MEDIAN(MIN($AZ$3:$AZ$31), MAX($AZ$3:$AZ$31), AA27))), ABS($AZ$3:$AZ$31 - MEDIAN(MIN($AZ$3:$AZ$31), MAX($AZ$3:$AZ$31), AA27)), $BA$3:$BA$31, "Error", 0)</f>
        <v/>
      </c>
      <c r="AB57" s="186">
        <f t="array" ref="AB57">_xlfn.XLOOKUP(MIN(ABS($AZ$3:$AZ$31 - MEDIAN(MIN($AZ$3:$AZ$31), MAX($AZ$3:$AZ$31), AB27))), ABS($AZ$3:$AZ$31 - MEDIAN(MIN($AZ$3:$AZ$31), MAX($AZ$3:$AZ$31), AB27)), $BA$3:$BA$31, "Error", 0)</f>
        <v/>
      </c>
      <c r="AC57" s="186">
        <f t="array" ref="AC57">_xlfn.XLOOKUP(MIN(ABS($AZ$3:$AZ$31 - MEDIAN(MIN($AZ$3:$AZ$31), MAX($AZ$3:$AZ$31), AC27))), ABS($AZ$3:$AZ$31 - MEDIAN(MIN($AZ$3:$AZ$31), MAX($AZ$3:$AZ$31), AC27)), $BA$3:$BA$31, "Error", 0)</f>
        <v/>
      </c>
      <c r="AD57" s="186">
        <f t="array" ref="AD57">_xlfn.XLOOKUP(MIN(ABS($AZ$3:$AZ$31 - MEDIAN(MIN($AZ$3:$AZ$31), MAX($AZ$3:$AZ$31), AD27))), ABS($AZ$3:$AZ$31 - MEDIAN(MIN($AZ$3:$AZ$31), MAX($AZ$3:$AZ$31), AD27)), $BA$3:$BA$31, "Error", 0)</f>
        <v/>
      </c>
      <c r="AE57" s="186">
        <f t="array" ref="AE57">_xlfn.XLOOKUP(MIN(ABS($AZ$3:$AZ$31 - MEDIAN(MIN($AZ$3:$AZ$31), MAX($AZ$3:$AZ$31), AE27))), ABS($AZ$3:$AZ$31 - MEDIAN(MIN($AZ$3:$AZ$31), MAX($AZ$3:$AZ$31), AE27)), $BA$3:$BA$31, "Error", 0)</f>
        <v/>
      </c>
      <c r="AF57" s="186">
        <f t="array" ref="AF57">_xlfn.XLOOKUP(MIN(ABS($AZ$3:$AZ$31 - MEDIAN(MIN($AZ$3:$AZ$31), MAX($AZ$3:$AZ$31), AF27))), ABS($AZ$3:$AZ$31 - MEDIAN(MIN($AZ$3:$AZ$31), MAX($AZ$3:$AZ$31), AF27)), $BA$3:$BA$31, "Error", 0)</f>
        <v/>
      </c>
      <c r="AG57" s="186">
        <f t="array" ref="AG57">_xlfn.XLOOKUP(MIN(ABS($AZ$3:$AZ$31 - MEDIAN(MIN($AZ$3:$AZ$31), MAX($AZ$3:$AZ$31), AG27))), ABS($AZ$3:$AZ$31 - MEDIAN(MIN($AZ$3:$AZ$31), MAX($AZ$3:$AZ$31), AG27)), $BA$3:$BA$31, "Error", 0)</f>
        <v/>
      </c>
      <c r="AH57" s="186">
        <f t="array" ref="AH57">_xlfn.XLOOKUP(MIN(ABS($AZ$3:$AZ$31 - MEDIAN(MIN($AZ$3:$AZ$31), MAX($AZ$3:$AZ$31), AH27))), ABS($AZ$3:$AZ$31 - MEDIAN(MIN($AZ$3:$AZ$31), MAX($AZ$3:$AZ$31), AH27)), $BA$3:$BA$31, "Error", 0)</f>
        <v/>
      </c>
      <c r="AI57" s="186">
        <f t="array" ref="AI57">_xlfn.XLOOKUP(MIN(ABS($AZ$3:$AZ$31 - MEDIAN(MIN($AZ$3:$AZ$31), MAX($AZ$3:$AZ$31), AI27))), ABS($AZ$3:$AZ$31 - MEDIAN(MIN($AZ$3:$AZ$31), MAX($AZ$3:$AZ$31), AI27)), $BA$3:$BA$31, "Error", 0)</f>
        <v/>
      </c>
      <c r="AJ57" s="186">
        <f t="array" ref="AJ57">_xlfn.XLOOKUP(MIN(ABS($AZ$3:$AZ$31 - MEDIAN(MIN($AZ$3:$AZ$31), MAX($AZ$3:$AZ$31), AJ27))), ABS($AZ$3:$AZ$31 - MEDIAN(MIN($AZ$3:$AZ$31), MAX($AZ$3:$AZ$31), AJ27)), $BA$3:$BA$31, "Error", 0)</f>
        <v/>
      </c>
      <c r="AK57" s="186">
        <f t="array" ref="AK57">_xlfn.XLOOKUP(MIN(ABS($AZ$3:$AZ$31 - MEDIAN(MIN($AZ$3:$AZ$31), MAX($AZ$3:$AZ$31), AK27))), ABS($AZ$3:$AZ$31 - MEDIAN(MIN($AZ$3:$AZ$31), MAX($AZ$3:$AZ$31), AK27)), $BA$3:$BA$31, "Error", 0)</f>
        <v/>
      </c>
      <c r="AL57" s="186">
        <f t="array" ref="AL57">_xlfn.XLOOKUP(MIN(ABS($AZ$3:$AZ$31 - MEDIAN(MIN($AZ$3:$AZ$31), MAX($AZ$3:$AZ$31), AL27))), ABS($AZ$3:$AZ$31 - MEDIAN(MIN($AZ$3:$AZ$31), MAX($AZ$3:$AZ$31), AL27)), $BA$3:$BA$31, "Error", 0)</f>
        <v/>
      </c>
      <c r="AM57" s="186">
        <f t="array" ref="AM57">_xlfn.XLOOKUP(MIN(ABS($AZ$3:$AZ$31 - MEDIAN(MIN($AZ$3:$AZ$31), MAX($AZ$3:$AZ$31), AM27))), ABS($AZ$3:$AZ$31 - MEDIAN(MIN($AZ$3:$AZ$31), MAX($AZ$3:$AZ$31), AM27)), $BA$3:$BA$31, "Error", 0)</f>
        <v/>
      </c>
      <c r="AN57" s="186">
        <f t="array" ref="AN57">_xlfn.XLOOKUP(MIN(ABS($AZ$3:$AZ$31 - MEDIAN(MIN($AZ$3:$AZ$31), MAX($AZ$3:$AZ$31), AN27))), ABS($AZ$3:$AZ$31 - MEDIAN(MIN($AZ$3:$AZ$31), MAX($AZ$3:$AZ$31), AN27)), $BA$3:$BA$31, "Error", 0)</f>
        <v/>
      </c>
      <c r="AO57" s="186">
        <f t="array" ref="AO57">_xlfn.XLOOKUP(MIN(ABS($AZ$3:$AZ$31 - MEDIAN(MIN($AZ$3:$AZ$31), MAX($AZ$3:$AZ$31), AO27))), ABS($AZ$3:$AZ$31 - MEDIAN(MIN($AZ$3:$AZ$31), MAX($AZ$3:$AZ$31), AO27)), $BA$3:$BA$31, "Error", 0)</f>
        <v/>
      </c>
      <c r="AP57" s="186">
        <f t="array" ref="AP57">_xlfn.XLOOKUP(MIN(ABS($AZ$3:$AZ$31 - MEDIAN(MIN($AZ$3:$AZ$31), MAX($AZ$3:$AZ$31), AP27))), ABS($AZ$3:$AZ$31 - MEDIAN(MIN($AZ$3:$AZ$31), MAX($AZ$3:$AZ$31), AP27)), $BA$3:$BA$31, "Error", 0)</f>
        <v/>
      </c>
      <c r="AQ57" s="186">
        <f t="array" ref="AQ57">_xlfn.XLOOKUP(MIN(ABS($AZ$3:$AZ$31 - MEDIAN(MIN($AZ$3:$AZ$31), MAX($AZ$3:$AZ$31), AQ27))), ABS($AZ$3:$AZ$31 - MEDIAN(MIN($AZ$3:$AZ$31), MAX($AZ$3:$AZ$31), AQ27)), $BA$3:$BA$31, "Error", 0)</f>
        <v/>
      </c>
      <c r="AR57" s="186">
        <f t="array" ref="AR57">_xlfn.XLOOKUP(MIN(ABS($AZ$3:$AZ$31 - MEDIAN(MIN($AZ$3:$AZ$31), MAX($AZ$3:$AZ$31), AR27))), ABS($AZ$3:$AZ$31 - MEDIAN(MIN($AZ$3:$AZ$31), MAX($AZ$3:$AZ$31), AR27)), $BA$3:$BA$31, "Error", 0)</f>
        <v/>
      </c>
      <c r="AS57" s="186">
        <f t="array" ref="AS57">_xlfn.XLOOKUP(MIN(ABS($AZ$3:$AZ$31 - MEDIAN(MIN($AZ$3:$AZ$31), MAX($AZ$3:$AZ$31), AS27))), ABS($AZ$3:$AZ$31 - MEDIAN(MIN($AZ$3:$AZ$31), MAX($AZ$3:$AZ$31), AS27)), $BA$3:$BA$31, "Error", 0)</f>
        <v/>
      </c>
      <c r="AT57" s="186">
        <f t="array" ref="AT57">_xlfn.XLOOKUP(MIN(ABS($AZ$3:$AZ$31 - MEDIAN(MIN($AZ$3:$AZ$31), MAX($AZ$3:$AZ$31), AT27))), ABS($AZ$3:$AZ$31 - MEDIAN(MIN($AZ$3:$AZ$31), MAX($AZ$3:$AZ$31), AT27)), $BA$3:$BA$31, "Error", 0)</f>
        <v/>
      </c>
      <c r="AU57" s="186">
        <f t="array" ref="AU57">_xlfn.XLOOKUP(MIN(ABS($AZ$3:$AZ$31 - MEDIAN(MIN($AZ$3:$AZ$31), MAX($AZ$3:$AZ$31), AU27))), ABS($AZ$3:$AZ$31 - MEDIAN(MIN($AZ$3:$AZ$31), MAX($AZ$3:$AZ$31), AU27)), $BA$3:$BA$31, "Error", 0)</f>
        <v/>
      </c>
      <c r="AV57" s="186">
        <f t="array" ref="AV57">_xlfn.XLOOKUP(MIN(ABS($AZ$3:$AZ$31 - MEDIAN(MIN($AZ$3:$AZ$31), MAX($AZ$3:$AZ$31), AV27))), ABS($AZ$3:$AZ$31 - MEDIAN(MIN($AZ$3:$AZ$31), MAX($AZ$3:$AZ$31), AV27)), $BA$3:$BA$31, "Error", 0)</f>
        <v/>
      </c>
      <c r="AW57" s="186">
        <f t="array" ref="AW57">_xlfn.XLOOKUP(MIN(ABS($AZ$3:$AZ$31 - MEDIAN(MIN($AZ$3:$AZ$31), MAX($AZ$3:$AZ$31), AW27))), ABS($AZ$3:$AZ$31 - MEDIAN(MIN($AZ$3:$AZ$31), MAX($AZ$3:$AZ$31), AW27)), $BA$3:$BA$31, "Error", 0)</f>
        <v/>
      </c>
      <c r="AX57" s="192">
        <f t="array" ref="AX57">_xlfn.XLOOKUP(MIN(ABS($AZ$3:$AZ$31 - MEDIAN(MIN($AZ$3:$AZ$31), MAX($AZ$3:$AZ$31), AX27))), ABS($AZ$3:$AZ$31 - MEDIAN(MIN($AZ$3:$AZ$31), MAX($AZ$3:$AZ$31), AX27)), $BA$3:$BA$31, "Error", 0)</f>
        <v/>
      </c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</row>
    <row r="58" ht="25" customHeight="1">
      <c r="B58" s="163" t="inlineStr">
        <is>
          <t>GBP CAD</t>
        </is>
      </c>
      <c r="C58" s="186">
        <f t="array" ref="C58">_xlfn.XLOOKUP(MIN(ABS($AZ$3:$AZ$31 - MEDIAN(MIN($AZ$3:$AZ$31), MAX($AZ$3:$AZ$31), C28))), ABS($AZ$3:$AZ$31 - MEDIAN(MIN($AZ$3:$AZ$31), MAX($AZ$3:$AZ$31), C28)), $BA$3:$BA$31, "Error", 0)</f>
        <v/>
      </c>
      <c r="D58" s="186">
        <f t="array" ref="D58">_xlfn.XLOOKUP(MIN(ABS($AZ$3:$AZ$31 - MEDIAN(MIN($AZ$3:$AZ$31), MAX($AZ$3:$AZ$31), D28))), ABS($AZ$3:$AZ$31 - MEDIAN(MIN($AZ$3:$AZ$31), MAX($AZ$3:$AZ$31), D28)), $BA$3:$BA$31, "Error", 0)</f>
        <v/>
      </c>
      <c r="E58" s="186">
        <f t="array" ref="E58">_xlfn.XLOOKUP(MIN(ABS($AZ$3:$AZ$31 - MEDIAN(MIN($AZ$3:$AZ$31), MAX($AZ$3:$AZ$31), E28))), ABS($AZ$3:$AZ$31 - MEDIAN(MIN($AZ$3:$AZ$31), MAX($AZ$3:$AZ$31), E28)), $BA$3:$BA$31, "Error", 0)</f>
        <v/>
      </c>
      <c r="F58" s="186">
        <f t="array" ref="F58">_xlfn.XLOOKUP(MIN(ABS($AZ$3:$AZ$31 - MEDIAN(MIN($AZ$3:$AZ$31), MAX($AZ$3:$AZ$31), F28))), ABS($AZ$3:$AZ$31 - MEDIAN(MIN($AZ$3:$AZ$31), MAX($AZ$3:$AZ$31), F28)), $BA$3:$BA$31, "Error", 0)</f>
        <v/>
      </c>
      <c r="G58" s="186">
        <f t="array" ref="G58">_xlfn.XLOOKUP(MIN(ABS($AZ$3:$AZ$31 - MEDIAN(MIN($AZ$3:$AZ$31), MAX($AZ$3:$AZ$31), G28))), ABS($AZ$3:$AZ$31 - MEDIAN(MIN($AZ$3:$AZ$31), MAX($AZ$3:$AZ$31), G28)), $BA$3:$BA$31, "Error", 0)</f>
        <v/>
      </c>
      <c r="H58" s="186">
        <f t="array" ref="H58">_xlfn.XLOOKUP(MIN(ABS($AZ$3:$AZ$31 - MEDIAN(MIN($AZ$3:$AZ$31), MAX($AZ$3:$AZ$31), H28))), ABS($AZ$3:$AZ$31 - MEDIAN(MIN($AZ$3:$AZ$31), MAX($AZ$3:$AZ$31), H28)), $BA$3:$BA$31, "Error", 0)</f>
        <v/>
      </c>
      <c r="I58" s="186">
        <f t="array" ref="I58">_xlfn.XLOOKUP(MIN(ABS($AZ$3:$AZ$31 - MEDIAN(MIN($AZ$3:$AZ$31), MAX($AZ$3:$AZ$31), I28))), ABS($AZ$3:$AZ$31 - MEDIAN(MIN($AZ$3:$AZ$31), MAX($AZ$3:$AZ$31), I28)), $BA$3:$BA$31, "Error", 0)</f>
        <v/>
      </c>
      <c r="J58" s="186">
        <f t="array" ref="J58">_xlfn.XLOOKUP(MIN(ABS($AZ$3:$AZ$31 - MEDIAN(MIN($AZ$3:$AZ$31), MAX($AZ$3:$AZ$31), J28))), ABS($AZ$3:$AZ$31 - MEDIAN(MIN($AZ$3:$AZ$31), MAX($AZ$3:$AZ$31), J28)), $BA$3:$BA$31, "Error", 0)</f>
        <v/>
      </c>
      <c r="K58" s="186">
        <f t="array" ref="K58">_xlfn.XLOOKUP(MIN(ABS($AZ$3:$AZ$31 - MEDIAN(MIN($AZ$3:$AZ$31), MAX($AZ$3:$AZ$31), K28))), ABS($AZ$3:$AZ$31 - MEDIAN(MIN($AZ$3:$AZ$31), MAX($AZ$3:$AZ$31), K28)), $BA$3:$BA$31, "Error", 0)</f>
        <v/>
      </c>
      <c r="L58" s="186">
        <f t="array" ref="L58">_xlfn.XLOOKUP(MIN(ABS($AZ$3:$AZ$31 - MEDIAN(MIN($AZ$3:$AZ$31), MAX($AZ$3:$AZ$31), L28))), ABS($AZ$3:$AZ$31 - MEDIAN(MIN($AZ$3:$AZ$31), MAX($AZ$3:$AZ$31), L28)), $BA$3:$BA$31, "Error", 0)</f>
        <v/>
      </c>
      <c r="M58" s="186">
        <f t="array" ref="M58">_xlfn.XLOOKUP(MIN(ABS($AZ$3:$AZ$31 - MEDIAN(MIN($AZ$3:$AZ$31), MAX($AZ$3:$AZ$31), M28))), ABS($AZ$3:$AZ$31 - MEDIAN(MIN($AZ$3:$AZ$31), MAX($AZ$3:$AZ$31), M28)), $BA$3:$BA$31, "Error", 0)</f>
        <v/>
      </c>
      <c r="N58" s="186">
        <f t="array" ref="N58">_xlfn.XLOOKUP(MIN(ABS($AZ$3:$AZ$31 - MEDIAN(MIN($AZ$3:$AZ$31), MAX($AZ$3:$AZ$31), N28))), ABS($AZ$3:$AZ$31 - MEDIAN(MIN($AZ$3:$AZ$31), MAX($AZ$3:$AZ$31), N28)), $BA$3:$BA$31, "Error", 0)</f>
        <v/>
      </c>
      <c r="O58" s="186">
        <f t="array" ref="O58">_xlfn.XLOOKUP(MIN(ABS($AZ$3:$AZ$31 - MEDIAN(MIN($AZ$3:$AZ$31), MAX($AZ$3:$AZ$31), O28))), ABS($AZ$3:$AZ$31 - MEDIAN(MIN($AZ$3:$AZ$31), MAX($AZ$3:$AZ$31), O28)), $BA$3:$BA$31, "Error", 0)</f>
        <v/>
      </c>
      <c r="P58" s="186">
        <f t="array" ref="P58">_xlfn.XLOOKUP(MIN(ABS($AZ$3:$AZ$31 - MEDIAN(MIN($AZ$3:$AZ$31), MAX($AZ$3:$AZ$31), P28))), ABS($AZ$3:$AZ$31 - MEDIAN(MIN($AZ$3:$AZ$31), MAX($AZ$3:$AZ$31), P28)), $BA$3:$BA$31, "Error", 0)</f>
        <v/>
      </c>
      <c r="Q58" s="186">
        <f t="array" ref="Q58">_xlfn.XLOOKUP(MIN(ABS($AZ$3:$AZ$31 - MEDIAN(MIN($AZ$3:$AZ$31), MAX($AZ$3:$AZ$31), Q28))), ABS($AZ$3:$AZ$31 - MEDIAN(MIN($AZ$3:$AZ$31), MAX($AZ$3:$AZ$31), Q28)), $BA$3:$BA$31, "Error", 0)</f>
        <v/>
      </c>
      <c r="R58" s="186">
        <f t="array" ref="R58">_xlfn.XLOOKUP(MIN(ABS($AZ$3:$AZ$31 - MEDIAN(MIN($AZ$3:$AZ$31), MAX($AZ$3:$AZ$31), R28))), ABS($AZ$3:$AZ$31 - MEDIAN(MIN($AZ$3:$AZ$31), MAX($AZ$3:$AZ$31), R28)), $BA$3:$BA$31, "Error", 0)</f>
        <v/>
      </c>
      <c r="S58" s="186">
        <f t="array" ref="S58">_xlfn.XLOOKUP(MIN(ABS($AZ$3:$AZ$31 - MEDIAN(MIN($AZ$3:$AZ$31), MAX($AZ$3:$AZ$31), S28))), ABS($AZ$3:$AZ$31 - MEDIAN(MIN($AZ$3:$AZ$31), MAX($AZ$3:$AZ$31), S28)), $BA$3:$BA$31, "Error", 0)</f>
        <v/>
      </c>
      <c r="T58" s="186">
        <f t="array" ref="T58">_xlfn.XLOOKUP(MIN(ABS($AZ$3:$AZ$31 - MEDIAN(MIN($AZ$3:$AZ$31), MAX($AZ$3:$AZ$31), T28))), ABS($AZ$3:$AZ$31 - MEDIAN(MIN($AZ$3:$AZ$31), MAX($AZ$3:$AZ$31), T28)), $BA$3:$BA$31, "Error", 0)</f>
        <v/>
      </c>
      <c r="U58" s="186">
        <f t="array" ref="U58">_xlfn.XLOOKUP(MIN(ABS($AZ$3:$AZ$31 - MEDIAN(MIN($AZ$3:$AZ$31), MAX($AZ$3:$AZ$31), U28))), ABS($AZ$3:$AZ$31 - MEDIAN(MIN($AZ$3:$AZ$31), MAX($AZ$3:$AZ$31), U28)), $BA$3:$BA$31, "Error", 0)</f>
        <v/>
      </c>
      <c r="V58" s="186">
        <f t="array" ref="V58">_xlfn.XLOOKUP(MIN(ABS($AZ$3:$AZ$31 - MEDIAN(MIN($AZ$3:$AZ$31), MAX($AZ$3:$AZ$31), V28))), ABS($AZ$3:$AZ$31 - MEDIAN(MIN($AZ$3:$AZ$31), MAX($AZ$3:$AZ$31), V28)), $BA$3:$BA$31, "Error", 0)</f>
        <v/>
      </c>
      <c r="W58" s="186">
        <f t="array" ref="W58">_xlfn.XLOOKUP(MIN(ABS($AZ$3:$AZ$31 - MEDIAN(MIN($AZ$3:$AZ$31), MAX($AZ$3:$AZ$31), W28))), ABS($AZ$3:$AZ$31 - MEDIAN(MIN($AZ$3:$AZ$31), MAX($AZ$3:$AZ$31), W28)), $BA$3:$BA$31, "Error", 0)</f>
        <v/>
      </c>
      <c r="X58" s="186">
        <f t="array" ref="X58">_xlfn.XLOOKUP(MIN(ABS($AZ$3:$AZ$31 - MEDIAN(MIN($AZ$3:$AZ$31), MAX($AZ$3:$AZ$31), X28))), ABS($AZ$3:$AZ$31 - MEDIAN(MIN($AZ$3:$AZ$31), MAX($AZ$3:$AZ$31), X28)), $BA$3:$BA$31, "Error", 0)</f>
        <v/>
      </c>
      <c r="Y58" s="186">
        <f t="array" ref="Y58">_xlfn.XLOOKUP(MIN(ABS($AZ$3:$AZ$31 - MEDIAN(MIN($AZ$3:$AZ$31), MAX($AZ$3:$AZ$31), Y28))), ABS($AZ$3:$AZ$31 - MEDIAN(MIN($AZ$3:$AZ$31), MAX($AZ$3:$AZ$31), Y28)), $BA$3:$BA$31, "Error", 0)</f>
        <v/>
      </c>
      <c r="Z58" s="186">
        <f t="array" ref="Z58">_xlfn.XLOOKUP(MIN(ABS($AZ$3:$AZ$31 - MEDIAN(MIN($AZ$3:$AZ$31), MAX($AZ$3:$AZ$31), Z28))), ABS($AZ$3:$AZ$31 - MEDIAN(MIN($AZ$3:$AZ$31), MAX($AZ$3:$AZ$31), Z28)), $BA$3:$BA$31, "Error", 0)</f>
        <v/>
      </c>
      <c r="AA58" s="186">
        <f t="array" ref="AA58">_xlfn.XLOOKUP(MIN(ABS($AZ$3:$AZ$31 - MEDIAN(MIN($AZ$3:$AZ$31), MAX($AZ$3:$AZ$31), AA28))), ABS($AZ$3:$AZ$31 - MEDIAN(MIN($AZ$3:$AZ$31), MAX($AZ$3:$AZ$31), AA28)), $BA$3:$BA$31, "Error", 0)</f>
        <v/>
      </c>
      <c r="AB58" s="186">
        <f t="array" ref="AB58">_xlfn.XLOOKUP(MIN(ABS($AZ$3:$AZ$31 - MEDIAN(MIN($AZ$3:$AZ$31), MAX($AZ$3:$AZ$31), AB28))), ABS($AZ$3:$AZ$31 - MEDIAN(MIN($AZ$3:$AZ$31), MAX($AZ$3:$AZ$31), AB28)), $BA$3:$BA$31, "Error", 0)</f>
        <v/>
      </c>
      <c r="AC58" s="186">
        <f t="array" ref="AC58">_xlfn.XLOOKUP(MIN(ABS($AZ$3:$AZ$31 - MEDIAN(MIN($AZ$3:$AZ$31), MAX($AZ$3:$AZ$31), AC28))), ABS($AZ$3:$AZ$31 - MEDIAN(MIN($AZ$3:$AZ$31), MAX($AZ$3:$AZ$31), AC28)), $BA$3:$BA$31, "Error", 0)</f>
        <v/>
      </c>
      <c r="AD58" s="186">
        <f t="array" ref="AD58">_xlfn.XLOOKUP(MIN(ABS($AZ$3:$AZ$31 - MEDIAN(MIN($AZ$3:$AZ$31), MAX($AZ$3:$AZ$31), AD28))), ABS($AZ$3:$AZ$31 - MEDIAN(MIN($AZ$3:$AZ$31), MAX($AZ$3:$AZ$31), AD28)), $BA$3:$BA$31, "Error", 0)</f>
        <v/>
      </c>
      <c r="AE58" s="186">
        <f t="array" ref="AE58">_xlfn.XLOOKUP(MIN(ABS($AZ$3:$AZ$31 - MEDIAN(MIN($AZ$3:$AZ$31), MAX($AZ$3:$AZ$31), AE28))), ABS($AZ$3:$AZ$31 - MEDIAN(MIN($AZ$3:$AZ$31), MAX($AZ$3:$AZ$31), AE28)), $BA$3:$BA$31, "Error", 0)</f>
        <v/>
      </c>
      <c r="AF58" s="186">
        <f t="array" ref="AF58">_xlfn.XLOOKUP(MIN(ABS($AZ$3:$AZ$31 - MEDIAN(MIN($AZ$3:$AZ$31), MAX($AZ$3:$AZ$31), AF28))), ABS($AZ$3:$AZ$31 - MEDIAN(MIN($AZ$3:$AZ$31), MAX($AZ$3:$AZ$31), AF28)), $BA$3:$BA$31, "Error", 0)</f>
        <v/>
      </c>
      <c r="AG58" s="186">
        <f t="array" ref="AG58">_xlfn.XLOOKUP(MIN(ABS($AZ$3:$AZ$31 - MEDIAN(MIN($AZ$3:$AZ$31), MAX($AZ$3:$AZ$31), AG28))), ABS($AZ$3:$AZ$31 - MEDIAN(MIN($AZ$3:$AZ$31), MAX($AZ$3:$AZ$31), AG28)), $BA$3:$BA$31, "Error", 0)</f>
        <v/>
      </c>
      <c r="AH58" s="186">
        <f t="array" ref="AH58">_xlfn.XLOOKUP(MIN(ABS($AZ$3:$AZ$31 - MEDIAN(MIN($AZ$3:$AZ$31), MAX($AZ$3:$AZ$31), AH28))), ABS($AZ$3:$AZ$31 - MEDIAN(MIN($AZ$3:$AZ$31), MAX($AZ$3:$AZ$31), AH28)), $BA$3:$BA$31, "Error", 0)</f>
        <v/>
      </c>
      <c r="AI58" s="186">
        <f t="array" ref="AI58">_xlfn.XLOOKUP(MIN(ABS($AZ$3:$AZ$31 - MEDIAN(MIN($AZ$3:$AZ$31), MAX($AZ$3:$AZ$31), AI28))), ABS($AZ$3:$AZ$31 - MEDIAN(MIN($AZ$3:$AZ$31), MAX($AZ$3:$AZ$31), AI28)), $BA$3:$BA$31, "Error", 0)</f>
        <v/>
      </c>
      <c r="AJ58" s="186">
        <f t="array" ref="AJ58">_xlfn.XLOOKUP(MIN(ABS($AZ$3:$AZ$31 - MEDIAN(MIN($AZ$3:$AZ$31), MAX($AZ$3:$AZ$31), AJ28))), ABS($AZ$3:$AZ$31 - MEDIAN(MIN($AZ$3:$AZ$31), MAX($AZ$3:$AZ$31), AJ28)), $BA$3:$BA$31, "Error", 0)</f>
        <v/>
      </c>
      <c r="AK58" s="186">
        <f t="array" ref="AK58">_xlfn.XLOOKUP(MIN(ABS($AZ$3:$AZ$31 - MEDIAN(MIN($AZ$3:$AZ$31), MAX($AZ$3:$AZ$31), AK28))), ABS($AZ$3:$AZ$31 - MEDIAN(MIN($AZ$3:$AZ$31), MAX($AZ$3:$AZ$31), AK28)), $BA$3:$BA$31, "Error", 0)</f>
        <v/>
      </c>
      <c r="AL58" s="186">
        <f t="array" ref="AL58">_xlfn.XLOOKUP(MIN(ABS($AZ$3:$AZ$31 - MEDIAN(MIN($AZ$3:$AZ$31), MAX($AZ$3:$AZ$31), AL28))), ABS($AZ$3:$AZ$31 - MEDIAN(MIN($AZ$3:$AZ$31), MAX($AZ$3:$AZ$31), AL28)), $BA$3:$BA$31, "Error", 0)</f>
        <v/>
      </c>
      <c r="AM58" s="186">
        <f t="array" ref="AM58">_xlfn.XLOOKUP(MIN(ABS($AZ$3:$AZ$31 - MEDIAN(MIN($AZ$3:$AZ$31), MAX($AZ$3:$AZ$31), AM28))), ABS($AZ$3:$AZ$31 - MEDIAN(MIN($AZ$3:$AZ$31), MAX($AZ$3:$AZ$31), AM28)), $BA$3:$BA$31, "Error", 0)</f>
        <v/>
      </c>
      <c r="AN58" s="186">
        <f t="array" ref="AN58">_xlfn.XLOOKUP(MIN(ABS($AZ$3:$AZ$31 - MEDIAN(MIN($AZ$3:$AZ$31), MAX($AZ$3:$AZ$31), AN28))), ABS($AZ$3:$AZ$31 - MEDIAN(MIN($AZ$3:$AZ$31), MAX($AZ$3:$AZ$31), AN28)), $BA$3:$BA$31, "Error", 0)</f>
        <v/>
      </c>
      <c r="AO58" s="186">
        <f t="array" ref="AO58">_xlfn.XLOOKUP(MIN(ABS($AZ$3:$AZ$31 - MEDIAN(MIN($AZ$3:$AZ$31), MAX($AZ$3:$AZ$31), AO28))), ABS($AZ$3:$AZ$31 - MEDIAN(MIN($AZ$3:$AZ$31), MAX($AZ$3:$AZ$31), AO28)), $BA$3:$BA$31, "Error", 0)</f>
        <v/>
      </c>
      <c r="AP58" s="186">
        <f t="array" ref="AP58">_xlfn.XLOOKUP(MIN(ABS($AZ$3:$AZ$31 - MEDIAN(MIN($AZ$3:$AZ$31), MAX($AZ$3:$AZ$31), AP28))), ABS($AZ$3:$AZ$31 - MEDIAN(MIN($AZ$3:$AZ$31), MAX($AZ$3:$AZ$31), AP28)), $BA$3:$BA$31, "Error", 0)</f>
        <v/>
      </c>
      <c r="AQ58" s="186">
        <f t="array" ref="AQ58">_xlfn.XLOOKUP(MIN(ABS($AZ$3:$AZ$31 - MEDIAN(MIN($AZ$3:$AZ$31), MAX($AZ$3:$AZ$31), AQ28))), ABS($AZ$3:$AZ$31 - MEDIAN(MIN($AZ$3:$AZ$31), MAX($AZ$3:$AZ$31), AQ28)), $BA$3:$BA$31, "Error", 0)</f>
        <v/>
      </c>
      <c r="AR58" s="186">
        <f t="array" ref="AR58">_xlfn.XLOOKUP(MIN(ABS($AZ$3:$AZ$31 - MEDIAN(MIN($AZ$3:$AZ$31), MAX($AZ$3:$AZ$31), AR28))), ABS($AZ$3:$AZ$31 - MEDIAN(MIN($AZ$3:$AZ$31), MAX($AZ$3:$AZ$31), AR28)), $BA$3:$BA$31, "Error", 0)</f>
        <v/>
      </c>
      <c r="AS58" s="186">
        <f t="array" ref="AS58">_xlfn.XLOOKUP(MIN(ABS($AZ$3:$AZ$31 - MEDIAN(MIN($AZ$3:$AZ$31), MAX($AZ$3:$AZ$31), AS28))), ABS($AZ$3:$AZ$31 - MEDIAN(MIN($AZ$3:$AZ$31), MAX($AZ$3:$AZ$31), AS28)), $BA$3:$BA$31, "Error", 0)</f>
        <v/>
      </c>
      <c r="AT58" s="186">
        <f t="array" ref="AT58">_xlfn.XLOOKUP(MIN(ABS($AZ$3:$AZ$31 - MEDIAN(MIN($AZ$3:$AZ$31), MAX($AZ$3:$AZ$31), AT28))), ABS($AZ$3:$AZ$31 - MEDIAN(MIN($AZ$3:$AZ$31), MAX($AZ$3:$AZ$31), AT28)), $BA$3:$BA$31, "Error", 0)</f>
        <v/>
      </c>
      <c r="AU58" s="186">
        <f t="array" ref="AU58">_xlfn.XLOOKUP(MIN(ABS($AZ$3:$AZ$31 - MEDIAN(MIN($AZ$3:$AZ$31), MAX($AZ$3:$AZ$31), AU28))), ABS($AZ$3:$AZ$31 - MEDIAN(MIN($AZ$3:$AZ$31), MAX($AZ$3:$AZ$31), AU28)), $BA$3:$BA$31, "Error", 0)</f>
        <v/>
      </c>
      <c r="AV58" s="186">
        <f t="array" ref="AV58">_xlfn.XLOOKUP(MIN(ABS($AZ$3:$AZ$31 - MEDIAN(MIN($AZ$3:$AZ$31), MAX($AZ$3:$AZ$31), AV28))), ABS($AZ$3:$AZ$31 - MEDIAN(MIN($AZ$3:$AZ$31), MAX($AZ$3:$AZ$31), AV28)), $BA$3:$BA$31, "Error", 0)</f>
        <v/>
      </c>
      <c r="AW58" s="186">
        <f t="array" ref="AW58">_xlfn.XLOOKUP(MIN(ABS($AZ$3:$AZ$31 - MEDIAN(MIN($AZ$3:$AZ$31), MAX($AZ$3:$AZ$31), AW28))), ABS($AZ$3:$AZ$31 - MEDIAN(MIN($AZ$3:$AZ$31), MAX($AZ$3:$AZ$31), AW28)), $BA$3:$BA$31, "Error", 0)</f>
        <v/>
      </c>
      <c r="AX58" s="192">
        <f t="array" ref="AX58">_xlfn.XLOOKUP(MIN(ABS($AZ$3:$AZ$31 - MEDIAN(MIN($AZ$3:$AZ$31), MAX($AZ$3:$AZ$31), AX28))), ABS($AZ$3:$AZ$31 - MEDIAN(MIN($AZ$3:$AZ$31), MAX($AZ$3:$AZ$31), AX28)), $BA$3:$BA$31, "Error", 0)</f>
        <v/>
      </c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</row>
    <row r="59" ht="25" customHeight="1">
      <c r="B59" s="163" t="inlineStr">
        <is>
          <t>GBP AUD</t>
        </is>
      </c>
      <c r="C59" s="186">
        <f t="array" ref="C59">_xlfn.XLOOKUP(MIN(ABS($AZ$3:$AZ$31 - MEDIAN(MIN($AZ$3:$AZ$31), MAX($AZ$3:$AZ$31), C29))), ABS($AZ$3:$AZ$31 - MEDIAN(MIN($AZ$3:$AZ$31), MAX($AZ$3:$AZ$31), C29)), $BA$3:$BA$31, "Error", 0)</f>
        <v/>
      </c>
      <c r="D59" s="186">
        <f t="array" ref="D59">_xlfn.XLOOKUP(MIN(ABS($AZ$3:$AZ$31 - MEDIAN(MIN($AZ$3:$AZ$31), MAX($AZ$3:$AZ$31), D29))), ABS($AZ$3:$AZ$31 - MEDIAN(MIN($AZ$3:$AZ$31), MAX($AZ$3:$AZ$31), D29)), $BA$3:$BA$31, "Error", 0)</f>
        <v/>
      </c>
      <c r="E59" s="186">
        <f t="array" ref="E59">_xlfn.XLOOKUP(MIN(ABS($AZ$3:$AZ$31 - MEDIAN(MIN($AZ$3:$AZ$31), MAX($AZ$3:$AZ$31), E29))), ABS($AZ$3:$AZ$31 - MEDIAN(MIN($AZ$3:$AZ$31), MAX($AZ$3:$AZ$31), E29)), $BA$3:$BA$31, "Error", 0)</f>
        <v/>
      </c>
      <c r="F59" s="186">
        <f t="array" ref="F59">_xlfn.XLOOKUP(MIN(ABS($AZ$3:$AZ$31 - MEDIAN(MIN($AZ$3:$AZ$31), MAX($AZ$3:$AZ$31), F29))), ABS($AZ$3:$AZ$31 - MEDIAN(MIN($AZ$3:$AZ$31), MAX($AZ$3:$AZ$31), F29)), $BA$3:$BA$31, "Error", 0)</f>
        <v/>
      </c>
      <c r="G59" s="186">
        <f t="array" ref="G59">_xlfn.XLOOKUP(MIN(ABS($AZ$3:$AZ$31 - MEDIAN(MIN($AZ$3:$AZ$31), MAX($AZ$3:$AZ$31), G29))), ABS($AZ$3:$AZ$31 - MEDIAN(MIN($AZ$3:$AZ$31), MAX($AZ$3:$AZ$31), G29)), $BA$3:$BA$31, "Error", 0)</f>
        <v/>
      </c>
      <c r="H59" s="186">
        <f t="array" ref="H59">_xlfn.XLOOKUP(MIN(ABS($AZ$3:$AZ$31 - MEDIAN(MIN($AZ$3:$AZ$31), MAX($AZ$3:$AZ$31), H29))), ABS($AZ$3:$AZ$31 - MEDIAN(MIN($AZ$3:$AZ$31), MAX($AZ$3:$AZ$31), H29)), $BA$3:$BA$31, "Error", 0)</f>
        <v/>
      </c>
      <c r="I59" s="186">
        <f t="array" ref="I59">_xlfn.XLOOKUP(MIN(ABS($AZ$3:$AZ$31 - MEDIAN(MIN($AZ$3:$AZ$31), MAX($AZ$3:$AZ$31), I29))), ABS($AZ$3:$AZ$31 - MEDIAN(MIN($AZ$3:$AZ$31), MAX($AZ$3:$AZ$31), I29)), $BA$3:$BA$31, "Error", 0)</f>
        <v/>
      </c>
      <c r="J59" s="186">
        <f t="array" ref="J59">_xlfn.XLOOKUP(MIN(ABS($AZ$3:$AZ$31 - MEDIAN(MIN($AZ$3:$AZ$31), MAX($AZ$3:$AZ$31), J29))), ABS($AZ$3:$AZ$31 - MEDIAN(MIN($AZ$3:$AZ$31), MAX($AZ$3:$AZ$31), J29)), $BA$3:$BA$31, "Error", 0)</f>
        <v/>
      </c>
      <c r="K59" s="186">
        <f t="array" ref="K59">_xlfn.XLOOKUP(MIN(ABS($AZ$3:$AZ$31 - MEDIAN(MIN($AZ$3:$AZ$31), MAX($AZ$3:$AZ$31), K29))), ABS($AZ$3:$AZ$31 - MEDIAN(MIN($AZ$3:$AZ$31), MAX($AZ$3:$AZ$31), K29)), $BA$3:$BA$31, "Error", 0)</f>
        <v/>
      </c>
      <c r="L59" s="186">
        <f t="array" ref="L59">_xlfn.XLOOKUP(MIN(ABS($AZ$3:$AZ$31 - MEDIAN(MIN($AZ$3:$AZ$31), MAX($AZ$3:$AZ$31), L29))), ABS($AZ$3:$AZ$31 - MEDIAN(MIN($AZ$3:$AZ$31), MAX($AZ$3:$AZ$31), L29)), $BA$3:$BA$31, "Error", 0)</f>
        <v/>
      </c>
      <c r="M59" s="186">
        <f t="array" ref="M59">_xlfn.XLOOKUP(MIN(ABS($AZ$3:$AZ$31 - MEDIAN(MIN($AZ$3:$AZ$31), MAX($AZ$3:$AZ$31), M29))), ABS($AZ$3:$AZ$31 - MEDIAN(MIN($AZ$3:$AZ$31), MAX($AZ$3:$AZ$31), M29)), $BA$3:$BA$31, "Error", 0)</f>
        <v/>
      </c>
      <c r="N59" s="186">
        <f t="array" ref="N59">_xlfn.XLOOKUP(MIN(ABS($AZ$3:$AZ$31 - MEDIAN(MIN($AZ$3:$AZ$31), MAX($AZ$3:$AZ$31), N29))), ABS($AZ$3:$AZ$31 - MEDIAN(MIN($AZ$3:$AZ$31), MAX($AZ$3:$AZ$31), N29)), $BA$3:$BA$31, "Error", 0)</f>
        <v/>
      </c>
      <c r="O59" s="186">
        <f t="array" ref="O59">_xlfn.XLOOKUP(MIN(ABS($AZ$3:$AZ$31 - MEDIAN(MIN($AZ$3:$AZ$31), MAX($AZ$3:$AZ$31), O29))), ABS($AZ$3:$AZ$31 - MEDIAN(MIN($AZ$3:$AZ$31), MAX($AZ$3:$AZ$31), O29)), $BA$3:$BA$31, "Error", 0)</f>
        <v/>
      </c>
      <c r="P59" s="186">
        <f t="array" ref="P59">_xlfn.XLOOKUP(MIN(ABS($AZ$3:$AZ$31 - MEDIAN(MIN($AZ$3:$AZ$31), MAX($AZ$3:$AZ$31), P29))), ABS($AZ$3:$AZ$31 - MEDIAN(MIN($AZ$3:$AZ$31), MAX($AZ$3:$AZ$31), P29)), $BA$3:$BA$31, "Error", 0)</f>
        <v/>
      </c>
      <c r="Q59" s="186">
        <f t="array" ref="Q59">_xlfn.XLOOKUP(MIN(ABS($AZ$3:$AZ$31 - MEDIAN(MIN($AZ$3:$AZ$31), MAX($AZ$3:$AZ$31), Q29))), ABS($AZ$3:$AZ$31 - MEDIAN(MIN($AZ$3:$AZ$31), MAX($AZ$3:$AZ$31), Q29)), $BA$3:$BA$31, "Error", 0)</f>
        <v/>
      </c>
      <c r="R59" s="186">
        <f t="array" ref="R59">_xlfn.XLOOKUP(MIN(ABS($AZ$3:$AZ$31 - MEDIAN(MIN($AZ$3:$AZ$31), MAX($AZ$3:$AZ$31), R29))), ABS($AZ$3:$AZ$31 - MEDIAN(MIN($AZ$3:$AZ$31), MAX($AZ$3:$AZ$31), R29)), $BA$3:$BA$31, "Error", 0)</f>
        <v/>
      </c>
      <c r="S59" s="186">
        <f t="array" ref="S59">_xlfn.XLOOKUP(MIN(ABS($AZ$3:$AZ$31 - MEDIAN(MIN($AZ$3:$AZ$31), MAX($AZ$3:$AZ$31), S29))), ABS($AZ$3:$AZ$31 - MEDIAN(MIN($AZ$3:$AZ$31), MAX($AZ$3:$AZ$31), S29)), $BA$3:$BA$31, "Error", 0)</f>
        <v/>
      </c>
      <c r="T59" s="186">
        <f t="array" ref="T59">_xlfn.XLOOKUP(MIN(ABS($AZ$3:$AZ$31 - MEDIAN(MIN($AZ$3:$AZ$31), MAX($AZ$3:$AZ$31), T29))), ABS($AZ$3:$AZ$31 - MEDIAN(MIN($AZ$3:$AZ$31), MAX($AZ$3:$AZ$31), T29)), $BA$3:$BA$31, "Error", 0)</f>
        <v/>
      </c>
      <c r="U59" s="186">
        <f t="array" ref="U59">_xlfn.XLOOKUP(MIN(ABS($AZ$3:$AZ$31 - MEDIAN(MIN($AZ$3:$AZ$31), MAX($AZ$3:$AZ$31), U29))), ABS($AZ$3:$AZ$31 - MEDIAN(MIN($AZ$3:$AZ$31), MAX($AZ$3:$AZ$31), U29)), $BA$3:$BA$31, "Error", 0)</f>
        <v/>
      </c>
      <c r="V59" s="186">
        <f t="array" ref="V59">_xlfn.XLOOKUP(MIN(ABS($AZ$3:$AZ$31 - MEDIAN(MIN($AZ$3:$AZ$31), MAX($AZ$3:$AZ$31), V29))), ABS($AZ$3:$AZ$31 - MEDIAN(MIN($AZ$3:$AZ$31), MAX($AZ$3:$AZ$31), V29)), $BA$3:$BA$31, "Error", 0)</f>
        <v/>
      </c>
      <c r="W59" s="186">
        <f t="array" ref="W59">_xlfn.XLOOKUP(MIN(ABS($AZ$3:$AZ$31 - MEDIAN(MIN($AZ$3:$AZ$31), MAX($AZ$3:$AZ$31), W29))), ABS($AZ$3:$AZ$31 - MEDIAN(MIN($AZ$3:$AZ$31), MAX($AZ$3:$AZ$31), W29)), $BA$3:$BA$31, "Error", 0)</f>
        <v/>
      </c>
      <c r="X59" s="186">
        <f t="array" ref="X59">_xlfn.XLOOKUP(MIN(ABS($AZ$3:$AZ$31 - MEDIAN(MIN($AZ$3:$AZ$31), MAX($AZ$3:$AZ$31), X29))), ABS($AZ$3:$AZ$31 - MEDIAN(MIN($AZ$3:$AZ$31), MAX($AZ$3:$AZ$31), X29)), $BA$3:$BA$31, "Error", 0)</f>
        <v/>
      </c>
      <c r="Y59" s="186">
        <f t="array" ref="Y59">_xlfn.XLOOKUP(MIN(ABS($AZ$3:$AZ$31 - MEDIAN(MIN($AZ$3:$AZ$31), MAX($AZ$3:$AZ$31), Y29))), ABS($AZ$3:$AZ$31 - MEDIAN(MIN($AZ$3:$AZ$31), MAX($AZ$3:$AZ$31), Y29)), $BA$3:$BA$31, "Error", 0)</f>
        <v/>
      </c>
      <c r="Z59" s="186">
        <f t="array" ref="Z59">_xlfn.XLOOKUP(MIN(ABS($AZ$3:$AZ$31 - MEDIAN(MIN($AZ$3:$AZ$31), MAX($AZ$3:$AZ$31), Z29))), ABS($AZ$3:$AZ$31 - MEDIAN(MIN($AZ$3:$AZ$31), MAX($AZ$3:$AZ$31), Z29)), $BA$3:$BA$31, "Error", 0)</f>
        <v/>
      </c>
      <c r="AA59" s="186">
        <f t="array" ref="AA59">_xlfn.XLOOKUP(MIN(ABS($AZ$3:$AZ$31 - MEDIAN(MIN($AZ$3:$AZ$31), MAX($AZ$3:$AZ$31), AA29))), ABS($AZ$3:$AZ$31 - MEDIAN(MIN($AZ$3:$AZ$31), MAX($AZ$3:$AZ$31), AA29)), $BA$3:$BA$31, "Error", 0)</f>
        <v/>
      </c>
      <c r="AB59" s="186">
        <f t="array" ref="AB59">_xlfn.XLOOKUP(MIN(ABS($AZ$3:$AZ$31 - MEDIAN(MIN($AZ$3:$AZ$31), MAX($AZ$3:$AZ$31), AB29))), ABS($AZ$3:$AZ$31 - MEDIAN(MIN($AZ$3:$AZ$31), MAX($AZ$3:$AZ$31), AB29)), $BA$3:$BA$31, "Error", 0)</f>
        <v/>
      </c>
      <c r="AC59" s="186">
        <f t="array" ref="AC59">_xlfn.XLOOKUP(MIN(ABS($AZ$3:$AZ$31 - MEDIAN(MIN($AZ$3:$AZ$31), MAX($AZ$3:$AZ$31), AC29))), ABS($AZ$3:$AZ$31 - MEDIAN(MIN($AZ$3:$AZ$31), MAX($AZ$3:$AZ$31), AC29)), $BA$3:$BA$31, "Error", 0)</f>
        <v/>
      </c>
      <c r="AD59" s="186">
        <f t="array" ref="AD59">_xlfn.XLOOKUP(MIN(ABS($AZ$3:$AZ$31 - MEDIAN(MIN($AZ$3:$AZ$31), MAX($AZ$3:$AZ$31), AD29))), ABS($AZ$3:$AZ$31 - MEDIAN(MIN($AZ$3:$AZ$31), MAX($AZ$3:$AZ$31), AD29)), $BA$3:$BA$31, "Error", 0)</f>
        <v/>
      </c>
      <c r="AE59" s="186">
        <f t="array" ref="AE59">_xlfn.XLOOKUP(MIN(ABS($AZ$3:$AZ$31 - MEDIAN(MIN($AZ$3:$AZ$31), MAX($AZ$3:$AZ$31), AE29))), ABS($AZ$3:$AZ$31 - MEDIAN(MIN($AZ$3:$AZ$31), MAX($AZ$3:$AZ$31), AE29)), $BA$3:$BA$31, "Error", 0)</f>
        <v/>
      </c>
      <c r="AF59" s="186">
        <f t="array" ref="AF59">_xlfn.XLOOKUP(MIN(ABS($AZ$3:$AZ$31 - MEDIAN(MIN($AZ$3:$AZ$31), MAX($AZ$3:$AZ$31), AF29))), ABS($AZ$3:$AZ$31 - MEDIAN(MIN($AZ$3:$AZ$31), MAX($AZ$3:$AZ$31), AF29)), $BA$3:$BA$31, "Error", 0)</f>
        <v/>
      </c>
      <c r="AG59" s="186">
        <f t="array" ref="AG59">_xlfn.XLOOKUP(MIN(ABS($AZ$3:$AZ$31 - MEDIAN(MIN($AZ$3:$AZ$31), MAX($AZ$3:$AZ$31), AG29))), ABS($AZ$3:$AZ$31 - MEDIAN(MIN($AZ$3:$AZ$31), MAX($AZ$3:$AZ$31), AG29)), $BA$3:$BA$31, "Error", 0)</f>
        <v/>
      </c>
      <c r="AH59" s="186">
        <f t="array" ref="AH59">_xlfn.XLOOKUP(MIN(ABS($AZ$3:$AZ$31 - MEDIAN(MIN($AZ$3:$AZ$31), MAX($AZ$3:$AZ$31), AH29))), ABS($AZ$3:$AZ$31 - MEDIAN(MIN($AZ$3:$AZ$31), MAX($AZ$3:$AZ$31), AH29)), $BA$3:$BA$31, "Error", 0)</f>
        <v/>
      </c>
      <c r="AI59" s="186">
        <f t="array" ref="AI59">_xlfn.XLOOKUP(MIN(ABS($AZ$3:$AZ$31 - MEDIAN(MIN($AZ$3:$AZ$31), MAX($AZ$3:$AZ$31), AI29))), ABS($AZ$3:$AZ$31 - MEDIAN(MIN($AZ$3:$AZ$31), MAX($AZ$3:$AZ$31), AI29)), $BA$3:$BA$31, "Error", 0)</f>
        <v/>
      </c>
      <c r="AJ59" s="186">
        <f t="array" ref="AJ59">_xlfn.XLOOKUP(MIN(ABS($AZ$3:$AZ$31 - MEDIAN(MIN($AZ$3:$AZ$31), MAX($AZ$3:$AZ$31), AJ29))), ABS($AZ$3:$AZ$31 - MEDIAN(MIN($AZ$3:$AZ$31), MAX($AZ$3:$AZ$31), AJ29)), $BA$3:$BA$31, "Error", 0)</f>
        <v/>
      </c>
      <c r="AK59" s="186">
        <f t="array" ref="AK59">_xlfn.XLOOKUP(MIN(ABS($AZ$3:$AZ$31 - MEDIAN(MIN($AZ$3:$AZ$31), MAX($AZ$3:$AZ$31), AK29))), ABS($AZ$3:$AZ$31 - MEDIAN(MIN($AZ$3:$AZ$31), MAX($AZ$3:$AZ$31), AK29)), $BA$3:$BA$31, "Error", 0)</f>
        <v/>
      </c>
      <c r="AL59" s="186">
        <f t="array" ref="AL59">_xlfn.XLOOKUP(MIN(ABS($AZ$3:$AZ$31 - MEDIAN(MIN($AZ$3:$AZ$31), MAX($AZ$3:$AZ$31), AL29))), ABS($AZ$3:$AZ$31 - MEDIAN(MIN($AZ$3:$AZ$31), MAX($AZ$3:$AZ$31), AL29)), $BA$3:$BA$31, "Error", 0)</f>
        <v/>
      </c>
      <c r="AM59" s="186">
        <f t="array" ref="AM59">_xlfn.XLOOKUP(MIN(ABS($AZ$3:$AZ$31 - MEDIAN(MIN($AZ$3:$AZ$31), MAX($AZ$3:$AZ$31), AM29))), ABS($AZ$3:$AZ$31 - MEDIAN(MIN($AZ$3:$AZ$31), MAX($AZ$3:$AZ$31), AM29)), $BA$3:$BA$31, "Error", 0)</f>
        <v/>
      </c>
      <c r="AN59" s="186">
        <f t="array" ref="AN59">_xlfn.XLOOKUP(MIN(ABS($AZ$3:$AZ$31 - MEDIAN(MIN($AZ$3:$AZ$31), MAX($AZ$3:$AZ$31), AN29))), ABS($AZ$3:$AZ$31 - MEDIAN(MIN($AZ$3:$AZ$31), MAX($AZ$3:$AZ$31), AN29)), $BA$3:$BA$31, "Error", 0)</f>
        <v/>
      </c>
      <c r="AO59" s="186">
        <f t="array" ref="AO59">_xlfn.XLOOKUP(MIN(ABS($AZ$3:$AZ$31 - MEDIAN(MIN($AZ$3:$AZ$31), MAX($AZ$3:$AZ$31), AO29))), ABS($AZ$3:$AZ$31 - MEDIAN(MIN($AZ$3:$AZ$31), MAX($AZ$3:$AZ$31), AO29)), $BA$3:$BA$31, "Error", 0)</f>
        <v/>
      </c>
      <c r="AP59" s="186">
        <f t="array" ref="AP59">_xlfn.XLOOKUP(MIN(ABS($AZ$3:$AZ$31 - MEDIAN(MIN($AZ$3:$AZ$31), MAX($AZ$3:$AZ$31), AP29))), ABS($AZ$3:$AZ$31 - MEDIAN(MIN($AZ$3:$AZ$31), MAX($AZ$3:$AZ$31), AP29)), $BA$3:$BA$31, "Error", 0)</f>
        <v/>
      </c>
      <c r="AQ59" s="186">
        <f t="array" ref="AQ59">_xlfn.XLOOKUP(MIN(ABS($AZ$3:$AZ$31 - MEDIAN(MIN($AZ$3:$AZ$31), MAX($AZ$3:$AZ$31), AQ29))), ABS($AZ$3:$AZ$31 - MEDIAN(MIN($AZ$3:$AZ$31), MAX($AZ$3:$AZ$31), AQ29)), $BA$3:$BA$31, "Error", 0)</f>
        <v/>
      </c>
      <c r="AR59" s="186">
        <f t="array" ref="AR59">_xlfn.XLOOKUP(MIN(ABS($AZ$3:$AZ$31 - MEDIAN(MIN($AZ$3:$AZ$31), MAX($AZ$3:$AZ$31), AR29))), ABS($AZ$3:$AZ$31 - MEDIAN(MIN($AZ$3:$AZ$31), MAX($AZ$3:$AZ$31), AR29)), $BA$3:$BA$31, "Error", 0)</f>
        <v/>
      </c>
      <c r="AS59" s="186">
        <f t="array" ref="AS59">_xlfn.XLOOKUP(MIN(ABS($AZ$3:$AZ$31 - MEDIAN(MIN($AZ$3:$AZ$31), MAX($AZ$3:$AZ$31), AS29))), ABS($AZ$3:$AZ$31 - MEDIAN(MIN($AZ$3:$AZ$31), MAX($AZ$3:$AZ$31), AS29)), $BA$3:$BA$31, "Error", 0)</f>
        <v/>
      </c>
      <c r="AT59" s="186">
        <f t="array" ref="AT59">_xlfn.XLOOKUP(MIN(ABS($AZ$3:$AZ$31 - MEDIAN(MIN($AZ$3:$AZ$31), MAX($AZ$3:$AZ$31), AT29))), ABS($AZ$3:$AZ$31 - MEDIAN(MIN($AZ$3:$AZ$31), MAX($AZ$3:$AZ$31), AT29)), $BA$3:$BA$31, "Error", 0)</f>
        <v/>
      </c>
      <c r="AU59" s="186">
        <f t="array" ref="AU59">_xlfn.XLOOKUP(MIN(ABS($AZ$3:$AZ$31 - MEDIAN(MIN($AZ$3:$AZ$31), MAX($AZ$3:$AZ$31), AU29))), ABS($AZ$3:$AZ$31 - MEDIAN(MIN($AZ$3:$AZ$31), MAX($AZ$3:$AZ$31), AU29)), $BA$3:$BA$31, "Error", 0)</f>
        <v/>
      </c>
      <c r="AV59" s="186">
        <f t="array" ref="AV59">_xlfn.XLOOKUP(MIN(ABS($AZ$3:$AZ$31 - MEDIAN(MIN($AZ$3:$AZ$31), MAX($AZ$3:$AZ$31), AV29))), ABS($AZ$3:$AZ$31 - MEDIAN(MIN($AZ$3:$AZ$31), MAX($AZ$3:$AZ$31), AV29)), $BA$3:$BA$31, "Error", 0)</f>
        <v/>
      </c>
      <c r="AW59" s="186">
        <f t="array" ref="AW59">_xlfn.XLOOKUP(MIN(ABS($AZ$3:$AZ$31 - MEDIAN(MIN($AZ$3:$AZ$31), MAX($AZ$3:$AZ$31), AW29))), ABS($AZ$3:$AZ$31 - MEDIAN(MIN($AZ$3:$AZ$31), MAX($AZ$3:$AZ$31), AW29)), $BA$3:$BA$31, "Error", 0)</f>
        <v/>
      </c>
      <c r="AX59" s="192">
        <f t="array" ref="AX59">_xlfn.XLOOKUP(MIN(ABS($AZ$3:$AZ$31 - MEDIAN(MIN($AZ$3:$AZ$31), MAX($AZ$3:$AZ$31), AX29))), ABS($AZ$3:$AZ$31 - MEDIAN(MIN($AZ$3:$AZ$31), MAX($AZ$3:$AZ$31), AX29)), $BA$3:$BA$31, "Error", 0)</f>
        <v/>
      </c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</row>
    <row r="60" ht="25" customHeight="1">
      <c r="B60" s="164" t="inlineStr">
        <is>
          <t>GBP NZD</t>
        </is>
      </c>
      <c r="C60" s="186">
        <f t="array" ref="C60">_xlfn.XLOOKUP(MIN(ABS($AZ$3:$AZ$31 - MEDIAN(MIN($AZ$3:$AZ$31), MAX($AZ$3:$AZ$31), C30))), ABS($AZ$3:$AZ$31 - MEDIAN(MIN($AZ$3:$AZ$31), MAX($AZ$3:$AZ$31), C30)), $BA$3:$BA$31, "Error", 0)</f>
        <v/>
      </c>
      <c r="D60" s="186">
        <f t="array" ref="D60">_xlfn.XLOOKUP(MIN(ABS($AZ$3:$AZ$31 - MEDIAN(MIN($AZ$3:$AZ$31), MAX($AZ$3:$AZ$31), D30))), ABS($AZ$3:$AZ$31 - MEDIAN(MIN($AZ$3:$AZ$31), MAX($AZ$3:$AZ$31), D30)), $BA$3:$BA$31, "Error", 0)</f>
        <v/>
      </c>
      <c r="E60" s="186">
        <f t="array" ref="E60">_xlfn.XLOOKUP(MIN(ABS($AZ$3:$AZ$31 - MEDIAN(MIN($AZ$3:$AZ$31), MAX($AZ$3:$AZ$31), E30))), ABS($AZ$3:$AZ$31 - MEDIAN(MIN($AZ$3:$AZ$31), MAX($AZ$3:$AZ$31), E30)), $BA$3:$BA$31, "Error", 0)</f>
        <v/>
      </c>
      <c r="F60" s="186">
        <f t="array" ref="F60">_xlfn.XLOOKUP(MIN(ABS($AZ$3:$AZ$31 - MEDIAN(MIN($AZ$3:$AZ$31), MAX($AZ$3:$AZ$31), F30))), ABS($AZ$3:$AZ$31 - MEDIAN(MIN($AZ$3:$AZ$31), MAX($AZ$3:$AZ$31), F30)), $BA$3:$BA$31, "Error", 0)</f>
        <v/>
      </c>
      <c r="G60" s="186">
        <f t="array" ref="G60">_xlfn.XLOOKUP(MIN(ABS($AZ$3:$AZ$31 - MEDIAN(MIN($AZ$3:$AZ$31), MAX($AZ$3:$AZ$31), G30))), ABS($AZ$3:$AZ$31 - MEDIAN(MIN($AZ$3:$AZ$31), MAX($AZ$3:$AZ$31), G30)), $BA$3:$BA$31, "Error", 0)</f>
        <v/>
      </c>
      <c r="H60" s="186">
        <f t="array" ref="H60">_xlfn.XLOOKUP(MIN(ABS($AZ$3:$AZ$31 - MEDIAN(MIN($AZ$3:$AZ$31), MAX($AZ$3:$AZ$31), H30))), ABS($AZ$3:$AZ$31 - MEDIAN(MIN($AZ$3:$AZ$31), MAX($AZ$3:$AZ$31), H30)), $BA$3:$BA$31, "Error", 0)</f>
        <v/>
      </c>
      <c r="I60" s="186">
        <f t="array" ref="I60">_xlfn.XLOOKUP(MIN(ABS($AZ$3:$AZ$31 - MEDIAN(MIN($AZ$3:$AZ$31), MAX($AZ$3:$AZ$31), I30))), ABS($AZ$3:$AZ$31 - MEDIAN(MIN($AZ$3:$AZ$31), MAX($AZ$3:$AZ$31), I30)), $BA$3:$BA$31, "Error", 0)</f>
        <v/>
      </c>
      <c r="J60" s="186">
        <f t="array" ref="J60">_xlfn.XLOOKUP(MIN(ABS($AZ$3:$AZ$31 - MEDIAN(MIN($AZ$3:$AZ$31), MAX($AZ$3:$AZ$31), J30))), ABS($AZ$3:$AZ$31 - MEDIAN(MIN($AZ$3:$AZ$31), MAX($AZ$3:$AZ$31), J30)), $BA$3:$BA$31, "Error", 0)</f>
        <v/>
      </c>
      <c r="K60" s="186">
        <f t="array" ref="K60">_xlfn.XLOOKUP(MIN(ABS($AZ$3:$AZ$31 - MEDIAN(MIN($AZ$3:$AZ$31), MAX($AZ$3:$AZ$31), K30))), ABS($AZ$3:$AZ$31 - MEDIAN(MIN($AZ$3:$AZ$31), MAX($AZ$3:$AZ$31), K30)), $BA$3:$BA$31, "Error", 0)</f>
        <v/>
      </c>
      <c r="L60" s="186">
        <f t="array" ref="L60">_xlfn.XLOOKUP(MIN(ABS($AZ$3:$AZ$31 - MEDIAN(MIN($AZ$3:$AZ$31), MAX($AZ$3:$AZ$31), L30))), ABS($AZ$3:$AZ$31 - MEDIAN(MIN($AZ$3:$AZ$31), MAX($AZ$3:$AZ$31), L30)), $BA$3:$BA$31, "Error", 0)</f>
        <v/>
      </c>
      <c r="M60" s="186">
        <f t="array" ref="M60">_xlfn.XLOOKUP(MIN(ABS($AZ$3:$AZ$31 - MEDIAN(MIN($AZ$3:$AZ$31), MAX($AZ$3:$AZ$31), M30))), ABS($AZ$3:$AZ$31 - MEDIAN(MIN($AZ$3:$AZ$31), MAX($AZ$3:$AZ$31), M30)), $BA$3:$BA$31, "Error", 0)</f>
        <v/>
      </c>
      <c r="N60" s="186">
        <f t="array" ref="N60">_xlfn.XLOOKUP(MIN(ABS($AZ$3:$AZ$31 - MEDIAN(MIN($AZ$3:$AZ$31), MAX($AZ$3:$AZ$31), N30))), ABS($AZ$3:$AZ$31 - MEDIAN(MIN($AZ$3:$AZ$31), MAX($AZ$3:$AZ$31), N30)), $BA$3:$BA$31, "Error", 0)</f>
        <v/>
      </c>
      <c r="O60" s="186">
        <f t="array" ref="O60">_xlfn.XLOOKUP(MIN(ABS($AZ$3:$AZ$31 - MEDIAN(MIN($AZ$3:$AZ$31), MAX($AZ$3:$AZ$31), O30))), ABS($AZ$3:$AZ$31 - MEDIAN(MIN($AZ$3:$AZ$31), MAX($AZ$3:$AZ$31), O30)), $BA$3:$BA$31, "Error", 0)</f>
        <v/>
      </c>
      <c r="P60" s="186">
        <f t="array" ref="P60">_xlfn.XLOOKUP(MIN(ABS($AZ$3:$AZ$31 - MEDIAN(MIN($AZ$3:$AZ$31), MAX($AZ$3:$AZ$31), P30))), ABS($AZ$3:$AZ$31 - MEDIAN(MIN($AZ$3:$AZ$31), MAX($AZ$3:$AZ$31), P30)), $BA$3:$BA$31, "Error", 0)</f>
        <v/>
      </c>
      <c r="Q60" s="186">
        <f t="array" ref="Q60">_xlfn.XLOOKUP(MIN(ABS($AZ$3:$AZ$31 - MEDIAN(MIN($AZ$3:$AZ$31), MAX($AZ$3:$AZ$31), Q30))), ABS($AZ$3:$AZ$31 - MEDIAN(MIN($AZ$3:$AZ$31), MAX($AZ$3:$AZ$31), Q30)), $BA$3:$BA$31, "Error", 0)</f>
        <v/>
      </c>
      <c r="R60" s="186">
        <f t="array" ref="R60">_xlfn.XLOOKUP(MIN(ABS($AZ$3:$AZ$31 - MEDIAN(MIN($AZ$3:$AZ$31), MAX($AZ$3:$AZ$31), R30))), ABS($AZ$3:$AZ$31 - MEDIAN(MIN($AZ$3:$AZ$31), MAX($AZ$3:$AZ$31), R30)), $BA$3:$BA$31, "Error", 0)</f>
        <v/>
      </c>
      <c r="S60" s="186">
        <f t="array" ref="S60">_xlfn.XLOOKUP(MIN(ABS($AZ$3:$AZ$31 - MEDIAN(MIN($AZ$3:$AZ$31), MAX($AZ$3:$AZ$31), S30))), ABS($AZ$3:$AZ$31 - MEDIAN(MIN($AZ$3:$AZ$31), MAX($AZ$3:$AZ$31), S30)), $BA$3:$BA$31, "Error", 0)</f>
        <v/>
      </c>
      <c r="T60" s="186">
        <f t="array" ref="T60">_xlfn.XLOOKUP(MIN(ABS($AZ$3:$AZ$31 - MEDIAN(MIN($AZ$3:$AZ$31), MAX($AZ$3:$AZ$31), T30))), ABS($AZ$3:$AZ$31 - MEDIAN(MIN($AZ$3:$AZ$31), MAX($AZ$3:$AZ$31), T30)), $BA$3:$BA$31, "Error", 0)</f>
        <v/>
      </c>
      <c r="U60" s="186">
        <f t="array" ref="U60">_xlfn.XLOOKUP(MIN(ABS($AZ$3:$AZ$31 - MEDIAN(MIN($AZ$3:$AZ$31), MAX($AZ$3:$AZ$31), U30))), ABS($AZ$3:$AZ$31 - MEDIAN(MIN($AZ$3:$AZ$31), MAX($AZ$3:$AZ$31), U30)), $BA$3:$BA$31, "Error", 0)</f>
        <v/>
      </c>
      <c r="V60" s="186">
        <f t="array" ref="V60">_xlfn.XLOOKUP(MIN(ABS($AZ$3:$AZ$31 - MEDIAN(MIN($AZ$3:$AZ$31), MAX($AZ$3:$AZ$31), V30))), ABS($AZ$3:$AZ$31 - MEDIAN(MIN($AZ$3:$AZ$31), MAX($AZ$3:$AZ$31), V30)), $BA$3:$BA$31, "Error", 0)</f>
        <v/>
      </c>
      <c r="W60" s="186">
        <f t="array" ref="W60">_xlfn.XLOOKUP(MIN(ABS($AZ$3:$AZ$31 - MEDIAN(MIN($AZ$3:$AZ$31), MAX($AZ$3:$AZ$31), W30))), ABS($AZ$3:$AZ$31 - MEDIAN(MIN($AZ$3:$AZ$31), MAX($AZ$3:$AZ$31), W30)), $BA$3:$BA$31, "Error", 0)</f>
        <v/>
      </c>
      <c r="X60" s="186">
        <f t="array" ref="X60">_xlfn.XLOOKUP(MIN(ABS($AZ$3:$AZ$31 - MEDIAN(MIN($AZ$3:$AZ$31), MAX($AZ$3:$AZ$31), X30))), ABS($AZ$3:$AZ$31 - MEDIAN(MIN($AZ$3:$AZ$31), MAX($AZ$3:$AZ$31), X30)), $BA$3:$BA$31, "Error", 0)</f>
        <v/>
      </c>
      <c r="Y60" s="186">
        <f t="array" ref="Y60">_xlfn.XLOOKUP(MIN(ABS($AZ$3:$AZ$31 - MEDIAN(MIN($AZ$3:$AZ$31), MAX($AZ$3:$AZ$31), Y30))), ABS($AZ$3:$AZ$31 - MEDIAN(MIN($AZ$3:$AZ$31), MAX($AZ$3:$AZ$31), Y30)), $BA$3:$BA$31, "Error", 0)</f>
        <v/>
      </c>
      <c r="Z60" s="186">
        <f t="array" ref="Z60">_xlfn.XLOOKUP(MIN(ABS($AZ$3:$AZ$31 - MEDIAN(MIN($AZ$3:$AZ$31), MAX($AZ$3:$AZ$31), Z30))), ABS($AZ$3:$AZ$31 - MEDIAN(MIN($AZ$3:$AZ$31), MAX($AZ$3:$AZ$31), Z30)), $BA$3:$BA$31, "Error", 0)</f>
        <v/>
      </c>
      <c r="AA60" s="186">
        <f t="array" ref="AA60">_xlfn.XLOOKUP(MIN(ABS($AZ$3:$AZ$31 - MEDIAN(MIN($AZ$3:$AZ$31), MAX($AZ$3:$AZ$31), AA30))), ABS($AZ$3:$AZ$31 - MEDIAN(MIN($AZ$3:$AZ$31), MAX($AZ$3:$AZ$31), AA30)), $BA$3:$BA$31, "Error", 0)</f>
        <v/>
      </c>
      <c r="AB60" s="186">
        <f t="array" ref="AB60">_xlfn.XLOOKUP(MIN(ABS($AZ$3:$AZ$31 - MEDIAN(MIN($AZ$3:$AZ$31), MAX($AZ$3:$AZ$31), AB30))), ABS($AZ$3:$AZ$31 - MEDIAN(MIN($AZ$3:$AZ$31), MAX($AZ$3:$AZ$31), AB30)), $BA$3:$BA$31, "Error", 0)</f>
        <v/>
      </c>
      <c r="AC60" s="186">
        <f t="array" ref="AC60">_xlfn.XLOOKUP(MIN(ABS($AZ$3:$AZ$31 - MEDIAN(MIN($AZ$3:$AZ$31), MAX($AZ$3:$AZ$31), AC30))), ABS($AZ$3:$AZ$31 - MEDIAN(MIN($AZ$3:$AZ$31), MAX($AZ$3:$AZ$31), AC30)), $BA$3:$BA$31, "Error", 0)</f>
        <v/>
      </c>
      <c r="AD60" s="186">
        <f t="array" ref="AD60">_xlfn.XLOOKUP(MIN(ABS($AZ$3:$AZ$31 - MEDIAN(MIN($AZ$3:$AZ$31), MAX($AZ$3:$AZ$31), AD30))), ABS($AZ$3:$AZ$31 - MEDIAN(MIN($AZ$3:$AZ$31), MAX($AZ$3:$AZ$31), AD30)), $BA$3:$BA$31, "Error", 0)</f>
        <v/>
      </c>
      <c r="AE60" s="186">
        <f t="array" ref="AE60">_xlfn.XLOOKUP(MIN(ABS($AZ$3:$AZ$31 - MEDIAN(MIN($AZ$3:$AZ$31), MAX($AZ$3:$AZ$31), AE30))), ABS($AZ$3:$AZ$31 - MEDIAN(MIN($AZ$3:$AZ$31), MAX($AZ$3:$AZ$31), AE30)), $BA$3:$BA$31, "Error", 0)</f>
        <v/>
      </c>
      <c r="AF60" s="186">
        <f t="array" ref="AF60">_xlfn.XLOOKUP(MIN(ABS($AZ$3:$AZ$31 - MEDIAN(MIN($AZ$3:$AZ$31), MAX($AZ$3:$AZ$31), AF30))), ABS($AZ$3:$AZ$31 - MEDIAN(MIN($AZ$3:$AZ$31), MAX($AZ$3:$AZ$31), AF30)), $BA$3:$BA$31, "Error", 0)</f>
        <v/>
      </c>
      <c r="AG60" s="186">
        <f t="array" ref="AG60">_xlfn.XLOOKUP(MIN(ABS($AZ$3:$AZ$31 - MEDIAN(MIN($AZ$3:$AZ$31), MAX($AZ$3:$AZ$31), AG30))), ABS($AZ$3:$AZ$31 - MEDIAN(MIN($AZ$3:$AZ$31), MAX($AZ$3:$AZ$31), AG30)), $BA$3:$BA$31, "Error", 0)</f>
        <v/>
      </c>
      <c r="AH60" s="186">
        <f t="array" ref="AH60">_xlfn.XLOOKUP(MIN(ABS($AZ$3:$AZ$31 - MEDIAN(MIN($AZ$3:$AZ$31), MAX($AZ$3:$AZ$31), AH30))), ABS($AZ$3:$AZ$31 - MEDIAN(MIN($AZ$3:$AZ$31), MAX($AZ$3:$AZ$31), AH30)), $BA$3:$BA$31, "Error", 0)</f>
        <v/>
      </c>
      <c r="AI60" s="186">
        <f t="array" ref="AI60">_xlfn.XLOOKUP(MIN(ABS($AZ$3:$AZ$31 - MEDIAN(MIN($AZ$3:$AZ$31), MAX($AZ$3:$AZ$31), AI30))), ABS($AZ$3:$AZ$31 - MEDIAN(MIN($AZ$3:$AZ$31), MAX($AZ$3:$AZ$31), AI30)), $BA$3:$BA$31, "Error", 0)</f>
        <v/>
      </c>
      <c r="AJ60" s="186">
        <f t="array" ref="AJ60">_xlfn.XLOOKUP(MIN(ABS($AZ$3:$AZ$31 - MEDIAN(MIN($AZ$3:$AZ$31), MAX($AZ$3:$AZ$31), AJ30))), ABS($AZ$3:$AZ$31 - MEDIAN(MIN($AZ$3:$AZ$31), MAX($AZ$3:$AZ$31), AJ30)), $BA$3:$BA$31, "Error", 0)</f>
        <v/>
      </c>
      <c r="AK60" s="186">
        <f t="array" ref="AK60">_xlfn.XLOOKUP(MIN(ABS($AZ$3:$AZ$31 - MEDIAN(MIN($AZ$3:$AZ$31), MAX($AZ$3:$AZ$31), AK30))), ABS($AZ$3:$AZ$31 - MEDIAN(MIN($AZ$3:$AZ$31), MAX($AZ$3:$AZ$31), AK30)), $BA$3:$BA$31, "Error", 0)</f>
        <v/>
      </c>
      <c r="AL60" s="186">
        <f t="array" ref="AL60">_xlfn.XLOOKUP(MIN(ABS($AZ$3:$AZ$31 - MEDIAN(MIN($AZ$3:$AZ$31), MAX($AZ$3:$AZ$31), AL30))), ABS($AZ$3:$AZ$31 - MEDIAN(MIN($AZ$3:$AZ$31), MAX($AZ$3:$AZ$31), AL30)), $BA$3:$BA$31, "Error", 0)</f>
        <v/>
      </c>
      <c r="AM60" s="186">
        <f t="array" ref="AM60">_xlfn.XLOOKUP(MIN(ABS($AZ$3:$AZ$31 - MEDIAN(MIN($AZ$3:$AZ$31), MAX($AZ$3:$AZ$31), AM30))), ABS($AZ$3:$AZ$31 - MEDIAN(MIN($AZ$3:$AZ$31), MAX($AZ$3:$AZ$31), AM30)), $BA$3:$BA$31, "Error", 0)</f>
        <v/>
      </c>
      <c r="AN60" s="186">
        <f t="array" ref="AN60">_xlfn.XLOOKUP(MIN(ABS($AZ$3:$AZ$31 - MEDIAN(MIN($AZ$3:$AZ$31), MAX($AZ$3:$AZ$31), AN30))), ABS($AZ$3:$AZ$31 - MEDIAN(MIN($AZ$3:$AZ$31), MAX($AZ$3:$AZ$31), AN30)), $BA$3:$BA$31, "Error", 0)</f>
        <v/>
      </c>
      <c r="AO60" s="186">
        <f t="array" ref="AO60">_xlfn.XLOOKUP(MIN(ABS($AZ$3:$AZ$31 - MEDIAN(MIN($AZ$3:$AZ$31), MAX($AZ$3:$AZ$31), AO30))), ABS($AZ$3:$AZ$31 - MEDIAN(MIN($AZ$3:$AZ$31), MAX($AZ$3:$AZ$31), AO30)), $BA$3:$BA$31, "Error", 0)</f>
        <v/>
      </c>
      <c r="AP60" s="186">
        <f t="array" ref="AP60">_xlfn.XLOOKUP(MIN(ABS($AZ$3:$AZ$31 - MEDIAN(MIN($AZ$3:$AZ$31), MAX($AZ$3:$AZ$31), AP30))), ABS($AZ$3:$AZ$31 - MEDIAN(MIN($AZ$3:$AZ$31), MAX($AZ$3:$AZ$31), AP30)), $BA$3:$BA$31, "Error", 0)</f>
        <v/>
      </c>
      <c r="AQ60" s="186">
        <f t="array" ref="AQ60">_xlfn.XLOOKUP(MIN(ABS($AZ$3:$AZ$31 - MEDIAN(MIN($AZ$3:$AZ$31), MAX($AZ$3:$AZ$31), AQ30))), ABS($AZ$3:$AZ$31 - MEDIAN(MIN($AZ$3:$AZ$31), MAX($AZ$3:$AZ$31), AQ30)), $BA$3:$BA$31, "Error", 0)</f>
        <v/>
      </c>
      <c r="AR60" s="186">
        <f t="array" ref="AR60">_xlfn.XLOOKUP(MIN(ABS($AZ$3:$AZ$31 - MEDIAN(MIN($AZ$3:$AZ$31), MAX($AZ$3:$AZ$31), AR30))), ABS($AZ$3:$AZ$31 - MEDIAN(MIN($AZ$3:$AZ$31), MAX($AZ$3:$AZ$31), AR30)), $BA$3:$BA$31, "Error", 0)</f>
        <v/>
      </c>
      <c r="AS60" s="186">
        <f t="array" ref="AS60">_xlfn.XLOOKUP(MIN(ABS($AZ$3:$AZ$31 - MEDIAN(MIN($AZ$3:$AZ$31), MAX($AZ$3:$AZ$31), AS30))), ABS($AZ$3:$AZ$31 - MEDIAN(MIN($AZ$3:$AZ$31), MAX($AZ$3:$AZ$31), AS30)), $BA$3:$BA$31, "Error", 0)</f>
        <v/>
      </c>
      <c r="AT60" s="186">
        <f t="array" ref="AT60">_xlfn.XLOOKUP(MIN(ABS($AZ$3:$AZ$31 - MEDIAN(MIN($AZ$3:$AZ$31), MAX($AZ$3:$AZ$31), AT30))), ABS($AZ$3:$AZ$31 - MEDIAN(MIN($AZ$3:$AZ$31), MAX($AZ$3:$AZ$31), AT30)), $BA$3:$BA$31, "Error", 0)</f>
        <v/>
      </c>
      <c r="AU60" s="186">
        <f t="array" ref="AU60">_xlfn.XLOOKUP(MIN(ABS($AZ$3:$AZ$31 - MEDIAN(MIN($AZ$3:$AZ$31), MAX($AZ$3:$AZ$31), AU30))), ABS($AZ$3:$AZ$31 - MEDIAN(MIN($AZ$3:$AZ$31), MAX($AZ$3:$AZ$31), AU30)), $BA$3:$BA$31, "Error", 0)</f>
        <v/>
      </c>
      <c r="AV60" s="186">
        <f t="array" ref="AV60">_xlfn.XLOOKUP(MIN(ABS($AZ$3:$AZ$31 - MEDIAN(MIN($AZ$3:$AZ$31), MAX($AZ$3:$AZ$31), AV30))), ABS($AZ$3:$AZ$31 - MEDIAN(MIN($AZ$3:$AZ$31), MAX($AZ$3:$AZ$31), AV30)), $BA$3:$BA$31, "Error", 0)</f>
        <v/>
      </c>
      <c r="AW60" s="186">
        <f t="array" ref="AW60">_xlfn.XLOOKUP(MIN(ABS($AZ$3:$AZ$31 - MEDIAN(MIN($AZ$3:$AZ$31), MAX($AZ$3:$AZ$31), AW30))), ABS($AZ$3:$AZ$31 - MEDIAN(MIN($AZ$3:$AZ$31), MAX($AZ$3:$AZ$31), AW30)), $BA$3:$BA$31, "Error", 0)</f>
        <v/>
      </c>
      <c r="AX60" s="192">
        <f t="array" ref="AX60">_xlfn.XLOOKUP(MIN(ABS($AZ$3:$AZ$31 - MEDIAN(MIN($AZ$3:$AZ$31), MAX($AZ$3:$AZ$31), AX30))), ABS($AZ$3:$AZ$31 - MEDIAN(MIN($AZ$3:$AZ$31), MAX($AZ$3:$AZ$31), AX30)), $BA$3:$BA$31, "Error", 0)</f>
        <v/>
      </c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</row>
    <row r="61" ht="25" customHeight="1">
      <c r="B61" s="165" t="inlineStr">
        <is>
          <t xml:space="preserve">CHF JPY </t>
        </is>
      </c>
      <c r="C61" s="186">
        <f t="array" ref="C61">_xlfn.XLOOKUP(MIN(ABS($AZ$3:$AZ$31 - MEDIAN(MIN($AZ$3:$AZ$31), MAX($AZ$3:$AZ$31), C31))), ABS($AZ$3:$AZ$31 - MEDIAN(MIN($AZ$3:$AZ$31), MAX($AZ$3:$AZ$31), C31)), $BA$3:$BA$31, "Error", 0)</f>
        <v/>
      </c>
      <c r="D61" s="186">
        <f t="array" ref="D61">_xlfn.XLOOKUP(MIN(ABS($AZ$3:$AZ$31 - MEDIAN(MIN($AZ$3:$AZ$31), MAX($AZ$3:$AZ$31), D31))), ABS($AZ$3:$AZ$31 - MEDIAN(MIN($AZ$3:$AZ$31), MAX($AZ$3:$AZ$31), D31)), $BA$3:$BA$31, "Error", 0)</f>
        <v/>
      </c>
      <c r="E61" s="186">
        <f t="array" ref="E61">_xlfn.XLOOKUP(MIN(ABS($AZ$3:$AZ$31 - MEDIAN(MIN($AZ$3:$AZ$31), MAX($AZ$3:$AZ$31), E31))), ABS($AZ$3:$AZ$31 - MEDIAN(MIN($AZ$3:$AZ$31), MAX($AZ$3:$AZ$31), E31)), $BA$3:$BA$31, "Error", 0)</f>
        <v/>
      </c>
      <c r="F61" s="186">
        <f t="array" ref="F61">_xlfn.XLOOKUP(MIN(ABS($AZ$3:$AZ$31 - MEDIAN(MIN($AZ$3:$AZ$31), MAX($AZ$3:$AZ$31), F31))), ABS($AZ$3:$AZ$31 - MEDIAN(MIN($AZ$3:$AZ$31), MAX($AZ$3:$AZ$31), F31)), $BA$3:$BA$31, "Error", 0)</f>
        <v/>
      </c>
      <c r="G61" s="186">
        <f t="array" ref="G61">_xlfn.XLOOKUP(MIN(ABS($AZ$3:$AZ$31 - MEDIAN(MIN($AZ$3:$AZ$31), MAX($AZ$3:$AZ$31), G31))), ABS($AZ$3:$AZ$31 - MEDIAN(MIN($AZ$3:$AZ$31), MAX($AZ$3:$AZ$31), G31)), $BA$3:$BA$31, "Error", 0)</f>
        <v/>
      </c>
      <c r="H61" s="186">
        <f t="array" ref="H61">_xlfn.XLOOKUP(MIN(ABS($AZ$3:$AZ$31 - MEDIAN(MIN($AZ$3:$AZ$31), MAX($AZ$3:$AZ$31), H31))), ABS($AZ$3:$AZ$31 - MEDIAN(MIN($AZ$3:$AZ$31), MAX($AZ$3:$AZ$31), H31)), $BA$3:$BA$31, "Error", 0)</f>
        <v/>
      </c>
      <c r="I61" s="186">
        <f t="array" ref="I61">_xlfn.XLOOKUP(MIN(ABS($AZ$3:$AZ$31 - MEDIAN(MIN($AZ$3:$AZ$31), MAX($AZ$3:$AZ$31), I31))), ABS($AZ$3:$AZ$31 - MEDIAN(MIN($AZ$3:$AZ$31), MAX($AZ$3:$AZ$31), I31)), $BA$3:$BA$31, "Error", 0)</f>
        <v/>
      </c>
      <c r="J61" s="186">
        <f t="array" ref="J61">_xlfn.XLOOKUP(MIN(ABS($AZ$3:$AZ$31 - MEDIAN(MIN($AZ$3:$AZ$31), MAX($AZ$3:$AZ$31), J31))), ABS($AZ$3:$AZ$31 - MEDIAN(MIN($AZ$3:$AZ$31), MAX($AZ$3:$AZ$31), J31)), $BA$3:$BA$31, "Error", 0)</f>
        <v/>
      </c>
      <c r="K61" s="186">
        <f t="array" ref="K61">_xlfn.XLOOKUP(MIN(ABS($AZ$3:$AZ$31 - MEDIAN(MIN($AZ$3:$AZ$31), MAX($AZ$3:$AZ$31), K31))), ABS($AZ$3:$AZ$31 - MEDIAN(MIN($AZ$3:$AZ$31), MAX($AZ$3:$AZ$31), K31)), $BA$3:$BA$31, "Error", 0)</f>
        <v/>
      </c>
      <c r="L61" s="186">
        <f t="array" ref="L61">_xlfn.XLOOKUP(MIN(ABS($AZ$3:$AZ$31 - MEDIAN(MIN($AZ$3:$AZ$31), MAX($AZ$3:$AZ$31), L31))), ABS($AZ$3:$AZ$31 - MEDIAN(MIN($AZ$3:$AZ$31), MAX($AZ$3:$AZ$31), L31)), $BA$3:$BA$31, "Error", 0)</f>
        <v/>
      </c>
      <c r="M61" s="186">
        <f t="array" ref="M61">_xlfn.XLOOKUP(MIN(ABS($AZ$3:$AZ$31 - MEDIAN(MIN($AZ$3:$AZ$31), MAX($AZ$3:$AZ$31), M31))), ABS($AZ$3:$AZ$31 - MEDIAN(MIN($AZ$3:$AZ$31), MAX($AZ$3:$AZ$31), M31)), $BA$3:$BA$31, "Error", 0)</f>
        <v/>
      </c>
      <c r="N61" s="186">
        <f t="array" ref="N61">_xlfn.XLOOKUP(MIN(ABS($AZ$3:$AZ$31 - MEDIAN(MIN($AZ$3:$AZ$31), MAX($AZ$3:$AZ$31), N31))), ABS($AZ$3:$AZ$31 - MEDIAN(MIN($AZ$3:$AZ$31), MAX($AZ$3:$AZ$31), N31)), $BA$3:$BA$31, "Error", 0)</f>
        <v/>
      </c>
      <c r="O61" s="186">
        <f t="array" ref="O61">_xlfn.XLOOKUP(MIN(ABS($AZ$3:$AZ$31 - MEDIAN(MIN($AZ$3:$AZ$31), MAX($AZ$3:$AZ$31), O31))), ABS($AZ$3:$AZ$31 - MEDIAN(MIN($AZ$3:$AZ$31), MAX($AZ$3:$AZ$31), O31)), $BA$3:$BA$31, "Error", 0)</f>
        <v/>
      </c>
      <c r="P61" s="186">
        <f t="array" ref="P61">_xlfn.XLOOKUP(MIN(ABS($AZ$3:$AZ$31 - MEDIAN(MIN($AZ$3:$AZ$31), MAX($AZ$3:$AZ$31), P31))), ABS($AZ$3:$AZ$31 - MEDIAN(MIN($AZ$3:$AZ$31), MAX($AZ$3:$AZ$31), P31)), $BA$3:$BA$31, "Error", 0)</f>
        <v/>
      </c>
      <c r="Q61" s="186">
        <f t="array" ref="Q61">_xlfn.XLOOKUP(MIN(ABS($AZ$3:$AZ$31 - MEDIAN(MIN($AZ$3:$AZ$31), MAX($AZ$3:$AZ$31), Q31))), ABS($AZ$3:$AZ$31 - MEDIAN(MIN($AZ$3:$AZ$31), MAX($AZ$3:$AZ$31), Q31)), $BA$3:$BA$31, "Error", 0)</f>
        <v/>
      </c>
      <c r="R61" s="186">
        <f t="array" ref="R61">_xlfn.XLOOKUP(MIN(ABS($AZ$3:$AZ$31 - MEDIAN(MIN($AZ$3:$AZ$31), MAX($AZ$3:$AZ$31), R31))), ABS($AZ$3:$AZ$31 - MEDIAN(MIN($AZ$3:$AZ$31), MAX($AZ$3:$AZ$31), R31)), $BA$3:$BA$31, "Error", 0)</f>
        <v/>
      </c>
      <c r="S61" s="186">
        <f t="array" ref="S61">_xlfn.XLOOKUP(MIN(ABS($AZ$3:$AZ$31 - MEDIAN(MIN($AZ$3:$AZ$31), MAX($AZ$3:$AZ$31), S31))), ABS($AZ$3:$AZ$31 - MEDIAN(MIN($AZ$3:$AZ$31), MAX($AZ$3:$AZ$31), S31)), $BA$3:$BA$31, "Error", 0)</f>
        <v/>
      </c>
      <c r="T61" s="186">
        <f t="array" ref="T61">_xlfn.XLOOKUP(MIN(ABS($AZ$3:$AZ$31 - MEDIAN(MIN($AZ$3:$AZ$31), MAX($AZ$3:$AZ$31), T31))), ABS($AZ$3:$AZ$31 - MEDIAN(MIN($AZ$3:$AZ$31), MAX($AZ$3:$AZ$31), T31)), $BA$3:$BA$31, "Error", 0)</f>
        <v/>
      </c>
      <c r="U61" s="186">
        <f t="array" ref="U61">_xlfn.XLOOKUP(MIN(ABS($AZ$3:$AZ$31 - MEDIAN(MIN($AZ$3:$AZ$31), MAX($AZ$3:$AZ$31), U31))), ABS($AZ$3:$AZ$31 - MEDIAN(MIN($AZ$3:$AZ$31), MAX($AZ$3:$AZ$31), U31)), $BA$3:$BA$31, "Error", 0)</f>
        <v/>
      </c>
      <c r="V61" s="186">
        <f t="array" ref="V61">_xlfn.XLOOKUP(MIN(ABS($AZ$3:$AZ$31 - MEDIAN(MIN($AZ$3:$AZ$31), MAX($AZ$3:$AZ$31), V31))), ABS($AZ$3:$AZ$31 - MEDIAN(MIN($AZ$3:$AZ$31), MAX($AZ$3:$AZ$31), V31)), $BA$3:$BA$31, "Error", 0)</f>
        <v/>
      </c>
      <c r="W61" s="186">
        <f t="array" ref="W61">_xlfn.XLOOKUP(MIN(ABS($AZ$3:$AZ$31 - MEDIAN(MIN($AZ$3:$AZ$31), MAX($AZ$3:$AZ$31), W31))), ABS($AZ$3:$AZ$31 - MEDIAN(MIN($AZ$3:$AZ$31), MAX($AZ$3:$AZ$31), W31)), $BA$3:$BA$31, "Error", 0)</f>
        <v/>
      </c>
      <c r="X61" s="186">
        <f t="array" ref="X61">_xlfn.XLOOKUP(MIN(ABS($AZ$3:$AZ$31 - MEDIAN(MIN($AZ$3:$AZ$31), MAX($AZ$3:$AZ$31), X31))), ABS($AZ$3:$AZ$31 - MEDIAN(MIN($AZ$3:$AZ$31), MAX($AZ$3:$AZ$31), X31)), $BA$3:$BA$31, "Error", 0)</f>
        <v/>
      </c>
      <c r="Y61" s="186">
        <f t="array" ref="Y61">_xlfn.XLOOKUP(MIN(ABS($AZ$3:$AZ$31 - MEDIAN(MIN($AZ$3:$AZ$31), MAX($AZ$3:$AZ$31), Y31))), ABS($AZ$3:$AZ$31 - MEDIAN(MIN($AZ$3:$AZ$31), MAX($AZ$3:$AZ$31), Y31)), $BA$3:$BA$31, "Error", 0)</f>
        <v/>
      </c>
      <c r="Z61" s="186">
        <f t="array" ref="Z61">_xlfn.XLOOKUP(MIN(ABS($AZ$3:$AZ$31 - MEDIAN(MIN($AZ$3:$AZ$31), MAX($AZ$3:$AZ$31), Z31))), ABS($AZ$3:$AZ$31 - MEDIAN(MIN($AZ$3:$AZ$31), MAX($AZ$3:$AZ$31), Z31)), $BA$3:$BA$31, "Error", 0)</f>
        <v/>
      </c>
      <c r="AA61" s="186">
        <f t="array" ref="AA61">_xlfn.XLOOKUP(MIN(ABS($AZ$3:$AZ$31 - MEDIAN(MIN($AZ$3:$AZ$31), MAX($AZ$3:$AZ$31), AA31))), ABS($AZ$3:$AZ$31 - MEDIAN(MIN($AZ$3:$AZ$31), MAX($AZ$3:$AZ$31), AA31)), $BA$3:$BA$31, "Error", 0)</f>
        <v/>
      </c>
      <c r="AB61" s="186">
        <f t="array" ref="AB61">_xlfn.XLOOKUP(MIN(ABS($AZ$3:$AZ$31 - MEDIAN(MIN($AZ$3:$AZ$31), MAX($AZ$3:$AZ$31), AB31))), ABS($AZ$3:$AZ$31 - MEDIAN(MIN($AZ$3:$AZ$31), MAX($AZ$3:$AZ$31), AB31)), $BA$3:$BA$31, "Error", 0)</f>
        <v/>
      </c>
      <c r="AC61" s="186">
        <f t="array" ref="AC61">_xlfn.XLOOKUP(MIN(ABS($AZ$3:$AZ$31 - MEDIAN(MIN($AZ$3:$AZ$31), MAX($AZ$3:$AZ$31), AC31))), ABS($AZ$3:$AZ$31 - MEDIAN(MIN($AZ$3:$AZ$31), MAX($AZ$3:$AZ$31), AC31)), $BA$3:$BA$31, "Error", 0)</f>
        <v/>
      </c>
      <c r="AD61" s="186">
        <f t="array" ref="AD61">_xlfn.XLOOKUP(MIN(ABS($AZ$3:$AZ$31 - MEDIAN(MIN($AZ$3:$AZ$31), MAX($AZ$3:$AZ$31), AD31))), ABS($AZ$3:$AZ$31 - MEDIAN(MIN($AZ$3:$AZ$31), MAX($AZ$3:$AZ$31), AD31)), $BA$3:$BA$31, "Error", 0)</f>
        <v/>
      </c>
      <c r="AE61" s="186">
        <f t="array" ref="AE61">_xlfn.XLOOKUP(MIN(ABS($AZ$3:$AZ$31 - MEDIAN(MIN($AZ$3:$AZ$31), MAX($AZ$3:$AZ$31), AE31))), ABS($AZ$3:$AZ$31 - MEDIAN(MIN($AZ$3:$AZ$31), MAX($AZ$3:$AZ$31), AE31)), $BA$3:$BA$31, "Error", 0)</f>
        <v/>
      </c>
      <c r="AF61" s="186">
        <f t="array" ref="AF61">_xlfn.XLOOKUP(MIN(ABS($AZ$3:$AZ$31 - MEDIAN(MIN($AZ$3:$AZ$31), MAX($AZ$3:$AZ$31), AF31))), ABS($AZ$3:$AZ$31 - MEDIAN(MIN($AZ$3:$AZ$31), MAX($AZ$3:$AZ$31), AF31)), $BA$3:$BA$31, "Error", 0)</f>
        <v/>
      </c>
      <c r="AG61" s="186">
        <f t="array" ref="AG61">_xlfn.XLOOKUP(MIN(ABS($AZ$3:$AZ$31 - MEDIAN(MIN($AZ$3:$AZ$31), MAX($AZ$3:$AZ$31), AG31))), ABS($AZ$3:$AZ$31 - MEDIAN(MIN($AZ$3:$AZ$31), MAX($AZ$3:$AZ$31), AG31)), $BA$3:$BA$31, "Error", 0)</f>
        <v/>
      </c>
      <c r="AH61" s="186">
        <f t="array" ref="AH61">_xlfn.XLOOKUP(MIN(ABS($AZ$3:$AZ$31 - MEDIAN(MIN($AZ$3:$AZ$31), MAX($AZ$3:$AZ$31), AH31))), ABS($AZ$3:$AZ$31 - MEDIAN(MIN($AZ$3:$AZ$31), MAX($AZ$3:$AZ$31), AH31)), $BA$3:$BA$31, "Error", 0)</f>
        <v/>
      </c>
      <c r="AI61" s="186">
        <f t="array" ref="AI61">_xlfn.XLOOKUP(MIN(ABS($AZ$3:$AZ$31 - MEDIAN(MIN($AZ$3:$AZ$31), MAX($AZ$3:$AZ$31), AI31))), ABS($AZ$3:$AZ$31 - MEDIAN(MIN($AZ$3:$AZ$31), MAX($AZ$3:$AZ$31), AI31)), $BA$3:$BA$31, "Error", 0)</f>
        <v/>
      </c>
      <c r="AJ61" s="186">
        <f t="array" ref="AJ61">_xlfn.XLOOKUP(MIN(ABS($AZ$3:$AZ$31 - MEDIAN(MIN($AZ$3:$AZ$31), MAX($AZ$3:$AZ$31), AJ31))), ABS($AZ$3:$AZ$31 - MEDIAN(MIN($AZ$3:$AZ$31), MAX($AZ$3:$AZ$31), AJ31)), $BA$3:$BA$31, "Error", 0)</f>
        <v/>
      </c>
      <c r="AK61" s="186">
        <f t="array" ref="AK61">_xlfn.XLOOKUP(MIN(ABS($AZ$3:$AZ$31 - MEDIAN(MIN($AZ$3:$AZ$31), MAX($AZ$3:$AZ$31), AK31))), ABS($AZ$3:$AZ$31 - MEDIAN(MIN($AZ$3:$AZ$31), MAX($AZ$3:$AZ$31), AK31)), $BA$3:$BA$31, "Error", 0)</f>
        <v/>
      </c>
      <c r="AL61" s="186">
        <f t="array" ref="AL61">_xlfn.XLOOKUP(MIN(ABS($AZ$3:$AZ$31 - MEDIAN(MIN($AZ$3:$AZ$31), MAX($AZ$3:$AZ$31), AL31))), ABS($AZ$3:$AZ$31 - MEDIAN(MIN($AZ$3:$AZ$31), MAX($AZ$3:$AZ$31), AL31)), $BA$3:$BA$31, "Error", 0)</f>
        <v/>
      </c>
      <c r="AM61" s="186">
        <f t="array" ref="AM61">_xlfn.XLOOKUP(MIN(ABS($AZ$3:$AZ$31 - MEDIAN(MIN($AZ$3:$AZ$31), MAX($AZ$3:$AZ$31), AM31))), ABS($AZ$3:$AZ$31 - MEDIAN(MIN($AZ$3:$AZ$31), MAX($AZ$3:$AZ$31), AM31)), $BA$3:$BA$31, "Error", 0)</f>
        <v/>
      </c>
      <c r="AN61" s="186">
        <f t="array" ref="AN61">_xlfn.XLOOKUP(MIN(ABS($AZ$3:$AZ$31 - MEDIAN(MIN($AZ$3:$AZ$31), MAX($AZ$3:$AZ$31), AN31))), ABS($AZ$3:$AZ$31 - MEDIAN(MIN($AZ$3:$AZ$31), MAX($AZ$3:$AZ$31), AN31)), $BA$3:$BA$31, "Error", 0)</f>
        <v/>
      </c>
      <c r="AO61" s="186">
        <f t="array" ref="AO61">_xlfn.XLOOKUP(MIN(ABS($AZ$3:$AZ$31 - MEDIAN(MIN($AZ$3:$AZ$31), MAX($AZ$3:$AZ$31), AO31))), ABS($AZ$3:$AZ$31 - MEDIAN(MIN($AZ$3:$AZ$31), MAX($AZ$3:$AZ$31), AO31)), $BA$3:$BA$31, "Error", 0)</f>
        <v/>
      </c>
      <c r="AP61" s="186">
        <f t="array" ref="AP61">_xlfn.XLOOKUP(MIN(ABS($AZ$3:$AZ$31 - MEDIAN(MIN($AZ$3:$AZ$31), MAX($AZ$3:$AZ$31), AP31))), ABS($AZ$3:$AZ$31 - MEDIAN(MIN($AZ$3:$AZ$31), MAX($AZ$3:$AZ$31), AP31)), $BA$3:$BA$31, "Error", 0)</f>
        <v/>
      </c>
      <c r="AQ61" s="186">
        <f t="array" ref="AQ61">_xlfn.XLOOKUP(MIN(ABS($AZ$3:$AZ$31 - MEDIAN(MIN($AZ$3:$AZ$31), MAX($AZ$3:$AZ$31), AQ31))), ABS($AZ$3:$AZ$31 - MEDIAN(MIN($AZ$3:$AZ$31), MAX($AZ$3:$AZ$31), AQ31)), $BA$3:$BA$31, "Error", 0)</f>
        <v/>
      </c>
      <c r="AR61" s="186">
        <f t="array" ref="AR61">_xlfn.XLOOKUP(MIN(ABS($AZ$3:$AZ$31 - MEDIAN(MIN($AZ$3:$AZ$31), MAX($AZ$3:$AZ$31), AR31))), ABS($AZ$3:$AZ$31 - MEDIAN(MIN($AZ$3:$AZ$31), MAX($AZ$3:$AZ$31), AR31)), $BA$3:$BA$31, "Error", 0)</f>
        <v/>
      </c>
      <c r="AS61" s="186">
        <f t="array" ref="AS61">_xlfn.XLOOKUP(MIN(ABS($AZ$3:$AZ$31 - MEDIAN(MIN($AZ$3:$AZ$31), MAX($AZ$3:$AZ$31), AS31))), ABS($AZ$3:$AZ$31 - MEDIAN(MIN($AZ$3:$AZ$31), MAX($AZ$3:$AZ$31), AS31)), $BA$3:$BA$31, "Error", 0)</f>
        <v/>
      </c>
      <c r="AT61" s="186">
        <f t="array" ref="AT61">_xlfn.XLOOKUP(MIN(ABS($AZ$3:$AZ$31 - MEDIAN(MIN($AZ$3:$AZ$31), MAX($AZ$3:$AZ$31), AT31))), ABS($AZ$3:$AZ$31 - MEDIAN(MIN($AZ$3:$AZ$31), MAX($AZ$3:$AZ$31), AT31)), $BA$3:$BA$31, "Error", 0)</f>
        <v/>
      </c>
      <c r="AU61" s="186">
        <f t="array" ref="AU61">_xlfn.XLOOKUP(MIN(ABS($AZ$3:$AZ$31 - MEDIAN(MIN($AZ$3:$AZ$31), MAX($AZ$3:$AZ$31), AU31))), ABS($AZ$3:$AZ$31 - MEDIAN(MIN($AZ$3:$AZ$31), MAX($AZ$3:$AZ$31), AU31)), $BA$3:$BA$31, "Error", 0)</f>
        <v/>
      </c>
      <c r="AV61" s="186">
        <f t="array" ref="AV61">_xlfn.XLOOKUP(MIN(ABS($AZ$3:$AZ$31 - MEDIAN(MIN($AZ$3:$AZ$31), MAX($AZ$3:$AZ$31), AV31))), ABS($AZ$3:$AZ$31 - MEDIAN(MIN($AZ$3:$AZ$31), MAX($AZ$3:$AZ$31), AV31)), $BA$3:$BA$31, "Error", 0)</f>
        <v/>
      </c>
      <c r="AW61" s="186">
        <f t="array" ref="AW61">_xlfn.XLOOKUP(MIN(ABS($AZ$3:$AZ$31 - MEDIAN(MIN($AZ$3:$AZ$31), MAX($AZ$3:$AZ$31), AW31))), ABS($AZ$3:$AZ$31 - MEDIAN(MIN($AZ$3:$AZ$31), MAX($AZ$3:$AZ$31), AW31)), $BA$3:$BA$31, "Error", 0)</f>
        <v/>
      </c>
      <c r="AX61" s="192">
        <f t="array" ref="AX61">_xlfn.XLOOKUP(MIN(ABS($AZ$3:$AZ$31 - MEDIAN(MIN($AZ$3:$AZ$31), MAX($AZ$3:$AZ$31), AX31))), ABS($AZ$3:$AZ$31 - MEDIAN(MIN($AZ$3:$AZ$31), MAX($AZ$3:$AZ$31), AX31)), $BA$3:$BA$31, "Error", 0)</f>
        <v/>
      </c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</row>
    <row r="62" ht="25" customHeight="1">
      <c r="B62" s="168" t="inlineStr">
        <is>
          <t>AUD USD</t>
        </is>
      </c>
      <c r="C62" s="186">
        <f t="array" ref="C62">_xlfn.XLOOKUP(MIN(ABS($AZ$3:$AZ$31 - MEDIAN(MIN($AZ$3:$AZ$31), MAX($AZ$3:$AZ$31), C32))), ABS($AZ$3:$AZ$31 - MEDIAN(MIN($AZ$3:$AZ$31), MAX($AZ$3:$AZ$31), C32)), $BA$3:$BA$31, "Error", 0)</f>
        <v/>
      </c>
      <c r="D62" s="186">
        <f t="array" ref="D62">_xlfn.XLOOKUP(MIN(ABS($AZ$3:$AZ$31 - MEDIAN(MIN($AZ$3:$AZ$31), MAX($AZ$3:$AZ$31), D32))), ABS($AZ$3:$AZ$31 - MEDIAN(MIN($AZ$3:$AZ$31), MAX($AZ$3:$AZ$31), D32)), $BA$3:$BA$31, "Error", 0)</f>
        <v/>
      </c>
      <c r="E62" s="186">
        <f t="array" ref="E62">_xlfn.XLOOKUP(MIN(ABS($AZ$3:$AZ$31 - MEDIAN(MIN($AZ$3:$AZ$31), MAX($AZ$3:$AZ$31), E32))), ABS($AZ$3:$AZ$31 - MEDIAN(MIN($AZ$3:$AZ$31), MAX($AZ$3:$AZ$31), E32)), $BA$3:$BA$31, "Error", 0)</f>
        <v/>
      </c>
      <c r="F62" s="186">
        <f t="array" ref="F62">_xlfn.XLOOKUP(MIN(ABS($AZ$3:$AZ$31 - MEDIAN(MIN($AZ$3:$AZ$31), MAX($AZ$3:$AZ$31), F32))), ABS($AZ$3:$AZ$31 - MEDIAN(MIN($AZ$3:$AZ$31), MAX($AZ$3:$AZ$31), F32)), $BA$3:$BA$31, "Error", 0)</f>
        <v/>
      </c>
      <c r="G62" s="186">
        <f t="array" ref="G62">_xlfn.XLOOKUP(MIN(ABS($AZ$3:$AZ$31 - MEDIAN(MIN($AZ$3:$AZ$31), MAX($AZ$3:$AZ$31), G32))), ABS($AZ$3:$AZ$31 - MEDIAN(MIN($AZ$3:$AZ$31), MAX($AZ$3:$AZ$31), G32)), $BA$3:$BA$31, "Error", 0)</f>
        <v/>
      </c>
      <c r="H62" s="186">
        <f t="array" ref="H62">_xlfn.XLOOKUP(MIN(ABS($AZ$3:$AZ$31 - MEDIAN(MIN($AZ$3:$AZ$31), MAX($AZ$3:$AZ$31), H32))), ABS($AZ$3:$AZ$31 - MEDIAN(MIN($AZ$3:$AZ$31), MAX($AZ$3:$AZ$31), H32)), $BA$3:$BA$31, "Error", 0)</f>
        <v/>
      </c>
      <c r="I62" s="186">
        <f t="array" ref="I62">_xlfn.XLOOKUP(MIN(ABS($AZ$3:$AZ$31 - MEDIAN(MIN($AZ$3:$AZ$31), MAX($AZ$3:$AZ$31), I32))), ABS($AZ$3:$AZ$31 - MEDIAN(MIN($AZ$3:$AZ$31), MAX($AZ$3:$AZ$31), I32)), $BA$3:$BA$31, "Error", 0)</f>
        <v/>
      </c>
      <c r="J62" s="186">
        <f t="array" ref="J62">_xlfn.XLOOKUP(MIN(ABS($AZ$3:$AZ$31 - MEDIAN(MIN($AZ$3:$AZ$31), MAX($AZ$3:$AZ$31), J32))), ABS($AZ$3:$AZ$31 - MEDIAN(MIN($AZ$3:$AZ$31), MAX($AZ$3:$AZ$31), J32)), $BA$3:$BA$31, "Error", 0)</f>
        <v/>
      </c>
      <c r="K62" s="186">
        <f t="array" ref="K62">_xlfn.XLOOKUP(MIN(ABS($AZ$3:$AZ$31 - MEDIAN(MIN($AZ$3:$AZ$31), MAX($AZ$3:$AZ$31), K32))), ABS($AZ$3:$AZ$31 - MEDIAN(MIN($AZ$3:$AZ$31), MAX($AZ$3:$AZ$31), K32)), $BA$3:$BA$31, "Error", 0)</f>
        <v/>
      </c>
      <c r="L62" s="186">
        <f t="array" ref="L62">_xlfn.XLOOKUP(MIN(ABS($AZ$3:$AZ$31 - MEDIAN(MIN($AZ$3:$AZ$31), MAX($AZ$3:$AZ$31), L32))), ABS($AZ$3:$AZ$31 - MEDIAN(MIN($AZ$3:$AZ$31), MAX($AZ$3:$AZ$31), L32)), $BA$3:$BA$31, "Error", 0)</f>
        <v/>
      </c>
      <c r="M62" s="186">
        <f t="array" ref="M62">_xlfn.XLOOKUP(MIN(ABS($AZ$3:$AZ$31 - MEDIAN(MIN($AZ$3:$AZ$31), MAX($AZ$3:$AZ$31), M32))), ABS($AZ$3:$AZ$31 - MEDIAN(MIN($AZ$3:$AZ$31), MAX($AZ$3:$AZ$31), M32)), $BA$3:$BA$31, "Error", 0)</f>
        <v/>
      </c>
      <c r="N62" s="186">
        <f t="array" ref="N62">_xlfn.XLOOKUP(MIN(ABS($AZ$3:$AZ$31 - MEDIAN(MIN($AZ$3:$AZ$31), MAX($AZ$3:$AZ$31), N32))), ABS($AZ$3:$AZ$31 - MEDIAN(MIN($AZ$3:$AZ$31), MAX($AZ$3:$AZ$31), N32)), $BA$3:$BA$31, "Error", 0)</f>
        <v/>
      </c>
      <c r="O62" s="186">
        <f t="array" ref="O62">_xlfn.XLOOKUP(MIN(ABS($AZ$3:$AZ$31 - MEDIAN(MIN($AZ$3:$AZ$31), MAX($AZ$3:$AZ$31), O32))), ABS($AZ$3:$AZ$31 - MEDIAN(MIN($AZ$3:$AZ$31), MAX($AZ$3:$AZ$31), O32)), $BA$3:$BA$31, "Error", 0)</f>
        <v/>
      </c>
      <c r="P62" s="186">
        <f t="array" ref="P62">_xlfn.XLOOKUP(MIN(ABS($AZ$3:$AZ$31 - MEDIAN(MIN($AZ$3:$AZ$31), MAX($AZ$3:$AZ$31), P32))), ABS($AZ$3:$AZ$31 - MEDIAN(MIN($AZ$3:$AZ$31), MAX($AZ$3:$AZ$31), P32)), $BA$3:$BA$31, "Error", 0)</f>
        <v/>
      </c>
      <c r="Q62" s="186">
        <f t="array" ref="Q62">_xlfn.XLOOKUP(MIN(ABS($AZ$3:$AZ$31 - MEDIAN(MIN($AZ$3:$AZ$31), MAX($AZ$3:$AZ$31), Q32))), ABS($AZ$3:$AZ$31 - MEDIAN(MIN($AZ$3:$AZ$31), MAX($AZ$3:$AZ$31), Q32)), $BA$3:$BA$31, "Error", 0)</f>
        <v/>
      </c>
      <c r="R62" s="186">
        <f t="array" ref="R62">_xlfn.XLOOKUP(MIN(ABS($AZ$3:$AZ$31 - MEDIAN(MIN($AZ$3:$AZ$31), MAX($AZ$3:$AZ$31), R32))), ABS($AZ$3:$AZ$31 - MEDIAN(MIN($AZ$3:$AZ$31), MAX($AZ$3:$AZ$31), R32)), $BA$3:$BA$31, "Error", 0)</f>
        <v/>
      </c>
      <c r="S62" s="186">
        <f t="array" ref="S62">_xlfn.XLOOKUP(MIN(ABS($AZ$3:$AZ$31 - MEDIAN(MIN($AZ$3:$AZ$31), MAX($AZ$3:$AZ$31), S32))), ABS($AZ$3:$AZ$31 - MEDIAN(MIN($AZ$3:$AZ$31), MAX($AZ$3:$AZ$31), S32)), $BA$3:$BA$31, "Error", 0)</f>
        <v/>
      </c>
      <c r="T62" s="186">
        <f t="array" ref="T62">_xlfn.XLOOKUP(MIN(ABS($AZ$3:$AZ$31 - MEDIAN(MIN($AZ$3:$AZ$31), MAX($AZ$3:$AZ$31), T32))), ABS($AZ$3:$AZ$31 - MEDIAN(MIN($AZ$3:$AZ$31), MAX($AZ$3:$AZ$31), T32)), $BA$3:$BA$31, "Error", 0)</f>
        <v/>
      </c>
      <c r="U62" s="186">
        <f t="array" ref="U62">_xlfn.XLOOKUP(MIN(ABS($AZ$3:$AZ$31 - MEDIAN(MIN($AZ$3:$AZ$31), MAX($AZ$3:$AZ$31), U32))), ABS($AZ$3:$AZ$31 - MEDIAN(MIN($AZ$3:$AZ$31), MAX($AZ$3:$AZ$31), U32)), $BA$3:$BA$31, "Error", 0)</f>
        <v/>
      </c>
      <c r="V62" s="186">
        <f t="array" ref="V62">_xlfn.XLOOKUP(MIN(ABS($AZ$3:$AZ$31 - MEDIAN(MIN($AZ$3:$AZ$31), MAX($AZ$3:$AZ$31), V32))), ABS($AZ$3:$AZ$31 - MEDIAN(MIN($AZ$3:$AZ$31), MAX($AZ$3:$AZ$31), V32)), $BA$3:$BA$31, "Error", 0)</f>
        <v/>
      </c>
      <c r="W62" s="186">
        <f t="array" ref="W62">_xlfn.XLOOKUP(MIN(ABS($AZ$3:$AZ$31 - MEDIAN(MIN($AZ$3:$AZ$31), MAX($AZ$3:$AZ$31), W32))), ABS($AZ$3:$AZ$31 - MEDIAN(MIN($AZ$3:$AZ$31), MAX($AZ$3:$AZ$31), W32)), $BA$3:$BA$31, "Error", 0)</f>
        <v/>
      </c>
      <c r="X62" s="186">
        <f t="array" ref="X62">_xlfn.XLOOKUP(MIN(ABS($AZ$3:$AZ$31 - MEDIAN(MIN($AZ$3:$AZ$31), MAX($AZ$3:$AZ$31), X32))), ABS($AZ$3:$AZ$31 - MEDIAN(MIN($AZ$3:$AZ$31), MAX($AZ$3:$AZ$31), X32)), $BA$3:$BA$31, "Error", 0)</f>
        <v/>
      </c>
      <c r="Y62" s="186">
        <f t="array" ref="Y62">_xlfn.XLOOKUP(MIN(ABS($AZ$3:$AZ$31 - MEDIAN(MIN($AZ$3:$AZ$31), MAX($AZ$3:$AZ$31), Y32))), ABS($AZ$3:$AZ$31 - MEDIAN(MIN($AZ$3:$AZ$31), MAX($AZ$3:$AZ$31), Y32)), $BA$3:$BA$31, "Error", 0)</f>
        <v/>
      </c>
      <c r="Z62" s="186">
        <f t="array" ref="Z62">_xlfn.XLOOKUP(MIN(ABS($AZ$3:$AZ$31 - MEDIAN(MIN($AZ$3:$AZ$31), MAX($AZ$3:$AZ$31), Z32))), ABS($AZ$3:$AZ$31 - MEDIAN(MIN($AZ$3:$AZ$31), MAX($AZ$3:$AZ$31), Z32)), $BA$3:$BA$31, "Error", 0)</f>
        <v/>
      </c>
      <c r="AA62" s="186">
        <f t="array" ref="AA62">_xlfn.XLOOKUP(MIN(ABS($AZ$3:$AZ$31 - MEDIAN(MIN($AZ$3:$AZ$31), MAX($AZ$3:$AZ$31), AA32))), ABS($AZ$3:$AZ$31 - MEDIAN(MIN($AZ$3:$AZ$31), MAX($AZ$3:$AZ$31), AA32)), $BA$3:$BA$31, "Error", 0)</f>
        <v/>
      </c>
      <c r="AB62" s="186">
        <f t="array" ref="AB62">_xlfn.XLOOKUP(MIN(ABS($AZ$3:$AZ$31 - MEDIAN(MIN($AZ$3:$AZ$31), MAX($AZ$3:$AZ$31), AB32))), ABS($AZ$3:$AZ$31 - MEDIAN(MIN($AZ$3:$AZ$31), MAX($AZ$3:$AZ$31), AB32)), $BA$3:$BA$31, "Error", 0)</f>
        <v/>
      </c>
      <c r="AC62" s="186">
        <f t="array" ref="AC62">_xlfn.XLOOKUP(MIN(ABS($AZ$3:$AZ$31 - MEDIAN(MIN($AZ$3:$AZ$31), MAX($AZ$3:$AZ$31), AC32))), ABS($AZ$3:$AZ$31 - MEDIAN(MIN($AZ$3:$AZ$31), MAX($AZ$3:$AZ$31), AC32)), $BA$3:$BA$31, "Error", 0)</f>
        <v/>
      </c>
      <c r="AD62" s="186">
        <f t="array" ref="AD62">_xlfn.XLOOKUP(MIN(ABS($AZ$3:$AZ$31 - MEDIAN(MIN($AZ$3:$AZ$31), MAX($AZ$3:$AZ$31), AD32))), ABS($AZ$3:$AZ$31 - MEDIAN(MIN($AZ$3:$AZ$31), MAX($AZ$3:$AZ$31), AD32)), $BA$3:$BA$31, "Error", 0)</f>
        <v/>
      </c>
      <c r="AE62" s="186">
        <f t="array" ref="AE62">_xlfn.XLOOKUP(MIN(ABS($AZ$3:$AZ$31 - MEDIAN(MIN($AZ$3:$AZ$31), MAX($AZ$3:$AZ$31), AE32))), ABS($AZ$3:$AZ$31 - MEDIAN(MIN($AZ$3:$AZ$31), MAX($AZ$3:$AZ$31), AE32)), $BA$3:$BA$31, "Error", 0)</f>
        <v/>
      </c>
      <c r="AF62" s="186">
        <f t="array" ref="AF62">_xlfn.XLOOKUP(MIN(ABS($AZ$3:$AZ$31 - MEDIAN(MIN($AZ$3:$AZ$31), MAX($AZ$3:$AZ$31), AF32))), ABS($AZ$3:$AZ$31 - MEDIAN(MIN($AZ$3:$AZ$31), MAX($AZ$3:$AZ$31), AF32)), $BA$3:$BA$31, "Error", 0)</f>
        <v/>
      </c>
      <c r="AG62" s="186">
        <f t="array" ref="AG62">_xlfn.XLOOKUP(MIN(ABS($AZ$3:$AZ$31 - MEDIAN(MIN($AZ$3:$AZ$31), MAX($AZ$3:$AZ$31), AG32))), ABS($AZ$3:$AZ$31 - MEDIAN(MIN($AZ$3:$AZ$31), MAX($AZ$3:$AZ$31), AG32)), $BA$3:$BA$31, "Error", 0)</f>
        <v/>
      </c>
      <c r="AH62" s="186">
        <f t="array" ref="AH62">_xlfn.XLOOKUP(MIN(ABS($AZ$3:$AZ$31 - MEDIAN(MIN($AZ$3:$AZ$31), MAX($AZ$3:$AZ$31), AH32))), ABS($AZ$3:$AZ$31 - MEDIAN(MIN($AZ$3:$AZ$31), MAX($AZ$3:$AZ$31), AH32)), $BA$3:$BA$31, "Error", 0)</f>
        <v/>
      </c>
      <c r="AI62" s="186">
        <f t="array" ref="AI62">_xlfn.XLOOKUP(MIN(ABS($AZ$3:$AZ$31 - MEDIAN(MIN($AZ$3:$AZ$31), MAX($AZ$3:$AZ$31), AI32))), ABS($AZ$3:$AZ$31 - MEDIAN(MIN($AZ$3:$AZ$31), MAX($AZ$3:$AZ$31), AI32)), $BA$3:$BA$31, "Error", 0)</f>
        <v/>
      </c>
      <c r="AJ62" s="186">
        <f t="array" ref="AJ62">_xlfn.XLOOKUP(MIN(ABS($AZ$3:$AZ$31 - MEDIAN(MIN($AZ$3:$AZ$31), MAX($AZ$3:$AZ$31), AJ32))), ABS($AZ$3:$AZ$31 - MEDIAN(MIN($AZ$3:$AZ$31), MAX($AZ$3:$AZ$31), AJ32)), $BA$3:$BA$31, "Error", 0)</f>
        <v/>
      </c>
      <c r="AK62" s="186">
        <f t="array" ref="AK62">_xlfn.XLOOKUP(MIN(ABS($AZ$3:$AZ$31 - MEDIAN(MIN($AZ$3:$AZ$31), MAX($AZ$3:$AZ$31), AK32))), ABS($AZ$3:$AZ$31 - MEDIAN(MIN($AZ$3:$AZ$31), MAX($AZ$3:$AZ$31), AK32)), $BA$3:$BA$31, "Error", 0)</f>
        <v/>
      </c>
      <c r="AL62" s="186">
        <f t="array" ref="AL62">_xlfn.XLOOKUP(MIN(ABS($AZ$3:$AZ$31 - MEDIAN(MIN($AZ$3:$AZ$31), MAX($AZ$3:$AZ$31), AL32))), ABS($AZ$3:$AZ$31 - MEDIAN(MIN($AZ$3:$AZ$31), MAX($AZ$3:$AZ$31), AL32)), $BA$3:$BA$31, "Error", 0)</f>
        <v/>
      </c>
      <c r="AM62" s="186">
        <f t="array" ref="AM62">_xlfn.XLOOKUP(MIN(ABS($AZ$3:$AZ$31 - MEDIAN(MIN($AZ$3:$AZ$31), MAX($AZ$3:$AZ$31), AM32))), ABS($AZ$3:$AZ$31 - MEDIAN(MIN($AZ$3:$AZ$31), MAX($AZ$3:$AZ$31), AM32)), $BA$3:$BA$31, "Error", 0)</f>
        <v/>
      </c>
      <c r="AN62" s="186">
        <f t="array" ref="AN62">_xlfn.XLOOKUP(MIN(ABS($AZ$3:$AZ$31 - MEDIAN(MIN($AZ$3:$AZ$31), MAX($AZ$3:$AZ$31), AN32))), ABS($AZ$3:$AZ$31 - MEDIAN(MIN($AZ$3:$AZ$31), MAX($AZ$3:$AZ$31), AN32)), $BA$3:$BA$31, "Error", 0)</f>
        <v/>
      </c>
      <c r="AO62" s="186">
        <f t="array" ref="AO62">_xlfn.XLOOKUP(MIN(ABS($AZ$3:$AZ$31 - MEDIAN(MIN($AZ$3:$AZ$31), MAX($AZ$3:$AZ$31), AO32))), ABS($AZ$3:$AZ$31 - MEDIAN(MIN($AZ$3:$AZ$31), MAX($AZ$3:$AZ$31), AO32)), $BA$3:$BA$31, "Error", 0)</f>
        <v/>
      </c>
      <c r="AP62" s="186">
        <f t="array" ref="AP62">_xlfn.XLOOKUP(MIN(ABS($AZ$3:$AZ$31 - MEDIAN(MIN($AZ$3:$AZ$31), MAX($AZ$3:$AZ$31), AP32))), ABS($AZ$3:$AZ$31 - MEDIAN(MIN($AZ$3:$AZ$31), MAX($AZ$3:$AZ$31), AP32)), $BA$3:$BA$31, "Error", 0)</f>
        <v/>
      </c>
      <c r="AQ62" s="186">
        <f t="array" ref="AQ62">_xlfn.XLOOKUP(MIN(ABS($AZ$3:$AZ$31 - MEDIAN(MIN($AZ$3:$AZ$31), MAX($AZ$3:$AZ$31), AQ32))), ABS($AZ$3:$AZ$31 - MEDIAN(MIN($AZ$3:$AZ$31), MAX($AZ$3:$AZ$31), AQ32)), $BA$3:$BA$31, "Error", 0)</f>
        <v/>
      </c>
      <c r="AR62" s="186">
        <f t="array" ref="AR62">_xlfn.XLOOKUP(MIN(ABS($AZ$3:$AZ$31 - MEDIAN(MIN($AZ$3:$AZ$31), MAX($AZ$3:$AZ$31), AR32))), ABS($AZ$3:$AZ$31 - MEDIAN(MIN($AZ$3:$AZ$31), MAX($AZ$3:$AZ$31), AR32)), $BA$3:$BA$31, "Error", 0)</f>
        <v/>
      </c>
      <c r="AS62" s="186">
        <f t="array" ref="AS62">_xlfn.XLOOKUP(MIN(ABS($AZ$3:$AZ$31 - MEDIAN(MIN($AZ$3:$AZ$31), MAX($AZ$3:$AZ$31), AS32))), ABS($AZ$3:$AZ$31 - MEDIAN(MIN($AZ$3:$AZ$31), MAX($AZ$3:$AZ$31), AS32)), $BA$3:$BA$31, "Error", 0)</f>
        <v/>
      </c>
      <c r="AT62" s="186">
        <f t="array" ref="AT62">_xlfn.XLOOKUP(MIN(ABS($AZ$3:$AZ$31 - MEDIAN(MIN($AZ$3:$AZ$31), MAX($AZ$3:$AZ$31), AT32))), ABS($AZ$3:$AZ$31 - MEDIAN(MIN($AZ$3:$AZ$31), MAX($AZ$3:$AZ$31), AT32)), $BA$3:$BA$31, "Error", 0)</f>
        <v/>
      </c>
      <c r="AU62" s="186">
        <f t="array" ref="AU62">_xlfn.XLOOKUP(MIN(ABS($AZ$3:$AZ$31 - MEDIAN(MIN($AZ$3:$AZ$31), MAX($AZ$3:$AZ$31), AU32))), ABS($AZ$3:$AZ$31 - MEDIAN(MIN($AZ$3:$AZ$31), MAX($AZ$3:$AZ$31), AU32)), $BA$3:$BA$31, "Error", 0)</f>
        <v/>
      </c>
      <c r="AV62" s="186">
        <f t="array" ref="AV62">_xlfn.XLOOKUP(MIN(ABS($AZ$3:$AZ$31 - MEDIAN(MIN($AZ$3:$AZ$31), MAX($AZ$3:$AZ$31), AV32))), ABS($AZ$3:$AZ$31 - MEDIAN(MIN($AZ$3:$AZ$31), MAX($AZ$3:$AZ$31), AV32)), $BA$3:$BA$31, "Error", 0)</f>
        <v/>
      </c>
      <c r="AW62" s="186">
        <f t="array" ref="AW62">_xlfn.XLOOKUP(MIN(ABS($AZ$3:$AZ$31 - MEDIAN(MIN($AZ$3:$AZ$31), MAX($AZ$3:$AZ$31), AW32))), ABS($AZ$3:$AZ$31 - MEDIAN(MIN($AZ$3:$AZ$31), MAX($AZ$3:$AZ$31), AW32)), $BA$3:$BA$31, "Error", 0)</f>
        <v/>
      </c>
      <c r="AX62" s="192">
        <f t="array" ref="AX62">_xlfn.XLOOKUP(MIN(ABS($AZ$3:$AZ$31 - MEDIAN(MIN($AZ$3:$AZ$31), MAX($AZ$3:$AZ$31), AX32))), ABS($AZ$3:$AZ$31 - MEDIAN(MIN($AZ$3:$AZ$31), MAX($AZ$3:$AZ$31), AX32)), $BA$3:$BA$31, "Error", 0)</f>
        <v/>
      </c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</row>
    <row r="63" ht="25" customHeight="1">
      <c r="B63" s="168" t="inlineStr">
        <is>
          <t>AUD CHF</t>
        </is>
      </c>
      <c r="C63" s="186">
        <f t="array" ref="C63">_xlfn.XLOOKUP(MIN(ABS($AZ$3:$AZ$31 - MEDIAN(MIN($AZ$3:$AZ$31), MAX($AZ$3:$AZ$31), C33))), ABS($AZ$3:$AZ$31 - MEDIAN(MIN($AZ$3:$AZ$31), MAX($AZ$3:$AZ$31), C33)), $BA$3:$BA$31, "Error", 0)</f>
        <v/>
      </c>
      <c r="D63" s="186">
        <f t="array" ref="D63">_xlfn.XLOOKUP(MIN(ABS($AZ$3:$AZ$31 - MEDIAN(MIN($AZ$3:$AZ$31), MAX($AZ$3:$AZ$31), D33))), ABS($AZ$3:$AZ$31 - MEDIAN(MIN($AZ$3:$AZ$31), MAX($AZ$3:$AZ$31), D33)), $BA$3:$BA$31, "Error", 0)</f>
        <v/>
      </c>
      <c r="E63" s="186">
        <f t="array" ref="E63">_xlfn.XLOOKUP(MIN(ABS($AZ$3:$AZ$31 - MEDIAN(MIN($AZ$3:$AZ$31), MAX($AZ$3:$AZ$31), E33))), ABS($AZ$3:$AZ$31 - MEDIAN(MIN($AZ$3:$AZ$31), MAX($AZ$3:$AZ$31), E33)), $BA$3:$BA$31, "Error", 0)</f>
        <v/>
      </c>
      <c r="F63" s="186">
        <f t="array" ref="F63">_xlfn.XLOOKUP(MIN(ABS($AZ$3:$AZ$31 - MEDIAN(MIN($AZ$3:$AZ$31), MAX($AZ$3:$AZ$31), F33))), ABS($AZ$3:$AZ$31 - MEDIAN(MIN($AZ$3:$AZ$31), MAX($AZ$3:$AZ$31), F33)), $BA$3:$BA$31, "Error", 0)</f>
        <v/>
      </c>
      <c r="G63" s="186">
        <f t="array" ref="G63">_xlfn.XLOOKUP(MIN(ABS($AZ$3:$AZ$31 - MEDIAN(MIN($AZ$3:$AZ$31), MAX($AZ$3:$AZ$31), G33))), ABS($AZ$3:$AZ$31 - MEDIAN(MIN($AZ$3:$AZ$31), MAX($AZ$3:$AZ$31), G33)), $BA$3:$BA$31, "Error", 0)</f>
        <v/>
      </c>
      <c r="H63" s="186">
        <f t="array" ref="H63">_xlfn.XLOOKUP(MIN(ABS($AZ$3:$AZ$31 - MEDIAN(MIN($AZ$3:$AZ$31), MAX($AZ$3:$AZ$31), H33))), ABS($AZ$3:$AZ$31 - MEDIAN(MIN($AZ$3:$AZ$31), MAX($AZ$3:$AZ$31), H33)), $BA$3:$BA$31, "Error", 0)</f>
        <v/>
      </c>
      <c r="I63" s="186">
        <f t="array" ref="I63">_xlfn.XLOOKUP(MIN(ABS($AZ$3:$AZ$31 - MEDIAN(MIN($AZ$3:$AZ$31), MAX($AZ$3:$AZ$31), I33))), ABS($AZ$3:$AZ$31 - MEDIAN(MIN($AZ$3:$AZ$31), MAX($AZ$3:$AZ$31), I33)), $BA$3:$BA$31, "Error", 0)</f>
        <v/>
      </c>
      <c r="J63" s="186">
        <f t="array" ref="J63">_xlfn.XLOOKUP(MIN(ABS($AZ$3:$AZ$31 - MEDIAN(MIN($AZ$3:$AZ$31), MAX($AZ$3:$AZ$31), J33))), ABS($AZ$3:$AZ$31 - MEDIAN(MIN($AZ$3:$AZ$31), MAX($AZ$3:$AZ$31), J33)), $BA$3:$BA$31, "Error", 0)</f>
        <v/>
      </c>
      <c r="K63" s="186">
        <f t="array" ref="K63">_xlfn.XLOOKUP(MIN(ABS($AZ$3:$AZ$31 - MEDIAN(MIN($AZ$3:$AZ$31), MAX($AZ$3:$AZ$31), K33))), ABS($AZ$3:$AZ$31 - MEDIAN(MIN($AZ$3:$AZ$31), MAX($AZ$3:$AZ$31), K33)), $BA$3:$BA$31, "Error", 0)</f>
        <v/>
      </c>
      <c r="L63" s="186">
        <f t="array" ref="L63">_xlfn.XLOOKUP(MIN(ABS($AZ$3:$AZ$31 - MEDIAN(MIN($AZ$3:$AZ$31), MAX($AZ$3:$AZ$31), L33))), ABS($AZ$3:$AZ$31 - MEDIAN(MIN($AZ$3:$AZ$31), MAX($AZ$3:$AZ$31), L33)), $BA$3:$BA$31, "Error", 0)</f>
        <v/>
      </c>
      <c r="M63" s="186">
        <f t="array" ref="M63">_xlfn.XLOOKUP(MIN(ABS($AZ$3:$AZ$31 - MEDIAN(MIN($AZ$3:$AZ$31), MAX($AZ$3:$AZ$31), M33))), ABS($AZ$3:$AZ$31 - MEDIAN(MIN($AZ$3:$AZ$31), MAX($AZ$3:$AZ$31), M33)), $BA$3:$BA$31, "Error", 0)</f>
        <v/>
      </c>
      <c r="N63" s="186">
        <f t="array" ref="N63">_xlfn.XLOOKUP(MIN(ABS($AZ$3:$AZ$31 - MEDIAN(MIN($AZ$3:$AZ$31), MAX($AZ$3:$AZ$31), N33))), ABS($AZ$3:$AZ$31 - MEDIAN(MIN($AZ$3:$AZ$31), MAX($AZ$3:$AZ$31), N33)), $BA$3:$BA$31, "Error", 0)</f>
        <v/>
      </c>
      <c r="O63" s="186">
        <f t="array" ref="O63">_xlfn.XLOOKUP(MIN(ABS($AZ$3:$AZ$31 - MEDIAN(MIN($AZ$3:$AZ$31), MAX($AZ$3:$AZ$31), O33))), ABS($AZ$3:$AZ$31 - MEDIAN(MIN($AZ$3:$AZ$31), MAX($AZ$3:$AZ$31), O33)), $BA$3:$BA$31, "Error", 0)</f>
        <v/>
      </c>
      <c r="P63" s="186">
        <f t="array" ref="P63">_xlfn.XLOOKUP(MIN(ABS($AZ$3:$AZ$31 - MEDIAN(MIN($AZ$3:$AZ$31), MAX($AZ$3:$AZ$31), P33))), ABS($AZ$3:$AZ$31 - MEDIAN(MIN($AZ$3:$AZ$31), MAX($AZ$3:$AZ$31), P33)), $BA$3:$BA$31, "Error", 0)</f>
        <v/>
      </c>
      <c r="Q63" s="186">
        <f t="array" ref="Q63">_xlfn.XLOOKUP(MIN(ABS($AZ$3:$AZ$31 - MEDIAN(MIN($AZ$3:$AZ$31), MAX($AZ$3:$AZ$31), Q33))), ABS($AZ$3:$AZ$31 - MEDIAN(MIN($AZ$3:$AZ$31), MAX($AZ$3:$AZ$31), Q33)), $BA$3:$BA$31, "Error", 0)</f>
        <v/>
      </c>
      <c r="R63" s="186">
        <f t="array" ref="R63">_xlfn.XLOOKUP(MIN(ABS($AZ$3:$AZ$31 - MEDIAN(MIN($AZ$3:$AZ$31), MAX($AZ$3:$AZ$31), R33))), ABS($AZ$3:$AZ$31 - MEDIAN(MIN($AZ$3:$AZ$31), MAX($AZ$3:$AZ$31), R33)), $BA$3:$BA$31, "Error", 0)</f>
        <v/>
      </c>
      <c r="S63" s="186">
        <f t="array" ref="S63">_xlfn.XLOOKUP(MIN(ABS($AZ$3:$AZ$31 - MEDIAN(MIN($AZ$3:$AZ$31), MAX($AZ$3:$AZ$31), S33))), ABS($AZ$3:$AZ$31 - MEDIAN(MIN($AZ$3:$AZ$31), MAX($AZ$3:$AZ$31), S33)), $BA$3:$BA$31, "Error", 0)</f>
        <v/>
      </c>
      <c r="T63" s="186">
        <f t="array" ref="T63">_xlfn.XLOOKUP(MIN(ABS($AZ$3:$AZ$31 - MEDIAN(MIN($AZ$3:$AZ$31), MAX($AZ$3:$AZ$31), T33))), ABS($AZ$3:$AZ$31 - MEDIAN(MIN($AZ$3:$AZ$31), MAX($AZ$3:$AZ$31), T33)), $BA$3:$BA$31, "Error", 0)</f>
        <v/>
      </c>
      <c r="U63" s="186">
        <f t="array" ref="U63">_xlfn.XLOOKUP(MIN(ABS($AZ$3:$AZ$31 - MEDIAN(MIN($AZ$3:$AZ$31), MAX($AZ$3:$AZ$31), U33))), ABS($AZ$3:$AZ$31 - MEDIAN(MIN($AZ$3:$AZ$31), MAX($AZ$3:$AZ$31), U33)), $BA$3:$BA$31, "Error", 0)</f>
        <v/>
      </c>
      <c r="V63" s="186">
        <f t="array" ref="V63">_xlfn.XLOOKUP(MIN(ABS($AZ$3:$AZ$31 - MEDIAN(MIN($AZ$3:$AZ$31), MAX($AZ$3:$AZ$31), V33))), ABS($AZ$3:$AZ$31 - MEDIAN(MIN($AZ$3:$AZ$31), MAX($AZ$3:$AZ$31), V33)), $BA$3:$BA$31, "Error", 0)</f>
        <v/>
      </c>
      <c r="W63" s="186">
        <f t="array" ref="W63">_xlfn.XLOOKUP(MIN(ABS($AZ$3:$AZ$31 - MEDIAN(MIN($AZ$3:$AZ$31), MAX($AZ$3:$AZ$31), W33))), ABS($AZ$3:$AZ$31 - MEDIAN(MIN($AZ$3:$AZ$31), MAX($AZ$3:$AZ$31), W33)), $BA$3:$BA$31, "Error", 0)</f>
        <v/>
      </c>
      <c r="X63" s="186">
        <f t="array" ref="X63">_xlfn.XLOOKUP(MIN(ABS($AZ$3:$AZ$31 - MEDIAN(MIN($AZ$3:$AZ$31), MAX($AZ$3:$AZ$31), X33))), ABS($AZ$3:$AZ$31 - MEDIAN(MIN($AZ$3:$AZ$31), MAX($AZ$3:$AZ$31), X33)), $BA$3:$BA$31, "Error", 0)</f>
        <v/>
      </c>
      <c r="Y63" s="186">
        <f t="array" ref="Y63">_xlfn.XLOOKUP(MIN(ABS($AZ$3:$AZ$31 - MEDIAN(MIN($AZ$3:$AZ$31), MAX($AZ$3:$AZ$31), Y33))), ABS($AZ$3:$AZ$31 - MEDIAN(MIN($AZ$3:$AZ$31), MAX($AZ$3:$AZ$31), Y33)), $BA$3:$BA$31, "Error", 0)</f>
        <v/>
      </c>
      <c r="Z63" s="186">
        <f t="array" ref="Z63">_xlfn.XLOOKUP(MIN(ABS($AZ$3:$AZ$31 - MEDIAN(MIN($AZ$3:$AZ$31), MAX($AZ$3:$AZ$31), Z33))), ABS($AZ$3:$AZ$31 - MEDIAN(MIN($AZ$3:$AZ$31), MAX($AZ$3:$AZ$31), Z33)), $BA$3:$BA$31, "Error", 0)</f>
        <v/>
      </c>
      <c r="AA63" s="186">
        <f t="array" ref="AA63">_xlfn.XLOOKUP(MIN(ABS($AZ$3:$AZ$31 - MEDIAN(MIN($AZ$3:$AZ$31), MAX($AZ$3:$AZ$31), AA33))), ABS($AZ$3:$AZ$31 - MEDIAN(MIN($AZ$3:$AZ$31), MAX($AZ$3:$AZ$31), AA33)), $BA$3:$BA$31, "Error", 0)</f>
        <v/>
      </c>
      <c r="AB63" s="186">
        <f t="array" ref="AB63">_xlfn.XLOOKUP(MIN(ABS($AZ$3:$AZ$31 - MEDIAN(MIN($AZ$3:$AZ$31), MAX($AZ$3:$AZ$31), AB33))), ABS($AZ$3:$AZ$31 - MEDIAN(MIN($AZ$3:$AZ$31), MAX($AZ$3:$AZ$31), AB33)), $BA$3:$BA$31, "Error", 0)</f>
        <v/>
      </c>
      <c r="AC63" s="186">
        <f t="array" ref="AC63">_xlfn.XLOOKUP(MIN(ABS($AZ$3:$AZ$31 - MEDIAN(MIN($AZ$3:$AZ$31), MAX($AZ$3:$AZ$31), AC33))), ABS($AZ$3:$AZ$31 - MEDIAN(MIN($AZ$3:$AZ$31), MAX($AZ$3:$AZ$31), AC33)), $BA$3:$BA$31, "Error", 0)</f>
        <v/>
      </c>
      <c r="AD63" s="186">
        <f t="array" ref="AD63">_xlfn.XLOOKUP(MIN(ABS($AZ$3:$AZ$31 - MEDIAN(MIN($AZ$3:$AZ$31), MAX($AZ$3:$AZ$31), AD33))), ABS($AZ$3:$AZ$31 - MEDIAN(MIN($AZ$3:$AZ$31), MAX($AZ$3:$AZ$31), AD33)), $BA$3:$BA$31, "Error", 0)</f>
        <v/>
      </c>
      <c r="AE63" s="186">
        <f t="array" ref="AE63">_xlfn.XLOOKUP(MIN(ABS($AZ$3:$AZ$31 - MEDIAN(MIN($AZ$3:$AZ$31), MAX($AZ$3:$AZ$31), AE33))), ABS($AZ$3:$AZ$31 - MEDIAN(MIN($AZ$3:$AZ$31), MAX($AZ$3:$AZ$31), AE33)), $BA$3:$BA$31, "Error", 0)</f>
        <v/>
      </c>
      <c r="AF63" s="186">
        <f t="array" ref="AF63">_xlfn.XLOOKUP(MIN(ABS($AZ$3:$AZ$31 - MEDIAN(MIN($AZ$3:$AZ$31), MAX($AZ$3:$AZ$31), AF33))), ABS($AZ$3:$AZ$31 - MEDIAN(MIN($AZ$3:$AZ$31), MAX($AZ$3:$AZ$31), AF33)), $BA$3:$BA$31, "Error", 0)</f>
        <v/>
      </c>
      <c r="AG63" s="186">
        <f t="array" ref="AG63">_xlfn.XLOOKUP(MIN(ABS($AZ$3:$AZ$31 - MEDIAN(MIN($AZ$3:$AZ$31), MAX($AZ$3:$AZ$31), AG33))), ABS($AZ$3:$AZ$31 - MEDIAN(MIN($AZ$3:$AZ$31), MAX($AZ$3:$AZ$31), AG33)), $BA$3:$BA$31, "Error", 0)</f>
        <v/>
      </c>
      <c r="AH63" s="186">
        <f t="array" ref="AH63">_xlfn.XLOOKUP(MIN(ABS($AZ$3:$AZ$31 - MEDIAN(MIN($AZ$3:$AZ$31), MAX($AZ$3:$AZ$31), AH33))), ABS($AZ$3:$AZ$31 - MEDIAN(MIN($AZ$3:$AZ$31), MAX($AZ$3:$AZ$31), AH33)), $BA$3:$BA$31, "Error", 0)</f>
        <v/>
      </c>
      <c r="AI63" s="186">
        <f t="array" ref="AI63">_xlfn.XLOOKUP(MIN(ABS($AZ$3:$AZ$31 - MEDIAN(MIN($AZ$3:$AZ$31), MAX($AZ$3:$AZ$31), AI33))), ABS($AZ$3:$AZ$31 - MEDIAN(MIN($AZ$3:$AZ$31), MAX($AZ$3:$AZ$31), AI33)), $BA$3:$BA$31, "Error", 0)</f>
        <v/>
      </c>
      <c r="AJ63" s="186">
        <f t="array" ref="AJ63">_xlfn.XLOOKUP(MIN(ABS($AZ$3:$AZ$31 - MEDIAN(MIN($AZ$3:$AZ$31), MAX($AZ$3:$AZ$31), AJ33))), ABS($AZ$3:$AZ$31 - MEDIAN(MIN($AZ$3:$AZ$31), MAX($AZ$3:$AZ$31), AJ33)), $BA$3:$BA$31, "Error", 0)</f>
        <v/>
      </c>
      <c r="AK63" s="186">
        <f t="array" ref="AK63">_xlfn.XLOOKUP(MIN(ABS($AZ$3:$AZ$31 - MEDIAN(MIN($AZ$3:$AZ$31), MAX($AZ$3:$AZ$31), AK33))), ABS($AZ$3:$AZ$31 - MEDIAN(MIN($AZ$3:$AZ$31), MAX($AZ$3:$AZ$31), AK33)), $BA$3:$BA$31, "Error", 0)</f>
        <v/>
      </c>
      <c r="AL63" s="186">
        <f t="array" ref="AL63">_xlfn.XLOOKUP(MIN(ABS($AZ$3:$AZ$31 - MEDIAN(MIN($AZ$3:$AZ$31), MAX($AZ$3:$AZ$31), AL33))), ABS($AZ$3:$AZ$31 - MEDIAN(MIN($AZ$3:$AZ$31), MAX($AZ$3:$AZ$31), AL33)), $BA$3:$BA$31, "Error", 0)</f>
        <v/>
      </c>
      <c r="AM63" s="186">
        <f t="array" ref="AM63">_xlfn.XLOOKUP(MIN(ABS($AZ$3:$AZ$31 - MEDIAN(MIN($AZ$3:$AZ$31), MAX($AZ$3:$AZ$31), AM33))), ABS($AZ$3:$AZ$31 - MEDIAN(MIN($AZ$3:$AZ$31), MAX($AZ$3:$AZ$31), AM33)), $BA$3:$BA$31, "Error", 0)</f>
        <v/>
      </c>
      <c r="AN63" s="186">
        <f t="array" ref="AN63">_xlfn.XLOOKUP(MIN(ABS($AZ$3:$AZ$31 - MEDIAN(MIN($AZ$3:$AZ$31), MAX($AZ$3:$AZ$31), AN33))), ABS($AZ$3:$AZ$31 - MEDIAN(MIN($AZ$3:$AZ$31), MAX($AZ$3:$AZ$31), AN33)), $BA$3:$BA$31, "Error", 0)</f>
        <v/>
      </c>
      <c r="AO63" s="186">
        <f t="array" ref="AO63">_xlfn.XLOOKUP(MIN(ABS($AZ$3:$AZ$31 - MEDIAN(MIN($AZ$3:$AZ$31), MAX($AZ$3:$AZ$31), AO33))), ABS($AZ$3:$AZ$31 - MEDIAN(MIN($AZ$3:$AZ$31), MAX($AZ$3:$AZ$31), AO33)), $BA$3:$BA$31, "Error", 0)</f>
        <v/>
      </c>
      <c r="AP63" s="186">
        <f t="array" ref="AP63">_xlfn.XLOOKUP(MIN(ABS($AZ$3:$AZ$31 - MEDIAN(MIN($AZ$3:$AZ$31), MAX($AZ$3:$AZ$31), AP33))), ABS($AZ$3:$AZ$31 - MEDIAN(MIN($AZ$3:$AZ$31), MAX($AZ$3:$AZ$31), AP33)), $BA$3:$BA$31, "Error", 0)</f>
        <v/>
      </c>
      <c r="AQ63" s="186">
        <f t="array" ref="AQ63">_xlfn.XLOOKUP(MIN(ABS($AZ$3:$AZ$31 - MEDIAN(MIN($AZ$3:$AZ$31), MAX($AZ$3:$AZ$31), AQ33))), ABS($AZ$3:$AZ$31 - MEDIAN(MIN($AZ$3:$AZ$31), MAX($AZ$3:$AZ$31), AQ33)), $BA$3:$BA$31, "Error", 0)</f>
        <v/>
      </c>
      <c r="AR63" s="186">
        <f t="array" ref="AR63">_xlfn.XLOOKUP(MIN(ABS($AZ$3:$AZ$31 - MEDIAN(MIN($AZ$3:$AZ$31), MAX($AZ$3:$AZ$31), AR33))), ABS($AZ$3:$AZ$31 - MEDIAN(MIN($AZ$3:$AZ$31), MAX($AZ$3:$AZ$31), AR33)), $BA$3:$BA$31, "Error", 0)</f>
        <v/>
      </c>
      <c r="AS63" s="186">
        <f t="array" ref="AS63">_xlfn.XLOOKUP(MIN(ABS($AZ$3:$AZ$31 - MEDIAN(MIN($AZ$3:$AZ$31), MAX($AZ$3:$AZ$31), AS33))), ABS($AZ$3:$AZ$31 - MEDIAN(MIN($AZ$3:$AZ$31), MAX($AZ$3:$AZ$31), AS33)), $BA$3:$BA$31, "Error", 0)</f>
        <v/>
      </c>
      <c r="AT63" s="186">
        <f t="array" ref="AT63">_xlfn.XLOOKUP(MIN(ABS($AZ$3:$AZ$31 - MEDIAN(MIN($AZ$3:$AZ$31), MAX($AZ$3:$AZ$31), AT33))), ABS($AZ$3:$AZ$31 - MEDIAN(MIN($AZ$3:$AZ$31), MAX($AZ$3:$AZ$31), AT33)), $BA$3:$BA$31, "Error", 0)</f>
        <v/>
      </c>
      <c r="AU63" s="186">
        <f t="array" ref="AU63">_xlfn.XLOOKUP(MIN(ABS($AZ$3:$AZ$31 - MEDIAN(MIN($AZ$3:$AZ$31), MAX($AZ$3:$AZ$31), AU33))), ABS($AZ$3:$AZ$31 - MEDIAN(MIN($AZ$3:$AZ$31), MAX($AZ$3:$AZ$31), AU33)), $BA$3:$BA$31, "Error", 0)</f>
        <v/>
      </c>
      <c r="AV63" s="186">
        <f t="array" ref="AV63">_xlfn.XLOOKUP(MIN(ABS($AZ$3:$AZ$31 - MEDIAN(MIN($AZ$3:$AZ$31), MAX($AZ$3:$AZ$31), AV33))), ABS($AZ$3:$AZ$31 - MEDIAN(MIN($AZ$3:$AZ$31), MAX($AZ$3:$AZ$31), AV33)), $BA$3:$BA$31, "Error", 0)</f>
        <v/>
      </c>
      <c r="AW63" s="186">
        <f t="array" ref="AW63">_xlfn.XLOOKUP(MIN(ABS($AZ$3:$AZ$31 - MEDIAN(MIN($AZ$3:$AZ$31), MAX($AZ$3:$AZ$31), AW33))), ABS($AZ$3:$AZ$31 - MEDIAN(MIN($AZ$3:$AZ$31), MAX($AZ$3:$AZ$31), AW33)), $BA$3:$BA$31, "Error", 0)</f>
        <v/>
      </c>
      <c r="AX63" s="192">
        <f t="array" ref="AX63">_xlfn.XLOOKUP(MIN(ABS($AZ$3:$AZ$31 - MEDIAN(MIN($AZ$3:$AZ$31), MAX($AZ$3:$AZ$31), AX33))), ABS($AZ$3:$AZ$31 - MEDIAN(MIN($AZ$3:$AZ$31), MAX($AZ$3:$AZ$31), AX33)), $BA$3:$BA$31, "Error", 0)</f>
        <v/>
      </c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</row>
    <row r="64" ht="25" customHeight="1">
      <c r="B64" s="168" t="inlineStr">
        <is>
          <t>AUD JPY</t>
        </is>
      </c>
      <c r="C64" s="186">
        <f t="array" ref="C64">_xlfn.XLOOKUP(MIN(ABS($AZ$3:$AZ$31 - MEDIAN(MIN($AZ$3:$AZ$31), MAX($AZ$3:$AZ$31), C34))), ABS($AZ$3:$AZ$31 - MEDIAN(MIN($AZ$3:$AZ$31), MAX($AZ$3:$AZ$31), C34)), $BA$3:$BA$31, "Error", 0)</f>
        <v/>
      </c>
      <c r="D64" s="186">
        <f t="array" ref="D64">_xlfn.XLOOKUP(MIN(ABS($AZ$3:$AZ$31 - MEDIAN(MIN($AZ$3:$AZ$31), MAX($AZ$3:$AZ$31), D34))), ABS($AZ$3:$AZ$31 - MEDIAN(MIN($AZ$3:$AZ$31), MAX($AZ$3:$AZ$31), D34)), $BA$3:$BA$31, "Error", 0)</f>
        <v/>
      </c>
      <c r="E64" s="186">
        <f t="array" ref="E64">_xlfn.XLOOKUP(MIN(ABS($AZ$3:$AZ$31 - MEDIAN(MIN($AZ$3:$AZ$31), MAX($AZ$3:$AZ$31), E34))), ABS($AZ$3:$AZ$31 - MEDIAN(MIN($AZ$3:$AZ$31), MAX($AZ$3:$AZ$31), E34)), $BA$3:$BA$31, "Error", 0)</f>
        <v/>
      </c>
      <c r="F64" s="186">
        <f t="array" ref="F64">_xlfn.XLOOKUP(MIN(ABS($AZ$3:$AZ$31 - MEDIAN(MIN($AZ$3:$AZ$31), MAX($AZ$3:$AZ$31), F34))), ABS($AZ$3:$AZ$31 - MEDIAN(MIN($AZ$3:$AZ$31), MAX($AZ$3:$AZ$31), F34)), $BA$3:$BA$31, "Error", 0)</f>
        <v/>
      </c>
      <c r="G64" s="186">
        <f t="array" ref="G64">_xlfn.XLOOKUP(MIN(ABS($AZ$3:$AZ$31 - MEDIAN(MIN($AZ$3:$AZ$31), MAX($AZ$3:$AZ$31), G34))), ABS($AZ$3:$AZ$31 - MEDIAN(MIN($AZ$3:$AZ$31), MAX($AZ$3:$AZ$31), G34)), $BA$3:$BA$31, "Error", 0)</f>
        <v/>
      </c>
      <c r="H64" s="186">
        <f t="array" ref="H64">_xlfn.XLOOKUP(MIN(ABS($AZ$3:$AZ$31 - MEDIAN(MIN($AZ$3:$AZ$31), MAX($AZ$3:$AZ$31), H34))), ABS($AZ$3:$AZ$31 - MEDIAN(MIN($AZ$3:$AZ$31), MAX($AZ$3:$AZ$31), H34)), $BA$3:$BA$31, "Error", 0)</f>
        <v/>
      </c>
      <c r="I64" s="186">
        <f t="array" ref="I64">_xlfn.XLOOKUP(MIN(ABS($AZ$3:$AZ$31 - MEDIAN(MIN($AZ$3:$AZ$31), MAX($AZ$3:$AZ$31), I34))), ABS($AZ$3:$AZ$31 - MEDIAN(MIN($AZ$3:$AZ$31), MAX($AZ$3:$AZ$31), I34)), $BA$3:$BA$31, "Error", 0)</f>
        <v/>
      </c>
      <c r="J64" s="186">
        <f t="array" ref="J64">_xlfn.XLOOKUP(MIN(ABS($AZ$3:$AZ$31 - MEDIAN(MIN($AZ$3:$AZ$31), MAX($AZ$3:$AZ$31), J34))), ABS($AZ$3:$AZ$31 - MEDIAN(MIN($AZ$3:$AZ$31), MAX($AZ$3:$AZ$31), J34)), $BA$3:$BA$31, "Error", 0)</f>
        <v/>
      </c>
      <c r="K64" s="186">
        <f t="array" ref="K64">_xlfn.XLOOKUP(MIN(ABS($AZ$3:$AZ$31 - MEDIAN(MIN($AZ$3:$AZ$31), MAX($AZ$3:$AZ$31), K34))), ABS($AZ$3:$AZ$31 - MEDIAN(MIN($AZ$3:$AZ$31), MAX($AZ$3:$AZ$31), K34)), $BA$3:$BA$31, "Error", 0)</f>
        <v/>
      </c>
      <c r="L64" s="186">
        <f t="array" ref="L64">_xlfn.XLOOKUP(MIN(ABS($AZ$3:$AZ$31 - MEDIAN(MIN($AZ$3:$AZ$31), MAX($AZ$3:$AZ$31), L34))), ABS($AZ$3:$AZ$31 - MEDIAN(MIN($AZ$3:$AZ$31), MAX($AZ$3:$AZ$31), L34)), $BA$3:$BA$31, "Error", 0)</f>
        <v/>
      </c>
      <c r="M64" s="186">
        <f t="array" ref="M64">_xlfn.XLOOKUP(MIN(ABS($AZ$3:$AZ$31 - MEDIAN(MIN($AZ$3:$AZ$31), MAX($AZ$3:$AZ$31), M34))), ABS($AZ$3:$AZ$31 - MEDIAN(MIN($AZ$3:$AZ$31), MAX($AZ$3:$AZ$31), M34)), $BA$3:$BA$31, "Error", 0)</f>
        <v/>
      </c>
      <c r="N64" s="186">
        <f t="array" ref="N64">_xlfn.XLOOKUP(MIN(ABS($AZ$3:$AZ$31 - MEDIAN(MIN($AZ$3:$AZ$31), MAX($AZ$3:$AZ$31), N34))), ABS($AZ$3:$AZ$31 - MEDIAN(MIN($AZ$3:$AZ$31), MAX($AZ$3:$AZ$31), N34)), $BA$3:$BA$31, "Error", 0)</f>
        <v/>
      </c>
      <c r="O64" s="186">
        <f t="array" ref="O64">_xlfn.XLOOKUP(MIN(ABS($AZ$3:$AZ$31 - MEDIAN(MIN($AZ$3:$AZ$31), MAX($AZ$3:$AZ$31), O34))), ABS($AZ$3:$AZ$31 - MEDIAN(MIN($AZ$3:$AZ$31), MAX($AZ$3:$AZ$31), O34)), $BA$3:$BA$31, "Error", 0)</f>
        <v/>
      </c>
      <c r="P64" s="186">
        <f t="array" ref="P64">_xlfn.XLOOKUP(MIN(ABS($AZ$3:$AZ$31 - MEDIAN(MIN($AZ$3:$AZ$31), MAX($AZ$3:$AZ$31), P34))), ABS($AZ$3:$AZ$31 - MEDIAN(MIN($AZ$3:$AZ$31), MAX($AZ$3:$AZ$31), P34)), $BA$3:$BA$31, "Error", 0)</f>
        <v/>
      </c>
      <c r="Q64" s="186">
        <f t="array" ref="Q64">_xlfn.XLOOKUP(MIN(ABS($AZ$3:$AZ$31 - MEDIAN(MIN($AZ$3:$AZ$31), MAX($AZ$3:$AZ$31), Q34))), ABS($AZ$3:$AZ$31 - MEDIAN(MIN($AZ$3:$AZ$31), MAX($AZ$3:$AZ$31), Q34)), $BA$3:$BA$31, "Error", 0)</f>
        <v/>
      </c>
      <c r="R64" s="186">
        <f t="array" ref="R64">_xlfn.XLOOKUP(MIN(ABS($AZ$3:$AZ$31 - MEDIAN(MIN($AZ$3:$AZ$31), MAX($AZ$3:$AZ$31), R34))), ABS($AZ$3:$AZ$31 - MEDIAN(MIN($AZ$3:$AZ$31), MAX($AZ$3:$AZ$31), R34)), $BA$3:$BA$31, "Error", 0)</f>
        <v/>
      </c>
      <c r="S64" s="186">
        <f t="array" ref="S64">_xlfn.XLOOKUP(MIN(ABS($AZ$3:$AZ$31 - MEDIAN(MIN($AZ$3:$AZ$31), MAX($AZ$3:$AZ$31), S34))), ABS($AZ$3:$AZ$31 - MEDIAN(MIN($AZ$3:$AZ$31), MAX($AZ$3:$AZ$31), S34)), $BA$3:$BA$31, "Error", 0)</f>
        <v/>
      </c>
      <c r="T64" s="186">
        <f t="array" ref="T64">_xlfn.XLOOKUP(MIN(ABS($AZ$3:$AZ$31 - MEDIAN(MIN($AZ$3:$AZ$31), MAX($AZ$3:$AZ$31), T34))), ABS($AZ$3:$AZ$31 - MEDIAN(MIN($AZ$3:$AZ$31), MAX($AZ$3:$AZ$31), T34)), $BA$3:$BA$31, "Error", 0)</f>
        <v/>
      </c>
      <c r="U64" s="186">
        <f t="array" ref="U64">_xlfn.XLOOKUP(MIN(ABS($AZ$3:$AZ$31 - MEDIAN(MIN($AZ$3:$AZ$31), MAX($AZ$3:$AZ$31), U34))), ABS($AZ$3:$AZ$31 - MEDIAN(MIN($AZ$3:$AZ$31), MAX($AZ$3:$AZ$31), U34)), $BA$3:$BA$31, "Error", 0)</f>
        <v/>
      </c>
      <c r="V64" s="186">
        <f t="array" ref="V64">_xlfn.XLOOKUP(MIN(ABS($AZ$3:$AZ$31 - MEDIAN(MIN($AZ$3:$AZ$31), MAX($AZ$3:$AZ$31), V34))), ABS($AZ$3:$AZ$31 - MEDIAN(MIN($AZ$3:$AZ$31), MAX($AZ$3:$AZ$31), V34)), $BA$3:$BA$31, "Error", 0)</f>
        <v/>
      </c>
      <c r="W64" s="186">
        <f t="array" ref="W64">_xlfn.XLOOKUP(MIN(ABS($AZ$3:$AZ$31 - MEDIAN(MIN($AZ$3:$AZ$31), MAX($AZ$3:$AZ$31), W34))), ABS($AZ$3:$AZ$31 - MEDIAN(MIN($AZ$3:$AZ$31), MAX($AZ$3:$AZ$31), W34)), $BA$3:$BA$31, "Error", 0)</f>
        <v/>
      </c>
      <c r="X64" s="186">
        <f t="array" ref="X64">_xlfn.XLOOKUP(MIN(ABS($AZ$3:$AZ$31 - MEDIAN(MIN($AZ$3:$AZ$31), MAX($AZ$3:$AZ$31), X34))), ABS($AZ$3:$AZ$31 - MEDIAN(MIN($AZ$3:$AZ$31), MAX($AZ$3:$AZ$31), X34)), $BA$3:$BA$31, "Error", 0)</f>
        <v/>
      </c>
      <c r="Y64" s="186">
        <f t="array" ref="Y64">_xlfn.XLOOKUP(MIN(ABS($AZ$3:$AZ$31 - MEDIAN(MIN($AZ$3:$AZ$31), MAX($AZ$3:$AZ$31), Y34))), ABS($AZ$3:$AZ$31 - MEDIAN(MIN($AZ$3:$AZ$31), MAX($AZ$3:$AZ$31), Y34)), $BA$3:$BA$31, "Error", 0)</f>
        <v/>
      </c>
      <c r="Z64" s="186">
        <f t="array" ref="Z64">_xlfn.XLOOKUP(MIN(ABS($AZ$3:$AZ$31 - MEDIAN(MIN($AZ$3:$AZ$31), MAX($AZ$3:$AZ$31), Z34))), ABS($AZ$3:$AZ$31 - MEDIAN(MIN($AZ$3:$AZ$31), MAX($AZ$3:$AZ$31), Z34)), $BA$3:$BA$31, "Error", 0)</f>
        <v/>
      </c>
      <c r="AA64" s="186">
        <f t="array" ref="AA64">_xlfn.XLOOKUP(MIN(ABS($AZ$3:$AZ$31 - MEDIAN(MIN($AZ$3:$AZ$31), MAX($AZ$3:$AZ$31), AA34))), ABS($AZ$3:$AZ$31 - MEDIAN(MIN($AZ$3:$AZ$31), MAX($AZ$3:$AZ$31), AA34)), $BA$3:$BA$31, "Error", 0)</f>
        <v/>
      </c>
      <c r="AB64" s="186">
        <f t="array" ref="AB64">_xlfn.XLOOKUP(MIN(ABS($AZ$3:$AZ$31 - MEDIAN(MIN($AZ$3:$AZ$31), MAX($AZ$3:$AZ$31), AB34))), ABS($AZ$3:$AZ$31 - MEDIAN(MIN($AZ$3:$AZ$31), MAX($AZ$3:$AZ$31), AB34)), $BA$3:$BA$31, "Error", 0)</f>
        <v/>
      </c>
      <c r="AC64" s="186">
        <f t="array" ref="AC64">_xlfn.XLOOKUP(MIN(ABS($AZ$3:$AZ$31 - MEDIAN(MIN($AZ$3:$AZ$31), MAX($AZ$3:$AZ$31), AC34))), ABS($AZ$3:$AZ$31 - MEDIAN(MIN($AZ$3:$AZ$31), MAX($AZ$3:$AZ$31), AC34)), $BA$3:$BA$31, "Error", 0)</f>
        <v/>
      </c>
      <c r="AD64" s="186">
        <f t="array" ref="AD64">_xlfn.XLOOKUP(MIN(ABS($AZ$3:$AZ$31 - MEDIAN(MIN($AZ$3:$AZ$31), MAX($AZ$3:$AZ$31), AD34))), ABS($AZ$3:$AZ$31 - MEDIAN(MIN($AZ$3:$AZ$31), MAX($AZ$3:$AZ$31), AD34)), $BA$3:$BA$31, "Error", 0)</f>
        <v/>
      </c>
      <c r="AE64" s="186">
        <f t="array" ref="AE64">_xlfn.XLOOKUP(MIN(ABS($AZ$3:$AZ$31 - MEDIAN(MIN($AZ$3:$AZ$31), MAX($AZ$3:$AZ$31), AE34))), ABS($AZ$3:$AZ$31 - MEDIAN(MIN($AZ$3:$AZ$31), MAX($AZ$3:$AZ$31), AE34)), $BA$3:$BA$31, "Error", 0)</f>
        <v/>
      </c>
      <c r="AF64" s="186">
        <f t="array" ref="AF64">_xlfn.XLOOKUP(MIN(ABS($AZ$3:$AZ$31 - MEDIAN(MIN($AZ$3:$AZ$31), MAX($AZ$3:$AZ$31), AF34))), ABS($AZ$3:$AZ$31 - MEDIAN(MIN($AZ$3:$AZ$31), MAX($AZ$3:$AZ$31), AF34)), $BA$3:$BA$31, "Error", 0)</f>
        <v/>
      </c>
      <c r="AG64" s="186">
        <f t="array" ref="AG64">_xlfn.XLOOKUP(MIN(ABS($AZ$3:$AZ$31 - MEDIAN(MIN($AZ$3:$AZ$31), MAX($AZ$3:$AZ$31), AG34))), ABS($AZ$3:$AZ$31 - MEDIAN(MIN($AZ$3:$AZ$31), MAX($AZ$3:$AZ$31), AG34)), $BA$3:$BA$31, "Error", 0)</f>
        <v/>
      </c>
      <c r="AH64" s="186">
        <f t="array" ref="AH64">_xlfn.XLOOKUP(MIN(ABS($AZ$3:$AZ$31 - MEDIAN(MIN($AZ$3:$AZ$31), MAX($AZ$3:$AZ$31), AH34))), ABS($AZ$3:$AZ$31 - MEDIAN(MIN($AZ$3:$AZ$31), MAX($AZ$3:$AZ$31), AH34)), $BA$3:$BA$31, "Error", 0)</f>
        <v/>
      </c>
      <c r="AI64" s="186">
        <f t="array" ref="AI64">_xlfn.XLOOKUP(MIN(ABS($AZ$3:$AZ$31 - MEDIAN(MIN($AZ$3:$AZ$31), MAX($AZ$3:$AZ$31), AI34))), ABS($AZ$3:$AZ$31 - MEDIAN(MIN($AZ$3:$AZ$31), MAX($AZ$3:$AZ$31), AI34)), $BA$3:$BA$31, "Error", 0)</f>
        <v/>
      </c>
      <c r="AJ64" s="186">
        <f t="array" ref="AJ64">_xlfn.XLOOKUP(MIN(ABS($AZ$3:$AZ$31 - MEDIAN(MIN($AZ$3:$AZ$31), MAX($AZ$3:$AZ$31), AJ34))), ABS($AZ$3:$AZ$31 - MEDIAN(MIN($AZ$3:$AZ$31), MAX($AZ$3:$AZ$31), AJ34)), $BA$3:$BA$31, "Error", 0)</f>
        <v/>
      </c>
      <c r="AK64" s="186">
        <f t="array" ref="AK64">_xlfn.XLOOKUP(MIN(ABS($AZ$3:$AZ$31 - MEDIAN(MIN($AZ$3:$AZ$31), MAX($AZ$3:$AZ$31), AK34))), ABS($AZ$3:$AZ$31 - MEDIAN(MIN($AZ$3:$AZ$31), MAX($AZ$3:$AZ$31), AK34)), $BA$3:$BA$31, "Error", 0)</f>
        <v/>
      </c>
      <c r="AL64" s="186">
        <f t="array" ref="AL64">_xlfn.XLOOKUP(MIN(ABS($AZ$3:$AZ$31 - MEDIAN(MIN($AZ$3:$AZ$31), MAX($AZ$3:$AZ$31), AL34))), ABS($AZ$3:$AZ$31 - MEDIAN(MIN($AZ$3:$AZ$31), MAX($AZ$3:$AZ$31), AL34)), $BA$3:$BA$31, "Error", 0)</f>
        <v/>
      </c>
      <c r="AM64" s="186">
        <f t="array" ref="AM64">_xlfn.XLOOKUP(MIN(ABS($AZ$3:$AZ$31 - MEDIAN(MIN($AZ$3:$AZ$31), MAX($AZ$3:$AZ$31), AM34))), ABS($AZ$3:$AZ$31 - MEDIAN(MIN($AZ$3:$AZ$31), MAX($AZ$3:$AZ$31), AM34)), $BA$3:$BA$31, "Error", 0)</f>
        <v/>
      </c>
      <c r="AN64" s="186">
        <f t="array" ref="AN64">_xlfn.XLOOKUP(MIN(ABS($AZ$3:$AZ$31 - MEDIAN(MIN($AZ$3:$AZ$31), MAX($AZ$3:$AZ$31), AN34))), ABS($AZ$3:$AZ$31 - MEDIAN(MIN($AZ$3:$AZ$31), MAX($AZ$3:$AZ$31), AN34)), $BA$3:$BA$31, "Error", 0)</f>
        <v/>
      </c>
      <c r="AO64" s="186">
        <f t="array" ref="AO64">_xlfn.XLOOKUP(MIN(ABS($AZ$3:$AZ$31 - MEDIAN(MIN($AZ$3:$AZ$31), MAX($AZ$3:$AZ$31), AO34))), ABS($AZ$3:$AZ$31 - MEDIAN(MIN($AZ$3:$AZ$31), MAX($AZ$3:$AZ$31), AO34)), $BA$3:$BA$31, "Error", 0)</f>
        <v/>
      </c>
      <c r="AP64" s="186">
        <f t="array" ref="AP64">_xlfn.XLOOKUP(MIN(ABS($AZ$3:$AZ$31 - MEDIAN(MIN($AZ$3:$AZ$31), MAX($AZ$3:$AZ$31), AP34))), ABS($AZ$3:$AZ$31 - MEDIAN(MIN($AZ$3:$AZ$31), MAX($AZ$3:$AZ$31), AP34)), $BA$3:$BA$31, "Error", 0)</f>
        <v/>
      </c>
      <c r="AQ64" s="186">
        <f t="array" ref="AQ64">_xlfn.XLOOKUP(MIN(ABS($AZ$3:$AZ$31 - MEDIAN(MIN($AZ$3:$AZ$31), MAX($AZ$3:$AZ$31), AQ34))), ABS($AZ$3:$AZ$31 - MEDIAN(MIN($AZ$3:$AZ$31), MAX($AZ$3:$AZ$31), AQ34)), $BA$3:$BA$31, "Error", 0)</f>
        <v/>
      </c>
      <c r="AR64" s="186">
        <f t="array" ref="AR64">_xlfn.XLOOKUP(MIN(ABS($AZ$3:$AZ$31 - MEDIAN(MIN($AZ$3:$AZ$31), MAX($AZ$3:$AZ$31), AR34))), ABS($AZ$3:$AZ$31 - MEDIAN(MIN($AZ$3:$AZ$31), MAX($AZ$3:$AZ$31), AR34)), $BA$3:$BA$31, "Error", 0)</f>
        <v/>
      </c>
      <c r="AS64" s="186">
        <f t="array" ref="AS64">_xlfn.XLOOKUP(MIN(ABS($AZ$3:$AZ$31 - MEDIAN(MIN($AZ$3:$AZ$31), MAX($AZ$3:$AZ$31), AS34))), ABS($AZ$3:$AZ$31 - MEDIAN(MIN($AZ$3:$AZ$31), MAX($AZ$3:$AZ$31), AS34)), $BA$3:$BA$31, "Error", 0)</f>
        <v/>
      </c>
      <c r="AT64" s="186">
        <f t="array" ref="AT64">_xlfn.XLOOKUP(MIN(ABS($AZ$3:$AZ$31 - MEDIAN(MIN($AZ$3:$AZ$31), MAX($AZ$3:$AZ$31), AT34))), ABS($AZ$3:$AZ$31 - MEDIAN(MIN($AZ$3:$AZ$31), MAX($AZ$3:$AZ$31), AT34)), $BA$3:$BA$31, "Error", 0)</f>
        <v/>
      </c>
      <c r="AU64" s="186">
        <f t="array" ref="AU64">_xlfn.XLOOKUP(MIN(ABS($AZ$3:$AZ$31 - MEDIAN(MIN($AZ$3:$AZ$31), MAX($AZ$3:$AZ$31), AU34))), ABS($AZ$3:$AZ$31 - MEDIAN(MIN($AZ$3:$AZ$31), MAX($AZ$3:$AZ$31), AU34)), $BA$3:$BA$31, "Error", 0)</f>
        <v/>
      </c>
      <c r="AV64" s="186">
        <f t="array" ref="AV64">_xlfn.XLOOKUP(MIN(ABS($AZ$3:$AZ$31 - MEDIAN(MIN($AZ$3:$AZ$31), MAX($AZ$3:$AZ$31), AV34))), ABS($AZ$3:$AZ$31 - MEDIAN(MIN($AZ$3:$AZ$31), MAX($AZ$3:$AZ$31), AV34)), $BA$3:$BA$31, "Error", 0)</f>
        <v/>
      </c>
      <c r="AW64" s="186">
        <f t="array" ref="AW64">_xlfn.XLOOKUP(MIN(ABS($AZ$3:$AZ$31 - MEDIAN(MIN($AZ$3:$AZ$31), MAX($AZ$3:$AZ$31), AW34))), ABS($AZ$3:$AZ$31 - MEDIAN(MIN($AZ$3:$AZ$31), MAX($AZ$3:$AZ$31), AW34)), $BA$3:$BA$31, "Error", 0)</f>
        <v/>
      </c>
      <c r="AX64" s="192">
        <f t="array" ref="AX64">_xlfn.XLOOKUP(MIN(ABS($AZ$3:$AZ$31 - MEDIAN(MIN($AZ$3:$AZ$31), MAX($AZ$3:$AZ$31), AX34))), ABS($AZ$3:$AZ$31 - MEDIAN(MIN($AZ$3:$AZ$31), MAX($AZ$3:$AZ$31), AX34)), $BA$3:$BA$31, "Error", 0)</f>
        <v/>
      </c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</row>
    <row r="65" ht="25" customHeight="1">
      <c r="B65" s="169" t="inlineStr">
        <is>
          <t>AUD NZD</t>
        </is>
      </c>
      <c r="C65" s="186">
        <f t="array" ref="C65">_xlfn.XLOOKUP(MIN(ABS($AZ$3:$AZ$31 - MEDIAN(MIN($AZ$3:$AZ$31), MAX($AZ$3:$AZ$31), C35))), ABS($AZ$3:$AZ$31 - MEDIAN(MIN($AZ$3:$AZ$31), MAX($AZ$3:$AZ$31), C35)), $BA$3:$BA$31, "Error", 0)</f>
        <v/>
      </c>
      <c r="D65" s="186">
        <f t="array" ref="D65">_xlfn.XLOOKUP(MIN(ABS($AZ$3:$AZ$31 - MEDIAN(MIN($AZ$3:$AZ$31), MAX($AZ$3:$AZ$31), D35))), ABS($AZ$3:$AZ$31 - MEDIAN(MIN($AZ$3:$AZ$31), MAX($AZ$3:$AZ$31), D35)), $BA$3:$BA$31, "Error", 0)</f>
        <v/>
      </c>
      <c r="E65" s="186">
        <f t="array" ref="E65">_xlfn.XLOOKUP(MIN(ABS($AZ$3:$AZ$31 - MEDIAN(MIN($AZ$3:$AZ$31), MAX($AZ$3:$AZ$31), E35))), ABS($AZ$3:$AZ$31 - MEDIAN(MIN($AZ$3:$AZ$31), MAX($AZ$3:$AZ$31), E35)), $BA$3:$BA$31, "Error", 0)</f>
        <v/>
      </c>
      <c r="F65" s="186">
        <f t="array" ref="F65">_xlfn.XLOOKUP(MIN(ABS($AZ$3:$AZ$31 - MEDIAN(MIN($AZ$3:$AZ$31), MAX($AZ$3:$AZ$31), F35))), ABS($AZ$3:$AZ$31 - MEDIAN(MIN($AZ$3:$AZ$31), MAX($AZ$3:$AZ$31), F35)), $BA$3:$BA$31, "Error", 0)</f>
        <v/>
      </c>
      <c r="G65" s="186">
        <f t="array" ref="G65">_xlfn.XLOOKUP(MIN(ABS($AZ$3:$AZ$31 - MEDIAN(MIN($AZ$3:$AZ$31), MAX($AZ$3:$AZ$31), G35))), ABS($AZ$3:$AZ$31 - MEDIAN(MIN($AZ$3:$AZ$31), MAX($AZ$3:$AZ$31), G35)), $BA$3:$BA$31, "Error", 0)</f>
        <v/>
      </c>
      <c r="H65" s="186">
        <f t="array" ref="H65">_xlfn.XLOOKUP(MIN(ABS($AZ$3:$AZ$31 - MEDIAN(MIN($AZ$3:$AZ$31), MAX($AZ$3:$AZ$31), H35))), ABS($AZ$3:$AZ$31 - MEDIAN(MIN($AZ$3:$AZ$31), MAX($AZ$3:$AZ$31), H35)), $BA$3:$BA$31, "Error", 0)</f>
        <v/>
      </c>
      <c r="I65" s="186">
        <f t="array" ref="I65">_xlfn.XLOOKUP(MIN(ABS($AZ$3:$AZ$31 - MEDIAN(MIN($AZ$3:$AZ$31), MAX($AZ$3:$AZ$31), I35))), ABS($AZ$3:$AZ$31 - MEDIAN(MIN($AZ$3:$AZ$31), MAX($AZ$3:$AZ$31), I35)), $BA$3:$BA$31, "Error", 0)</f>
        <v/>
      </c>
      <c r="J65" s="186">
        <f t="array" ref="J65">_xlfn.XLOOKUP(MIN(ABS($AZ$3:$AZ$31 - MEDIAN(MIN($AZ$3:$AZ$31), MAX($AZ$3:$AZ$31), J35))), ABS($AZ$3:$AZ$31 - MEDIAN(MIN($AZ$3:$AZ$31), MAX($AZ$3:$AZ$31), J35)), $BA$3:$BA$31, "Error", 0)</f>
        <v/>
      </c>
      <c r="K65" s="186">
        <f t="array" ref="K65">_xlfn.XLOOKUP(MIN(ABS($AZ$3:$AZ$31 - MEDIAN(MIN($AZ$3:$AZ$31), MAX($AZ$3:$AZ$31), K35))), ABS($AZ$3:$AZ$31 - MEDIAN(MIN($AZ$3:$AZ$31), MAX($AZ$3:$AZ$31), K35)), $BA$3:$BA$31, "Error", 0)</f>
        <v/>
      </c>
      <c r="L65" s="186">
        <f t="array" ref="L65">_xlfn.XLOOKUP(MIN(ABS($AZ$3:$AZ$31 - MEDIAN(MIN($AZ$3:$AZ$31), MAX($AZ$3:$AZ$31), L35))), ABS($AZ$3:$AZ$31 - MEDIAN(MIN($AZ$3:$AZ$31), MAX($AZ$3:$AZ$31), L35)), $BA$3:$BA$31, "Error", 0)</f>
        <v/>
      </c>
      <c r="M65" s="186">
        <f t="array" ref="M65">_xlfn.XLOOKUP(MIN(ABS($AZ$3:$AZ$31 - MEDIAN(MIN($AZ$3:$AZ$31), MAX($AZ$3:$AZ$31), M35))), ABS($AZ$3:$AZ$31 - MEDIAN(MIN($AZ$3:$AZ$31), MAX($AZ$3:$AZ$31), M35)), $BA$3:$BA$31, "Error", 0)</f>
        <v/>
      </c>
      <c r="N65" s="186">
        <f t="array" ref="N65">_xlfn.XLOOKUP(MIN(ABS($AZ$3:$AZ$31 - MEDIAN(MIN($AZ$3:$AZ$31), MAX($AZ$3:$AZ$31), N35))), ABS($AZ$3:$AZ$31 - MEDIAN(MIN($AZ$3:$AZ$31), MAX($AZ$3:$AZ$31), N35)), $BA$3:$BA$31, "Error", 0)</f>
        <v/>
      </c>
      <c r="O65" s="186">
        <f t="array" ref="O65">_xlfn.XLOOKUP(MIN(ABS($AZ$3:$AZ$31 - MEDIAN(MIN($AZ$3:$AZ$31), MAX($AZ$3:$AZ$31), O35))), ABS($AZ$3:$AZ$31 - MEDIAN(MIN($AZ$3:$AZ$31), MAX($AZ$3:$AZ$31), O35)), $BA$3:$BA$31, "Error", 0)</f>
        <v/>
      </c>
      <c r="P65" s="186">
        <f t="array" ref="P65">_xlfn.XLOOKUP(MIN(ABS($AZ$3:$AZ$31 - MEDIAN(MIN($AZ$3:$AZ$31), MAX($AZ$3:$AZ$31), P35))), ABS($AZ$3:$AZ$31 - MEDIAN(MIN($AZ$3:$AZ$31), MAX($AZ$3:$AZ$31), P35)), $BA$3:$BA$31, "Error", 0)</f>
        <v/>
      </c>
      <c r="Q65" s="186">
        <f t="array" ref="Q65">_xlfn.XLOOKUP(MIN(ABS($AZ$3:$AZ$31 - MEDIAN(MIN($AZ$3:$AZ$31), MAX($AZ$3:$AZ$31), Q35))), ABS($AZ$3:$AZ$31 - MEDIAN(MIN($AZ$3:$AZ$31), MAX($AZ$3:$AZ$31), Q35)), $BA$3:$BA$31, "Error", 0)</f>
        <v/>
      </c>
      <c r="R65" s="186">
        <f t="array" ref="R65">_xlfn.XLOOKUP(MIN(ABS($AZ$3:$AZ$31 - MEDIAN(MIN($AZ$3:$AZ$31), MAX($AZ$3:$AZ$31), R35))), ABS($AZ$3:$AZ$31 - MEDIAN(MIN($AZ$3:$AZ$31), MAX($AZ$3:$AZ$31), R35)), $BA$3:$BA$31, "Error", 0)</f>
        <v/>
      </c>
      <c r="S65" s="186">
        <f t="array" ref="S65">_xlfn.XLOOKUP(MIN(ABS($AZ$3:$AZ$31 - MEDIAN(MIN($AZ$3:$AZ$31), MAX($AZ$3:$AZ$31), S35))), ABS($AZ$3:$AZ$31 - MEDIAN(MIN($AZ$3:$AZ$31), MAX($AZ$3:$AZ$31), S35)), $BA$3:$BA$31, "Error", 0)</f>
        <v/>
      </c>
      <c r="T65" s="186">
        <f t="array" ref="T65">_xlfn.XLOOKUP(MIN(ABS($AZ$3:$AZ$31 - MEDIAN(MIN($AZ$3:$AZ$31), MAX($AZ$3:$AZ$31), T35))), ABS($AZ$3:$AZ$31 - MEDIAN(MIN($AZ$3:$AZ$31), MAX($AZ$3:$AZ$31), T35)), $BA$3:$BA$31, "Error", 0)</f>
        <v/>
      </c>
      <c r="U65" s="186">
        <f t="array" ref="U65">_xlfn.XLOOKUP(MIN(ABS($AZ$3:$AZ$31 - MEDIAN(MIN($AZ$3:$AZ$31), MAX($AZ$3:$AZ$31), U35))), ABS($AZ$3:$AZ$31 - MEDIAN(MIN($AZ$3:$AZ$31), MAX($AZ$3:$AZ$31), U35)), $BA$3:$BA$31, "Error", 0)</f>
        <v/>
      </c>
      <c r="V65" s="186">
        <f t="array" ref="V65">_xlfn.XLOOKUP(MIN(ABS($AZ$3:$AZ$31 - MEDIAN(MIN($AZ$3:$AZ$31), MAX($AZ$3:$AZ$31), V35))), ABS($AZ$3:$AZ$31 - MEDIAN(MIN($AZ$3:$AZ$31), MAX($AZ$3:$AZ$31), V35)), $BA$3:$BA$31, "Error", 0)</f>
        <v/>
      </c>
      <c r="W65" s="186">
        <f t="array" ref="W65">_xlfn.XLOOKUP(MIN(ABS($AZ$3:$AZ$31 - MEDIAN(MIN($AZ$3:$AZ$31), MAX($AZ$3:$AZ$31), W35))), ABS($AZ$3:$AZ$31 - MEDIAN(MIN($AZ$3:$AZ$31), MAX($AZ$3:$AZ$31), W35)), $BA$3:$BA$31, "Error", 0)</f>
        <v/>
      </c>
      <c r="X65" s="186">
        <f t="array" ref="X65">_xlfn.XLOOKUP(MIN(ABS($AZ$3:$AZ$31 - MEDIAN(MIN($AZ$3:$AZ$31), MAX($AZ$3:$AZ$31), X35))), ABS($AZ$3:$AZ$31 - MEDIAN(MIN($AZ$3:$AZ$31), MAX($AZ$3:$AZ$31), X35)), $BA$3:$BA$31, "Error", 0)</f>
        <v/>
      </c>
      <c r="Y65" s="186">
        <f t="array" ref="Y65">_xlfn.XLOOKUP(MIN(ABS($AZ$3:$AZ$31 - MEDIAN(MIN($AZ$3:$AZ$31), MAX($AZ$3:$AZ$31), Y35))), ABS($AZ$3:$AZ$31 - MEDIAN(MIN($AZ$3:$AZ$31), MAX($AZ$3:$AZ$31), Y35)), $BA$3:$BA$31, "Error", 0)</f>
        <v/>
      </c>
      <c r="Z65" s="186">
        <f t="array" ref="Z65">_xlfn.XLOOKUP(MIN(ABS($AZ$3:$AZ$31 - MEDIAN(MIN($AZ$3:$AZ$31), MAX($AZ$3:$AZ$31), Z35))), ABS($AZ$3:$AZ$31 - MEDIAN(MIN($AZ$3:$AZ$31), MAX($AZ$3:$AZ$31), Z35)), $BA$3:$BA$31, "Error", 0)</f>
        <v/>
      </c>
      <c r="AA65" s="186">
        <f t="array" ref="AA65">_xlfn.XLOOKUP(MIN(ABS($AZ$3:$AZ$31 - MEDIAN(MIN($AZ$3:$AZ$31), MAX($AZ$3:$AZ$31), AA35))), ABS($AZ$3:$AZ$31 - MEDIAN(MIN($AZ$3:$AZ$31), MAX($AZ$3:$AZ$31), AA35)), $BA$3:$BA$31, "Error", 0)</f>
        <v/>
      </c>
      <c r="AB65" s="186">
        <f t="array" ref="AB65">_xlfn.XLOOKUP(MIN(ABS($AZ$3:$AZ$31 - MEDIAN(MIN($AZ$3:$AZ$31), MAX($AZ$3:$AZ$31), AB35))), ABS($AZ$3:$AZ$31 - MEDIAN(MIN($AZ$3:$AZ$31), MAX($AZ$3:$AZ$31), AB35)), $BA$3:$BA$31, "Error", 0)</f>
        <v/>
      </c>
      <c r="AC65" s="186">
        <f t="array" ref="AC65">_xlfn.XLOOKUP(MIN(ABS($AZ$3:$AZ$31 - MEDIAN(MIN($AZ$3:$AZ$31), MAX($AZ$3:$AZ$31), AC35))), ABS($AZ$3:$AZ$31 - MEDIAN(MIN($AZ$3:$AZ$31), MAX($AZ$3:$AZ$31), AC35)), $BA$3:$BA$31, "Error", 0)</f>
        <v/>
      </c>
      <c r="AD65" s="186">
        <f t="array" ref="AD65">_xlfn.XLOOKUP(MIN(ABS($AZ$3:$AZ$31 - MEDIAN(MIN($AZ$3:$AZ$31), MAX($AZ$3:$AZ$31), AD35))), ABS($AZ$3:$AZ$31 - MEDIAN(MIN($AZ$3:$AZ$31), MAX($AZ$3:$AZ$31), AD35)), $BA$3:$BA$31, "Error", 0)</f>
        <v/>
      </c>
      <c r="AE65" s="186">
        <f t="array" ref="AE65">_xlfn.XLOOKUP(MIN(ABS($AZ$3:$AZ$31 - MEDIAN(MIN($AZ$3:$AZ$31), MAX($AZ$3:$AZ$31), AE35))), ABS($AZ$3:$AZ$31 - MEDIAN(MIN($AZ$3:$AZ$31), MAX($AZ$3:$AZ$31), AE35)), $BA$3:$BA$31, "Error", 0)</f>
        <v/>
      </c>
      <c r="AF65" s="186">
        <f t="array" ref="AF65">_xlfn.XLOOKUP(MIN(ABS($AZ$3:$AZ$31 - MEDIAN(MIN($AZ$3:$AZ$31), MAX($AZ$3:$AZ$31), AF35))), ABS($AZ$3:$AZ$31 - MEDIAN(MIN($AZ$3:$AZ$31), MAX($AZ$3:$AZ$31), AF35)), $BA$3:$BA$31, "Error", 0)</f>
        <v/>
      </c>
      <c r="AG65" s="186">
        <f t="array" ref="AG65">_xlfn.XLOOKUP(MIN(ABS($AZ$3:$AZ$31 - MEDIAN(MIN($AZ$3:$AZ$31), MAX($AZ$3:$AZ$31), AG35))), ABS($AZ$3:$AZ$31 - MEDIAN(MIN($AZ$3:$AZ$31), MAX($AZ$3:$AZ$31), AG35)), $BA$3:$BA$31, "Error", 0)</f>
        <v/>
      </c>
      <c r="AH65" s="186">
        <f t="array" ref="AH65">_xlfn.XLOOKUP(MIN(ABS($AZ$3:$AZ$31 - MEDIAN(MIN($AZ$3:$AZ$31), MAX($AZ$3:$AZ$31), AH35))), ABS($AZ$3:$AZ$31 - MEDIAN(MIN($AZ$3:$AZ$31), MAX($AZ$3:$AZ$31), AH35)), $BA$3:$BA$31, "Error", 0)</f>
        <v/>
      </c>
      <c r="AI65" s="186">
        <f t="array" ref="AI65">_xlfn.XLOOKUP(MIN(ABS($AZ$3:$AZ$31 - MEDIAN(MIN($AZ$3:$AZ$31), MAX($AZ$3:$AZ$31), AI35))), ABS($AZ$3:$AZ$31 - MEDIAN(MIN($AZ$3:$AZ$31), MAX($AZ$3:$AZ$31), AI35)), $BA$3:$BA$31, "Error", 0)</f>
        <v/>
      </c>
      <c r="AJ65" s="186">
        <f t="array" ref="AJ65">_xlfn.XLOOKUP(MIN(ABS($AZ$3:$AZ$31 - MEDIAN(MIN($AZ$3:$AZ$31), MAX($AZ$3:$AZ$31), AJ35))), ABS($AZ$3:$AZ$31 - MEDIAN(MIN($AZ$3:$AZ$31), MAX($AZ$3:$AZ$31), AJ35)), $BA$3:$BA$31, "Error", 0)</f>
        <v/>
      </c>
      <c r="AK65" s="186">
        <f t="array" ref="AK65">_xlfn.XLOOKUP(MIN(ABS($AZ$3:$AZ$31 - MEDIAN(MIN($AZ$3:$AZ$31), MAX($AZ$3:$AZ$31), AK35))), ABS($AZ$3:$AZ$31 - MEDIAN(MIN($AZ$3:$AZ$31), MAX($AZ$3:$AZ$31), AK35)), $BA$3:$BA$31, "Error", 0)</f>
        <v/>
      </c>
      <c r="AL65" s="186">
        <f t="array" ref="AL65">_xlfn.XLOOKUP(MIN(ABS($AZ$3:$AZ$31 - MEDIAN(MIN($AZ$3:$AZ$31), MAX($AZ$3:$AZ$31), AL35))), ABS($AZ$3:$AZ$31 - MEDIAN(MIN($AZ$3:$AZ$31), MAX($AZ$3:$AZ$31), AL35)), $BA$3:$BA$31, "Error", 0)</f>
        <v/>
      </c>
      <c r="AM65" s="186">
        <f t="array" ref="AM65">_xlfn.XLOOKUP(MIN(ABS($AZ$3:$AZ$31 - MEDIAN(MIN($AZ$3:$AZ$31), MAX($AZ$3:$AZ$31), AM35))), ABS($AZ$3:$AZ$31 - MEDIAN(MIN($AZ$3:$AZ$31), MAX($AZ$3:$AZ$31), AM35)), $BA$3:$BA$31, "Error", 0)</f>
        <v/>
      </c>
      <c r="AN65" s="186">
        <f t="array" ref="AN65">_xlfn.XLOOKUP(MIN(ABS($AZ$3:$AZ$31 - MEDIAN(MIN($AZ$3:$AZ$31), MAX($AZ$3:$AZ$31), AN35))), ABS($AZ$3:$AZ$31 - MEDIAN(MIN($AZ$3:$AZ$31), MAX($AZ$3:$AZ$31), AN35)), $BA$3:$BA$31, "Error", 0)</f>
        <v/>
      </c>
      <c r="AO65" s="186">
        <f t="array" ref="AO65">_xlfn.XLOOKUP(MIN(ABS($AZ$3:$AZ$31 - MEDIAN(MIN($AZ$3:$AZ$31), MAX($AZ$3:$AZ$31), AO35))), ABS($AZ$3:$AZ$31 - MEDIAN(MIN($AZ$3:$AZ$31), MAX($AZ$3:$AZ$31), AO35)), $BA$3:$BA$31, "Error", 0)</f>
        <v/>
      </c>
      <c r="AP65" s="186">
        <f t="array" ref="AP65">_xlfn.XLOOKUP(MIN(ABS($AZ$3:$AZ$31 - MEDIAN(MIN($AZ$3:$AZ$31), MAX($AZ$3:$AZ$31), AP35))), ABS($AZ$3:$AZ$31 - MEDIAN(MIN($AZ$3:$AZ$31), MAX($AZ$3:$AZ$31), AP35)), $BA$3:$BA$31, "Error", 0)</f>
        <v/>
      </c>
      <c r="AQ65" s="186">
        <f t="array" ref="AQ65">_xlfn.XLOOKUP(MIN(ABS($AZ$3:$AZ$31 - MEDIAN(MIN($AZ$3:$AZ$31), MAX($AZ$3:$AZ$31), AQ35))), ABS($AZ$3:$AZ$31 - MEDIAN(MIN($AZ$3:$AZ$31), MAX($AZ$3:$AZ$31), AQ35)), $BA$3:$BA$31, "Error", 0)</f>
        <v/>
      </c>
      <c r="AR65" s="186">
        <f t="array" ref="AR65">_xlfn.XLOOKUP(MIN(ABS($AZ$3:$AZ$31 - MEDIAN(MIN($AZ$3:$AZ$31), MAX($AZ$3:$AZ$31), AR35))), ABS($AZ$3:$AZ$31 - MEDIAN(MIN($AZ$3:$AZ$31), MAX($AZ$3:$AZ$31), AR35)), $BA$3:$BA$31, "Error", 0)</f>
        <v/>
      </c>
      <c r="AS65" s="186">
        <f t="array" ref="AS65">_xlfn.XLOOKUP(MIN(ABS($AZ$3:$AZ$31 - MEDIAN(MIN($AZ$3:$AZ$31), MAX($AZ$3:$AZ$31), AS35))), ABS($AZ$3:$AZ$31 - MEDIAN(MIN($AZ$3:$AZ$31), MAX($AZ$3:$AZ$31), AS35)), $BA$3:$BA$31, "Error", 0)</f>
        <v/>
      </c>
      <c r="AT65" s="186">
        <f t="array" ref="AT65">_xlfn.XLOOKUP(MIN(ABS($AZ$3:$AZ$31 - MEDIAN(MIN($AZ$3:$AZ$31), MAX($AZ$3:$AZ$31), AT35))), ABS($AZ$3:$AZ$31 - MEDIAN(MIN($AZ$3:$AZ$31), MAX($AZ$3:$AZ$31), AT35)), $BA$3:$BA$31, "Error", 0)</f>
        <v/>
      </c>
      <c r="AU65" s="186">
        <f t="array" ref="AU65">_xlfn.XLOOKUP(MIN(ABS($AZ$3:$AZ$31 - MEDIAN(MIN($AZ$3:$AZ$31), MAX($AZ$3:$AZ$31), AU35))), ABS($AZ$3:$AZ$31 - MEDIAN(MIN($AZ$3:$AZ$31), MAX($AZ$3:$AZ$31), AU35)), $BA$3:$BA$31, "Error", 0)</f>
        <v/>
      </c>
      <c r="AV65" s="186">
        <f t="array" ref="AV65">_xlfn.XLOOKUP(MIN(ABS($AZ$3:$AZ$31 - MEDIAN(MIN($AZ$3:$AZ$31), MAX($AZ$3:$AZ$31), AV35))), ABS($AZ$3:$AZ$31 - MEDIAN(MIN($AZ$3:$AZ$31), MAX($AZ$3:$AZ$31), AV35)), $BA$3:$BA$31, "Error", 0)</f>
        <v/>
      </c>
      <c r="AW65" s="186">
        <f t="array" ref="AW65">_xlfn.XLOOKUP(MIN(ABS($AZ$3:$AZ$31 - MEDIAN(MIN($AZ$3:$AZ$31), MAX($AZ$3:$AZ$31), AW35))), ABS($AZ$3:$AZ$31 - MEDIAN(MIN($AZ$3:$AZ$31), MAX($AZ$3:$AZ$31), AW35)), $BA$3:$BA$31, "Error", 0)</f>
        <v/>
      </c>
      <c r="AX65" s="192">
        <f t="array" ref="AX65">_xlfn.XLOOKUP(MIN(ABS($AZ$3:$AZ$31 - MEDIAN(MIN($AZ$3:$AZ$31), MAX($AZ$3:$AZ$31), AX35))), ABS($AZ$3:$AZ$31 - MEDIAN(MIN($AZ$3:$AZ$31), MAX($AZ$3:$AZ$31), AX35)), $BA$3:$BA$31, "Error", 0)</f>
        <v/>
      </c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</row>
    <row r="66" ht="25" customHeight="1">
      <c r="B66" s="169" t="inlineStr">
        <is>
          <t>AUD CAD</t>
        </is>
      </c>
      <c r="C66" s="186">
        <f t="array" ref="C66">_xlfn.XLOOKUP(MIN(ABS($AZ$3:$AZ$31 - MEDIAN(MIN($AZ$3:$AZ$31), MAX($AZ$3:$AZ$31), C36))), ABS($AZ$3:$AZ$31 - MEDIAN(MIN($AZ$3:$AZ$31), MAX($AZ$3:$AZ$31), C36)), $BA$3:$BA$31, "Error", 0)</f>
        <v/>
      </c>
      <c r="D66" s="186">
        <f t="array" ref="D66">_xlfn.XLOOKUP(MIN(ABS($AZ$3:$AZ$31 - MEDIAN(MIN($AZ$3:$AZ$31), MAX($AZ$3:$AZ$31), D36))), ABS($AZ$3:$AZ$31 - MEDIAN(MIN($AZ$3:$AZ$31), MAX($AZ$3:$AZ$31), D36)), $BA$3:$BA$31, "Error", 0)</f>
        <v/>
      </c>
      <c r="E66" s="186">
        <f t="array" ref="E66">_xlfn.XLOOKUP(MIN(ABS($AZ$3:$AZ$31 - MEDIAN(MIN($AZ$3:$AZ$31), MAX($AZ$3:$AZ$31), E36))), ABS($AZ$3:$AZ$31 - MEDIAN(MIN($AZ$3:$AZ$31), MAX($AZ$3:$AZ$31), E36)), $BA$3:$BA$31, "Error", 0)</f>
        <v/>
      </c>
      <c r="F66" s="186">
        <f t="array" ref="F66">_xlfn.XLOOKUP(MIN(ABS($AZ$3:$AZ$31 - MEDIAN(MIN($AZ$3:$AZ$31), MAX($AZ$3:$AZ$31), F36))), ABS($AZ$3:$AZ$31 - MEDIAN(MIN($AZ$3:$AZ$31), MAX($AZ$3:$AZ$31), F36)), $BA$3:$BA$31, "Error", 0)</f>
        <v/>
      </c>
      <c r="G66" s="186">
        <f t="array" ref="G66">_xlfn.XLOOKUP(MIN(ABS($AZ$3:$AZ$31 - MEDIAN(MIN($AZ$3:$AZ$31), MAX($AZ$3:$AZ$31), G36))), ABS($AZ$3:$AZ$31 - MEDIAN(MIN($AZ$3:$AZ$31), MAX($AZ$3:$AZ$31), G36)), $BA$3:$BA$31, "Error", 0)</f>
        <v/>
      </c>
      <c r="H66" s="186">
        <f t="array" ref="H66">_xlfn.XLOOKUP(MIN(ABS($AZ$3:$AZ$31 - MEDIAN(MIN($AZ$3:$AZ$31), MAX($AZ$3:$AZ$31), H36))), ABS($AZ$3:$AZ$31 - MEDIAN(MIN($AZ$3:$AZ$31), MAX($AZ$3:$AZ$31), H36)), $BA$3:$BA$31, "Error", 0)</f>
        <v/>
      </c>
      <c r="I66" s="186">
        <f t="array" ref="I66">_xlfn.XLOOKUP(MIN(ABS($AZ$3:$AZ$31 - MEDIAN(MIN($AZ$3:$AZ$31), MAX($AZ$3:$AZ$31), I36))), ABS($AZ$3:$AZ$31 - MEDIAN(MIN($AZ$3:$AZ$31), MAX($AZ$3:$AZ$31), I36)), $BA$3:$BA$31, "Error", 0)</f>
        <v/>
      </c>
      <c r="J66" s="186">
        <f t="array" ref="J66">_xlfn.XLOOKUP(MIN(ABS($AZ$3:$AZ$31 - MEDIAN(MIN($AZ$3:$AZ$31), MAX($AZ$3:$AZ$31), J36))), ABS($AZ$3:$AZ$31 - MEDIAN(MIN($AZ$3:$AZ$31), MAX($AZ$3:$AZ$31), J36)), $BA$3:$BA$31, "Error", 0)</f>
        <v/>
      </c>
      <c r="K66" s="186">
        <f t="array" ref="K66">_xlfn.XLOOKUP(MIN(ABS($AZ$3:$AZ$31 - MEDIAN(MIN($AZ$3:$AZ$31), MAX($AZ$3:$AZ$31), K36))), ABS($AZ$3:$AZ$31 - MEDIAN(MIN($AZ$3:$AZ$31), MAX($AZ$3:$AZ$31), K36)), $BA$3:$BA$31, "Error", 0)</f>
        <v/>
      </c>
      <c r="L66" s="186">
        <f t="array" ref="L66">_xlfn.XLOOKUP(MIN(ABS($AZ$3:$AZ$31 - MEDIAN(MIN($AZ$3:$AZ$31), MAX($AZ$3:$AZ$31), L36))), ABS($AZ$3:$AZ$31 - MEDIAN(MIN($AZ$3:$AZ$31), MAX($AZ$3:$AZ$31), L36)), $BA$3:$BA$31, "Error", 0)</f>
        <v/>
      </c>
      <c r="M66" s="186">
        <f t="array" ref="M66">_xlfn.XLOOKUP(MIN(ABS($AZ$3:$AZ$31 - MEDIAN(MIN($AZ$3:$AZ$31), MAX($AZ$3:$AZ$31), M36))), ABS($AZ$3:$AZ$31 - MEDIAN(MIN($AZ$3:$AZ$31), MAX($AZ$3:$AZ$31), M36)), $BA$3:$BA$31, "Error", 0)</f>
        <v/>
      </c>
      <c r="N66" s="186">
        <f t="array" ref="N66">_xlfn.XLOOKUP(MIN(ABS($AZ$3:$AZ$31 - MEDIAN(MIN($AZ$3:$AZ$31), MAX($AZ$3:$AZ$31), N36))), ABS($AZ$3:$AZ$31 - MEDIAN(MIN($AZ$3:$AZ$31), MAX($AZ$3:$AZ$31), N36)), $BA$3:$BA$31, "Error", 0)</f>
        <v/>
      </c>
      <c r="O66" s="186">
        <f t="array" ref="O66">_xlfn.XLOOKUP(MIN(ABS($AZ$3:$AZ$31 - MEDIAN(MIN($AZ$3:$AZ$31), MAX($AZ$3:$AZ$31), O36))), ABS($AZ$3:$AZ$31 - MEDIAN(MIN($AZ$3:$AZ$31), MAX($AZ$3:$AZ$31), O36)), $BA$3:$BA$31, "Error", 0)</f>
        <v/>
      </c>
      <c r="P66" s="186">
        <f t="array" ref="P66">_xlfn.XLOOKUP(MIN(ABS($AZ$3:$AZ$31 - MEDIAN(MIN($AZ$3:$AZ$31), MAX($AZ$3:$AZ$31), P36))), ABS($AZ$3:$AZ$31 - MEDIAN(MIN($AZ$3:$AZ$31), MAX($AZ$3:$AZ$31), P36)), $BA$3:$BA$31, "Error", 0)</f>
        <v/>
      </c>
      <c r="Q66" s="186">
        <f t="array" ref="Q66">_xlfn.XLOOKUP(MIN(ABS($AZ$3:$AZ$31 - MEDIAN(MIN($AZ$3:$AZ$31), MAX($AZ$3:$AZ$31), Q36))), ABS($AZ$3:$AZ$31 - MEDIAN(MIN($AZ$3:$AZ$31), MAX($AZ$3:$AZ$31), Q36)), $BA$3:$BA$31, "Error", 0)</f>
        <v/>
      </c>
      <c r="R66" s="186">
        <f t="array" ref="R66">_xlfn.XLOOKUP(MIN(ABS($AZ$3:$AZ$31 - MEDIAN(MIN($AZ$3:$AZ$31), MAX($AZ$3:$AZ$31), R36))), ABS($AZ$3:$AZ$31 - MEDIAN(MIN($AZ$3:$AZ$31), MAX($AZ$3:$AZ$31), R36)), $BA$3:$BA$31, "Error", 0)</f>
        <v/>
      </c>
      <c r="S66" s="186">
        <f t="array" ref="S66">_xlfn.XLOOKUP(MIN(ABS($AZ$3:$AZ$31 - MEDIAN(MIN($AZ$3:$AZ$31), MAX($AZ$3:$AZ$31), S36))), ABS($AZ$3:$AZ$31 - MEDIAN(MIN($AZ$3:$AZ$31), MAX($AZ$3:$AZ$31), S36)), $BA$3:$BA$31, "Error", 0)</f>
        <v/>
      </c>
      <c r="T66" s="186">
        <f t="array" ref="T66">_xlfn.XLOOKUP(MIN(ABS($AZ$3:$AZ$31 - MEDIAN(MIN($AZ$3:$AZ$31), MAX($AZ$3:$AZ$31), T36))), ABS($AZ$3:$AZ$31 - MEDIAN(MIN($AZ$3:$AZ$31), MAX($AZ$3:$AZ$31), T36)), $BA$3:$BA$31, "Error", 0)</f>
        <v/>
      </c>
      <c r="U66" s="186">
        <f t="array" ref="U66">_xlfn.XLOOKUP(MIN(ABS($AZ$3:$AZ$31 - MEDIAN(MIN($AZ$3:$AZ$31), MAX($AZ$3:$AZ$31), U36))), ABS($AZ$3:$AZ$31 - MEDIAN(MIN($AZ$3:$AZ$31), MAX($AZ$3:$AZ$31), U36)), $BA$3:$BA$31, "Error", 0)</f>
        <v/>
      </c>
      <c r="V66" s="186">
        <f t="array" ref="V66">_xlfn.XLOOKUP(MIN(ABS($AZ$3:$AZ$31 - MEDIAN(MIN($AZ$3:$AZ$31), MAX($AZ$3:$AZ$31), V36))), ABS($AZ$3:$AZ$31 - MEDIAN(MIN($AZ$3:$AZ$31), MAX($AZ$3:$AZ$31), V36)), $BA$3:$BA$31, "Error", 0)</f>
        <v/>
      </c>
      <c r="W66" s="186">
        <f t="array" ref="W66">_xlfn.XLOOKUP(MIN(ABS($AZ$3:$AZ$31 - MEDIAN(MIN($AZ$3:$AZ$31), MAX($AZ$3:$AZ$31), W36))), ABS($AZ$3:$AZ$31 - MEDIAN(MIN($AZ$3:$AZ$31), MAX($AZ$3:$AZ$31), W36)), $BA$3:$BA$31, "Error", 0)</f>
        <v/>
      </c>
      <c r="X66" s="186">
        <f t="array" ref="X66">_xlfn.XLOOKUP(MIN(ABS($AZ$3:$AZ$31 - MEDIAN(MIN($AZ$3:$AZ$31), MAX($AZ$3:$AZ$31), X36))), ABS($AZ$3:$AZ$31 - MEDIAN(MIN($AZ$3:$AZ$31), MAX($AZ$3:$AZ$31), X36)), $BA$3:$BA$31, "Error", 0)</f>
        <v/>
      </c>
      <c r="Y66" s="186">
        <f t="array" ref="Y66">_xlfn.XLOOKUP(MIN(ABS($AZ$3:$AZ$31 - MEDIAN(MIN($AZ$3:$AZ$31), MAX($AZ$3:$AZ$31), Y36))), ABS($AZ$3:$AZ$31 - MEDIAN(MIN($AZ$3:$AZ$31), MAX($AZ$3:$AZ$31), Y36)), $BA$3:$BA$31, "Error", 0)</f>
        <v/>
      </c>
      <c r="Z66" s="186">
        <f t="array" ref="Z66">_xlfn.XLOOKUP(MIN(ABS($AZ$3:$AZ$31 - MEDIAN(MIN($AZ$3:$AZ$31), MAX($AZ$3:$AZ$31), Z36))), ABS($AZ$3:$AZ$31 - MEDIAN(MIN($AZ$3:$AZ$31), MAX($AZ$3:$AZ$31), Z36)), $BA$3:$BA$31, "Error", 0)</f>
        <v/>
      </c>
      <c r="AA66" s="186">
        <f t="array" ref="AA66">_xlfn.XLOOKUP(MIN(ABS($AZ$3:$AZ$31 - MEDIAN(MIN($AZ$3:$AZ$31), MAX($AZ$3:$AZ$31), AA36))), ABS($AZ$3:$AZ$31 - MEDIAN(MIN($AZ$3:$AZ$31), MAX($AZ$3:$AZ$31), AA36)), $BA$3:$BA$31, "Error", 0)</f>
        <v/>
      </c>
      <c r="AB66" s="186">
        <f t="array" ref="AB66">_xlfn.XLOOKUP(MIN(ABS($AZ$3:$AZ$31 - MEDIAN(MIN($AZ$3:$AZ$31), MAX($AZ$3:$AZ$31), AB36))), ABS($AZ$3:$AZ$31 - MEDIAN(MIN($AZ$3:$AZ$31), MAX($AZ$3:$AZ$31), AB36)), $BA$3:$BA$31, "Error", 0)</f>
        <v/>
      </c>
      <c r="AC66" s="186">
        <f t="array" ref="AC66">_xlfn.XLOOKUP(MIN(ABS($AZ$3:$AZ$31 - MEDIAN(MIN($AZ$3:$AZ$31), MAX($AZ$3:$AZ$31), AC36))), ABS($AZ$3:$AZ$31 - MEDIAN(MIN($AZ$3:$AZ$31), MAX($AZ$3:$AZ$31), AC36)), $BA$3:$BA$31, "Error", 0)</f>
        <v/>
      </c>
      <c r="AD66" s="186">
        <f t="array" ref="AD66">_xlfn.XLOOKUP(MIN(ABS($AZ$3:$AZ$31 - MEDIAN(MIN($AZ$3:$AZ$31), MAX($AZ$3:$AZ$31), AD36))), ABS($AZ$3:$AZ$31 - MEDIAN(MIN($AZ$3:$AZ$31), MAX($AZ$3:$AZ$31), AD36)), $BA$3:$BA$31, "Error", 0)</f>
        <v/>
      </c>
      <c r="AE66" s="186">
        <f t="array" ref="AE66">_xlfn.XLOOKUP(MIN(ABS($AZ$3:$AZ$31 - MEDIAN(MIN($AZ$3:$AZ$31), MAX($AZ$3:$AZ$31), AE36))), ABS($AZ$3:$AZ$31 - MEDIAN(MIN($AZ$3:$AZ$31), MAX($AZ$3:$AZ$31), AE36)), $BA$3:$BA$31, "Error", 0)</f>
        <v/>
      </c>
      <c r="AF66" s="186">
        <f t="array" ref="AF66">_xlfn.XLOOKUP(MIN(ABS($AZ$3:$AZ$31 - MEDIAN(MIN($AZ$3:$AZ$31), MAX($AZ$3:$AZ$31), AF36))), ABS($AZ$3:$AZ$31 - MEDIAN(MIN($AZ$3:$AZ$31), MAX($AZ$3:$AZ$31), AF36)), $BA$3:$BA$31, "Error", 0)</f>
        <v/>
      </c>
      <c r="AG66" s="186">
        <f t="array" ref="AG66">_xlfn.XLOOKUP(MIN(ABS($AZ$3:$AZ$31 - MEDIAN(MIN($AZ$3:$AZ$31), MAX($AZ$3:$AZ$31), AG36))), ABS($AZ$3:$AZ$31 - MEDIAN(MIN($AZ$3:$AZ$31), MAX($AZ$3:$AZ$31), AG36)), $BA$3:$BA$31, "Error", 0)</f>
        <v/>
      </c>
      <c r="AH66" s="186">
        <f t="array" ref="AH66">_xlfn.XLOOKUP(MIN(ABS($AZ$3:$AZ$31 - MEDIAN(MIN($AZ$3:$AZ$31), MAX($AZ$3:$AZ$31), AH36))), ABS($AZ$3:$AZ$31 - MEDIAN(MIN($AZ$3:$AZ$31), MAX($AZ$3:$AZ$31), AH36)), $BA$3:$BA$31, "Error", 0)</f>
        <v/>
      </c>
      <c r="AI66" s="186">
        <f t="array" ref="AI66">_xlfn.XLOOKUP(MIN(ABS($AZ$3:$AZ$31 - MEDIAN(MIN($AZ$3:$AZ$31), MAX($AZ$3:$AZ$31), AI36))), ABS($AZ$3:$AZ$31 - MEDIAN(MIN($AZ$3:$AZ$31), MAX($AZ$3:$AZ$31), AI36)), $BA$3:$BA$31, "Error", 0)</f>
        <v/>
      </c>
      <c r="AJ66" s="186">
        <f t="array" ref="AJ66">_xlfn.XLOOKUP(MIN(ABS($AZ$3:$AZ$31 - MEDIAN(MIN($AZ$3:$AZ$31), MAX($AZ$3:$AZ$31), AJ36))), ABS($AZ$3:$AZ$31 - MEDIAN(MIN($AZ$3:$AZ$31), MAX($AZ$3:$AZ$31), AJ36)), $BA$3:$BA$31, "Error", 0)</f>
        <v/>
      </c>
      <c r="AK66" s="186">
        <f t="array" ref="AK66">_xlfn.XLOOKUP(MIN(ABS($AZ$3:$AZ$31 - MEDIAN(MIN($AZ$3:$AZ$31), MAX($AZ$3:$AZ$31), AK36))), ABS($AZ$3:$AZ$31 - MEDIAN(MIN($AZ$3:$AZ$31), MAX($AZ$3:$AZ$31), AK36)), $BA$3:$BA$31, "Error", 0)</f>
        <v/>
      </c>
      <c r="AL66" s="186">
        <f t="array" ref="AL66">_xlfn.XLOOKUP(MIN(ABS($AZ$3:$AZ$31 - MEDIAN(MIN($AZ$3:$AZ$31), MAX($AZ$3:$AZ$31), AL36))), ABS($AZ$3:$AZ$31 - MEDIAN(MIN($AZ$3:$AZ$31), MAX($AZ$3:$AZ$31), AL36)), $BA$3:$BA$31, "Error", 0)</f>
        <v/>
      </c>
      <c r="AM66" s="186">
        <f t="array" ref="AM66">_xlfn.XLOOKUP(MIN(ABS($AZ$3:$AZ$31 - MEDIAN(MIN($AZ$3:$AZ$31), MAX($AZ$3:$AZ$31), AM36))), ABS($AZ$3:$AZ$31 - MEDIAN(MIN($AZ$3:$AZ$31), MAX($AZ$3:$AZ$31), AM36)), $BA$3:$BA$31, "Error", 0)</f>
        <v/>
      </c>
      <c r="AN66" s="186">
        <f t="array" ref="AN66">_xlfn.XLOOKUP(MIN(ABS($AZ$3:$AZ$31 - MEDIAN(MIN($AZ$3:$AZ$31), MAX($AZ$3:$AZ$31), AN36))), ABS($AZ$3:$AZ$31 - MEDIAN(MIN($AZ$3:$AZ$31), MAX($AZ$3:$AZ$31), AN36)), $BA$3:$BA$31, "Error", 0)</f>
        <v/>
      </c>
      <c r="AO66" s="186">
        <f t="array" ref="AO66">_xlfn.XLOOKUP(MIN(ABS($AZ$3:$AZ$31 - MEDIAN(MIN($AZ$3:$AZ$31), MAX($AZ$3:$AZ$31), AO36))), ABS($AZ$3:$AZ$31 - MEDIAN(MIN($AZ$3:$AZ$31), MAX($AZ$3:$AZ$31), AO36)), $BA$3:$BA$31, "Error", 0)</f>
        <v/>
      </c>
      <c r="AP66" s="186">
        <f t="array" ref="AP66">_xlfn.XLOOKUP(MIN(ABS($AZ$3:$AZ$31 - MEDIAN(MIN($AZ$3:$AZ$31), MAX($AZ$3:$AZ$31), AP36))), ABS($AZ$3:$AZ$31 - MEDIAN(MIN($AZ$3:$AZ$31), MAX($AZ$3:$AZ$31), AP36)), $BA$3:$BA$31, "Error", 0)</f>
        <v/>
      </c>
      <c r="AQ66" s="186">
        <f t="array" ref="AQ66">_xlfn.XLOOKUP(MIN(ABS($AZ$3:$AZ$31 - MEDIAN(MIN($AZ$3:$AZ$31), MAX($AZ$3:$AZ$31), AQ36))), ABS($AZ$3:$AZ$31 - MEDIAN(MIN($AZ$3:$AZ$31), MAX($AZ$3:$AZ$31), AQ36)), $BA$3:$BA$31, "Error", 0)</f>
        <v/>
      </c>
      <c r="AR66" s="186">
        <f t="array" ref="AR66">_xlfn.XLOOKUP(MIN(ABS($AZ$3:$AZ$31 - MEDIAN(MIN($AZ$3:$AZ$31), MAX($AZ$3:$AZ$31), AR36))), ABS($AZ$3:$AZ$31 - MEDIAN(MIN($AZ$3:$AZ$31), MAX($AZ$3:$AZ$31), AR36)), $BA$3:$BA$31, "Error", 0)</f>
        <v/>
      </c>
      <c r="AS66" s="186">
        <f t="array" ref="AS66">_xlfn.XLOOKUP(MIN(ABS($AZ$3:$AZ$31 - MEDIAN(MIN($AZ$3:$AZ$31), MAX($AZ$3:$AZ$31), AS36))), ABS($AZ$3:$AZ$31 - MEDIAN(MIN($AZ$3:$AZ$31), MAX($AZ$3:$AZ$31), AS36)), $BA$3:$BA$31, "Error", 0)</f>
        <v/>
      </c>
      <c r="AT66" s="186">
        <f t="array" ref="AT66">_xlfn.XLOOKUP(MIN(ABS($AZ$3:$AZ$31 - MEDIAN(MIN($AZ$3:$AZ$31), MAX($AZ$3:$AZ$31), AT36))), ABS($AZ$3:$AZ$31 - MEDIAN(MIN($AZ$3:$AZ$31), MAX($AZ$3:$AZ$31), AT36)), $BA$3:$BA$31, "Error", 0)</f>
        <v/>
      </c>
      <c r="AU66" s="186">
        <f t="array" ref="AU66">_xlfn.XLOOKUP(MIN(ABS($AZ$3:$AZ$31 - MEDIAN(MIN($AZ$3:$AZ$31), MAX($AZ$3:$AZ$31), AU36))), ABS($AZ$3:$AZ$31 - MEDIAN(MIN($AZ$3:$AZ$31), MAX($AZ$3:$AZ$31), AU36)), $BA$3:$BA$31, "Error", 0)</f>
        <v/>
      </c>
      <c r="AV66" s="186">
        <f t="array" ref="AV66">_xlfn.XLOOKUP(MIN(ABS($AZ$3:$AZ$31 - MEDIAN(MIN($AZ$3:$AZ$31), MAX($AZ$3:$AZ$31), AV36))), ABS($AZ$3:$AZ$31 - MEDIAN(MIN($AZ$3:$AZ$31), MAX($AZ$3:$AZ$31), AV36)), $BA$3:$BA$31, "Error", 0)</f>
        <v/>
      </c>
      <c r="AW66" s="186">
        <f t="array" ref="AW66">_xlfn.XLOOKUP(MIN(ABS($AZ$3:$AZ$31 - MEDIAN(MIN($AZ$3:$AZ$31), MAX($AZ$3:$AZ$31), AW36))), ABS($AZ$3:$AZ$31 - MEDIAN(MIN($AZ$3:$AZ$31), MAX($AZ$3:$AZ$31), AW36)), $BA$3:$BA$31, "Error", 0)</f>
        <v/>
      </c>
      <c r="AX66" s="192">
        <f t="array" ref="AX66">_xlfn.XLOOKUP(MIN(ABS($AZ$3:$AZ$31 - MEDIAN(MIN($AZ$3:$AZ$31), MAX($AZ$3:$AZ$31), AX36))), ABS($AZ$3:$AZ$31 - MEDIAN(MIN($AZ$3:$AZ$31), MAX($AZ$3:$AZ$31), AX36)), $BA$3:$BA$31, "Error", 0)</f>
        <v/>
      </c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</row>
    <row r="67" ht="25" customHeight="1">
      <c r="B67" s="170" t="inlineStr">
        <is>
          <t>CAD JPY</t>
        </is>
      </c>
      <c r="C67" s="186">
        <f t="array" ref="C67">_xlfn.XLOOKUP(MIN(ABS($AZ$3:$AZ$31 - MEDIAN(MIN($AZ$3:$AZ$31), MAX($AZ$3:$AZ$31), C37))), ABS($AZ$3:$AZ$31 - MEDIAN(MIN($AZ$3:$AZ$31), MAX($AZ$3:$AZ$31), C37)), $BA$3:$BA$31, "Error", 0)</f>
        <v/>
      </c>
      <c r="D67" s="186">
        <f t="array" ref="D67">_xlfn.XLOOKUP(MIN(ABS($AZ$3:$AZ$31 - MEDIAN(MIN($AZ$3:$AZ$31), MAX($AZ$3:$AZ$31), D37))), ABS($AZ$3:$AZ$31 - MEDIAN(MIN($AZ$3:$AZ$31), MAX($AZ$3:$AZ$31), D37)), $BA$3:$BA$31, "Error", 0)</f>
        <v/>
      </c>
      <c r="E67" s="186">
        <f t="array" ref="E67">_xlfn.XLOOKUP(MIN(ABS($AZ$3:$AZ$31 - MEDIAN(MIN($AZ$3:$AZ$31), MAX($AZ$3:$AZ$31), E37))), ABS($AZ$3:$AZ$31 - MEDIAN(MIN($AZ$3:$AZ$31), MAX($AZ$3:$AZ$31), E37)), $BA$3:$BA$31, "Error", 0)</f>
        <v/>
      </c>
      <c r="F67" s="186">
        <f t="array" ref="F67">_xlfn.XLOOKUP(MIN(ABS($AZ$3:$AZ$31 - MEDIAN(MIN($AZ$3:$AZ$31), MAX($AZ$3:$AZ$31), F37))), ABS($AZ$3:$AZ$31 - MEDIAN(MIN($AZ$3:$AZ$31), MAX($AZ$3:$AZ$31), F37)), $BA$3:$BA$31, "Error", 0)</f>
        <v/>
      </c>
      <c r="G67" s="186">
        <f t="array" ref="G67">_xlfn.XLOOKUP(MIN(ABS($AZ$3:$AZ$31 - MEDIAN(MIN($AZ$3:$AZ$31), MAX($AZ$3:$AZ$31), G37))), ABS($AZ$3:$AZ$31 - MEDIAN(MIN($AZ$3:$AZ$31), MAX($AZ$3:$AZ$31), G37)), $BA$3:$BA$31, "Error", 0)</f>
        <v/>
      </c>
      <c r="H67" s="186">
        <f t="array" ref="H67">_xlfn.XLOOKUP(MIN(ABS($AZ$3:$AZ$31 - MEDIAN(MIN($AZ$3:$AZ$31), MAX($AZ$3:$AZ$31), H37))), ABS($AZ$3:$AZ$31 - MEDIAN(MIN($AZ$3:$AZ$31), MAX($AZ$3:$AZ$31), H37)), $BA$3:$BA$31, "Error", 0)</f>
        <v/>
      </c>
      <c r="I67" s="186">
        <f t="array" ref="I67">_xlfn.XLOOKUP(MIN(ABS($AZ$3:$AZ$31 - MEDIAN(MIN($AZ$3:$AZ$31), MAX($AZ$3:$AZ$31), I37))), ABS($AZ$3:$AZ$31 - MEDIAN(MIN($AZ$3:$AZ$31), MAX($AZ$3:$AZ$31), I37)), $BA$3:$BA$31, "Error", 0)</f>
        <v/>
      </c>
      <c r="J67" s="186">
        <f t="array" ref="J67">_xlfn.XLOOKUP(MIN(ABS($AZ$3:$AZ$31 - MEDIAN(MIN($AZ$3:$AZ$31), MAX($AZ$3:$AZ$31), J37))), ABS($AZ$3:$AZ$31 - MEDIAN(MIN($AZ$3:$AZ$31), MAX($AZ$3:$AZ$31), J37)), $BA$3:$BA$31, "Error", 0)</f>
        <v/>
      </c>
      <c r="K67" s="186">
        <f t="array" ref="K67">_xlfn.XLOOKUP(MIN(ABS($AZ$3:$AZ$31 - MEDIAN(MIN($AZ$3:$AZ$31), MAX($AZ$3:$AZ$31), K37))), ABS($AZ$3:$AZ$31 - MEDIAN(MIN($AZ$3:$AZ$31), MAX($AZ$3:$AZ$31), K37)), $BA$3:$BA$31, "Error", 0)</f>
        <v/>
      </c>
      <c r="L67" s="186">
        <f t="array" ref="L67">_xlfn.XLOOKUP(MIN(ABS($AZ$3:$AZ$31 - MEDIAN(MIN($AZ$3:$AZ$31), MAX($AZ$3:$AZ$31), L37))), ABS($AZ$3:$AZ$31 - MEDIAN(MIN($AZ$3:$AZ$31), MAX($AZ$3:$AZ$31), L37)), $BA$3:$BA$31, "Error", 0)</f>
        <v/>
      </c>
      <c r="M67" s="186">
        <f t="array" ref="M67">_xlfn.XLOOKUP(MIN(ABS($AZ$3:$AZ$31 - MEDIAN(MIN($AZ$3:$AZ$31), MAX($AZ$3:$AZ$31), M37))), ABS($AZ$3:$AZ$31 - MEDIAN(MIN($AZ$3:$AZ$31), MAX($AZ$3:$AZ$31), M37)), $BA$3:$BA$31, "Error", 0)</f>
        <v/>
      </c>
      <c r="N67" s="186">
        <f t="array" ref="N67">_xlfn.XLOOKUP(MIN(ABS($AZ$3:$AZ$31 - MEDIAN(MIN($AZ$3:$AZ$31), MAX($AZ$3:$AZ$31), N37))), ABS($AZ$3:$AZ$31 - MEDIAN(MIN($AZ$3:$AZ$31), MAX($AZ$3:$AZ$31), N37)), $BA$3:$BA$31, "Error", 0)</f>
        <v/>
      </c>
      <c r="O67" s="186">
        <f t="array" ref="O67">_xlfn.XLOOKUP(MIN(ABS($AZ$3:$AZ$31 - MEDIAN(MIN($AZ$3:$AZ$31), MAX($AZ$3:$AZ$31), O37))), ABS($AZ$3:$AZ$31 - MEDIAN(MIN($AZ$3:$AZ$31), MAX($AZ$3:$AZ$31), O37)), $BA$3:$BA$31, "Error", 0)</f>
        <v/>
      </c>
      <c r="P67" s="186">
        <f t="array" ref="P67">_xlfn.XLOOKUP(MIN(ABS($AZ$3:$AZ$31 - MEDIAN(MIN($AZ$3:$AZ$31), MAX($AZ$3:$AZ$31), P37))), ABS($AZ$3:$AZ$31 - MEDIAN(MIN($AZ$3:$AZ$31), MAX($AZ$3:$AZ$31), P37)), $BA$3:$BA$31, "Error", 0)</f>
        <v/>
      </c>
      <c r="Q67" s="186">
        <f t="array" ref="Q67">_xlfn.XLOOKUP(MIN(ABS($AZ$3:$AZ$31 - MEDIAN(MIN($AZ$3:$AZ$31), MAX($AZ$3:$AZ$31), Q37))), ABS($AZ$3:$AZ$31 - MEDIAN(MIN($AZ$3:$AZ$31), MAX($AZ$3:$AZ$31), Q37)), $BA$3:$BA$31, "Error", 0)</f>
        <v/>
      </c>
      <c r="R67" s="186">
        <f t="array" ref="R67">_xlfn.XLOOKUP(MIN(ABS($AZ$3:$AZ$31 - MEDIAN(MIN($AZ$3:$AZ$31), MAX($AZ$3:$AZ$31), R37))), ABS($AZ$3:$AZ$31 - MEDIAN(MIN($AZ$3:$AZ$31), MAX($AZ$3:$AZ$31), R37)), $BA$3:$BA$31, "Error", 0)</f>
        <v/>
      </c>
      <c r="S67" s="186">
        <f t="array" ref="S67">_xlfn.XLOOKUP(MIN(ABS($AZ$3:$AZ$31 - MEDIAN(MIN($AZ$3:$AZ$31), MAX($AZ$3:$AZ$31), S37))), ABS($AZ$3:$AZ$31 - MEDIAN(MIN($AZ$3:$AZ$31), MAX($AZ$3:$AZ$31), S37)), $BA$3:$BA$31, "Error", 0)</f>
        <v/>
      </c>
      <c r="T67" s="186">
        <f t="array" ref="T67">_xlfn.XLOOKUP(MIN(ABS($AZ$3:$AZ$31 - MEDIAN(MIN($AZ$3:$AZ$31), MAX($AZ$3:$AZ$31), T37))), ABS($AZ$3:$AZ$31 - MEDIAN(MIN($AZ$3:$AZ$31), MAX($AZ$3:$AZ$31), T37)), $BA$3:$BA$31, "Error", 0)</f>
        <v/>
      </c>
      <c r="U67" s="186">
        <f t="array" ref="U67">_xlfn.XLOOKUP(MIN(ABS($AZ$3:$AZ$31 - MEDIAN(MIN($AZ$3:$AZ$31), MAX($AZ$3:$AZ$31), U37))), ABS($AZ$3:$AZ$31 - MEDIAN(MIN($AZ$3:$AZ$31), MAX($AZ$3:$AZ$31), U37)), $BA$3:$BA$31, "Error", 0)</f>
        <v/>
      </c>
      <c r="V67" s="186">
        <f t="array" ref="V67">_xlfn.XLOOKUP(MIN(ABS($AZ$3:$AZ$31 - MEDIAN(MIN($AZ$3:$AZ$31), MAX($AZ$3:$AZ$31), V37))), ABS($AZ$3:$AZ$31 - MEDIAN(MIN($AZ$3:$AZ$31), MAX($AZ$3:$AZ$31), V37)), $BA$3:$BA$31, "Error", 0)</f>
        <v/>
      </c>
      <c r="W67" s="186">
        <f t="array" ref="W67">_xlfn.XLOOKUP(MIN(ABS($AZ$3:$AZ$31 - MEDIAN(MIN($AZ$3:$AZ$31), MAX($AZ$3:$AZ$31), W37))), ABS($AZ$3:$AZ$31 - MEDIAN(MIN($AZ$3:$AZ$31), MAX($AZ$3:$AZ$31), W37)), $BA$3:$BA$31, "Error", 0)</f>
        <v/>
      </c>
      <c r="X67" s="186">
        <f t="array" ref="X67">_xlfn.XLOOKUP(MIN(ABS($AZ$3:$AZ$31 - MEDIAN(MIN($AZ$3:$AZ$31), MAX($AZ$3:$AZ$31), X37))), ABS($AZ$3:$AZ$31 - MEDIAN(MIN($AZ$3:$AZ$31), MAX($AZ$3:$AZ$31), X37)), $BA$3:$BA$31, "Error", 0)</f>
        <v/>
      </c>
      <c r="Y67" s="186">
        <f t="array" ref="Y67">_xlfn.XLOOKUP(MIN(ABS($AZ$3:$AZ$31 - MEDIAN(MIN($AZ$3:$AZ$31), MAX($AZ$3:$AZ$31), Y37))), ABS($AZ$3:$AZ$31 - MEDIAN(MIN($AZ$3:$AZ$31), MAX($AZ$3:$AZ$31), Y37)), $BA$3:$BA$31, "Error", 0)</f>
        <v/>
      </c>
      <c r="Z67" s="186">
        <f t="array" ref="Z67">_xlfn.XLOOKUP(MIN(ABS($AZ$3:$AZ$31 - MEDIAN(MIN($AZ$3:$AZ$31), MAX($AZ$3:$AZ$31), Z37))), ABS($AZ$3:$AZ$31 - MEDIAN(MIN($AZ$3:$AZ$31), MAX($AZ$3:$AZ$31), Z37)), $BA$3:$BA$31, "Error", 0)</f>
        <v/>
      </c>
      <c r="AA67" s="186">
        <f t="array" ref="AA67">_xlfn.XLOOKUP(MIN(ABS($AZ$3:$AZ$31 - MEDIAN(MIN($AZ$3:$AZ$31), MAX($AZ$3:$AZ$31), AA37))), ABS($AZ$3:$AZ$31 - MEDIAN(MIN($AZ$3:$AZ$31), MAX($AZ$3:$AZ$31), AA37)), $BA$3:$BA$31, "Error", 0)</f>
        <v/>
      </c>
      <c r="AB67" s="186">
        <f t="array" ref="AB67">_xlfn.XLOOKUP(MIN(ABS($AZ$3:$AZ$31 - MEDIAN(MIN($AZ$3:$AZ$31), MAX($AZ$3:$AZ$31), AB37))), ABS($AZ$3:$AZ$31 - MEDIAN(MIN($AZ$3:$AZ$31), MAX($AZ$3:$AZ$31), AB37)), $BA$3:$BA$31, "Error", 0)</f>
        <v/>
      </c>
      <c r="AC67" s="186">
        <f t="array" ref="AC67">_xlfn.XLOOKUP(MIN(ABS($AZ$3:$AZ$31 - MEDIAN(MIN($AZ$3:$AZ$31), MAX($AZ$3:$AZ$31), AC37))), ABS($AZ$3:$AZ$31 - MEDIAN(MIN($AZ$3:$AZ$31), MAX($AZ$3:$AZ$31), AC37)), $BA$3:$BA$31, "Error", 0)</f>
        <v/>
      </c>
      <c r="AD67" s="186">
        <f t="array" ref="AD67">_xlfn.XLOOKUP(MIN(ABS($AZ$3:$AZ$31 - MEDIAN(MIN($AZ$3:$AZ$31), MAX($AZ$3:$AZ$31), AD37))), ABS($AZ$3:$AZ$31 - MEDIAN(MIN($AZ$3:$AZ$31), MAX($AZ$3:$AZ$31), AD37)), $BA$3:$BA$31, "Error", 0)</f>
        <v/>
      </c>
      <c r="AE67" s="186">
        <f t="array" ref="AE67">_xlfn.XLOOKUP(MIN(ABS($AZ$3:$AZ$31 - MEDIAN(MIN($AZ$3:$AZ$31), MAX($AZ$3:$AZ$31), AE37))), ABS($AZ$3:$AZ$31 - MEDIAN(MIN($AZ$3:$AZ$31), MAX($AZ$3:$AZ$31), AE37)), $BA$3:$BA$31, "Error", 0)</f>
        <v/>
      </c>
      <c r="AF67" s="186">
        <f t="array" ref="AF67">_xlfn.XLOOKUP(MIN(ABS($AZ$3:$AZ$31 - MEDIAN(MIN($AZ$3:$AZ$31), MAX($AZ$3:$AZ$31), AF37))), ABS($AZ$3:$AZ$31 - MEDIAN(MIN($AZ$3:$AZ$31), MAX($AZ$3:$AZ$31), AF37)), $BA$3:$BA$31, "Error", 0)</f>
        <v/>
      </c>
      <c r="AG67" s="186">
        <f t="array" ref="AG67">_xlfn.XLOOKUP(MIN(ABS($AZ$3:$AZ$31 - MEDIAN(MIN($AZ$3:$AZ$31), MAX($AZ$3:$AZ$31), AG37))), ABS($AZ$3:$AZ$31 - MEDIAN(MIN($AZ$3:$AZ$31), MAX($AZ$3:$AZ$31), AG37)), $BA$3:$BA$31, "Error", 0)</f>
        <v/>
      </c>
      <c r="AH67" s="186">
        <f t="array" ref="AH67">_xlfn.XLOOKUP(MIN(ABS($AZ$3:$AZ$31 - MEDIAN(MIN($AZ$3:$AZ$31), MAX($AZ$3:$AZ$31), AH37))), ABS($AZ$3:$AZ$31 - MEDIAN(MIN($AZ$3:$AZ$31), MAX($AZ$3:$AZ$31), AH37)), $BA$3:$BA$31, "Error", 0)</f>
        <v/>
      </c>
      <c r="AI67" s="186">
        <f t="array" ref="AI67">_xlfn.XLOOKUP(MIN(ABS($AZ$3:$AZ$31 - MEDIAN(MIN($AZ$3:$AZ$31), MAX($AZ$3:$AZ$31), AI37))), ABS($AZ$3:$AZ$31 - MEDIAN(MIN($AZ$3:$AZ$31), MAX($AZ$3:$AZ$31), AI37)), $BA$3:$BA$31, "Error", 0)</f>
        <v/>
      </c>
      <c r="AJ67" s="186">
        <f t="array" ref="AJ67">_xlfn.XLOOKUP(MIN(ABS($AZ$3:$AZ$31 - MEDIAN(MIN($AZ$3:$AZ$31), MAX($AZ$3:$AZ$31), AJ37))), ABS($AZ$3:$AZ$31 - MEDIAN(MIN($AZ$3:$AZ$31), MAX($AZ$3:$AZ$31), AJ37)), $BA$3:$BA$31, "Error", 0)</f>
        <v/>
      </c>
      <c r="AK67" s="186">
        <f t="array" ref="AK67">_xlfn.XLOOKUP(MIN(ABS($AZ$3:$AZ$31 - MEDIAN(MIN($AZ$3:$AZ$31), MAX($AZ$3:$AZ$31), AK37))), ABS($AZ$3:$AZ$31 - MEDIAN(MIN($AZ$3:$AZ$31), MAX($AZ$3:$AZ$31), AK37)), $BA$3:$BA$31, "Error", 0)</f>
        <v/>
      </c>
      <c r="AL67" s="186">
        <f t="array" ref="AL67">_xlfn.XLOOKUP(MIN(ABS($AZ$3:$AZ$31 - MEDIAN(MIN($AZ$3:$AZ$31), MAX($AZ$3:$AZ$31), AL37))), ABS($AZ$3:$AZ$31 - MEDIAN(MIN($AZ$3:$AZ$31), MAX($AZ$3:$AZ$31), AL37)), $BA$3:$BA$31, "Error", 0)</f>
        <v/>
      </c>
      <c r="AM67" s="186">
        <f t="array" ref="AM67">_xlfn.XLOOKUP(MIN(ABS($AZ$3:$AZ$31 - MEDIAN(MIN($AZ$3:$AZ$31), MAX($AZ$3:$AZ$31), AM37))), ABS($AZ$3:$AZ$31 - MEDIAN(MIN($AZ$3:$AZ$31), MAX($AZ$3:$AZ$31), AM37)), $BA$3:$BA$31, "Error", 0)</f>
        <v/>
      </c>
      <c r="AN67" s="186">
        <f t="array" ref="AN67">_xlfn.XLOOKUP(MIN(ABS($AZ$3:$AZ$31 - MEDIAN(MIN($AZ$3:$AZ$31), MAX($AZ$3:$AZ$31), AN37))), ABS($AZ$3:$AZ$31 - MEDIAN(MIN($AZ$3:$AZ$31), MAX($AZ$3:$AZ$31), AN37)), $BA$3:$BA$31, "Error", 0)</f>
        <v/>
      </c>
      <c r="AO67" s="186">
        <f t="array" ref="AO67">_xlfn.XLOOKUP(MIN(ABS($AZ$3:$AZ$31 - MEDIAN(MIN($AZ$3:$AZ$31), MAX($AZ$3:$AZ$31), AO37))), ABS($AZ$3:$AZ$31 - MEDIAN(MIN($AZ$3:$AZ$31), MAX($AZ$3:$AZ$31), AO37)), $BA$3:$BA$31, "Error", 0)</f>
        <v/>
      </c>
      <c r="AP67" s="186">
        <f t="array" ref="AP67">_xlfn.XLOOKUP(MIN(ABS($AZ$3:$AZ$31 - MEDIAN(MIN($AZ$3:$AZ$31), MAX($AZ$3:$AZ$31), AP37))), ABS($AZ$3:$AZ$31 - MEDIAN(MIN($AZ$3:$AZ$31), MAX($AZ$3:$AZ$31), AP37)), $BA$3:$BA$31, "Error", 0)</f>
        <v/>
      </c>
      <c r="AQ67" s="186">
        <f t="array" ref="AQ67">_xlfn.XLOOKUP(MIN(ABS($AZ$3:$AZ$31 - MEDIAN(MIN($AZ$3:$AZ$31), MAX($AZ$3:$AZ$31), AQ37))), ABS($AZ$3:$AZ$31 - MEDIAN(MIN($AZ$3:$AZ$31), MAX($AZ$3:$AZ$31), AQ37)), $BA$3:$BA$31, "Error", 0)</f>
        <v/>
      </c>
      <c r="AR67" s="186">
        <f t="array" ref="AR67">_xlfn.XLOOKUP(MIN(ABS($AZ$3:$AZ$31 - MEDIAN(MIN($AZ$3:$AZ$31), MAX($AZ$3:$AZ$31), AR37))), ABS($AZ$3:$AZ$31 - MEDIAN(MIN($AZ$3:$AZ$31), MAX($AZ$3:$AZ$31), AR37)), $BA$3:$BA$31, "Error", 0)</f>
        <v/>
      </c>
      <c r="AS67" s="186">
        <f t="array" ref="AS67">_xlfn.XLOOKUP(MIN(ABS($AZ$3:$AZ$31 - MEDIAN(MIN($AZ$3:$AZ$31), MAX($AZ$3:$AZ$31), AS37))), ABS($AZ$3:$AZ$31 - MEDIAN(MIN($AZ$3:$AZ$31), MAX($AZ$3:$AZ$31), AS37)), $BA$3:$BA$31, "Error", 0)</f>
        <v/>
      </c>
      <c r="AT67" s="186">
        <f t="array" ref="AT67">_xlfn.XLOOKUP(MIN(ABS($AZ$3:$AZ$31 - MEDIAN(MIN($AZ$3:$AZ$31), MAX($AZ$3:$AZ$31), AT37))), ABS($AZ$3:$AZ$31 - MEDIAN(MIN($AZ$3:$AZ$31), MAX($AZ$3:$AZ$31), AT37)), $BA$3:$BA$31, "Error", 0)</f>
        <v/>
      </c>
      <c r="AU67" s="186">
        <f t="array" ref="AU67">_xlfn.XLOOKUP(MIN(ABS($AZ$3:$AZ$31 - MEDIAN(MIN($AZ$3:$AZ$31), MAX($AZ$3:$AZ$31), AU37))), ABS($AZ$3:$AZ$31 - MEDIAN(MIN($AZ$3:$AZ$31), MAX($AZ$3:$AZ$31), AU37)), $BA$3:$BA$31, "Error", 0)</f>
        <v/>
      </c>
      <c r="AV67" s="186">
        <f t="array" ref="AV67">_xlfn.XLOOKUP(MIN(ABS($AZ$3:$AZ$31 - MEDIAN(MIN($AZ$3:$AZ$31), MAX($AZ$3:$AZ$31), AV37))), ABS($AZ$3:$AZ$31 - MEDIAN(MIN($AZ$3:$AZ$31), MAX($AZ$3:$AZ$31), AV37)), $BA$3:$BA$31, "Error", 0)</f>
        <v/>
      </c>
      <c r="AW67" s="186">
        <f t="array" ref="AW67">_xlfn.XLOOKUP(MIN(ABS($AZ$3:$AZ$31 - MEDIAN(MIN($AZ$3:$AZ$31), MAX($AZ$3:$AZ$31), AW37))), ABS($AZ$3:$AZ$31 - MEDIAN(MIN($AZ$3:$AZ$31), MAX($AZ$3:$AZ$31), AW37)), $BA$3:$BA$31, "Error", 0)</f>
        <v/>
      </c>
      <c r="AX67" s="192">
        <f t="array" ref="AX67">_xlfn.XLOOKUP(MIN(ABS($AZ$3:$AZ$31 - MEDIAN(MIN($AZ$3:$AZ$31), MAX($AZ$3:$AZ$31), AX37))), ABS($AZ$3:$AZ$31 - MEDIAN(MIN($AZ$3:$AZ$31), MAX($AZ$3:$AZ$31), AX37)), $BA$3:$BA$31, "Error", 0)</f>
        <v/>
      </c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</row>
    <row r="68" ht="14.5" customHeight="1">
      <c r="Z68" s="172" t="n"/>
      <c r="BF68" s="172" t="n"/>
    </row>
  </sheetData>
  <hyperlinks>
    <hyperlink xmlns:r="http://schemas.openxmlformats.org/officeDocument/2006/relationships" ref="B10" r:id="rId1"/>
  </hyperlinks>
  <pageMargins left="0.7" right="0.7" top="0.75" bottom="0.75" header="0.39" footer="0.39"/>
  <pageSetup orientation="portrait" paperSize="9" fitToHeight="0" fitToWidth="0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:BW255"/>
  <sheetViews>
    <sheetView topLeftCell="A98" zoomScale="92" zoomScaleNormal="50" workbookViewId="0">
      <pane xSplit="1" topLeftCell="AR1" activePane="topRight" state="frozen"/>
      <selection pane="topRight" activeCell="AW108" sqref="AW108"/>
    </sheetView>
  </sheetViews>
  <sheetFormatPr baseColWidth="10" defaultColWidth="10.1640625" defaultRowHeight="14.5" customHeight="1"/>
  <cols>
    <col width="25.5" customWidth="1" style="133" min="1" max="1"/>
    <col width="28.33203125" customWidth="1" style="133" min="2" max="26"/>
    <col width="20.83203125" customWidth="1" style="133" min="27" max="50"/>
    <col width="16.33203125" customWidth="1" style="133" min="51" max="51"/>
    <col width="10.1640625" customWidth="1" style="133" min="52" max="55"/>
    <col width="13.83203125" bestFit="1" customWidth="1" style="133" min="56" max="56"/>
    <col width="10.1640625" customWidth="1" style="133" min="57" max="61"/>
    <col width="12.6640625" bestFit="1" customWidth="1" style="133" min="62" max="62"/>
    <col width="10.1640625" customWidth="1" style="133" min="63" max="66"/>
    <col width="33.33203125" customWidth="1" style="133" min="67" max="67"/>
    <col width="14.83203125" customWidth="1" style="133" min="68" max="75"/>
    <col width="10.1640625" customWidth="1" style="133" min="76" max="16384"/>
  </cols>
  <sheetData>
    <row r="4" ht="53" customHeight="1"/>
    <row r="5" ht="25" customHeight="1">
      <c r="C5" s="202" t="n">
        <v>44927</v>
      </c>
      <c r="D5" s="202" t="n">
        <v>44958</v>
      </c>
      <c r="E5" s="202" t="n">
        <v>44986</v>
      </c>
      <c r="F5" s="202" t="n">
        <v>45017</v>
      </c>
      <c r="G5" s="202" t="n">
        <v>45047</v>
      </c>
      <c r="H5" s="202" t="n">
        <v>45078</v>
      </c>
      <c r="I5" s="202" t="n">
        <v>45108</v>
      </c>
      <c r="J5" s="202" t="n">
        <v>45139</v>
      </c>
      <c r="K5" s="202" t="n">
        <v>45170</v>
      </c>
      <c r="L5" s="202" t="n">
        <v>45200</v>
      </c>
      <c r="M5" s="202" t="n">
        <v>45231</v>
      </c>
      <c r="N5" s="202" t="n">
        <v>45261</v>
      </c>
      <c r="O5" s="202" t="n">
        <v>45292</v>
      </c>
      <c r="P5" s="202" t="n">
        <v>45323</v>
      </c>
      <c r="Q5" s="202" t="n">
        <v>45352</v>
      </c>
      <c r="R5" s="202" t="n">
        <v>45383</v>
      </c>
      <c r="S5" s="202" t="n">
        <v>45413</v>
      </c>
      <c r="T5" s="202" t="n">
        <v>45444</v>
      </c>
      <c r="U5" s="202" t="n">
        <v>45474</v>
      </c>
      <c r="V5" s="202" t="n">
        <v>45505</v>
      </c>
      <c r="W5" s="202" t="n">
        <v>45536</v>
      </c>
      <c r="X5" s="202" t="n">
        <v>45566</v>
      </c>
      <c r="Y5" s="202" t="n">
        <v>45597</v>
      </c>
      <c r="Z5" s="202" t="n">
        <v>45627</v>
      </c>
      <c r="AA5" s="202" t="n">
        <v>45658</v>
      </c>
      <c r="AB5" s="202" t="n">
        <v>45689</v>
      </c>
      <c r="AC5" s="202" t="n">
        <v>45717</v>
      </c>
      <c r="AD5" s="202" t="n">
        <v>45748</v>
      </c>
      <c r="AE5" s="202" t="n">
        <v>45778</v>
      </c>
      <c r="AF5" s="202" t="n">
        <v>45809</v>
      </c>
      <c r="AG5" s="202" t="n">
        <v>45839</v>
      </c>
      <c r="AH5" s="202" t="n">
        <v>45870</v>
      </c>
      <c r="AI5" s="202" t="n">
        <v>45901</v>
      </c>
      <c r="AJ5" s="202" t="n">
        <v>45931</v>
      </c>
      <c r="AK5" s="202" t="n">
        <v>45962</v>
      </c>
      <c r="AL5" s="202" t="n">
        <v>45992</v>
      </c>
      <c r="AM5" s="202" t="n">
        <v>46023</v>
      </c>
      <c r="AN5" s="202" t="n">
        <v>46054</v>
      </c>
      <c r="AO5" s="202" t="n">
        <v>46082</v>
      </c>
      <c r="AP5" s="202" t="n">
        <v>46113</v>
      </c>
      <c r="AQ5" s="202" t="n">
        <v>46143</v>
      </c>
      <c r="AR5" s="202" t="n">
        <v>46174</v>
      </c>
      <c r="AS5" s="202" t="n">
        <v>46204</v>
      </c>
      <c r="AT5" s="202" t="n">
        <v>46235</v>
      </c>
      <c r="AU5" s="202" t="n">
        <v>46266</v>
      </c>
      <c r="AV5" s="202" t="n">
        <v>46296</v>
      </c>
      <c r="AW5" s="202" t="n">
        <v>46327</v>
      </c>
      <c r="AX5" s="202" t="n">
        <v>46357</v>
      </c>
      <c r="AY5" s="202" t="n">
        <v>46357</v>
      </c>
      <c r="AZ5" s="155" t="n"/>
      <c r="BA5" s="155" t="n"/>
      <c r="BB5" s="156" t="n"/>
      <c r="BC5" s="156" t="n"/>
      <c r="BD5" s="156" t="inlineStr">
        <is>
          <t>EUR JPY</t>
        </is>
      </c>
      <c r="BE5" s="156" t="n"/>
      <c r="BF5" s="156" t="n"/>
      <c r="BG5" s="156" t="inlineStr">
        <is>
          <t>eurusd</t>
        </is>
      </c>
      <c r="BH5" s="156" t="n"/>
      <c r="BI5" s="156" t="n"/>
      <c r="BJ5" s="156" t="n"/>
      <c r="BK5" s="156" t="n"/>
      <c r="BP5" s="202" t="n">
        <v>46143</v>
      </c>
      <c r="BQ5" s="202" t="n">
        <v>46174</v>
      </c>
      <c r="BR5" s="202" t="n">
        <v>46204</v>
      </c>
      <c r="BS5" s="202" t="n">
        <v>46235</v>
      </c>
      <c r="BT5" s="202" t="n">
        <v>46266</v>
      </c>
      <c r="BU5" s="202" t="n">
        <v>46296</v>
      </c>
      <c r="BV5" s="202" t="n">
        <v>46327</v>
      </c>
      <c r="BW5" s="202" t="n">
        <v>46357</v>
      </c>
    </row>
    <row r="6" ht="44" customHeight="1">
      <c r="A6" s="154" t="inlineStr">
        <is>
          <t>USD JPY</t>
        </is>
      </c>
      <c r="B6" s="196" t="inlineStr">
        <is>
          <t>All time High (CL)</t>
        </is>
      </c>
      <c r="C6" s="233" t="n">
        <v>601456.104748711</v>
      </c>
      <c r="D6" s="233" t="n">
        <v>601456.104748711</v>
      </c>
      <c r="E6" s="233" t="n">
        <v>601456.104748711</v>
      </c>
      <c r="F6" s="233" t="n">
        <v>601456.104748711</v>
      </c>
      <c r="G6" s="233" t="n">
        <v>601456.104748711</v>
      </c>
      <c r="H6" s="233" t="n">
        <v>646626.748232998</v>
      </c>
      <c r="I6" s="233" t="n">
        <v>667605.8654108942</v>
      </c>
      <c r="J6" s="233" t="n">
        <v>675516.2396838665</v>
      </c>
      <c r="K6" s="233" t="n">
        <v>675516.2396838665</v>
      </c>
      <c r="L6" s="233" t="n">
        <v>675516.2396838665</v>
      </c>
      <c r="M6" s="233" t="n">
        <v>696876.2991279736</v>
      </c>
      <c r="N6" s="233" t="n">
        <v>696876.2991279736</v>
      </c>
      <c r="O6" s="233" t="n">
        <v>733652.5069360733</v>
      </c>
      <c r="P6" s="233" t="n">
        <v>770936.9947579056</v>
      </c>
      <c r="Q6" s="233" t="n">
        <v>799962.384523645</v>
      </c>
      <c r="R6" s="233" t="n">
        <v>799962.384523645</v>
      </c>
      <c r="S6" s="233" t="n">
        <v>843920.8389547467</v>
      </c>
      <c r="T6" s="233" t="n">
        <v>890637.2444506735</v>
      </c>
      <c r="U6" s="233" t="n">
        <v>890637.2444506735</v>
      </c>
      <c r="V6" s="233" t="n">
        <v>890637.2444506735</v>
      </c>
      <c r="W6" s="233" t="n">
        <v>890637.2444506735</v>
      </c>
      <c r="X6" s="233" t="n">
        <v>904506.8550243825</v>
      </c>
      <c r="Y6" s="233" t="n">
        <v>947399.4718548656</v>
      </c>
      <c r="Z6" s="233" t="n">
        <v>964252.773095794</v>
      </c>
      <c r="AA6" s="204" t="n">
        <v>964252.773095794</v>
      </c>
      <c r="AB6" s="204" t="n">
        <v>964252.773095794</v>
      </c>
      <c r="AC6" s="204" t="n">
        <v>964252.773095794</v>
      </c>
      <c r="AD6" s="204" t="n">
        <v>964252.773095794</v>
      </c>
      <c r="AE6" s="204" t="n">
        <v>964252.773095794</v>
      </c>
      <c r="AF6" s="204" t="n">
        <v>964252.773095794</v>
      </c>
      <c r="AG6" s="204" t="n">
        <v>968076.3629657179</v>
      </c>
      <c r="AH6" s="204" t="n">
        <v>982189.4838070497</v>
      </c>
      <c r="AI6" s="204" t="n">
        <v>1004492.517772168</v>
      </c>
      <c r="AJ6" s="204" t="n">
        <v>1068784.166104496</v>
      </c>
      <c r="AK6" s="204" t="n">
        <v>1086628.784719571</v>
      </c>
      <c r="AL6" s="204" t="n">
        <v>1095716.099436857</v>
      </c>
      <c r="AM6" s="204" t="n">
        <v>1095716.099436857</v>
      </c>
      <c r="AN6" s="204" t="n">
        <v>1100270.238855898</v>
      </c>
      <c r="AO6" s="204" t="n">
        <v>1100270.238855898</v>
      </c>
      <c r="AP6" s="204" t="n">
        <v>1160241.103249729</v>
      </c>
      <c r="AQ6" s="204" t="n">
        <v>1213187.843448818</v>
      </c>
      <c r="AR6" s="204" t="n">
        <v>1239546.997458398</v>
      </c>
      <c r="AS6" s="204" t="n">
        <v>1239546.997458398</v>
      </c>
      <c r="AT6" s="204" t="n">
        <v>1251445.87693584</v>
      </c>
      <c r="AU6" s="204" t="n">
        <v>1251445.87693584</v>
      </c>
      <c r="AV6" s="196" t="n">
        <v>1251445.87693584</v>
      </c>
      <c r="AW6" s="184" t="n">
        <v>1251445.87693584</v>
      </c>
      <c r="AX6" s="184" t="n">
        <v>1251445.87693584</v>
      </c>
      <c r="AY6" s="184" t="n"/>
      <c r="AZ6" s="155" t="n"/>
      <c r="BA6" s="155" t="n"/>
      <c r="BB6" s="156" t="n"/>
      <c r="BC6" s="173" t="n">
        <v>45658</v>
      </c>
      <c r="BD6" s="174">
        <f>#REF!</f>
        <v/>
      </c>
      <c r="BE6" s="156" t="n">
        <v>2</v>
      </c>
      <c r="BF6" s="156">
        <f t="array" ref="BF6">_xlfn.XLOOKUP(MIN(ABS($BJ$7:$BJ$29 - MEDIAN(MIN($BJ$7:$BJ$29), MAX($BJ$7:$BJ$29), BD6))), ABS($BJ$7:$BJ$29 - MEDIAN(MIN($BJ$7:$BJ$29), MAX($BJ$7:$BJ$29), BD6)), $BK$7:$BK$29, "Error", 0)</f>
        <v/>
      </c>
      <c r="BG6" s="183" t="n"/>
      <c r="BH6" s="156" t="n"/>
      <c r="BI6" s="156">
        <f t="array" ref="BI6">_xlfn.XLOOKUP(MIN(ABS($BJ$7:$BJ$29 - MEDIAN(MIN($BJ$7:$BJ$29), MAX($BJ$7:$BJ$29), BG6))), ABS($BJ$7:$BJ$29 - MEDIAN(MIN($BJ$7:$BJ$29), MAX($BJ$7:$BJ$29), BG6)), $BK$7:$BK$29, "Error", 0)</f>
        <v/>
      </c>
      <c r="BJ6" s="156" t="n"/>
      <c r="BK6" s="156" t="n"/>
      <c r="BO6" s="253" t="inlineStr">
        <is>
          <t>All time High SPX</t>
        </is>
      </c>
    </row>
    <row r="7" ht="22" customHeight="1">
      <c r="A7" s="303" t="n"/>
      <c r="B7" s="196" t="inlineStr">
        <is>
          <t>current price</t>
        </is>
      </c>
      <c r="C7" s="233" t="n">
        <v>531910.720066309</v>
      </c>
      <c r="D7" s="233" t="n">
        <v>541198.9295688048</v>
      </c>
      <c r="E7" s="233" t="n">
        <v>547364.2256683633</v>
      </c>
      <c r="F7" s="233" t="n">
        <v>568383.5414756835</v>
      </c>
      <c r="G7" s="233" t="n">
        <v>584306.837405473</v>
      </c>
      <c r="H7" s="233" t="n">
        <v>644325.9940010011</v>
      </c>
      <c r="I7" s="233" t="n">
        <v>645932.8060153127</v>
      </c>
      <c r="J7" s="233" t="n">
        <v>658564.6367659569</v>
      </c>
      <c r="K7" s="233" t="n">
        <v>640505.9783884287</v>
      </c>
      <c r="L7" s="233" t="n">
        <v>625341.6509365737</v>
      </c>
      <c r="M7" s="233" t="n">
        <v>671644.7221725583</v>
      </c>
      <c r="N7" s="233" t="n">
        <v>672641.4579961002</v>
      </c>
      <c r="O7" s="233" t="n">
        <v>714098.596429266</v>
      </c>
      <c r="P7" s="233" t="n">
        <v>767783.6859234571</v>
      </c>
      <c r="Q7" s="233" t="n">
        <v>795193.3245372921</v>
      </c>
      <c r="R7" s="233" t="n">
        <v>787148.8141420633</v>
      </c>
      <c r="S7" s="233" t="n">
        <v>828321.005705595</v>
      </c>
      <c r="T7" s="233" t="n">
        <v>878482.0459203124</v>
      </c>
      <c r="U7" s="233" t="n">
        <v>843089.5010700077</v>
      </c>
      <c r="V7" s="233" t="n">
        <v>825513.611252442</v>
      </c>
      <c r="W7" s="233" t="n">
        <v>822784.2064849511</v>
      </c>
      <c r="X7" s="233" t="n">
        <v>874097.7617746145</v>
      </c>
      <c r="Y7" s="233" t="n">
        <v>903324.7711863816</v>
      </c>
      <c r="Z7" s="233" t="n">
        <v>923386.4547332525</v>
      </c>
      <c r="AA7" s="204" t="n">
        <v>930827.519040592</v>
      </c>
      <c r="AB7" s="204" t="n">
        <v>893246.4147491455</v>
      </c>
      <c r="AC7" s="204" t="n">
        <v>839628.2007224858</v>
      </c>
      <c r="AD7" s="204" t="n">
        <v>792471.6548438743</v>
      </c>
      <c r="AE7" s="204" t="n">
        <v>851519.7794698551</v>
      </c>
      <c r="AF7" s="204" t="n">
        <v>896720.7767718136</v>
      </c>
      <c r="AG7" s="204" t="n">
        <v>946001.8193865195</v>
      </c>
      <c r="AH7" s="204" t="n">
        <v>949787.418343395</v>
      </c>
      <c r="AI7" s="204" t="n">
        <v>993871.7160601318</v>
      </c>
      <c r="AJ7" s="204" t="n">
        <v>1052706.768309325</v>
      </c>
      <c r="AK7" s="204" t="n">
        <v>1069485.337298036</v>
      </c>
      <c r="AL7" s="204" t="n">
        <v>1070725.153060913</v>
      </c>
      <c r="AM7" s="204" t="n">
        <v>1073745.507072307</v>
      </c>
      <c r="AN7" s="204" t="n">
        <v>1072135.295150802</v>
      </c>
      <c r="AO7" s="204" t="n">
        <v>1043525.190756172</v>
      </c>
      <c r="AP7" s="204" t="n">
        <v>1154768.061657161</v>
      </c>
      <c r="AQ7" s="204" t="n">
        <v>1207533.894051321</v>
      </c>
      <c r="AR7" s="204" t="n">
        <v>1214318.878267363</v>
      </c>
      <c r="AS7" s="204" t="n">
        <v>1199725.843117319</v>
      </c>
      <c r="AT7" s="204" t="n">
        <v>1230720.084997453</v>
      </c>
      <c r="AU7" s="204" t="n">
        <v>1217147.906505346</v>
      </c>
      <c r="AV7" s="196" t="n">
        <v>1217147.906505346</v>
      </c>
      <c r="AW7" s="184" t="n">
        <v>1217147.906505346</v>
      </c>
      <c r="AX7" s="184" t="n">
        <v>1217147.906505346</v>
      </c>
      <c r="AY7" s="184" t="n"/>
      <c r="AZ7" s="155" t="n"/>
      <c r="BA7" s="155" t="n"/>
      <c r="BB7" s="156" t="n"/>
      <c r="BC7" s="173" t="n">
        <v>45689</v>
      </c>
      <c r="BD7" s="174">
        <f>#REF!</f>
        <v/>
      </c>
      <c r="BE7" s="156" t="n">
        <v>3</v>
      </c>
      <c r="BF7" s="156">
        <f t="array" ref="BF7">_xlfn.XLOOKUP(MIN(ABS($BJ$7:$BJ$29 - MEDIAN(MIN($BJ$7:$BJ$29), MAX($BJ$7:$BJ$29), BD7))), ABS($BJ$7:$BJ$29 - MEDIAN(MIN($BJ$7:$BJ$29), MAX($BJ$7:$BJ$29), BD7)), $BK$7:$BK$29, "Error", 0)</f>
        <v/>
      </c>
      <c r="BG7" s="183" t="n"/>
      <c r="BH7" s="156" t="n"/>
      <c r="BI7" s="156">
        <f t="array" ref="BI7">_xlfn.XLOOKUP(MIN(ABS($BJ$7:$BJ$29 - MEDIAN(MIN($BJ$7:$BJ$29), MAX($BJ$7:$BJ$29), BG7))), ABS($BJ$7:$BJ$29 - MEDIAN(MIN($BJ$7:$BJ$29), MAX($BJ$7:$BJ$29), BG7)), $BK$7:$BK$29, "Error", 0)</f>
        <v/>
      </c>
      <c r="BJ7" s="176" t="n">
        <v>0.25</v>
      </c>
      <c r="BK7" s="177" t="n">
        <v>2</v>
      </c>
      <c r="BL7" s="178" t="n">
        <v>25</v>
      </c>
      <c r="BO7" s="253" t="inlineStr">
        <is>
          <t>current price SPX</t>
        </is>
      </c>
    </row>
    <row r="8" ht="22" customHeight="1">
      <c r="A8" s="303" t="n"/>
      <c r="B8" s="196" t="inlineStr">
        <is>
          <t>% CHANGE</t>
        </is>
      </c>
      <c r="C8" s="230">
        <f>+(C7-C6)/C6</f>
        <v/>
      </c>
      <c r="D8" s="230">
        <f>+(D7-D6)/D6</f>
        <v/>
      </c>
      <c r="E8" s="230">
        <f>+(E7-E6)/E6</f>
        <v/>
      </c>
      <c r="F8" s="230">
        <f>+(F7-F6)/F6</f>
        <v/>
      </c>
      <c r="G8" s="230">
        <f>+(G7-G6)/G6</f>
        <v/>
      </c>
      <c r="H8" s="230">
        <f>+(H7-H6)/H6</f>
        <v/>
      </c>
      <c r="I8" s="230">
        <f>+(I7-I6)/I6</f>
        <v/>
      </c>
      <c r="J8" s="230">
        <f>+(J7-J6)/J6</f>
        <v/>
      </c>
      <c r="K8" s="230">
        <f>+(K7-K6)/K6</f>
        <v/>
      </c>
      <c r="L8" s="230">
        <f>+(L7-L6)/L6</f>
        <v/>
      </c>
      <c r="M8" s="230">
        <f>+(M7-M6)/M6</f>
        <v/>
      </c>
      <c r="N8" s="230">
        <f>+(N7-N6)/N6</f>
        <v/>
      </c>
      <c r="O8" s="230">
        <f>+(O7-O6)/O6</f>
        <v/>
      </c>
      <c r="P8" s="230">
        <f>+(P7-P6)/P6</f>
        <v/>
      </c>
      <c r="Q8" s="230">
        <f>+(Q7-Q6)/Q6</f>
        <v/>
      </c>
      <c r="R8" s="230">
        <f>+(R7-R6)/R6</f>
        <v/>
      </c>
      <c r="S8" s="230">
        <f>+(S7-S6)/S6</f>
        <v/>
      </c>
      <c r="T8" s="230">
        <f>+(T7-T6)/T6</f>
        <v/>
      </c>
      <c r="U8" s="230">
        <f>+(U7-U6)/U6</f>
        <v/>
      </c>
      <c r="V8" s="230">
        <f>+(V7-V6)/V6</f>
        <v/>
      </c>
      <c r="W8" s="230">
        <f>+(W7-W6)/W6</f>
        <v/>
      </c>
      <c r="X8" s="230">
        <f>+(X7-X6)/X6</f>
        <v/>
      </c>
      <c r="Y8" s="230">
        <f>+(Y7-Y6)/Y6</f>
        <v/>
      </c>
      <c r="Z8" s="230">
        <f>+(Z7-Z6)/Z6</f>
        <v/>
      </c>
      <c r="AA8" s="230">
        <f>+(AA7-AA6)/AA6</f>
        <v/>
      </c>
      <c r="AB8" s="205">
        <f>+(AB7-AB6)/AB6</f>
        <v/>
      </c>
      <c r="AC8" s="205">
        <f>+(AC7-AC6)/AC6</f>
        <v/>
      </c>
      <c r="AD8" s="205">
        <f>+(AD7-AD6)/AD6</f>
        <v/>
      </c>
      <c r="AE8" s="205">
        <f>+(AE7-AE6)/AE6</f>
        <v/>
      </c>
      <c r="AF8" s="205">
        <f>+(AF7-AF6)/AF6</f>
        <v/>
      </c>
      <c r="AG8" s="205">
        <f>+(AG7-AG6)/AG6</f>
        <v/>
      </c>
      <c r="AH8" s="205">
        <f>+(AH7-AH6)/AH6</f>
        <v/>
      </c>
      <c r="AI8" s="205">
        <f>+(AI7-AI6)/AI6</f>
        <v/>
      </c>
      <c r="AJ8" s="205">
        <f>+(AJ7-AJ6)/AJ6</f>
        <v/>
      </c>
      <c r="AK8" s="205">
        <f>+(AK7-AK6)/AK6</f>
        <v/>
      </c>
      <c r="AL8" s="205">
        <f>+(AL7-AL6)/AL6</f>
        <v/>
      </c>
      <c r="AM8" s="205">
        <f>+(AM7-AM6)/AM6</f>
        <v/>
      </c>
      <c r="AN8" s="205">
        <f>+(AN7-AN6)/AN6</f>
        <v/>
      </c>
      <c r="AO8" s="205">
        <f>+(AO7-AO6)/AO6</f>
        <v/>
      </c>
      <c r="AP8" s="205">
        <f>+(AP7-AP6)/AP6</f>
        <v/>
      </c>
      <c r="AQ8" s="205">
        <f>+(AQ7-AQ6)/AQ6</f>
        <v/>
      </c>
      <c r="AR8" s="205">
        <f>+(AR7-AR6)/AR6</f>
        <v/>
      </c>
      <c r="AS8" s="205">
        <f>+(AS7-AS6)/AS6</f>
        <v/>
      </c>
      <c r="AT8" s="205">
        <f>+(AT7-AT6)/AT6</f>
        <v/>
      </c>
      <c r="AU8" s="205">
        <f>+(AU7-AU6)/AU6</f>
        <v/>
      </c>
      <c r="AV8" s="196">
        <f>+(AV7-AV6)/AV6</f>
        <v/>
      </c>
      <c r="AW8" s="184">
        <f>+(AW7-AW6)/AW6</f>
        <v/>
      </c>
      <c r="AX8" s="184">
        <f>+(AX7-AX6)/AX6</f>
        <v/>
      </c>
      <c r="AY8" s="184" t="n"/>
      <c r="AZ8" s="155" t="n"/>
      <c r="BA8" s="155" t="n"/>
      <c r="BB8" s="156" t="n"/>
      <c r="BC8" s="173" t="n">
        <v>45717</v>
      </c>
      <c r="BD8" s="174">
        <f>#REF!</f>
        <v/>
      </c>
      <c r="BE8" s="156" t="n">
        <v>5</v>
      </c>
      <c r="BF8" s="156">
        <f t="array" ref="BF8">_xlfn.XLOOKUP(MIN(ABS($BJ$7:$BJ$29 - MEDIAN(MIN($BJ$7:$BJ$29), MAX($BJ$7:$BJ$29), BD8))), ABS($BJ$7:$BJ$29 - MEDIAN(MIN($BJ$7:$BJ$29), MAX($BJ$7:$BJ$29), BD8)), $BK$7:$BK$29, "Error", 0)</f>
        <v/>
      </c>
      <c r="BG8" s="183" t="n"/>
      <c r="BH8" s="156" t="n"/>
      <c r="BI8" s="156">
        <f t="array" ref="BI8">_xlfn.XLOOKUP(MIN(ABS($BJ$7:$BJ$29 - MEDIAN(MIN($BJ$7:$BJ$29), MAX($BJ$7:$BJ$29), BG8))), ABS($BJ$7:$BJ$29 - MEDIAN(MIN($BJ$7:$BJ$29), MAX($BJ$7:$BJ$29), BG8)), $BK$7:$BK$29, "Error", 0)</f>
        <v/>
      </c>
      <c r="BJ8" s="176" t="n">
        <v>0.2</v>
      </c>
      <c r="BK8" s="177" t="n">
        <v>3</v>
      </c>
      <c r="BL8" s="178" t="n">
        <v>20</v>
      </c>
      <c r="BO8" s="254" t="inlineStr">
        <is>
          <t>All time High STOXX50</t>
        </is>
      </c>
    </row>
    <row r="9" ht="44" customHeight="1">
      <c r="A9" s="303" t="n"/>
      <c r="B9" s="196" t="inlineStr">
        <is>
          <t>All time High SPX</t>
        </is>
      </c>
      <c r="C9" s="233" t="n">
        <v>4808.93017578125</v>
      </c>
      <c r="D9" s="233" t="n">
        <v>4808.93017578125</v>
      </c>
      <c r="E9" s="233" t="n">
        <v>4808.93017578125</v>
      </c>
      <c r="F9" s="233" t="n">
        <v>4808.93017578125</v>
      </c>
      <c r="G9" s="233" t="n">
        <v>4808.93017578125</v>
      </c>
      <c r="H9" s="233" t="n">
        <v>4808.93017578125</v>
      </c>
      <c r="I9" s="233" t="n">
        <v>4808.93017578125</v>
      </c>
      <c r="J9" s="233" t="n">
        <v>4808.93017578125</v>
      </c>
      <c r="K9" s="233" t="n">
        <v>4808.93017578125</v>
      </c>
      <c r="L9" s="233" t="n">
        <v>4808.93017578125</v>
      </c>
      <c r="M9" s="233" t="n">
        <v>4808.93017578125</v>
      </c>
      <c r="N9" s="233" t="n">
        <v>4808.93017578125</v>
      </c>
      <c r="O9" s="233" t="n">
        <v>4931.08984375</v>
      </c>
      <c r="P9" s="233" t="n">
        <v>5111.06005859375</v>
      </c>
      <c r="Q9" s="233" t="n">
        <v>5264.85009765625</v>
      </c>
      <c r="R9" s="233" t="n">
        <v>5264.85009765625</v>
      </c>
      <c r="S9" s="233" t="n">
        <v>5341.8798828125</v>
      </c>
      <c r="T9" s="233" t="n">
        <v>5523.64013671875</v>
      </c>
      <c r="U9" s="233" t="n">
        <v>5669.669921875</v>
      </c>
      <c r="V9" s="233" t="n">
        <v>5669.669921875</v>
      </c>
      <c r="W9" s="233" t="n">
        <v>5767.3701171875</v>
      </c>
      <c r="X9" s="233" t="n">
        <v>5767.3701171875</v>
      </c>
      <c r="Y9" s="233" t="n">
        <v>6044.169921875</v>
      </c>
      <c r="Z9" s="233" t="n">
        <v>6044.169921875</v>
      </c>
      <c r="AA9" s="231" t="n">
        <v>6128.18017578125</v>
      </c>
      <c r="AB9" s="203" t="n">
        <v>6128.18017578125</v>
      </c>
      <c r="AC9" s="203" t="n">
        <v>6128.18017578125</v>
      </c>
      <c r="AD9" s="203" t="n">
        <v>6128.18017578125</v>
      </c>
      <c r="AE9" s="203" t="n">
        <v>6128.18017578125</v>
      </c>
      <c r="AF9" s="203" t="n">
        <v>6215.080078125</v>
      </c>
      <c r="AG9" s="203" t="n">
        <v>6427.02001953125</v>
      </c>
      <c r="AH9" s="203" t="n">
        <v>6508.22998046875</v>
      </c>
      <c r="AI9" s="203" t="n">
        <v>6699.52001953125</v>
      </c>
      <c r="AJ9" s="203" t="n">
        <v>6920.33984375</v>
      </c>
      <c r="AK9" s="203" t="n">
        <v>6920.33984375</v>
      </c>
      <c r="AL9" s="203" t="n">
        <v>6945.77001953125</v>
      </c>
      <c r="AM9" s="203" t="n">
        <v>7002.27978515625</v>
      </c>
      <c r="AN9" s="203" t="n">
        <v>7002.27978515625</v>
      </c>
      <c r="AO9" s="203" t="n">
        <v>7002.27978515625</v>
      </c>
      <c r="AP9" s="203" t="n">
        <v>7219.830078125</v>
      </c>
      <c r="AQ9" s="203" t="n">
        <v>7599.3798828125</v>
      </c>
      <c r="AR9" s="203" t="n">
        <v>7599.3798828125</v>
      </c>
      <c r="AS9" s="203" t="n">
        <v>7599.3798828125</v>
      </c>
      <c r="AT9" s="203" t="n">
        <v>7816.7001953125</v>
      </c>
      <c r="AU9" s="203" t="n">
        <v>7816.7001953125</v>
      </c>
      <c r="AV9" s="196" t="n">
        <v>7816.7001953125</v>
      </c>
      <c r="AW9" s="184" t="n">
        <v>7816.7001953125</v>
      </c>
      <c r="AX9" s="184" t="n">
        <v>7816.7001953125</v>
      </c>
      <c r="AY9" s="184" t="n"/>
      <c r="AZ9" s="155" t="n"/>
      <c r="BA9" s="155" t="n"/>
      <c r="BB9" s="156" t="n"/>
      <c r="BC9" s="173" t="n">
        <v>45748</v>
      </c>
      <c r="BD9" s="174">
        <f>#REF!</f>
        <v/>
      </c>
      <c r="BE9" s="156" t="n">
        <v>3</v>
      </c>
      <c r="BF9" s="156">
        <f t="array" ref="BF9">_xlfn.XLOOKUP(MIN(ABS($BJ$7:$BJ$29 - MEDIAN(MIN($BJ$7:$BJ$29), MAX($BJ$7:$BJ$29), BD9))), ABS($BJ$7:$BJ$29 - MEDIAN(MIN($BJ$7:$BJ$29), MAX($BJ$7:$BJ$29), BD9)), $BK$7:$BK$29, "Error", 0)</f>
        <v/>
      </c>
      <c r="BG9" s="183" t="n"/>
      <c r="BH9" s="156" t="n"/>
      <c r="BI9" s="156">
        <f t="array" ref="BI9">_xlfn.XLOOKUP(MIN(ABS($BJ$7:$BJ$29 - MEDIAN(MIN($BJ$7:$BJ$29), MAX($BJ$7:$BJ$29), BG9))), ABS($BJ$7:$BJ$29 - MEDIAN(MIN($BJ$7:$BJ$29), MAX($BJ$7:$BJ$29), BG9)), $BK$7:$BK$29, "Error", 0)</f>
        <v/>
      </c>
      <c r="BJ9" s="176" t="n">
        <v>0.18</v>
      </c>
      <c r="BK9" s="177" t="n">
        <v>5</v>
      </c>
      <c r="BL9" s="178" t="n">
        <v>18</v>
      </c>
      <c r="BO9" s="254" t="inlineStr">
        <is>
          <t>current price STOXX50</t>
        </is>
      </c>
    </row>
    <row r="10" ht="44" customHeight="1">
      <c r="A10" s="303" t="n"/>
      <c r="B10" s="196" t="inlineStr">
        <is>
          <t>current price SPX</t>
        </is>
      </c>
      <c r="C10" s="233" t="n">
        <v>4076.60009765625</v>
      </c>
      <c r="D10" s="233" t="n">
        <v>3970.14990234375</v>
      </c>
      <c r="E10" s="233" t="n">
        <v>4109.31005859375</v>
      </c>
      <c r="F10" s="233" t="n">
        <v>4169.47998046875</v>
      </c>
      <c r="G10" s="233" t="n">
        <v>4179.830078125</v>
      </c>
      <c r="H10" s="233" t="n">
        <v>4450.3798828125</v>
      </c>
      <c r="I10" s="233" t="n">
        <v>4588.9599609375</v>
      </c>
      <c r="J10" s="233" t="n">
        <v>4507.66015625</v>
      </c>
      <c r="K10" s="233" t="n">
        <v>4288.0498046875</v>
      </c>
      <c r="L10" s="233" t="n">
        <v>4193.7998046875</v>
      </c>
      <c r="M10" s="233" t="n">
        <v>4567.7998046875</v>
      </c>
      <c r="N10" s="233" t="n">
        <v>4769.830078125</v>
      </c>
      <c r="O10" s="233" t="n">
        <v>4845.64990234375</v>
      </c>
      <c r="P10" s="233" t="n">
        <v>5096.27001953125</v>
      </c>
      <c r="Q10" s="233" t="n">
        <v>5254.35009765625</v>
      </c>
      <c r="R10" s="233" t="n">
        <v>5035.68994140625</v>
      </c>
      <c r="S10" s="233" t="n">
        <v>5277.509765625</v>
      </c>
      <c r="T10" s="233" t="n">
        <v>5460.47998046875</v>
      </c>
      <c r="U10" s="233" t="n">
        <v>5522.2998046875</v>
      </c>
      <c r="V10" s="233" t="n">
        <v>5648.39990234375</v>
      </c>
      <c r="W10" s="233" t="n">
        <v>5762.47998046875</v>
      </c>
      <c r="X10" s="233" t="n">
        <v>5705.4501953125</v>
      </c>
      <c r="Y10" s="233" t="n">
        <v>6032.3798828125</v>
      </c>
      <c r="Z10" s="233" t="n">
        <v>5881.6298828125</v>
      </c>
      <c r="AA10" s="231" t="n">
        <v>6040.52978515625</v>
      </c>
      <c r="AB10" s="203" t="n">
        <v>5954.5</v>
      </c>
      <c r="AC10" s="203" t="n">
        <v>5611.85009765625</v>
      </c>
      <c r="AD10" s="203" t="n">
        <v>5569.06005859375</v>
      </c>
      <c r="AE10" s="203" t="n">
        <v>5911.68994140625</v>
      </c>
      <c r="AF10" s="203" t="n">
        <v>6204.9501953125</v>
      </c>
      <c r="AG10" s="203" t="n">
        <v>6339.39013671875</v>
      </c>
      <c r="AH10" s="203" t="n">
        <v>6460.259765625</v>
      </c>
      <c r="AI10" s="203" t="n">
        <v>6688.4599609375</v>
      </c>
      <c r="AJ10" s="203" t="n">
        <v>6840.2001953125</v>
      </c>
      <c r="AK10" s="203" t="n">
        <v>6849.08984375</v>
      </c>
      <c r="AL10" s="203" t="n">
        <v>6845.5</v>
      </c>
      <c r="AM10" s="203" t="n">
        <v>6939.02978515625</v>
      </c>
      <c r="AN10" s="203" t="n">
        <v>6878.8798828125</v>
      </c>
      <c r="AO10" s="203" t="n">
        <v>6528.52001953125</v>
      </c>
      <c r="AP10" s="203" t="n">
        <v>7209.009765625</v>
      </c>
      <c r="AQ10" s="203" t="n">
        <v>7580.06005859375</v>
      </c>
      <c r="AR10" s="203" t="n">
        <v>7499.35986328125</v>
      </c>
      <c r="AS10" s="203" t="n">
        <v>7489.72021484375</v>
      </c>
      <c r="AT10" s="203" t="n">
        <v>7686.14013671875</v>
      </c>
      <c r="AU10" s="203" t="n">
        <v>7743.41015625</v>
      </c>
      <c r="AV10" s="196" t="n">
        <v>7743.41015625</v>
      </c>
      <c r="AW10" s="184" t="n">
        <v>7743.41015625</v>
      </c>
      <c r="AX10" s="184" t="n">
        <v>7743.41015625</v>
      </c>
      <c r="AY10" s="184" t="n"/>
      <c r="AZ10" s="155" t="n"/>
      <c r="BA10" s="155" t="n"/>
      <c r="BB10" s="156" t="n"/>
      <c r="BC10" s="173" t="n">
        <v>45778</v>
      </c>
      <c r="BD10" s="174">
        <f>#REF!</f>
        <v/>
      </c>
      <c r="BE10" s="156" t="n">
        <v>3</v>
      </c>
      <c r="BF10" s="156">
        <f t="array" ref="BF10">_xlfn.XLOOKUP(MIN(ABS($BJ$7:$BJ$29 - MEDIAN(MIN($BJ$7:$BJ$29), MAX($BJ$7:$BJ$29), BD10))), ABS($BJ$7:$BJ$29 - MEDIAN(MIN($BJ$7:$BJ$29), MAX($BJ$7:$BJ$29), BD10)), $BK$7:$BK$29, "Error", 0)</f>
        <v/>
      </c>
      <c r="BG10" s="183" t="n"/>
      <c r="BH10" s="156" t="n"/>
      <c r="BI10" s="156">
        <f t="array" ref="BI10">_xlfn.XLOOKUP(MIN(ABS($BJ$7:$BJ$29 - MEDIAN(MIN($BJ$7:$BJ$29), MAX($BJ$7:$BJ$29), BG10))), ABS($BJ$7:$BJ$29 - MEDIAN(MIN($BJ$7:$BJ$29), MAX($BJ$7:$BJ$29), BG10)), $BK$7:$BK$29, "Error", 0)</f>
        <v/>
      </c>
      <c r="BJ10" s="176" t="n">
        <v>0.16</v>
      </c>
      <c r="BK10" s="177" t="n">
        <v>7</v>
      </c>
      <c r="BL10" s="178" t="n">
        <v>16</v>
      </c>
      <c r="BO10" s="254" t="inlineStr">
        <is>
          <t>All time High TSE UK</t>
        </is>
      </c>
    </row>
    <row r="11" ht="44" customHeight="1">
      <c r="A11" s="303" t="n"/>
      <c r="B11" s="196" t="inlineStr">
        <is>
          <t>original index % change</t>
        </is>
      </c>
      <c r="C11" s="230">
        <f>+(C10-C9)/C9</f>
        <v/>
      </c>
      <c r="D11" s="230">
        <f>+(D10-D9)/D9</f>
        <v/>
      </c>
      <c r="E11" s="230">
        <f>+(E10-E9)/E9</f>
        <v/>
      </c>
      <c r="F11" s="230">
        <f>+(F10-F9)/F9</f>
        <v/>
      </c>
      <c r="G11" s="230">
        <f>+(G10-G9)/G9</f>
        <v/>
      </c>
      <c r="H11" s="230">
        <f>+(H10-H9)/H9</f>
        <v/>
      </c>
      <c r="I11" s="230">
        <f>+(I10-I9)/I9</f>
        <v/>
      </c>
      <c r="J11" s="230">
        <f>+(J10-J9)/J9</f>
        <v/>
      </c>
      <c r="K11" s="230">
        <f>+(K10-K9)/K9</f>
        <v/>
      </c>
      <c r="L11" s="230">
        <f>+(L10-L9)/L9</f>
        <v/>
      </c>
      <c r="M11" s="230">
        <f>+(M10-M9)/M9</f>
        <v/>
      </c>
      <c r="N11" s="230">
        <f>+(N10-N9)/N9</f>
        <v/>
      </c>
      <c r="O11" s="230">
        <f>+(O10-O9)/O9</f>
        <v/>
      </c>
      <c r="P11" s="230">
        <f>+(P10-P9)/P9</f>
        <v/>
      </c>
      <c r="Q11" s="230">
        <f>+(Q10-Q9)/Q9</f>
        <v/>
      </c>
      <c r="R11" s="230">
        <f>+(R10-R9)/R9</f>
        <v/>
      </c>
      <c r="S11" s="230">
        <f>+(S10-S9)/S9</f>
        <v/>
      </c>
      <c r="T11" s="230">
        <f>+(T10-T9)/T9</f>
        <v/>
      </c>
      <c r="U11" s="230">
        <f>+(U10-U9)/U9</f>
        <v/>
      </c>
      <c r="V11" s="230">
        <f>+(V10-V9)/V9</f>
        <v/>
      </c>
      <c r="W11" s="230">
        <f>+(W10-W9)/W9</f>
        <v/>
      </c>
      <c r="X11" s="230">
        <f>+(X10-X9)/X9</f>
        <v/>
      </c>
      <c r="Y11" s="230">
        <f>+(Y10-Y9)/Y9</f>
        <v/>
      </c>
      <c r="Z11" s="230">
        <f>+(Z10-Z9)/Z9</f>
        <v/>
      </c>
      <c r="AA11" s="230">
        <f>+(AA10-AA9)/AA9</f>
        <v/>
      </c>
      <c r="AB11" s="205">
        <f>+(AB10-AB9)/AB9</f>
        <v/>
      </c>
      <c r="AC11" s="205">
        <f>+(AC10-AC9)/AC9</f>
        <v/>
      </c>
      <c r="AD11" s="205">
        <f>+(AD10-AD9)/AD9</f>
        <v/>
      </c>
      <c r="AE11" s="205">
        <f>+(AE10-AE9)/AE9</f>
        <v/>
      </c>
      <c r="AF11" s="205">
        <f>+(AF10-AF9)/AF9</f>
        <v/>
      </c>
      <c r="AG11" s="205">
        <f>+(AG10-AG9)/AG9</f>
        <v/>
      </c>
      <c r="AH11" s="205">
        <f>+(AH10-AH9)/AH9</f>
        <v/>
      </c>
      <c r="AI11" s="205">
        <f>+(AI10-AI9)/AI9</f>
        <v/>
      </c>
      <c r="AJ11" s="205">
        <f>+(AJ10-AJ9)/AJ9</f>
        <v/>
      </c>
      <c r="AK11" s="205">
        <f>+(AK10-AK9)/AK9</f>
        <v/>
      </c>
      <c r="AL11" s="205">
        <f>+(AL10-AL9)/AL9</f>
        <v/>
      </c>
      <c r="AM11" s="205">
        <f>+(AM10-AM9)/AM9</f>
        <v/>
      </c>
      <c r="AN11" s="205">
        <f>+(AN10-AN9)/AN9</f>
        <v/>
      </c>
      <c r="AO11" s="205">
        <f>+(AO10-AO9)/AO9</f>
        <v/>
      </c>
      <c r="AP11" s="205">
        <f>+(AP10-AP9)/AP9</f>
        <v/>
      </c>
      <c r="AQ11" s="205">
        <f>+(AQ10-AQ9)/AQ9</f>
        <v/>
      </c>
      <c r="AR11" s="205">
        <f>+(AR10-AR9)/AR9</f>
        <v/>
      </c>
      <c r="AS11" s="205">
        <f>+(AS10-AS9)/AS9</f>
        <v/>
      </c>
      <c r="AT11" s="205">
        <f>+(AT10-AT9)/AT9</f>
        <v/>
      </c>
      <c r="AU11" s="205">
        <f>+(AU10-AU9)/AU9</f>
        <v/>
      </c>
      <c r="AV11" s="196">
        <f>+(AV10-AV9)/AV9</f>
        <v/>
      </c>
      <c r="AW11" s="184">
        <f>+(AW10-AW9)/AW9</f>
        <v/>
      </c>
      <c r="AX11" s="184">
        <f>+(AX10-AX9)/AX9</f>
        <v/>
      </c>
      <c r="AY11" s="184" t="n"/>
      <c r="AZ11" s="155" t="n"/>
      <c r="BA11" s="155" t="n"/>
      <c r="BB11" s="156" t="n"/>
      <c r="BC11" s="173" t="n">
        <v>45809</v>
      </c>
      <c r="BD11" s="174">
        <f>#REF!</f>
        <v/>
      </c>
      <c r="BE11" s="156" t="n">
        <v>3</v>
      </c>
      <c r="BF11" s="156">
        <f t="array" ref="BF11">_xlfn.XLOOKUP(MIN(ABS($BJ$7:$BJ$29 - MEDIAN(MIN($BJ$7:$BJ$29), MAX($BJ$7:$BJ$29), BD11))), ABS($BJ$7:$BJ$29 - MEDIAN(MIN($BJ$7:$BJ$29), MAX($BJ$7:$BJ$29), BD11)), $BK$7:$BK$29, "Error", 0)</f>
        <v/>
      </c>
      <c r="BG11" s="183" t="n"/>
      <c r="BH11" s="156" t="n"/>
      <c r="BI11" s="156">
        <f t="array" ref="BI11">_xlfn.XLOOKUP(MIN(ABS($BJ$7:$BJ$29 - MEDIAN(MIN($BJ$7:$BJ$29), MAX($BJ$7:$BJ$29), BG11))), ABS($BJ$7:$BJ$29 - MEDIAN(MIN($BJ$7:$BJ$29), MAX($BJ$7:$BJ$29), BG11)), $BK$7:$BK$29, "Error", 0)</f>
        <v/>
      </c>
      <c r="BJ11" s="176" t="n">
        <v>0.14</v>
      </c>
      <c r="BK11" s="177" t="n">
        <v>9</v>
      </c>
      <c r="BL11" s="178" t="n">
        <v>14</v>
      </c>
      <c r="BO11" s="254" t="inlineStr">
        <is>
          <t>current price TSE UK</t>
        </is>
      </c>
    </row>
    <row r="12" ht="22" customHeight="1">
      <c r="A12" s="303" t="n"/>
      <c r="B12" s="196" t="inlineStr">
        <is>
          <t>real % change</t>
        </is>
      </c>
      <c r="C12" s="230">
        <f>+C8-C11</f>
        <v/>
      </c>
      <c r="D12" s="230">
        <f>+D8-D11</f>
        <v/>
      </c>
      <c r="E12" s="230">
        <f>+E8-E11</f>
        <v/>
      </c>
      <c r="F12" s="230">
        <f>+F8-F11</f>
        <v/>
      </c>
      <c r="G12" s="230">
        <f>+G8-G11</f>
        <v/>
      </c>
      <c r="H12" s="230">
        <f>+H8-H11</f>
        <v/>
      </c>
      <c r="I12" s="230">
        <f>+I8-I11</f>
        <v/>
      </c>
      <c r="J12" s="230">
        <f>+J8-J11</f>
        <v/>
      </c>
      <c r="K12" s="230">
        <f>+K8-K11</f>
        <v/>
      </c>
      <c r="L12" s="230">
        <f>+L8-L11</f>
        <v/>
      </c>
      <c r="M12" s="230">
        <f>+M8-M11</f>
        <v/>
      </c>
      <c r="N12" s="230">
        <f>+N8-N11</f>
        <v/>
      </c>
      <c r="O12" s="230">
        <f>+O8-O11</f>
        <v/>
      </c>
      <c r="P12" s="230">
        <f>+P8-P11</f>
        <v/>
      </c>
      <c r="Q12" s="230">
        <f>+Q8-Q11</f>
        <v/>
      </c>
      <c r="R12" s="230">
        <f>+R8-R11</f>
        <v/>
      </c>
      <c r="S12" s="230">
        <f>+S8-S11</f>
        <v/>
      </c>
      <c r="T12" s="230">
        <f>+T8-T11</f>
        <v/>
      </c>
      <c r="U12" s="230">
        <f>+U8-U11</f>
        <v/>
      </c>
      <c r="V12" s="230">
        <f>+V8-V11</f>
        <v/>
      </c>
      <c r="W12" s="230">
        <f>+W8-W11</f>
        <v/>
      </c>
      <c r="X12" s="230">
        <f>+X8-X11</f>
        <v/>
      </c>
      <c r="Y12" s="230">
        <f>+Y8-Y11</f>
        <v/>
      </c>
      <c r="Z12" s="230">
        <f>+Z8-Z11</f>
        <v/>
      </c>
      <c r="AA12" s="230">
        <f>+AA8-AA11</f>
        <v/>
      </c>
      <c r="AB12" s="205">
        <f>+AB8-AB11</f>
        <v/>
      </c>
      <c r="AC12" s="205">
        <f>+AC8-AC11</f>
        <v/>
      </c>
      <c r="AD12" s="205">
        <f>+AD8-AD11</f>
        <v/>
      </c>
      <c r="AE12" s="205">
        <f>+AE8-AE11</f>
        <v/>
      </c>
      <c r="AF12" s="205">
        <f>+AF8-AF11</f>
        <v/>
      </c>
      <c r="AG12" s="205">
        <f>+AG8-AG11</f>
        <v/>
      </c>
      <c r="AH12" s="205">
        <f>+AH8-AH11</f>
        <v/>
      </c>
      <c r="AI12" s="205">
        <f>+AI8-AI11</f>
        <v/>
      </c>
      <c r="AJ12" s="205">
        <f>+AJ8-AJ11</f>
        <v/>
      </c>
      <c r="AK12" s="205">
        <f>+AK8-AK11</f>
        <v/>
      </c>
      <c r="AL12" s="205">
        <f>+AL8-AL11</f>
        <v/>
      </c>
      <c r="AM12" s="205">
        <f>+AM8-AM11</f>
        <v/>
      </c>
      <c r="AN12" s="205">
        <f>+AN8-AN11</f>
        <v/>
      </c>
      <c r="AO12" s="205">
        <f>+AO8-AO11</f>
        <v/>
      </c>
      <c r="AP12" s="205">
        <f>+AP8-AP11</f>
        <v/>
      </c>
      <c r="AQ12" s="205">
        <f>+AQ8-AQ11</f>
        <v/>
      </c>
      <c r="AR12" s="205">
        <f>+AR8-AR11</f>
        <v/>
      </c>
      <c r="AS12" s="205">
        <f>+AS8-AS11</f>
        <v/>
      </c>
      <c r="AT12" s="205">
        <f>+AT8-AT11</f>
        <v/>
      </c>
      <c r="AU12" s="205">
        <f>+AU8-AU11</f>
        <v/>
      </c>
      <c r="AV12" s="196">
        <f>+AV8-AV11</f>
        <v/>
      </c>
      <c r="AW12" s="184">
        <f>+AW8-AW11</f>
        <v/>
      </c>
      <c r="AX12" s="184">
        <f>+AX8-AX11</f>
        <v/>
      </c>
      <c r="AY12" s="184" t="n"/>
      <c r="AZ12" s="155" t="n"/>
      <c r="BA12" s="155" t="n"/>
      <c r="BB12" s="156" t="n"/>
      <c r="BC12" s="173" t="n">
        <v>45839</v>
      </c>
      <c r="BD12" s="174">
        <f>#REF!</f>
        <v/>
      </c>
      <c r="BE12" s="156" t="n">
        <v>3</v>
      </c>
      <c r="BF12" s="156">
        <f t="array" ref="BF12">_xlfn.XLOOKUP(MIN(ABS($BJ$7:$BJ$29 - MEDIAN(MIN($BJ$7:$BJ$29), MAX($BJ$7:$BJ$29), BD12))), ABS($BJ$7:$BJ$29 - MEDIAN(MIN($BJ$7:$BJ$29), MAX($BJ$7:$BJ$29), BD12)), $BK$7:$BK$29, "Error", 0)</f>
        <v/>
      </c>
      <c r="BG12" s="183" t="n"/>
      <c r="BH12" s="156" t="n"/>
      <c r="BI12" s="156">
        <f t="array" ref="BI12">_xlfn.XLOOKUP(MIN(ABS($BJ$7:$BJ$29 - MEDIAN(MIN($BJ$7:$BJ$29), MAX($BJ$7:$BJ$29), BG12))), ABS($BJ$7:$BJ$29 - MEDIAN(MIN($BJ$7:$BJ$29), MAX($BJ$7:$BJ$29), BG12)), $BK$7:$BK$29, "Error", 0)</f>
        <v/>
      </c>
      <c r="BJ12" s="176" t="n">
        <v>0.12</v>
      </c>
      <c r="BK12" s="177" t="n">
        <v>10</v>
      </c>
      <c r="BL12" s="178" t="n">
        <v>12</v>
      </c>
      <c r="BO12" s="254" t="inlineStr">
        <is>
          <t>All time High SMI</t>
        </is>
      </c>
    </row>
    <row r="13" ht="22" customHeight="1">
      <c r="A13" s="304" t="n"/>
      <c r="B13" s="207" t="inlineStr">
        <is>
          <t>Rating</t>
        </is>
      </c>
      <c r="C13" s="232">
        <f>_xlfn.XLOOKUP(MIN(ABS($BJ$7:$BJ$29 - MEDIAN(MIN($BJ$7:$BJ$29), MAX($BJ$7:$BJ$29), C12))), ABS($BJ$7:$BJ$29 - MEDIAN(MIN($BJ$7:$BJ$29), MAX($BJ$7:$BJ$29), C12)), $BK$7:$BK$29, "Error", 0)</f>
        <v/>
      </c>
      <c r="D13" s="232">
        <f>_xlfn.XLOOKUP(MIN(ABS($BJ$7:$BJ$29 - MEDIAN(MIN($BJ$7:$BJ$29), MAX($BJ$7:$BJ$29), D12))), ABS($BJ$7:$BJ$29 - MEDIAN(MIN($BJ$7:$BJ$29), MAX($BJ$7:$BJ$29), D12)), $BK$7:$BK$29, "Error", 0)</f>
        <v/>
      </c>
      <c r="E13" s="232">
        <f>_xlfn.XLOOKUP(MIN(ABS($BJ$7:$BJ$29 - MEDIAN(MIN($BJ$7:$BJ$29), MAX($BJ$7:$BJ$29), E12))), ABS($BJ$7:$BJ$29 - MEDIAN(MIN($BJ$7:$BJ$29), MAX($BJ$7:$BJ$29), E12)), $BK$7:$BK$29, "Error", 0)</f>
        <v/>
      </c>
      <c r="F13" s="232">
        <f>_xlfn.XLOOKUP(MIN(ABS($BJ$7:$BJ$29 - MEDIAN(MIN($BJ$7:$BJ$29), MAX($BJ$7:$BJ$29), F12))), ABS($BJ$7:$BJ$29 - MEDIAN(MIN($BJ$7:$BJ$29), MAX($BJ$7:$BJ$29), F12)), $BK$7:$BK$29, "Error", 0)</f>
        <v/>
      </c>
      <c r="G13" s="232">
        <f>_xlfn.XLOOKUP(MIN(ABS($BJ$7:$BJ$29 - MEDIAN(MIN($BJ$7:$BJ$29), MAX($BJ$7:$BJ$29), G12))), ABS($BJ$7:$BJ$29 - MEDIAN(MIN($BJ$7:$BJ$29), MAX($BJ$7:$BJ$29), G12)), $BK$7:$BK$29, "Error", 0)</f>
        <v/>
      </c>
      <c r="H13" s="232">
        <f>_xlfn.XLOOKUP(MIN(ABS($BJ$7:$BJ$29 - MEDIAN(MIN($BJ$7:$BJ$29), MAX($BJ$7:$BJ$29), H12))), ABS($BJ$7:$BJ$29 - MEDIAN(MIN($BJ$7:$BJ$29), MAX($BJ$7:$BJ$29), H12)), $BK$7:$BK$29, "Error", 0)</f>
        <v/>
      </c>
      <c r="I13" s="232">
        <f>_xlfn.XLOOKUP(MIN(ABS($BJ$7:$BJ$29 - MEDIAN(MIN($BJ$7:$BJ$29), MAX($BJ$7:$BJ$29), I12))), ABS($BJ$7:$BJ$29 - MEDIAN(MIN($BJ$7:$BJ$29), MAX($BJ$7:$BJ$29), I12)), $BK$7:$BK$29, "Error", 0)</f>
        <v/>
      </c>
      <c r="J13" s="232">
        <f>_xlfn.XLOOKUP(MIN(ABS($BJ$7:$BJ$29 - MEDIAN(MIN($BJ$7:$BJ$29), MAX($BJ$7:$BJ$29), J12))), ABS($BJ$7:$BJ$29 - MEDIAN(MIN($BJ$7:$BJ$29), MAX($BJ$7:$BJ$29), J12)), $BK$7:$BK$29, "Error", 0)</f>
        <v/>
      </c>
      <c r="K13" s="232">
        <f>_xlfn.XLOOKUP(MIN(ABS($BJ$7:$BJ$29 - MEDIAN(MIN($BJ$7:$BJ$29), MAX($BJ$7:$BJ$29), K12))), ABS($BJ$7:$BJ$29 - MEDIAN(MIN($BJ$7:$BJ$29), MAX($BJ$7:$BJ$29), K12)), $BK$7:$BK$29, "Error", 0)</f>
        <v/>
      </c>
      <c r="L13" s="232">
        <f>_xlfn.XLOOKUP(MIN(ABS($BJ$7:$BJ$29 - MEDIAN(MIN($BJ$7:$BJ$29), MAX($BJ$7:$BJ$29), L12))), ABS($BJ$7:$BJ$29 - MEDIAN(MIN($BJ$7:$BJ$29), MAX($BJ$7:$BJ$29), L12)), $BK$7:$BK$29, "Error", 0)</f>
        <v/>
      </c>
      <c r="M13" s="232">
        <f>_xlfn.XLOOKUP(MIN(ABS($BJ$7:$BJ$29 - MEDIAN(MIN($BJ$7:$BJ$29), MAX($BJ$7:$BJ$29), M12))), ABS($BJ$7:$BJ$29 - MEDIAN(MIN($BJ$7:$BJ$29), MAX($BJ$7:$BJ$29), M12)), $BK$7:$BK$29, "Error", 0)</f>
        <v/>
      </c>
      <c r="N13" s="232">
        <f>_xlfn.XLOOKUP(MIN(ABS($BJ$7:$BJ$29 - MEDIAN(MIN($BJ$7:$BJ$29), MAX($BJ$7:$BJ$29), N12))), ABS($BJ$7:$BJ$29 - MEDIAN(MIN($BJ$7:$BJ$29), MAX($BJ$7:$BJ$29), N12)), $BK$7:$BK$29, "Error", 0)</f>
        <v/>
      </c>
      <c r="O13" s="232">
        <f>_xlfn.XLOOKUP(MIN(ABS($BJ$7:$BJ$29 - MEDIAN(MIN($BJ$7:$BJ$29), MAX($BJ$7:$BJ$29), O12))), ABS($BJ$7:$BJ$29 - MEDIAN(MIN($BJ$7:$BJ$29), MAX($BJ$7:$BJ$29), O12)), $BK$7:$BK$29, "Error", 0)</f>
        <v/>
      </c>
      <c r="P13" s="232">
        <f>_xlfn.XLOOKUP(MIN(ABS($BJ$7:$BJ$29 - MEDIAN(MIN($BJ$7:$BJ$29), MAX($BJ$7:$BJ$29), P12))), ABS($BJ$7:$BJ$29 - MEDIAN(MIN($BJ$7:$BJ$29), MAX($BJ$7:$BJ$29), P12)), $BK$7:$BK$29, "Error", 0)</f>
        <v/>
      </c>
      <c r="Q13" s="232">
        <f>_xlfn.XLOOKUP(MIN(ABS($BJ$7:$BJ$29 - MEDIAN(MIN($BJ$7:$BJ$29), MAX($BJ$7:$BJ$29), Q12))), ABS($BJ$7:$BJ$29 - MEDIAN(MIN($BJ$7:$BJ$29), MAX($BJ$7:$BJ$29), Q12)), $BK$7:$BK$29, "Error", 0)</f>
        <v/>
      </c>
      <c r="R13" s="232">
        <f>_xlfn.XLOOKUP(MIN(ABS($BJ$7:$BJ$29 - MEDIAN(MIN($BJ$7:$BJ$29), MAX($BJ$7:$BJ$29), R12))), ABS($BJ$7:$BJ$29 - MEDIAN(MIN($BJ$7:$BJ$29), MAX($BJ$7:$BJ$29), R12)), $BK$7:$BK$29, "Error", 0)</f>
        <v/>
      </c>
      <c r="S13" s="232">
        <f>_xlfn.XLOOKUP(MIN(ABS($BJ$7:$BJ$29 - MEDIAN(MIN($BJ$7:$BJ$29), MAX($BJ$7:$BJ$29), S12))), ABS($BJ$7:$BJ$29 - MEDIAN(MIN($BJ$7:$BJ$29), MAX($BJ$7:$BJ$29), S12)), $BK$7:$BK$29, "Error", 0)</f>
        <v/>
      </c>
      <c r="T13" s="232">
        <f>_xlfn.XLOOKUP(MIN(ABS($BJ$7:$BJ$29 - MEDIAN(MIN($BJ$7:$BJ$29), MAX($BJ$7:$BJ$29), T12))), ABS($BJ$7:$BJ$29 - MEDIAN(MIN($BJ$7:$BJ$29), MAX($BJ$7:$BJ$29), T12)), $BK$7:$BK$29, "Error", 0)</f>
        <v/>
      </c>
      <c r="U13" s="232">
        <f>_xlfn.XLOOKUP(MIN(ABS($BJ$7:$BJ$29 - MEDIAN(MIN($BJ$7:$BJ$29), MAX($BJ$7:$BJ$29), U12))), ABS($BJ$7:$BJ$29 - MEDIAN(MIN($BJ$7:$BJ$29), MAX($BJ$7:$BJ$29), U12)), $BK$7:$BK$29, "Error", 0)</f>
        <v/>
      </c>
      <c r="V13" s="232">
        <f>_xlfn.XLOOKUP(MIN(ABS($BJ$7:$BJ$29 - MEDIAN(MIN($BJ$7:$BJ$29), MAX($BJ$7:$BJ$29), V12))), ABS($BJ$7:$BJ$29 - MEDIAN(MIN($BJ$7:$BJ$29), MAX($BJ$7:$BJ$29), V12)), $BK$7:$BK$29, "Error", 0)</f>
        <v/>
      </c>
      <c r="W13" s="232">
        <f>_xlfn.XLOOKUP(MIN(ABS($BJ$7:$BJ$29 - MEDIAN(MIN($BJ$7:$BJ$29), MAX($BJ$7:$BJ$29), W12))), ABS($BJ$7:$BJ$29 - MEDIAN(MIN($BJ$7:$BJ$29), MAX($BJ$7:$BJ$29), W12)), $BK$7:$BK$29, "Error", 0)</f>
        <v/>
      </c>
      <c r="X13" s="232">
        <f>_xlfn.XLOOKUP(MIN(ABS($BJ$7:$BJ$29 - MEDIAN(MIN($BJ$7:$BJ$29), MAX($BJ$7:$BJ$29), X12))), ABS($BJ$7:$BJ$29 - MEDIAN(MIN($BJ$7:$BJ$29), MAX($BJ$7:$BJ$29), X12)), $BK$7:$BK$29, "Error", 0)</f>
        <v/>
      </c>
      <c r="Y13" s="232">
        <f>_xlfn.XLOOKUP(MIN(ABS($BJ$7:$BJ$29 - MEDIAN(MIN($BJ$7:$BJ$29), MAX($BJ$7:$BJ$29), Y12))), ABS($BJ$7:$BJ$29 - MEDIAN(MIN($BJ$7:$BJ$29), MAX($BJ$7:$BJ$29), Y12)), $BK$7:$BK$29, "Error", 0)</f>
        <v/>
      </c>
      <c r="Z13" s="232">
        <f>_xlfn.XLOOKUP(MIN(ABS($BJ$7:$BJ$29 - MEDIAN(MIN($BJ$7:$BJ$29), MAX($BJ$7:$BJ$29), Z12))), ABS($BJ$7:$BJ$29 - MEDIAN(MIN($BJ$7:$BJ$29), MAX($BJ$7:$BJ$29), Z12)), $BK$7:$BK$29, "Error", 0)</f>
        <v/>
      </c>
      <c r="AA13" s="232">
        <f>_xlfn.XLOOKUP(MIN(ABS($BJ$7:$BJ$29 - MEDIAN(MIN($BJ$7:$BJ$29), MAX($BJ$7:$BJ$29), AA12))), ABS($BJ$7:$BJ$29 - MEDIAN(MIN($BJ$7:$BJ$29), MAX($BJ$7:$BJ$29), AA12)), $BK$7:$BK$29, "Error", 0)</f>
        <v/>
      </c>
      <c r="AB13" s="171">
        <f>_xlfn.XLOOKUP(MIN(ABS($BJ$7:$BJ$29 - MEDIAN(MIN($BJ$7:$BJ$29), MAX($BJ$7:$BJ$29), AB12))), ABS($BJ$7:$BJ$29 - MEDIAN(MIN($BJ$7:$BJ$29), MAX($BJ$7:$BJ$29), AB12)), $BK$7:$BK$29, "Error", 0)</f>
        <v/>
      </c>
      <c r="AC13" s="171">
        <f>_xlfn.XLOOKUP(MIN(ABS($BJ$7:$BJ$29 - MEDIAN(MIN($BJ$7:$BJ$29), MAX($BJ$7:$BJ$29), AC12))), ABS($BJ$7:$BJ$29 - MEDIAN(MIN($BJ$7:$BJ$29), MAX($BJ$7:$BJ$29), AC12)), $BK$7:$BK$29, "Error", 0)</f>
        <v/>
      </c>
      <c r="AD13" s="171">
        <f>_xlfn.XLOOKUP(MIN(ABS($BJ$7:$BJ$29 - MEDIAN(MIN($BJ$7:$BJ$29), MAX($BJ$7:$BJ$29), AD12))), ABS($BJ$7:$BJ$29 - MEDIAN(MIN($BJ$7:$BJ$29), MAX($BJ$7:$BJ$29), AD12)), $BK$7:$BK$29, "Error", 0)</f>
        <v/>
      </c>
      <c r="AE13" s="171">
        <f>_xlfn.XLOOKUP(MIN(ABS($BJ$7:$BJ$29 - MEDIAN(MIN($BJ$7:$BJ$29), MAX($BJ$7:$BJ$29), AE12))), ABS($BJ$7:$BJ$29 - MEDIAN(MIN($BJ$7:$BJ$29), MAX($BJ$7:$BJ$29), AE12)), $BK$7:$BK$29, "Error", 0)</f>
        <v/>
      </c>
      <c r="AF13" s="171">
        <f>_xlfn.XLOOKUP(MIN(ABS($BJ$7:$BJ$29 - MEDIAN(MIN($BJ$7:$BJ$29), MAX($BJ$7:$BJ$29), AF12))), ABS($BJ$7:$BJ$29 - MEDIAN(MIN($BJ$7:$BJ$29), MAX($BJ$7:$BJ$29), AF12)), $BK$7:$BK$29, "Error", 0)</f>
        <v/>
      </c>
      <c r="AG13" s="171">
        <f>_xlfn.XLOOKUP(MIN(ABS($BJ$7:$BJ$29 - MEDIAN(MIN($BJ$7:$BJ$29), MAX($BJ$7:$BJ$29), AG12))), ABS($BJ$7:$BJ$29 - MEDIAN(MIN($BJ$7:$BJ$29), MAX($BJ$7:$BJ$29), AG12)), $BK$7:$BK$29, "Error", 0)</f>
        <v/>
      </c>
      <c r="AH13" s="171">
        <f>_xlfn.XLOOKUP(MIN(ABS($BJ$7:$BJ$29 - MEDIAN(MIN($BJ$7:$BJ$29), MAX($BJ$7:$BJ$29), AH12))), ABS($BJ$7:$BJ$29 - MEDIAN(MIN($BJ$7:$BJ$29), MAX($BJ$7:$BJ$29), AH12)), $BK$7:$BK$29, "Error", 0)</f>
        <v/>
      </c>
      <c r="AI13" s="171">
        <f>_xlfn.XLOOKUP(MIN(ABS($BJ$7:$BJ$29 - MEDIAN(MIN($BJ$7:$BJ$29), MAX($BJ$7:$BJ$29), AI12))), ABS($BJ$7:$BJ$29 - MEDIAN(MIN($BJ$7:$BJ$29), MAX($BJ$7:$BJ$29), AI12)), $BK$7:$BK$29, "Error", 0)</f>
        <v/>
      </c>
      <c r="AJ13" s="171">
        <f>_xlfn.XLOOKUP(MIN(ABS($BJ$7:$BJ$29 - MEDIAN(MIN($BJ$7:$BJ$29), MAX($BJ$7:$BJ$29), AJ12))), ABS($BJ$7:$BJ$29 - MEDIAN(MIN($BJ$7:$BJ$29), MAX($BJ$7:$BJ$29), AJ12)), $BK$7:$BK$29, "Error", 0)</f>
        <v/>
      </c>
      <c r="AK13" s="171">
        <f>_xlfn.XLOOKUP(MIN(ABS($BJ$7:$BJ$29 - MEDIAN(MIN($BJ$7:$BJ$29), MAX($BJ$7:$BJ$29), AK12))), ABS($BJ$7:$BJ$29 - MEDIAN(MIN($BJ$7:$BJ$29), MAX($BJ$7:$BJ$29), AK12)), $BK$7:$BK$29, "Error", 0)</f>
        <v/>
      </c>
      <c r="AL13" s="171">
        <f>_xlfn.XLOOKUP(MIN(ABS($BJ$7:$BJ$29 - MEDIAN(MIN($BJ$7:$BJ$29), MAX($BJ$7:$BJ$29), AL12))), ABS($BJ$7:$BJ$29 - MEDIAN(MIN($BJ$7:$BJ$29), MAX($BJ$7:$BJ$29), AL12)), $BK$7:$BK$29, "Error", 0)</f>
        <v/>
      </c>
      <c r="AM13" s="171">
        <f>_xlfn.XLOOKUP(MIN(ABS($BJ$7:$BJ$29 - MEDIAN(MIN($BJ$7:$BJ$29), MAX($BJ$7:$BJ$29), AM12))), ABS($BJ$7:$BJ$29 - MEDIAN(MIN($BJ$7:$BJ$29), MAX($BJ$7:$BJ$29), AM12)), $BK$7:$BK$29, "Error", 0)</f>
        <v/>
      </c>
      <c r="AN13" s="171">
        <f>_xlfn.XLOOKUP(MIN(ABS($BJ$7:$BJ$29 - MEDIAN(MIN($BJ$7:$BJ$29), MAX($BJ$7:$BJ$29), AN12))), ABS($BJ$7:$BJ$29 - MEDIAN(MIN($BJ$7:$BJ$29), MAX($BJ$7:$BJ$29), AN12)), $BK$7:$BK$29, "Error", 0)</f>
        <v/>
      </c>
      <c r="AO13" s="171">
        <f>_xlfn.XLOOKUP(MIN(ABS($BJ$7:$BJ$29 - MEDIAN(MIN($BJ$7:$BJ$29), MAX($BJ$7:$BJ$29), AO12))), ABS($BJ$7:$BJ$29 - MEDIAN(MIN($BJ$7:$BJ$29), MAX($BJ$7:$BJ$29), AO12)), $BK$7:$BK$29, "Error", 0)</f>
        <v/>
      </c>
      <c r="AP13" s="171">
        <f>_xlfn.XLOOKUP(MIN(ABS($BJ$7:$BJ$29 - MEDIAN(MIN($BJ$7:$BJ$29), MAX($BJ$7:$BJ$29), AP12))), ABS($BJ$7:$BJ$29 - MEDIAN(MIN($BJ$7:$BJ$29), MAX($BJ$7:$BJ$29), AP12)), $BK$7:$BK$29, "Error", 0)</f>
        <v/>
      </c>
      <c r="AQ13" s="171">
        <f>_xlfn.XLOOKUP(MIN(ABS($BJ$7:$BJ$29 - MEDIAN(MIN($BJ$7:$BJ$29), MAX($BJ$7:$BJ$29), AQ12))), ABS($BJ$7:$BJ$29 - MEDIAN(MIN($BJ$7:$BJ$29), MAX($BJ$7:$BJ$29), AQ12)), $BK$7:$BK$29, "Error", 0)</f>
        <v/>
      </c>
      <c r="AR13" s="171">
        <f>_xlfn.XLOOKUP(MIN(ABS($BJ$7:$BJ$29 - MEDIAN(MIN($BJ$7:$BJ$29), MAX($BJ$7:$BJ$29), AR12))), ABS($BJ$7:$BJ$29 - MEDIAN(MIN($BJ$7:$BJ$29), MAX($BJ$7:$BJ$29), AR12)), $BK$7:$BK$29, "Error", 0)</f>
        <v/>
      </c>
      <c r="AS13" s="171">
        <f>_xlfn.XLOOKUP(MIN(ABS($BJ$7:$BJ$29 - MEDIAN(MIN($BJ$7:$BJ$29), MAX($BJ$7:$BJ$29), AS12))), ABS($BJ$7:$BJ$29 - MEDIAN(MIN($BJ$7:$BJ$29), MAX($BJ$7:$BJ$29), AS12)), $BK$7:$BK$29, "Error", 0)</f>
        <v/>
      </c>
      <c r="AT13" s="171">
        <f>_xlfn.XLOOKUP(MIN(ABS($BJ$7:$BJ$29 - MEDIAN(MIN($BJ$7:$BJ$29), MAX($BJ$7:$BJ$29), AT12))), ABS($BJ$7:$BJ$29 - MEDIAN(MIN($BJ$7:$BJ$29), MAX($BJ$7:$BJ$29), AT12)), $BK$7:$BK$29, "Error", 0)</f>
        <v/>
      </c>
      <c r="AU13" s="171">
        <f>_xlfn.XLOOKUP(MIN(ABS($BJ$7:$BJ$29 - MEDIAN(MIN($BJ$7:$BJ$29), MAX($BJ$7:$BJ$29), AU12))), ABS($BJ$7:$BJ$29 - MEDIAN(MIN($BJ$7:$BJ$29), MAX($BJ$7:$BJ$29), AU12)), $BK$7:$BK$29, "Error", 0)</f>
        <v/>
      </c>
      <c r="AV13" s="207">
        <f>_xlfn.XLOOKUP(MIN(ABS($BJ$7:$BJ$29 - MEDIAN(MIN($BJ$7:$BJ$29), MAX($BJ$7:$BJ$29), AV12))), ABS($BJ$7:$BJ$29 - MEDIAN(MIN($BJ$7:$BJ$29), MAX($BJ$7:$BJ$29), AV12)), $BK$7:$BK$29, "Error", 0)</f>
        <v/>
      </c>
      <c r="AW13" s="184">
        <f>_xlfn.XLOOKUP(MIN(ABS($BJ$7:$BJ$29 - MEDIAN(MIN($BJ$7:$BJ$29), MAX($BJ$7:$BJ$29), AW12))), ABS($BJ$7:$BJ$29 - MEDIAN(MIN($BJ$7:$BJ$29), MAX($BJ$7:$BJ$29), AW12)), $BK$7:$BK$29, "Error", 0)</f>
        <v/>
      </c>
      <c r="AX13" s="184">
        <f>_xlfn.XLOOKUP(MIN(ABS($BJ$7:$BJ$29 - MEDIAN(MIN($BJ$7:$BJ$29), MAX($BJ$7:$BJ$29), AX12))), ABS($BJ$7:$BJ$29 - MEDIAN(MIN($BJ$7:$BJ$29), MAX($BJ$7:$BJ$29), AX12)), $BK$7:$BK$29, "Error", 0)</f>
        <v/>
      </c>
      <c r="AY13" s="184" t="n"/>
      <c r="AZ13" s="155" t="n"/>
      <c r="BA13" s="155" t="n"/>
      <c r="BB13" s="156" t="n"/>
      <c r="BC13" s="173" t="n">
        <v>45870</v>
      </c>
      <c r="BD13" s="174">
        <f>#REF!</f>
        <v/>
      </c>
      <c r="BE13" s="156" t="n">
        <v>5</v>
      </c>
      <c r="BF13" s="156">
        <f t="array" ref="BF13">_xlfn.XLOOKUP(MIN(ABS($BJ$7:$BJ$29 - MEDIAN(MIN($BJ$7:$BJ$29), MAX($BJ$7:$BJ$29), BD13))), ABS($BJ$7:$BJ$29 - MEDIAN(MIN($BJ$7:$BJ$29), MAX($BJ$7:$BJ$29), BD13)), $BK$7:$BK$29, "Error", 0)</f>
        <v/>
      </c>
      <c r="BG13" s="183" t="n"/>
      <c r="BH13" s="156" t="n"/>
      <c r="BI13" s="156">
        <f t="array" ref="BI13">_xlfn.XLOOKUP(MIN(ABS($BJ$7:$BJ$29 - MEDIAN(MIN($BJ$7:$BJ$29), MAX($BJ$7:$BJ$29), BG13))), ABS($BJ$7:$BJ$29 - MEDIAN(MIN($BJ$7:$BJ$29), MAX($BJ$7:$BJ$29), BG13)), $BK$7:$BK$29, "Error", 0)</f>
        <v/>
      </c>
      <c r="BJ13" s="176" t="n">
        <v>0.1</v>
      </c>
      <c r="BK13" s="177" t="n">
        <v>9</v>
      </c>
      <c r="BL13" s="178" t="n">
        <v>10</v>
      </c>
      <c r="BO13" s="254" t="inlineStr">
        <is>
          <t>current price SMI</t>
        </is>
      </c>
    </row>
    <row r="14" ht="44" customHeight="1">
      <c r="A14" s="154" t="inlineStr">
        <is>
          <t>USD CHF</t>
        </is>
      </c>
      <c r="B14" s="200" t="inlineStr">
        <is>
          <t>All time High (CL)</t>
        </is>
      </c>
      <c r="C14" s="233" t="n">
        <v>4459.22481568277</v>
      </c>
      <c r="D14" s="233" t="n">
        <v>4459.22481568277</v>
      </c>
      <c r="E14" s="233" t="n">
        <v>4459.22481568277</v>
      </c>
      <c r="F14" s="233" t="n">
        <v>4459.22481568277</v>
      </c>
      <c r="G14" s="233" t="n">
        <v>4459.22481568277</v>
      </c>
      <c r="H14" s="233" t="n">
        <v>4459.22481568277</v>
      </c>
      <c r="I14" s="233" t="n">
        <v>4459.22481568277</v>
      </c>
      <c r="J14" s="233" t="n">
        <v>4459.22481568277</v>
      </c>
      <c r="K14" s="233" t="n">
        <v>4459.22481568277</v>
      </c>
      <c r="L14" s="233" t="n">
        <v>4459.22481568277</v>
      </c>
      <c r="M14" s="233" t="n">
        <v>4459.22481568277</v>
      </c>
      <c r="N14" s="233" t="n">
        <v>4459.22481568277</v>
      </c>
      <c r="O14" s="233" t="n">
        <v>4459.22481568277</v>
      </c>
      <c r="P14" s="233" t="n">
        <v>4541.074679951154</v>
      </c>
      <c r="Q14" s="233" t="n">
        <v>4775.850764752948</v>
      </c>
      <c r="R14" s="233" t="n">
        <v>4775.850764752948</v>
      </c>
      <c r="S14" s="233" t="n">
        <v>4926.548576733039</v>
      </c>
      <c r="T14" s="233" t="n">
        <v>4999.744907925487</v>
      </c>
      <c r="U14" s="233" t="n">
        <v>4999.744907925487</v>
      </c>
      <c r="V14" s="233" t="n">
        <v>4999.744907925487</v>
      </c>
      <c r="W14" s="233" t="n">
        <v>4999.744907925487</v>
      </c>
      <c r="X14" s="233" t="n">
        <v>5113.966222274874</v>
      </c>
      <c r="Y14" s="233" t="n">
        <v>5412.517804657109</v>
      </c>
      <c r="Z14" s="233" t="n">
        <v>5412.517804657109</v>
      </c>
      <c r="AA14" s="204" t="n">
        <v>5637.558039115276</v>
      </c>
      <c r="AB14" s="204" t="n">
        <v>5637.558039115276</v>
      </c>
      <c r="AC14" s="204" t="n">
        <v>5637.558039115276</v>
      </c>
      <c r="AD14" s="204" t="n">
        <v>5637.558039115276</v>
      </c>
      <c r="AE14" s="204" t="n">
        <v>5637.558039115276</v>
      </c>
      <c r="AF14" s="204" t="n">
        <v>5637.558039115276</v>
      </c>
      <c r="AG14" s="204" t="n">
        <v>5637.558039115276</v>
      </c>
      <c r="AH14" s="204" t="n">
        <v>5637.558039115276</v>
      </c>
      <c r="AI14" s="204" t="n">
        <v>5637.558039115276</v>
      </c>
      <c r="AJ14" s="204" t="n">
        <v>5637.558039115276</v>
      </c>
      <c r="AK14" s="204" t="n">
        <v>5637.558039115276</v>
      </c>
      <c r="AL14" s="204" t="n">
        <v>5637.558039115276</v>
      </c>
      <c r="AM14" s="204" t="n">
        <v>5637.558039115276</v>
      </c>
      <c r="AN14" s="204" t="n">
        <v>5637.558039115276</v>
      </c>
      <c r="AO14" s="204" t="n">
        <v>5637.558039115276</v>
      </c>
      <c r="AP14" s="204" t="n">
        <v>5788.571092469268</v>
      </c>
      <c r="AQ14" s="204" t="n">
        <v>6008.297587165725</v>
      </c>
      <c r="AR14" s="204" t="n">
        <v>6202.574071509996</v>
      </c>
      <c r="AS14" s="204" t="n">
        <v>6202.574071509996</v>
      </c>
      <c r="AT14" s="204" t="n">
        <v>6366.624300564581</v>
      </c>
      <c r="AU14" s="204" t="n">
        <v>6457.739216664049</v>
      </c>
      <c r="AV14" s="200" t="n">
        <v>6457.739216664049</v>
      </c>
      <c r="AW14" s="184" t="n">
        <v>6457.739216664049</v>
      </c>
      <c r="AX14" s="184" t="n">
        <v>6457.739216664049</v>
      </c>
      <c r="AY14" s="184" t="n"/>
      <c r="AZ14" s="155" t="n"/>
      <c r="BA14" s="155" t="n"/>
      <c r="BB14" s="156" t="n"/>
      <c r="BC14" s="173" t="n">
        <v>45901</v>
      </c>
      <c r="BD14" s="174">
        <f>#REF!</f>
        <v/>
      </c>
      <c r="BE14" s="156" t="n">
        <v>2</v>
      </c>
      <c r="BF14" s="156">
        <f t="array" ref="BF14">_xlfn.XLOOKUP(MIN(ABS($BJ$7:$BJ$29 - MEDIAN(MIN($BJ$7:$BJ$29), MAX($BJ$7:$BJ$29), BD14))), ABS($BJ$7:$BJ$29 - MEDIAN(MIN($BJ$7:$BJ$29), MAX($BJ$7:$BJ$29), BD14)), $BK$7:$BK$29, "Error", 0)</f>
        <v/>
      </c>
      <c r="BG14" s="183" t="n"/>
      <c r="BH14" s="156" t="n"/>
      <c r="BI14" s="156">
        <f t="array" ref="BI14">_xlfn.XLOOKUP(MIN(ABS($BJ$7:$BJ$29 - MEDIAN(MIN($BJ$7:$BJ$29), MAX($BJ$7:$BJ$29), BG14))), ABS($BJ$7:$BJ$29 - MEDIAN(MIN($BJ$7:$BJ$29), MAX($BJ$7:$BJ$29), BG14)), $BK$7:$BK$29, "Error", 0)</f>
        <v/>
      </c>
      <c r="BJ14" s="176" t="n">
        <v>0.08</v>
      </c>
      <c r="BK14" s="177" t="n">
        <v>7</v>
      </c>
      <c r="BL14" s="178" t="n">
        <v>8</v>
      </c>
      <c r="BO14" s="254" t="inlineStr">
        <is>
          <t>All time High ASX200</t>
        </is>
      </c>
    </row>
    <row r="15" ht="22" customHeight="1">
      <c r="A15" s="303" t="n"/>
      <c r="B15" s="201" t="inlineStr">
        <is>
          <t>current price</t>
        </is>
      </c>
      <c r="C15" s="233" t="n">
        <v>3771.996436189336</v>
      </c>
      <c r="D15" s="233" t="n">
        <v>3714.47218010205</v>
      </c>
      <c r="E15" s="233" t="n">
        <v>3753.361731519049</v>
      </c>
      <c r="F15" s="233" t="n">
        <v>3728.311584488838</v>
      </c>
      <c r="G15" s="233" t="n">
        <v>3786.090021783719</v>
      </c>
      <c r="H15" s="233" t="n">
        <v>4001.514569359948</v>
      </c>
      <c r="I15" s="233" t="n">
        <v>3991.569147445844</v>
      </c>
      <c r="J15" s="233" t="n">
        <v>3958.221421716968</v>
      </c>
      <c r="K15" s="233" t="n">
        <v>3924.423159985105</v>
      </c>
      <c r="L15" s="233" t="n">
        <v>3783.058935590379</v>
      </c>
      <c r="M15" s="233" t="n">
        <v>3989.150849980419</v>
      </c>
      <c r="N15" s="233" t="n">
        <v>4009.800690162694</v>
      </c>
      <c r="O15" s="233" t="n">
        <v>4176.271714572824</v>
      </c>
      <c r="P15" s="233" t="n">
        <v>4478.143285681348</v>
      </c>
      <c r="Q15" s="233" t="n">
        <v>4738.735462991724</v>
      </c>
      <c r="R15" s="233" t="n">
        <v>4586.103496758093</v>
      </c>
      <c r="S15" s="233" t="n">
        <v>4767.227351117763</v>
      </c>
      <c r="T15" s="233" t="n">
        <v>4930.791600252764</v>
      </c>
      <c r="U15" s="233" t="n">
        <v>4870.834153185133</v>
      </c>
      <c r="V15" s="233" t="n">
        <v>4798.773255446344</v>
      </c>
      <c r="W15" s="233" t="n">
        <v>4843.364407097397</v>
      </c>
      <c r="X15" s="233" t="n">
        <v>4942.631429111469</v>
      </c>
      <c r="Y15" s="233" t="n">
        <v>5313.211667234427</v>
      </c>
      <c r="Z15" s="233" t="n">
        <v>5312.523522648087</v>
      </c>
      <c r="AA15" s="204" t="n">
        <v>5493.070480978349</v>
      </c>
      <c r="AB15" s="204" t="n">
        <v>5358.57356095314</v>
      </c>
      <c r="AC15" s="204" t="n">
        <v>4943.198254319112</v>
      </c>
      <c r="AD15" s="204" t="n">
        <v>4585.675367483782</v>
      </c>
      <c r="AE15" s="204" t="n">
        <v>4860.361025342514</v>
      </c>
      <c r="AF15" s="204" t="n">
        <v>4953.101614716987</v>
      </c>
      <c r="AG15" s="204" t="n">
        <v>5155.255519825732</v>
      </c>
      <c r="AH15" s="204" t="n">
        <v>5256.332291644416</v>
      </c>
      <c r="AI15" s="204" t="n">
        <v>5332.040442238271</v>
      </c>
      <c r="AJ15" s="204" t="n">
        <v>5483.036248472345</v>
      </c>
      <c r="AK15" s="204" t="n">
        <v>5496.743708047317</v>
      </c>
      <c r="AL15" s="204" t="n">
        <v>5419.58238786459</v>
      </c>
      <c r="AM15" s="204" t="n">
        <v>5359.97021779613</v>
      </c>
      <c r="AN15" s="204" t="n">
        <v>5318.956403441902</v>
      </c>
      <c r="AO15" s="204" t="n">
        <v>5222.03277452616</v>
      </c>
      <c r="AP15" s="204" t="n">
        <v>5699.154811462853</v>
      </c>
      <c r="AQ15" s="204" t="n">
        <v>5919.238640267373</v>
      </c>
      <c r="AR15" s="204" t="n">
        <v>6056.483185789548</v>
      </c>
      <c r="AS15" s="204" t="n">
        <v>6034.991707373963</v>
      </c>
      <c r="AT15" s="204" t="n">
        <v>6216.857409769582</v>
      </c>
      <c r="AU15" s="204" t="n">
        <v>6413.866626514122</v>
      </c>
      <c r="AV15" s="201" t="n">
        <v>6413.866626514122</v>
      </c>
      <c r="AW15" s="184" t="n">
        <v>6413.866626514122</v>
      </c>
      <c r="AX15" s="184" t="n">
        <v>6413.866626514122</v>
      </c>
      <c r="AY15" s="184" t="n"/>
      <c r="AZ15" s="155" t="n"/>
      <c r="BA15" s="155" t="n"/>
      <c r="BB15" s="156" t="n"/>
      <c r="BC15" s="173" t="n">
        <v>45931</v>
      </c>
      <c r="BD15" s="174">
        <f>#REF!</f>
        <v/>
      </c>
      <c r="BE15" s="156" t="n">
        <v>3</v>
      </c>
      <c r="BF15" s="156">
        <f t="array" ref="BF15">_xlfn.XLOOKUP(MIN(ABS($BJ$7:$BJ$29 - MEDIAN(MIN($BJ$7:$BJ$29), MAX($BJ$7:$BJ$29), BD15))), ABS($BJ$7:$BJ$29 - MEDIAN(MIN($BJ$7:$BJ$29), MAX($BJ$7:$BJ$29), BD15)), $BK$7:$BK$29, "Error", 0)</f>
        <v/>
      </c>
      <c r="BG15" s="183" t="n"/>
      <c r="BH15" s="156" t="n"/>
      <c r="BI15" s="156">
        <f t="array" ref="BI15">_xlfn.XLOOKUP(MIN(ABS($BJ$7:$BJ$29 - MEDIAN(MIN($BJ$7:$BJ$29), MAX($BJ$7:$BJ$29), BG15))), ABS($BJ$7:$BJ$29 - MEDIAN(MIN($BJ$7:$BJ$29), MAX($BJ$7:$BJ$29), BG15)), $BK$7:$BK$29, "Error", 0)</f>
        <v/>
      </c>
      <c r="BJ15" s="176" t="n">
        <v>0.06</v>
      </c>
      <c r="BK15" s="177" t="n">
        <v>5</v>
      </c>
      <c r="BL15" s="178" t="n">
        <v>6</v>
      </c>
      <c r="BO15" s="254" t="inlineStr">
        <is>
          <t>current price ASX200</t>
        </is>
      </c>
    </row>
    <row r="16" ht="22" customHeight="1">
      <c r="A16" s="303" t="n"/>
      <c r="B16" s="201" t="inlineStr">
        <is>
          <t>% CHANGE</t>
        </is>
      </c>
      <c r="C16" s="230">
        <f>+(C15-C14)/C14</f>
        <v/>
      </c>
      <c r="D16" s="230">
        <f>+(D15-D14)/D14</f>
        <v/>
      </c>
      <c r="E16" s="230">
        <f>+(E15-E14)/E14</f>
        <v/>
      </c>
      <c r="F16" s="230">
        <f>+(F15-F14)/F14</f>
        <v/>
      </c>
      <c r="G16" s="230">
        <f>+(G15-G14)/G14</f>
        <v/>
      </c>
      <c r="H16" s="230">
        <f>+(H15-H14)/H14</f>
        <v/>
      </c>
      <c r="I16" s="230">
        <f>+(I15-I14)/I14</f>
        <v/>
      </c>
      <c r="J16" s="230">
        <f>+(J15-J14)/J14</f>
        <v/>
      </c>
      <c r="K16" s="230">
        <f>+(K15-K14)/K14</f>
        <v/>
      </c>
      <c r="L16" s="230">
        <f>+(L15-L14)/L14</f>
        <v/>
      </c>
      <c r="M16" s="230">
        <f>+(M15-M14)/M14</f>
        <v/>
      </c>
      <c r="N16" s="230">
        <f>+(N15-N14)/N14</f>
        <v/>
      </c>
      <c r="O16" s="230">
        <f>+(O15-O14)/O14</f>
        <v/>
      </c>
      <c r="P16" s="230">
        <f>+(P15-P14)/P14</f>
        <v/>
      </c>
      <c r="Q16" s="230">
        <f>+(Q15-Q14)/Q14</f>
        <v/>
      </c>
      <c r="R16" s="230">
        <f>+(R15-R14)/R14</f>
        <v/>
      </c>
      <c r="S16" s="230">
        <f>+(S15-S14)/S14</f>
        <v/>
      </c>
      <c r="T16" s="230">
        <f>+(T15-T14)/T14</f>
        <v/>
      </c>
      <c r="U16" s="230">
        <f>+(U15-U14)/U14</f>
        <v/>
      </c>
      <c r="V16" s="230">
        <f>+(V15-V14)/V14</f>
        <v/>
      </c>
      <c r="W16" s="230">
        <f>+(W15-W14)/W14</f>
        <v/>
      </c>
      <c r="X16" s="230">
        <f>+(X15-X14)/X14</f>
        <v/>
      </c>
      <c r="Y16" s="230">
        <f>+(Y15-Y14)/Y14</f>
        <v/>
      </c>
      <c r="Z16" s="230">
        <f>+(Z15-Z14)/Z14</f>
        <v/>
      </c>
      <c r="AA16" s="230">
        <f>+(AA15-AA14)/AA14</f>
        <v/>
      </c>
      <c r="AB16" s="205">
        <f>+(AB15-AB14)/AB14</f>
        <v/>
      </c>
      <c r="AC16" s="205">
        <f>+(AC15-AC14)/AC14</f>
        <v/>
      </c>
      <c r="AD16" s="205">
        <f>+(AD15-AD14)/AD14</f>
        <v/>
      </c>
      <c r="AE16" s="205">
        <f>+(AE15-AE14)/AE14</f>
        <v/>
      </c>
      <c r="AF16" s="205">
        <f>+(AF15-AF14)/AF14</f>
        <v/>
      </c>
      <c r="AG16" s="205">
        <f>+(AG15-AG14)/AG14</f>
        <v/>
      </c>
      <c r="AH16" s="205">
        <f>+(AH15-AH14)/AH14</f>
        <v/>
      </c>
      <c r="AI16" s="205">
        <f>+(AI15-AI14)/AI14</f>
        <v/>
      </c>
      <c r="AJ16" s="205">
        <f>+(AJ15-AJ14)/AJ14</f>
        <v/>
      </c>
      <c r="AK16" s="205">
        <f>+(AK15-AK14)/AK14</f>
        <v/>
      </c>
      <c r="AL16" s="205">
        <f>+(AL15-AL14)/AL14</f>
        <v/>
      </c>
      <c r="AM16" s="205">
        <f>+(AM15-AM14)/AM14</f>
        <v/>
      </c>
      <c r="AN16" s="205">
        <f>+(AN15-AN14)/AN14</f>
        <v/>
      </c>
      <c r="AO16" s="205">
        <f>+(AO15-AO14)/AO14</f>
        <v/>
      </c>
      <c r="AP16" s="205">
        <f>+(AP15-AP14)/AP14</f>
        <v/>
      </c>
      <c r="AQ16" s="205">
        <f>+(AQ15-AQ14)/AQ14</f>
        <v/>
      </c>
      <c r="AR16" s="205">
        <f>+(AR15-AR14)/AR14</f>
        <v/>
      </c>
      <c r="AS16" s="205">
        <f>+(AS15-AS14)/AS14</f>
        <v/>
      </c>
      <c r="AT16" s="205">
        <f>+(AT15-AT14)/AT14</f>
        <v/>
      </c>
      <c r="AU16" s="205">
        <f>+(AU15-AU14)/AU14</f>
        <v/>
      </c>
      <c r="AV16" s="201">
        <f>+(AV15-AV14)/AV14</f>
        <v/>
      </c>
      <c r="AW16" s="184">
        <f>+(AW15-AW14)/AW14</f>
        <v/>
      </c>
      <c r="AX16" s="184">
        <f>+(AX15-AX14)/AX14</f>
        <v/>
      </c>
      <c r="AY16" s="184" t="n"/>
      <c r="AZ16" s="155" t="n"/>
      <c r="BA16" s="155" t="n"/>
      <c r="BB16" s="156" t="n"/>
      <c r="BC16" s="173" t="n">
        <v>45962</v>
      </c>
      <c r="BD16" s="174">
        <f>#REF!</f>
        <v/>
      </c>
      <c r="BE16" s="156" t="n">
        <v>3</v>
      </c>
      <c r="BF16" s="156">
        <f t="array" ref="BF16">_xlfn.XLOOKUP(MIN(ABS($BJ$7:$BJ$29 - MEDIAN(MIN($BJ$7:$BJ$29), MAX($BJ$7:$BJ$29), BD16))), ABS($BJ$7:$BJ$29 - MEDIAN(MIN($BJ$7:$BJ$29), MAX($BJ$7:$BJ$29), BD16)), $BK$7:$BK$29, "Error", 0)</f>
        <v/>
      </c>
      <c r="BG16" s="183">
        <f>#REF!</f>
        <v/>
      </c>
      <c r="BH16" s="156" t="n"/>
      <c r="BI16" s="156">
        <f t="array" ref="BI16">_xlfn.XLOOKUP(MIN(ABS($BJ$7:$BJ$29 - MEDIAN(MIN($BJ$7:$BJ$29), MAX($BJ$7:$BJ$29), BG16))), ABS($BJ$7:$BJ$29 - MEDIAN(MIN($BJ$7:$BJ$29), MAX($BJ$7:$BJ$29), BG16)), $BK$7:$BK$29, "Error", 0)</f>
        <v/>
      </c>
      <c r="BJ16" s="176" t="n">
        <v>0.04</v>
      </c>
      <c r="BK16" s="177" t="n">
        <v>3</v>
      </c>
      <c r="BL16" s="178" t="n">
        <v>4</v>
      </c>
      <c r="BO16" s="254" t="inlineStr">
        <is>
          <t>All time High TSX</t>
        </is>
      </c>
    </row>
    <row r="17" ht="44" customHeight="1">
      <c r="A17" s="303" t="n"/>
      <c r="B17" s="201" t="inlineStr">
        <is>
          <t>All time High SPX</t>
        </is>
      </c>
      <c r="C17" s="233" t="n">
        <v>4808.93017578125</v>
      </c>
      <c r="D17" s="233" t="n">
        <v>4808.93017578125</v>
      </c>
      <c r="E17" s="233" t="n">
        <v>4808.93017578125</v>
      </c>
      <c r="F17" s="233" t="n">
        <v>4808.93017578125</v>
      </c>
      <c r="G17" s="233" t="n">
        <v>4808.93017578125</v>
      </c>
      <c r="H17" s="233" t="n">
        <v>4808.93017578125</v>
      </c>
      <c r="I17" s="233" t="n">
        <v>4808.93017578125</v>
      </c>
      <c r="J17" s="233" t="n">
        <v>4808.93017578125</v>
      </c>
      <c r="K17" s="233" t="n">
        <v>4808.93017578125</v>
      </c>
      <c r="L17" s="233" t="n">
        <v>4808.93017578125</v>
      </c>
      <c r="M17" s="233" t="n">
        <v>4808.93017578125</v>
      </c>
      <c r="N17" s="233" t="n">
        <v>4808.93017578125</v>
      </c>
      <c r="O17" s="233" t="n">
        <v>4931.08984375</v>
      </c>
      <c r="P17" s="233" t="n">
        <v>5111.06005859375</v>
      </c>
      <c r="Q17" s="233" t="n">
        <v>5264.85009765625</v>
      </c>
      <c r="R17" s="233" t="n">
        <v>5264.85009765625</v>
      </c>
      <c r="S17" s="233" t="n">
        <v>5341.8798828125</v>
      </c>
      <c r="T17" s="233" t="n">
        <v>5523.64013671875</v>
      </c>
      <c r="U17" s="233" t="n">
        <v>5669.669921875</v>
      </c>
      <c r="V17" s="233" t="n">
        <v>5669.669921875</v>
      </c>
      <c r="W17" s="233" t="n">
        <v>5767.3701171875</v>
      </c>
      <c r="X17" s="233" t="n">
        <v>5767.3701171875</v>
      </c>
      <c r="Y17" s="233" t="n">
        <v>6044.169921875</v>
      </c>
      <c r="Z17" s="233" t="n">
        <v>6044.169921875</v>
      </c>
      <c r="AA17" s="231" t="n">
        <v>6128.18017578125</v>
      </c>
      <c r="AB17" s="203" t="n">
        <v>6128.18017578125</v>
      </c>
      <c r="AC17" s="203" t="n">
        <v>6128.18017578125</v>
      </c>
      <c r="AD17" s="203" t="n">
        <v>6128.18017578125</v>
      </c>
      <c r="AE17" s="203" t="n">
        <v>6128.18017578125</v>
      </c>
      <c r="AF17" s="203" t="n">
        <v>6215.080078125</v>
      </c>
      <c r="AG17" s="203" t="n">
        <v>6427.02001953125</v>
      </c>
      <c r="AH17" s="203" t="n">
        <v>6508.22998046875</v>
      </c>
      <c r="AI17" s="203" t="n">
        <v>6699.52001953125</v>
      </c>
      <c r="AJ17" s="203" t="n">
        <v>6920.33984375</v>
      </c>
      <c r="AK17" s="203" t="n">
        <v>6920.33984375</v>
      </c>
      <c r="AL17" s="203" t="n">
        <v>6945.77001953125</v>
      </c>
      <c r="AM17" s="203" t="n">
        <v>7002.27978515625</v>
      </c>
      <c r="AN17" s="203" t="n">
        <v>7002.27978515625</v>
      </c>
      <c r="AO17" s="203" t="n">
        <v>7002.27978515625</v>
      </c>
      <c r="AP17" s="203" t="n">
        <v>7219.830078125</v>
      </c>
      <c r="AQ17" s="203" t="n">
        <v>7599.3798828125</v>
      </c>
      <c r="AR17" s="203" t="n">
        <v>7599.3798828125</v>
      </c>
      <c r="AS17" s="203" t="n">
        <v>7599.3798828125</v>
      </c>
      <c r="AT17" s="203" t="n">
        <v>7816.7001953125</v>
      </c>
      <c r="AU17" s="203" t="n">
        <v>7816.7001953125</v>
      </c>
      <c r="AV17" s="201" t="n">
        <v>7816.7001953125</v>
      </c>
      <c r="AW17" s="184" t="n">
        <v>7816.7001953125</v>
      </c>
      <c r="AX17" s="184" t="n">
        <v>7816.7001953125</v>
      </c>
      <c r="AY17" s="184" t="n"/>
      <c r="AZ17" s="155" t="n"/>
      <c r="BA17" s="155" t="n"/>
      <c r="BB17" s="156" t="n"/>
      <c r="BC17" s="173" t="n">
        <v>45992</v>
      </c>
      <c r="BD17" s="174">
        <f>#REF!</f>
        <v/>
      </c>
      <c r="BE17" s="156" t="n">
        <v>3</v>
      </c>
      <c r="BF17" s="156">
        <f t="array" ref="BF17">_xlfn.XLOOKUP(MIN(ABS($BJ$7:$BJ$29 - MEDIAN(MIN($BJ$7:$BJ$29), MAX($BJ$7:$BJ$29), BD17))), ABS($BJ$7:$BJ$29 - MEDIAN(MIN($BJ$7:$BJ$29), MAX($BJ$7:$BJ$29), BD17)), $BK$7:$BK$29, "Error", 0)</f>
        <v/>
      </c>
      <c r="BG17" s="183">
        <f>#REF!</f>
        <v/>
      </c>
      <c r="BH17" s="156" t="n"/>
      <c r="BI17" s="156">
        <f t="array" ref="BI17">_xlfn.XLOOKUP(MIN(ABS($BJ$7:$BJ$29 - MEDIAN(MIN($BJ$7:$BJ$29), MAX($BJ$7:$BJ$29), BG17))), ABS($BJ$7:$BJ$29 - MEDIAN(MIN($BJ$7:$BJ$29), MAX($BJ$7:$BJ$29), BG17)), $BK$7:$BK$29, "Error", 0)</f>
        <v/>
      </c>
      <c r="BJ17" s="176" t="n">
        <v>0.02</v>
      </c>
      <c r="BK17" s="177" t="n">
        <v>2</v>
      </c>
      <c r="BL17" s="178" t="n">
        <v>2</v>
      </c>
      <c r="BO17" s="254" t="inlineStr">
        <is>
          <t>current price TSX</t>
        </is>
      </c>
    </row>
    <row r="18" ht="44" customHeight="1">
      <c r="A18" s="303" t="n"/>
      <c r="B18" s="201" t="inlineStr">
        <is>
          <t>current price SPX</t>
        </is>
      </c>
      <c r="C18" s="233" t="n">
        <v>4076.60009765625</v>
      </c>
      <c r="D18" s="233" t="n">
        <v>3970.14990234375</v>
      </c>
      <c r="E18" s="233" t="n">
        <v>4109.31005859375</v>
      </c>
      <c r="F18" s="233" t="n">
        <v>4169.47998046875</v>
      </c>
      <c r="G18" s="233" t="n">
        <v>4179.830078125</v>
      </c>
      <c r="H18" s="233" t="n">
        <v>4450.3798828125</v>
      </c>
      <c r="I18" s="233" t="n">
        <v>4588.9599609375</v>
      </c>
      <c r="J18" s="233" t="n">
        <v>4507.66015625</v>
      </c>
      <c r="K18" s="233" t="n">
        <v>4288.0498046875</v>
      </c>
      <c r="L18" s="233" t="n">
        <v>4193.7998046875</v>
      </c>
      <c r="M18" s="233" t="n">
        <v>4567.7998046875</v>
      </c>
      <c r="N18" s="233" t="n">
        <v>4769.830078125</v>
      </c>
      <c r="O18" s="233" t="n">
        <v>4845.64990234375</v>
      </c>
      <c r="P18" s="233" t="n">
        <v>5096.27001953125</v>
      </c>
      <c r="Q18" s="233" t="n">
        <v>5254.35009765625</v>
      </c>
      <c r="R18" s="233" t="n">
        <v>5035.68994140625</v>
      </c>
      <c r="S18" s="233" t="n">
        <v>5277.509765625</v>
      </c>
      <c r="T18" s="233" t="n">
        <v>5460.47998046875</v>
      </c>
      <c r="U18" s="233" t="n">
        <v>5522.2998046875</v>
      </c>
      <c r="V18" s="233" t="n">
        <v>5648.39990234375</v>
      </c>
      <c r="W18" s="233" t="n">
        <v>5762.47998046875</v>
      </c>
      <c r="X18" s="233" t="n">
        <v>5705.4501953125</v>
      </c>
      <c r="Y18" s="233" t="n">
        <v>6032.3798828125</v>
      </c>
      <c r="Z18" s="233" t="n">
        <v>5881.6298828125</v>
      </c>
      <c r="AA18" s="231" t="n">
        <v>6040.52978515625</v>
      </c>
      <c r="AB18" s="203" t="n">
        <v>5954.5</v>
      </c>
      <c r="AC18" s="203" t="n">
        <v>5611.85009765625</v>
      </c>
      <c r="AD18" s="203" t="n">
        <v>5569.06005859375</v>
      </c>
      <c r="AE18" s="203" t="n">
        <v>5911.68994140625</v>
      </c>
      <c r="AF18" s="203" t="n">
        <v>6204.9501953125</v>
      </c>
      <c r="AG18" s="203" t="n">
        <v>6339.39013671875</v>
      </c>
      <c r="AH18" s="203" t="n">
        <v>6460.259765625</v>
      </c>
      <c r="AI18" s="203" t="n">
        <v>6688.4599609375</v>
      </c>
      <c r="AJ18" s="203" t="n">
        <v>6840.2001953125</v>
      </c>
      <c r="AK18" s="203" t="n">
        <v>6849.08984375</v>
      </c>
      <c r="AL18" s="203" t="n">
        <v>6845.5</v>
      </c>
      <c r="AM18" s="203" t="n">
        <v>6939.02978515625</v>
      </c>
      <c r="AN18" s="203" t="n">
        <v>6878.8798828125</v>
      </c>
      <c r="AO18" s="203" t="n">
        <v>6528.52001953125</v>
      </c>
      <c r="AP18" s="203" t="n">
        <v>7209.009765625</v>
      </c>
      <c r="AQ18" s="203" t="n">
        <v>7580.06005859375</v>
      </c>
      <c r="AR18" s="203" t="n">
        <v>7499.35986328125</v>
      </c>
      <c r="AS18" s="203" t="n">
        <v>7489.72021484375</v>
      </c>
      <c r="AT18" s="203" t="n">
        <v>7686.14013671875</v>
      </c>
      <c r="AU18" s="203" t="n">
        <v>7743.41015625</v>
      </c>
      <c r="AV18" s="201" t="n">
        <v>7743.41015625</v>
      </c>
      <c r="AW18" s="184" t="n">
        <v>7743.41015625</v>
      </c>
      <c r="AX18" s="184" t="n">
        <v>7743.41015625</v>
      </c>
      <c r="AY18" s="184" t="n"/>
      <c r="AZ18" s="155" t="n"/>
      <c r="BA18" s="155" t="n"/>
      <c r="BB18" s="156" t="n"/>
      <c r="BC18" s="173" t="n">
        <v>46023</v>
      </c>
      <c r="BD18" s="174">
        <f>#REF!</f>
        <v/>
      </c>
      <c r="BE18" s="156" t="n">
        <v>5</v>
      </c>
      <c r="BF18" s="156">
        <f t="array" ref="BF18">_xlfn.XLOOKUP(MIN(ABS($BJ$7:$BJ$29 - MEDIAN(MIN($BJ$7:$BJ$29), MAX($BJ$7:$BJ$29), BD18))), ABS($BJ$7:$BJ$29 - MEDIAN(MIN($BJ$7:$BJ$29), MAX($BJ$7:$BJ$29), BD18)), $BK$7:$BK$29, "Error", 0)</f>
        <v/>
      </c>
      <c r="BG18" s="183">
        <f>#REF!</f>
        <v/>
      </c>
      <c r="BH18" s="156" t="n"/>
      <c r="BI18" s="156">
        <f t="array" ref="BI18">_xlfn.XLOOKUP(MIN(ABS($BJ$7:$BJ$29 - MEDIAN(MIN($BJ$7:$BJ$29), MAX($BJ$7:$BJ$29), BG18))), ABS($BJ$7:$BJ$29 - MEDIAN(MIN($BJ$7:$BJ$29), MAX($BJ$7:$BJ$29), BG18)), $BK$7:$BK$29, "Error", 0)</f>
        <v/>
      </c>
      <c r="BJ18" s="179" t="n">
        <v>0</v>
      </c>
      <c r="BK18" s="180" t="n">
        <v>0</v>
      </c>
      <c r="BL18" s="181" t="n">
        <v>0</v>
      </c>
      <c r="BO18" s="254" t="n"/>
    </row>
    <row r="19" ht="44" customHeight="1">
      <c r="A19" s="303" t="n"/>
      <c r="B19" s="201" t="inlineStr">
        <is>
          <t>original index % change</t>
        </is>
      </c>
      <c r="C19" s="230">
        <f>+(C18-C17)/C17</f>
        <v/>
      </c>
      <c r="D19" s="230">
        <f>+(D18-D17)/D17</f>
        <v/>
      </c>
      <c r="E19" s="230">
        <f>+(E18-E17)/E17</f>
        <v/>
      </c>
      <c r="F19" s="230">
        <f>+(F18-F17)/F17</f>
        <v/>
      </c>
      <c r="G19" s="230">
        <f>+(G18-G17)/G17</f>
        <v/>
      </c>
      <c r="H19" s="230">
        <f>+(H18-H17)/H17</f>
        <v/>
      </c>
      <c r="I19" s="230">
        <f>+(I18-I17)/I17</f>
        <v/>
      </c>
      <c r="J19" s="230">
        <f>+(J18-J17)/J17</f>
        <v/>
      </c>
      <c r="K19" s="230">
        <f>+(K18-K17)/K17</f>
        <v/>
      </c>
      <c r="L19" s="230">
        <f>+(L18-L17)/L17</f>
        <v/>
      </c>
      <c r="M19" s="230">
        <f>+(M18-M17)/M17</f>
        <v/>
      </c>
      <c r="N19" s="230">
        <f>+(N18-N17)/N17</f>
        <v/>
      </c>
      <c r="O19" s="230">
        <f>+(O18-O17)/O17</f>
        <v/>
      </c>
      <c r="P19" s="230">
        <f>+(P18-P17)/P17</f>
        <v/>
      </c>
      <c r="Q19" s="230">
        <f>+(Q18-Q17)/Q17</f>
        <v/>
      </c>
      <c r="R19" s="230">
        <f>+(R18-R17)/R17</f>
        <v/>
      </c>
      <c r="S19" s="230">
        <f>+(S18-S17)/S17</f>
        <v/>
      </c>
      <c r="T19" s="230">
        <f>+(T18-T17)/T17</f>
        <v/>
      </c>
      <c r="U19" s="230">
        <f>+(U18-U17)/U17</f>
        <v/>
      </c>
      <c r="V19" s="230">
        <f>+(V18-V17)/V17</f>
        <v/>
      </c>
      <c r="W19" s="230">
        <f>+(W18-W17)/W17</f>
        <v/>
      </c>
      <c r="X19" s="230">
        <f>+(X18-X17)/X17</f>
        <v/>
      </c>
      <c r="Y19" s="230">
        <f>+(Y18-Y17)/Y17</f>
        <v/>
      </c>
      <c r="Z19" s="230">
        <f>+(Z18-Z17)/Z17</f>
        <v/>
      </c>
      <c r="AA19" s="230">
        <f>+(AA18-AA17)/AA17</f>
        <v/>
      </c>
      <c r="AB19" s="205">
        <f>+(AB18-AB17)/AB17</f>
        <v/>
      </c>
      <c r="AC19" s="205">
        <f>+(AC18-AC17)/AC17</f>
        <v/>
      </c>
      <c r="AD19" s="205">
        <f>+(AD18-AD17)/AD17</f>
        <v/>
      </c>
      <c r="AE19" s="205">
        <f>+(AE18-AE17)/AE17</f>
        <v/>
      </c>
      <c r="AF19" s="205">
        <f>+(AF18-AF17)/AF17</f>
        <v/>
      </c>
      <c r="AG19" s="205">
        <f>+(AG18-AG17)/AG17</f>
        <v/>
      </c>
      <c r="AH19" s="205">
        <f>+(AH18-AH17)/AH17</f>
        <v/>
      </c>
      <c r="AI19" s="205">
        <f>+(AI18-AI17)/AI17</f>
        <v/>
      </c>
      <c r="AJ19" s="205">
        <f>+(AJ18-AJ17)/AJ17</f>
        <v/>
      </c>
      <c r="AK19" s="205">
        <f>+(AK18-AK17)/AK17</f>
        <v/>
      </c>
      <c r="AL19" s="205">
        <f>+(AL18-AL17)/AL17</f>
        <v/>
      </c>
      <c r="AM19" s="205">
        <f>+(AM18-AM17)/AM17</f>
        <v/>
      </c>
      <c r="AN19" s="205">
        <f>+(AN18-AN17)/AN17</f>
        <v/>
      </c>
      <c r="AO19" s="205">
        <f>+(AO18-AO17)/AO17</f>
        <v/>
      </c>
      <c r="AP19" s="205">
        <f>+(AP18-AP17)/AP17</f>
        <v/>
      </c>
      <c r="AQ19" s="205">
        <f>+(AQ18-AQ17)/AQ17</f>
        <v/>
      </c>
      <c r="AR19" s="205">
        <f>+(AR18-AR17)/AR17</f>
        <v/>
      </c>
      <c r="AS19" s="205">
        <f>+(AS18-AS17)/AS17</f>
        <v/>
      </c>
      <c r="AT19" s="205">
        <f>+(AT18-AT17)/AT17</f>
        <v/>
      </c>
      <c r="AU19" s="205">
        <f>+(AU18-AU17)/AU17</f>
        <v/>
      </c>
      <c r="AV19" s="201">
        <f>+(AV18-AV17)/AV17</f>
        <v/>
      </c>
      <c r="AW19" s="184">
        <f>+(AW18-AW17)/AW17</f>
        <v/>
      </c>
      <c r="AX19" s="184">
        <f>+(AX18-AX17)/AX17</f>
        <v/>
      </c>
      <c r="AY19" s="184" t="n"/>
      <c r="AZ19" s="155" t="n"/>
      <c r="BA19" s="155" t="n"/>
      <c r="BB19" s="156" t="n"/>
      <c r="BC19" s="173" t="n">
        <v>46054</v>
      </c>
      <c r="BD19" s="174">
        <f>#REF!</f>
        <v/>
      </c>
      <c r="BE19" s="156" t="n">
        <v>3</v>
      </c>
      <c r="BF19" s="156">
        <f t="array" ref="BF19">_xlfn.XLOOKUP(MIN(ABS($BJ$7:$BJ$29 - MEDIAN(MIN($BJ$7:$BJ$29), MAX($BJ$7:$BJ$29), BD19))), ABS($BJ$7:$BJ$29 - MEDIAN(MIN($BJ$7:$BJ$29), MAX($BJ$7:$BJ$29), BD19)), $BK$7:$BK$29, "Error", 0)</f>
        <v/>
      </c>
      <c r="BG19" s="183">
        <f>#REF!</f>
        <v/>
      </c>
      <c r="BH19" s="156" t="n"/>
      <c r="BI19" s="156">
        <f t="array" ref="BI19">_xlfn.XLOOKUP(MIN(ABS($BJ$7:$BJ$29 - MEDIAN(MIN($BJ$7:$BJ$29), MAX($BJ$7:$BJ$29), BG19))), ABS($BJ$7:$BJ$29 - MEDIAN(MIN($BJ$7:$BJ$29), MAX($BJ$7:$BJ$29), BG19)), $BK$7:$BK$29, "Error", 0)</f>
        <v/>
      </c>
      <c r="BJ19" s="176" t="n">
        <v>-0.02</v>
      </c>
      <c r="BK19" s="182" t="n">
        <v>-2</v>
      </c>
      <c r="BL19" s="178" t="n">
        <v>-2</v>
      </c>
    </row>
    <row r="20" ht="22" customHeight="1">
      <c r="A20" s="303" t="n"/>
      <c r="B20" s="201" t="inlineStr">
        <is>
          <t>real % change</t>
        </is>
      </c>
      <c r="C20" s="230">
        <f>+C16-C19</f>
        <v/>
      </c>
      <c r="D20" s="230">
        <f>+D16-D19</f>
        <v/>
      </c>
      <c r="E20" s="230">
        <f>+E16-E19</f>
        <v/>
      </c>
      <c r="F20" s="230">
        <f>+F16-F19</f>
        <v/>
      </c>
      <c r="G20" s="230">
        <f>+G16-G19</f>
        <v/>
      </c>
      <c r="H20" s="230">
        <f>+H16-H19</f>
        <v/>
      </c>
      <c r="I20" s="230">
        <f>+I16-I19</f>
        <v/>
      </c>
      <c r="J20" s="230">
        <f>+J16-J19</f>
        <v/>
      </c>
      <c r="K20" s="230">
        <f>+K16-K19</f>
        <v/>
      </c>
      <c r="L20" s="230">
        <f>+L16-L19</f>
        <v/>
      </c>
      <c r="M20" s="230">
        <f>+M16-M19</f>
        <v/>
      </c>
      <c r="N20" s="230">
        <f>+N16-N19</f>
        <v/>
      </c>
      <c r="O20" s="230">
        <f>+O16-O19</f>
        <v/>
      </c>
      <c r="P20" s="230">
        <f>+P16-P19</f>
        <v/>
      </c>
      <c r="Q20" s="230">
        <f>+Q16-Q19</f>
        <v/>
      </c>
      <c r="R20" s="230">
        <f>+R16-R19</f>
        <v/>
      </c>
      <c r="S20" s="230">
        <f>+S16-S19</f>
        <v/>
      </c>
      <c r="T20" s="230">
        <f>+T16-T19</f>
        <v/>
      </c>
      <c r="U20" s="230">
        <f>+U16-U19</f>
        <v/>
      </c>
      <c r="V20" s="230">
        <f>+V16-V19</f>
        <v/>
      </c>
      <c r="W20" s="230">
        <f>+W16-W19</f>
        <v/>
      </c>
      <c r="X20" s="230">
        <f>+X16-X19</f>
        <v/>
      </c>
      <c r="Y20" s="230">
        <f>+Y16-Y19</f>
        <v/>
      </c>
      <c r="Z20" s="230">
        <f>+Z16-Z19</f>
        <v/>
      </c>
      <c r="AA20" s="230">
        <f>+AA16-AA19</f>
        <v/>
      </c>
      <c r="AB20" s="205">
        <f>+AB16-AB19</f>
        <v/>
      </c>
      <c r="AC20" s="205">
        <f>+AC16-AC19</f>
        <v/>
      </c>
      <c r="AD20" s="205">
        <f>+AD16-AD19</f>
        <v/>
      </c>
      <c r="AE20" s="205">
        <f>+AE16-AE19</f>
        <v/>
      </c>
      <c r="AF20" s="205">
        <f>+AF16-AF19</f>
        <v/>
      </c>
      <c r="AG20" s="205">
        <f>+AG16-AG19</f>
        <v/>
      </c>
      <c r="AH20" s="205">
        <f>+AH16-AH19</f>
        <v/>
      </c>
      <c r="AI20" s="205">
        <f>+AI16-AI19</f>
        <v/>
      </c>
      <c r="AJ20" s="205">
        <f>+AJ16-AJ19</f>
        <v/>
      </c>
      <c r="AK20" s="205">
        <f>+AK16-AK19</f>
        <v/>
      </c>
      <c r="AL20" s="205">
        <f>+AL16-AL19</f>
        <v/>
      </c>
      <c r="AM20" s="205">
        <f>+AM16-AM19</f>
        <v/>
      </c>
      <c r="AN20" s="205">
        <f>+AN16-AN19</f>
        <v/>
      </c>
      <c r="AO20" s="205">
        <f>+AO16-AO19</f>
        <v/>
      </c>
      <c r="AP20" s="205">
        <f>+AP16-AP19</f>
        <v/>
      </c>
      <c r="AQ20" s="205">
        <f>+AQ16-AQ19</f>
        <v/>
      </c>
      <c r="AR20" s="205">
        <f>+AR16-AR19</f>
        <v/>
      </c>
      <c r="AS20" s="205">
        <f>+AS16-AS19</f>
        <v/>
      </c>
      <c r="AT20" s="205">
        <f>+AT16-AT19</f>
        <v/>
      </c>
      <c r="AU20" s="205">
        <f>+AU16-AU19</f>
        <v/>
      </c>
      <c r="AV20" s="201">
        <f>+AV16-AV19</f>
        <v/>
      </c>
      <c r="AW20" s="184">
        <f>+AW16-AW19</f>
        <v/>
      </c>
      <c r="AX20" s="184">
        <f>+AX16-AX19</f>
        <v/>
      </c>
      <c r="AY20" s="184" t="n"/>
      <c r="AZ20" s="155" t="n"/>
      <c r="BA20" s="155" t="n"/>
      <c r="BB20" s="156" t="n"/>
      <c r="BC20" s="173" t="n">
        <v>46082</v>
      </c>
      <c r="BD20" s="174">
        <f>#REF!</f>
        <v/>
      </c>
      <c r="BE20" s="156" t="n">
        <v>0</v>
      </c>
      <c r="BF20" s="156">
        <f t="array" ref="BF20">_xlfn.XLOOKUP(MIN(ABS($BJ$7:$BJ$29 - MEDIAN(MIN($BJ$7:$BJ$29), MAX($BJ$7:$BJ$29), BD20))), ABS($BJ$7:$BJ$29 - MEDIAN(MIN($BJ$7:$BJ$29), MAX($BJ$7:$BJ$29), BD20)), $BK$7:$BK$29, "Error", 0)</f>
        <v/>
      </c>
      <c r="BG20" s="183">
        <f>#REF!</f>
        <v/>
      </c>
      <c r="BH20" s="156" t="n"/>
      <c r="BI20" s="156">
        <f t="array" ref="BI20">_xlfn.XLOOKUP(MIN(ABS($BJ$7:$BJ$29 - MEDIAN(MIN($BJ$7:$BJ$29), MAX($BJ$7:$BJ$29), BG20))), ABS($BJ$7:$BJ$29 - MEDIAN(MIN($BJ$7:$BJ$29), MAX($BJ$7:$BJ$29), BG20)), $BK$7:$BK$29, "Error", 0)</f>
        <v/>
      </c>
      <c r="BJ20" s="176" t="n">
        <v>-0.04</v>
      </c>
      <c r="BK20" s="182" t="n">
        <v>-3</v>
      </c>
      <c r="BL20" s="178" t="n">
        <v>-4</v>
      </c>
    </row>
    <row r="21" ht="22" customHeight="1">
      <c r="A21" s="304" t="n"/>
      <c r="B21" s="206" t="inlineStr">
        <is>
          <t>Rating</t>
        </is>
      </c>
      <c r="C21" s="232">
        <f>_xlfn.XLOOKUP(MIN(ABS($BJ$7:$BJ$29 - MEDIAN(MIN($BJ$7:$BJ$29), MAX($BJ$7:$BJ$29), C20))), ABS($BJ$7:$BJ$29 - MEDIAN(MIN($BJ$7:$BJ$29), MAX($BJ$7:$BJ$29), C20)), $BK$7:$BK$29, "Error", 0)</f>
        <v/>
      </c>
      <c r="D21" s="232">
        <f>_xlfn.XLOOKUP(MIN(ABS($BJ$7:$BJ$29 - MEDIAN(MIN($BJ$7:$BJ$29), MAX($BJ$7:$BJ$29), D20))), ABS($BJ$7:$BJ$29 - MEDIAN(MIN($BJ$7:$BJ$29), MAX($BJ$7:$BJ$29), D20)), $BK$7:$BK$29, "Error", 0)</f>
        <v/>
      </c>
      <c r="E21" s="232">
        <f>_xlfn.XLOOKUP(MIN(ABS($BJ$7:$BJ$29 - MEDIAN(MIN($BJ$7:$BJ$29), MAX($BJ$7:$BJ$29), E20))), ABS($BJ$7:$BJ$29 - MEDIAN(MIN($BJ$7:$BJ$29), MAX($BJ$7:$BJ$29), E20)), $BK$7:$BK$29, "Error", 0)</f>
        <v/>
      </c>
      <c r="F21" s="232">
        <f>_xlfn.XLOOKUP(MIN(ABS($BJ$7:$BJ$29 - MEDIAN(MIN($BJ$7:$BJ$29), MAX($BJ$7:$BJ$29), F20))), ABS($BJ$7:$BJ$29 - MEDIAN(MIN($BJ$7:$BJ$29), MAX($BJ$7:$BJ$29), F20)), $BK$7:$BK$29, "Error", 0)</f>
        <v/>
      </c>
      <c r="G21" s="232">
        <f>_xlfn.XLOOKUP(MIN(ABS($BJ$7:$BJ$29 - MEDIAN(MIN($BJ$7:$BJ$29), MAX($BJ$7:$BJ$29), G20))), ABS($BJ$7:$BJ$29 - MEDIAN(MIN($BJ$7:$BJ$29), MAX($BJ$7:$BJ$29), G20)), $BK$7:$BK$29, "Error", 0)</f>
        <v/>
      </c>
      <c r="H21" s="232">
        <f>_xlfn.XLOOKUP(MIN(ABS($BJ$7:$BJ$29 - MEDIAN(MIN($BJ$7:$BJ$29), MAX($BJ$7:$BJ$29), H20))), ABS($BJ$7:$BJ$29 - MEDIAN(MIN($BJ$7:$BJ$29), MAX($BJ$7:$BJ$29), H20)), $BK$7:$BK$29, "Error", 0)</f>
        <v/>
      </c>
      <c r="I21" s="232">
        <f>_xlfn.XLOOKUP(MIN(ABS($BJ$7:$BJ$29 - MEDIAN(MIN($BJ$7:$BJ$29), MAX($BJ$7:$BJ$29), I20))), ABS($BJ$7:$BJ$29 - MEDIAN(MIN($BJ$7:$BJ$29), MAX($BJ$7:$BJ$29), I20)), $BK$7:$BK$29, "Error", 0)</f>
        <v/>
      </c>
      <c r="J21" s="232">
        <f>_xlfn.XLOOKUP(MIN(ABS($BJ$7:$BJ$29 - MEDIAN(MIN($BJ$7:$BJ$29), MAX($BJ$7:$BJ$29), J20))), ABS($BJ$7:$BJ$29 - MEDIAN(MIN($BJ$7:$BJ$29), MAX($BJ$7:$BJ$29), J20)), $BK$7:$BK$29, "Error", 0)</f>
        <v/>
      </c>
      <c r="K21" s="232">
        <f>_xlfn.XLOOKUP(MIN(ABS($BJ$7:$BJ$29 - MEDIAN(MIN($BJ$7:$BJ$29), MAX($BJ$7:$BJ$29), K20))), ABS($BJ$7:$BJ$29 - MEDIAN(MIN($BJ$7:$BJ$29), MAX($BJ$7:$BJ$29), K20)), $BK$7:$BK$29, "Error", 0)</f>
        <v/>
      </c>
      <c r="L21" s="232">
        <f>_xlfn.XLOOKUP(MIN(ABS($BJ$7:$BJ$29 - MEDIAN(MIN($BJ$7:$BJ$29), MAX($BJ$7:$BJ$29), L20))), ABS($BJ$7:$BJ$29 - MEDIAN(MIN($BJ$7:$BJ$29), MAX($BJ$7:$BJ$29), L20)), $BK$7:$BK$29, "Error", 0)</f>
        <v/>
      </c>
      <c r="M21" s="232">
        <f>_xlfn.XLOOKUP(MIN(ABS($BJ$7:$BJ$29 - MEDIAN(MIN($BJ$7:$BJ$29), MAX($BJ$7:$BJ$29), M20))), ABS($BJ$7:$BJ$29 - MEDIAN(MIN($BJ$7:$BJ$29), MAX($BJ$7:$BJ$29), M20)), $BK$7:$BK$29, "Error", 0)</f>
        <v/>
      </c>
      <c r="N21" s="232">
        <f>_xlfn.XLOOKUP(MIN(ABS($BJ$7:$BJ$29 - MEDIAN(MIN($BJ$7:$BJ$29), MAX($BJ$7:$BJ$29), N20))), ABS($BJ$7:$BJ$29 - MEDIAN(MIN($BJ$7:$BJ$29), MAX($BJ$7:$BJ$29), N20)), $BK$7:$BK$29, "Error", 0)</f>
        <v/>
      </c>
      <c r="O21" s="232">
        <f>_xlfn.XLOOKUP(MIN(ABS($BJ$7:$BJ$29 - MEDIAN(MIN($BJ$7:$BJ$29), MAX($BJ$7:$BJ$29), O20))), ABS($BJ$7:$BJ$29 - MEDIAN(MIN($BJ$7:$BJ$29), MAX($BJ$7:$BJ$29), O20)), $BK$7:$BK$29, "Error", 0)</f>
        <v/>
      </c>
      <c r="P21" s="232">
        <f>_xlfn.XLOOKUP(MIN(ABS($BJ$7:$BJ$29 - MEDIAN(MIN($BJ$7:$BJ$29), MAX($BJ$7:$BJ$29), P20))), ABS($BJ$7:$BJ$29 - MEDIAN(MIN($BJ$7:$BJ$29), MAX($BJ$7:$BJ$29), P20)), $BK$7:$BK$29, "Error", 0)</f>
        <v/>
      </c>
      <c r="Q21" s="232">
        <f>_xlfn.XLOOKUP(MIN(ABS($BJ$7:$BJ$29 - MEDIAN(MIN($BJ$7:$BJ$29), MAX($BJ$7:$BJ$29), Q20))), ABS($BJ$7:$BJ$29 - MEDIAN(MIN($BJ$7:$BJ$29), MAX($BJ$7:$BJ$29), Q20)), $BK$7:$BK$29, "Error", 0)</f>
        <v/>
      </c>
      <c r="R21" s="232">
        <f>_xlfn.XLOOKUP(MIN(ABS($BJ$7:$BJ$29 - MEDIAN(MIN($BJ$7:$BJ$29), MAX($BJ$7:$BJ$29), R20))), ABS($BJ$7:$BJ$29 - MEDIAN(MIN($BJ$7:$BJ$29), MAX($BJ$7:$BJ$29), R20)), $BK$7:$BK$29, "Error", 0)</f>
        <v/>
      </c>
      <c r="S21" s="232">
        <f>_xlfn.XLOOKUP(MIN(ABS($BJ$7:$BJ$29 - MEDIAN(MIN($BJ$7:$BJ$29), MAX($BJ$7:$BJ$29), S20))), ABS($BJ$7:$BJ$29 - MEDIAN(MIN($BJ$7:$BJ$29), MAX($BJ$7:$BJ$29), S20)), $BK$7:$BK$29, "Error", 0)</f>
        <v/>
      </c>
      <c r="T21" s="232">
        <f>_xlfn.XLOOKUP(MIN(ABS($BJ$7:$BJ$29 - MEDIAN(MIN($BJ$7:$BJ$29), MAX($BJ$7:$BJ$29), T20))), ABS($BJ$7:$BJ$29 - MEDIAN(MIN($BJ$7:$BJ$29), MAX($BJ$7:$BJ$29), T20)), $BK$7:$BK$29, "Error", 0)</f>
        <v/>
      </c>
      <c r="U21" s="232">
        <f>_xlfn.XLOOKUP(MIN(ABS($BJ$7:$BJ$29 - MEDIAN(MIN($BJ$7:$BJ$29), MAX($BJ$7:$BJ$29), U20))), ABS($BJ$7:$BJ$29 - MEDIAN(MIN($BJ$7:$BJ$29), MAX($BJ$7:$BJ$29), U20)), $BK$7:$BK$29, "Error", 0)</f>
        <v/>
      </c>
      <c r="V21" s="232">
        <f>_xlfn.XLOOKUP(MIN(ABS($BJ$7:$BJ$29 - MEDIAN(MIN($BJ$7:$BJ$29), MAX($BJ$7:$BJ$29), V20))), ABS($BJ$7:$BJ$29 - MEDIAN(MIN($BJ$7:$BJ$29), MAX($BJ$7:$BJ$29), V20)), $BK$7:$BK$29, "Error", 0)</f>
        <v/>
      </c>
      <c r="W21" s="232">
        <f>_xlfn.XLOOKUP(MIN(ABS($BJ$7:$BJ$29 - MEDIAN(MIN($BJ$7:$BJ$29), MAX($BJ$7:$BJ$29), W20))), ABS($BJ$7:$BJ$29 - MEDIAN(MIN($BJ$7:$BJ$29), MAX($BJ$7:$BJ$29), W20)), $BK$7:$BK$29, "Error", 0)</f>
        <v/>
      </c>
      <c r="X21" s="232">
        <f>_xlfn.XLOOKUP(MIN(ABS($BJ$7:$BJ$29 - MEDIAN(MIN($BJ$7:$BJ$29), MAX($BJ$7:$BJ$29), X20))), ABS($BJ$7:$BJ$29 - MEDIAN(MIN($BJ$7:$BJ$29), MAX($BJ$7:$BJ$29), X20)), $BK$7:$BK$29, "Error", 0)</f>
        <v/>
      </c>
      <c r="Y21" s="232">
        <f>_xlfn.XLOOKUP(MIN(ABS($BJ$7:$BJ$29 - MEDIAN(MIN($BJ$7:$BJ$29), MAX($BJ$7:$BJ$29), Y20))), ABS($BJ$7:$BJ$29 - MEDIAN(MIN($BJ$7:$BJ$29), MAX($BJ$7:$BJ$29), Y20)), $BK$7:$BK$29, "Error", 0)</f>
        <v/>
      </c>
      <c r="Z21" s="232">
        <f>_xlfn.XLOOKUP(MIN(ABS($BJ$7:$BJ$29 - MEDIAN(MIN($BJ$7:$BJ$29), MAX($BJ$7:$BJ$29), Z20))), ABS($BJ$7:$BJ$29 - MEDIAN(MIN($BJ$7:$BJ$29), MAX($BJ$7:$BJ$29), Z20)), $BK$7:$BK$29, "Error", 0)</f>
        <v/>
      </c>
      <c r="AA21" s="232">
        <f>_xlfn.XLOOKUP(MIN(ABS($BJ$7:$BJ$29 - MEDIAN(MIN($BJ$7:$BJ$29), MAX($BJ$7:$BJ$29), AA20))), ABS($BJ$7:$BJ$29 - MEDIAN(MIN($BJ$7:$BJ$29), MAX($BJ$7:$BJ$29), AA20)), $BK$7:$BK$29, "Error", 0)</f>
        <v/>
      </c>
      <c r="AB21" s="171">
        <f>_xlfn.XLOOKUP(MIN(ABS($BJ$7:$BJ$29 - MEDIAN(MIN($BJ$7:$BJ$29), MAX($BJ$7:$BJ$29), AB20))), ABS($BJ$7:$BJ$29 - MEDIAN(MIN($BJ$7:$BJ$29), MAX($BJ$7:$BJ$29), AB20)), $BK$7:$BK$29, "Error", 0)</f>
        <v/>
      </c>
      <c r="AC21" s="171">
        <f>_xlfn.XLOOKUP(MIN(ABS($BJ$7:$BJ$29 - MEDIAN(MIN($BJ$7:$BJ$29), MAX($BJ$7:$BJ$29), AC20))), ABS($BJ$7:$BJ$29 - MEDIAN(MIN($BJ$7:$BJ$29), MAX($BJ$7:$BJ$29), AC20)), $BK$7:$BK$29, "Error", 0)</f>
        <v/>
      </c>
      <c r="AD21" s="171">
        <f>_xlfn.XLOOKUP(MIN(ABS($BJ$7:$BJ$29 - MEDIAN(MIN($BJ$7:$BJ$29), MAX($BJ$7:$BJ$29), AD20))), ABS($BJ$7:$BJ$29 - MEDIAN(MIN($BJ$7:$BJ$29), MAX($BJ$7:$BJ$29), AD20)), $BK$7:$BK$29, "Error", 0)</f>
        <v/>
      </c>
      <c r="AE21" s="171">
        <f>_xlfn.XLOOKUP(MIN(ABS($BJ$7:$BJ$29 - MEDIAN(MIN($BJ$7:$BJ$29), MAX($BJ$7:$BJ$29), AE20))), ABS($BJ$7:$BJ$29 - MEDIAN(MIN($BJ$7:$BJ$29), MAX($BJ$7:$BJ$29), AE20)), $BK$7:$BK$29, "Error", 0)</f>
        <v/>
      </c>
      <c r="AF21" s="171">
        <f>_xlfn.XLOOKUP(MIN(ABS($BJ$7:$BJ$29 - MEDIAN(MIN($BJ$7:$BJ$29), MAX($BJ$7:$BJ$29), AF20))), ABS($BJ$7:$BJ$29 - MEDIAN(MIN($BJ$7:$BJ$29), MAX($BJ$7:$BJ$29), AF20)), $BK$7:$BK$29, "Error", 0)</f>
        <v/>
      </c>
      <c r="AG21" s="171">
        <f>_xlfn.XLOOKUP(MIN(ABS($BJ$7:$BJ$29 - MEDIAN(MIN($BJ$7:$BJ$29), MAX($BJ$7:$BJ$29), AG20))), ABS($BJ$7:$BJ$29 - MEDIAN(MIN($BJ$7:$BJ$29), MAX($BJ$7:$BJ$29), AG20)), $BK$7:$BK$29, "Error", 0)</f>
        <v/>
      </c>
      <c r="AH21" s="171">
        <f>_xlfn.XLOOKUP(MIN(ABS($BJ$7:$BJ$29 - MEDIAN(MIN($BJ$7:$BJ$29), MAX($BJ$7:$BJ$29), AH20))), ABS($BJ$7:$BJ$29 - MEDIAN(MIN($BJ$7:$BJ$29), MAX($BJ$7:$BJ$29), AH20)), $BK$7:$BK$29, "Error", 0)</f>
        <v/>
      </c>
      <c r="AI21" s="171">
        <f>_xlfn.XLOOKUP(MIN(ABS($BJ$7:$BJ$29 - MEDIAN(MIN($BJ$7:$BJ$29), MAX($BJ$7:$BJ$29), AI20))), ABS($BJ$7:$BJ$29 - MEDIAN(MIN($BJ$7:$BJ$29), MAX($BJ$7:$BJ$29), AI20)), $BK$7:$BK$29, "Error", 0)</f>
        <v/>
      </c>
      <c r="AJ21" s="171">
        <f>_xlfn.XLOOKUP(MIN(ABS($BJ$7:$BJ$29 - MEDIAN(MIN($BJ$7:$BJ$29), MAX($BJ$7:$BJ$29), AJ20))), ABS($BJ$7:$BJ$29 - MEDIAN(MIN($BJ$7:$BJ$29), MAX($BJ$7:$BJ$29), AJ20)), $BK$7:$BK$29, "Error", 0)</f>
        <v/>
      </c>
      <c r="AK21" s="171">
        <f>_xlfn.XLOOKUP(MIN(ABS($BJ$7:$BJ$29 - MEDIAN(MIN($BJ$7:$BJ$29), MAX($BJ$7:$BJ$29), AK20))), ABS($BJ$7:$BJ$29 - MEDIAN(MIN($BJ$7:$BJ$29), MAX($BJ$7:$BJ$29), AK20)), $BK$7:$BK$29, "Error", 0)</f>
        <v/>
      </c>
      <c r="AL21" s="171">
        <f>_xlfn.XLOOKUP(MIN(ABS($BJ$7:$BJ$29 - MEDIAN(MIN($BJ$7:$BJ$29), MAX($BJ$7:$BJ$29), AL20))), ABS($BJ$7:$BJ$29 - MEDIAN(MIN($BJ$7:$BJ$29), MAX($BJ$7:$BJ$29), AL20)), $BK$7:$BK$29, "Error", 0)</f>
        <v/>
      </c>
      <c r="AM21" s="171">
        <f>_xlfn.XLOOKUP(MIN(ABS($BJ$7:$BJ$29 - MEDIAN(MIN($BJ$7:$BJ$29), MAX($BJ$7:$BJ$29), AM20))), ABS($BJ$7:$BJ$29 - MEDIAN(MIN($BJ$7:$BJ$29), MAX($BJ$7:$BJ$29), AM20)), $BK$7:$BK$29, "Error", 0)</f>
        <v/>
      </c>
      <c r="AN21" s="171">
        <f>_xlfn.XLOOKUP(MIN(ABS($BJ$7:$BJ$29 - MEDIAN(MIN($BJ$7:$BJ$29), MAX($BJ$7:$BJ$29), AN20))), ABS($BJ$7:$BJ$29 - MEDIAN(MIN($BJ$7:$BJ$29), MAX($BJ$7:$BJ$29), AN20)), $BK$7:$BK$29, "Error", 0)</f>
        <v/>
      </c>
      <c r="AO21" s="171">
        <f>_xlfn.XLOOKUP(MIN(ABS($BJ$7:$BJ$29 - MEDIAN(MIN($BJ$7:$BJ$29), MAX($BJ$7:$BJ$29), AO20))), ABS($BJ$7:$BJ$29 - MEDIAN(MIN($BJ$7:$BJ$29), MAX($BJ$7:$BJ$29), AO20)), $BK$7:$BK$29, "Error", 0)</f>
        <v/>
      </c>
      <c r="AP21" s="171">
        <f>_xlfn.XLOOKUP(MIN(ABS($BJ$7:$BJ$29 - MEDIAN(MIN($BJ$7:$BJ$29), MAX($BJ$7:$BJ$29), AP20))), ABS($BJ$7:$BJ$29 - MEDIAN(MIN($BJ$7:$BJ$29), MAX($BJ$7:$BJ$29), AP20)), $BK$7:$BK$29, "Error", 0)</f>
        <v/>
      </c>
      <c r="AQ21" s="171">
        <f>_xlfn.XLOOKUP(MIN(ABS($BJ$7:$BJ$29 - MEDIAN(MIN($BJ$7:$BJ$29), MAX($BJ$7:$BJ$29), AQ20))), ABS($BJ$7:$BJ$29 - MEDIAN(MIN($BJ$7:$BJ$29), MAX($BJ$7:$BJ$29), AQ20)), $BK$7:$BK$29, "Error", 0)</f>
        <v/>
      </c>
      <c r="AR21" s="171">
        <f>_xlfn.XLOOKUP(MIN(ABS($BJ$7:$BJ$29 - MEDIAN(MIN($BJ$7:$BJ$29), MAX($BJ$7:$BJ$29), AR20))), ABS($BJ$7:$BJ$29 - MEDIAN(MIN($BJ$7:$BJ$29), MAX($BJ$7:$BJ$29), AR20)), $BK$7:$BK$29, "Error", 0)</f>
        <v/>
      </c>
      <c r="AS21" s="171">
        <f>_xlfn.XLOOKUP(MIN(ABS($BJ$7:$BJ$29 - MEDIAN(MIN($BJ$7:$BJ$29), MAX($BJ$7:$BJ$29), AS20))), ABS($BJ$7:$BJ$29 - MEDIAN(MIN($BJ$7:$BJ$29), MAX($BJ$7:$BJ$29), AS20)), $BK$7:$BK$29, "Error", 0)</f>
        <v/>
      </c>
      <c r="AT21" s="171">
        <f>_xlfn.XLOOKUP(MIN(ABS($BJ$7:$BJ$29 - MEDIAN(MIN($BJ$7:$BJ$29), MAX($BJ$7:$BJ$29), AT20))), ABS($BJ$7:$BJ$29 - MEDIAN(MIN($BJ$7:$BJ$29), MAX($BJ$7:$BJ$29), AT20)), $BK$7:$BK$29, "Error", 0)</f>
        <v/>
      </c>
      <c r="AU21" s="171">
        <f>_xlfn.XLOOKUP(MIN(ABS($BJ$7:$BJ$29 - MEDIAN(MIN($BJ$7:$BJ$29), MAX($BJ$7:$BJ$29), AU20))), ABS($BJ$7:$BJ$29 - MEDIAN(MIN($BJ$7:$BJ$29), MAX($BJ$7:$BJ$29), AU20)), $BK$7:$BK$29, "Error", 0)</f>
        <v/>
      </c>
      <c r="AV21" s="206">
        <f>_xlfn.XLOOKUP(MIN(ABS($BJ$7:$BJ$29 - MEDIAN(MIN($BJ$7:$BJ$29), MAX($BJ$7:$BJ$29), AV20))), ABS($BJ$7:$BJ$29 - MEDIAN(MIN($BJ$7:$BJ$29), MAX($BJ$7:$BJ$29), AV20)), $BK$7:$BK$29, "Error", 0)</f>
        <v/>
      </c>
      <c r="AW21" s="184">
        <f>_xlfn.XLOOKUP(MIN(ABS($BJ$7:$BJ$29 - MEDIAN(MIN($BJ$7:$BJ$29), MAX($BJ$7:$BJ$29), AW20))), ABS($BJ$7:$BJ$29 - MEDIAN(MIN($BJ$7:$BJ$29), MAX($BJ$7:$BJ$29), AW20)), $BK$7:$BK$29, "Error", 0)</f>
        <v/>
      </c>
      <c r="AX21" s="184">
        <f>_xlfn.XLOOKUP(MIN(ABS($BJ$7:$BJ$29 - MEDIAN(MIN($BJ$7:$BJ$29), MAX($BJ$7:$BJ$29), AX20))), ABS($BJ$7:$BJ$29 - MEDIAN(MIN($BJ$7:$BJ$29), MAX($BJ$7:$BJ$29), AX20)), $BK$7:$BK$29, "Error", 0)</f>
        <v/>
      </c>
      <c r="AY21" s="184" t="n"/>
      <c r="AZ21" s="155" t="n"/>
      <c r="BA21" s="155" t="n"/>
      <c r="BB21" s="156" t="n"/>
      <c r="BC21" s="156" t="n"/>
      <c r="BD21" s="174" t="n"/>
      <c r="BE21" s="156" t="n"/>
      <c r="BF21" s="156">
        <f t="array" ref="BF21">_xlfn.XLOOKUP(MIN(ABS($BJ$7:$BJ$29 - MEDIAN(MIN($BJ$7:$BJ$29), MAX($BJ$7:$BJ$29), BD21))), ABS($BJ$7:$BJ$29 - MEDIAN(MIN($BJ$7:$BJ$29), MAX($BJ$7:$BJ$29), BD21)), $BK$7:$BK$29, "Error", 0)</f>
        <v/>
      </c>
      <c r="BG21" s="156" t="n"/>
      <c r="BH21" s="156" t="n"/>
      <c r="BI21" s="156" t="n"/>
      <c r="BJ21" s="176" t="n">
        <v>-0.06</v>
      </c>
      <c r="BK21" s="182" t="n">
        <v>-5</v>
      </c>
      <c r="BL21" s="178" t="n">
        <v>-6</v>
      </c>
    </row>
    <row r="22" ht="44" customHeight="1">
      <c r="A22" s="154" t="inlineStr">
        <is>
          <t>USD CAD</t>
        </is>
      </c>
      <c r="B22" s="200" t="inlineStr">
        <is>
          <t>All time High (CL)</t>
        </is>
      </c>
      <c r="C22" s="233" t="n">
        <v>6233.912180555053</v>
      </c>
      <c r="D22" s="233" t="n">
        <v>6233.912180555053</v>
      </c>
      <c r="E22" s="233" t="n">
        <v>6233.912180555053</v>
      </c>
      <c r="F22" s="233" t="n">
        <v>6233.912180555053</v>
      </c>
      <c r="G22" s="233" t="n">
        <v>6233.912180555053</v>
      </c>
      <c r="H22" s="233" t="n">
        <v>6233.912180555053</v>
      </c>
      <c r="I22" s="233" t="n">
        <v>6233.912180555053</v>
      </c>
      <c r="J22" s="233" t="n">
        <v>6253.054948161589</v>
      </c>
      <c r="K22" s="233" t="n">
        <v>6253.054948161589</v>
      </c>
      <c r="L22" s="233" t="n">
        <v>6253.054948161589</v>
      </c>
      <c r="M22" s="233" t="n">
        <v>6372.92040355067</v>
      </c>
      <c r="N22" s="233" t="n">
        <v>6527.372037217137</v>
      </c>
      <c r="O22" s="233" t="n">
        <v>6676.893023517448</v>
      </c>
      <c r="P22" s="233" t="n">
        <v>6953.341806841898</v>
      </c>
      <c r="Q22" s="233" t="n">
        <v>7167.145833753748</v>
      </c>
      <c r="R22" s="233" t="n">
        <v>7167.145833753748</v>
      </c>
      <c r="S22" s="233" t="n">
        <v>7362.285489739734</v>
      </c>
      <c r="T22" s="233" t="n">
        <v>7616.989499717311</v>
      </c>
      <c r="U22" s="233" t="n">
        <v>7860.543838402722</v>
      </c>
      <c r="V22" s="233" t="n">
        <v>7860.543838402722</v>
      </c>
      <c r="W22" s="233" t="n">
        <v>7870.729766817647</v>
      </c>
      <c r="X22" s="233" t="n">
        <v>8197.160030618892</v>
      </c>
      <c r="Y22" s="233" t="n">
        <v>8568.456871432718</v>
      </c>
      <c r="Z22" s="233" t="n">
        <v>8568.456871432718</v>
      </c>
      <c r="AA22" s="204" t="n">
        <v>8911.354331527487</v>
      </c>
      <c r="AB22" s="204" t="n">
        <v>8911.354331527487</v>
      </c>
      <c r="AC22" s="204" t="n">
        <v>8911.354331527487</v>
      </c>
      <c r="AD22" s="204" t="n">
        <v>8911.354331527487</v>
      </c>
      <c r="AE22" s="204" t="n">
        <v>8911.354331527487</v>
      </c>
      <c r="AF22" s="204" t="n">
        <v>8911.354331527487</v>
      </c>
      <c r="AG22" s="204" t="n">
        <v>8911.354331527487</v>
      </c>
      <c r="AH22" s="204" t="n">
        <v>9062.254332320008</v>
      </c>
      <c r="AI22" s="204" t="n">
        <v>9350.988747659081</v>
      </c>
      <c r="AJ22" s="204" t="n">
        <v>9743.077001003083</v>
      </c>
      <c r="AK22" s="204" t="n">
        <v>9743.077001003083</v>
      </c>
      <c r="AL22" s="204" t="n">
        <v>9743.077001003083</v>
      </c>
      <c r="AM22" s="204" t="n">
        <v>9749.764203488245</v>
      </c>
      <c r="AN22" s="204" t="n">
        <v>9749.764203488245</v>
      </c>
      <c r="AO22" s="204" t="n">
        <v>9749.764203488245</v>
      </c>
      <c r="AP22" s="204" t="n">
        <v>10070.50780104427</v>
      </c>
      <c r="AQ22" s="204" t="n">
        <v>10539.80785622029</v>
      </c>
      <c r="AR22" s="204" t="n">
        <v>10858.10584804061</v>
      </c>
      <c r="AS22" s="204" t="n">
        <v>10858.10584804061</v>
      </c>
      <c r="AT22" s="204" t="n">
        <v>11005.52338141028</v>
      </c>
      <c r="AU22" s="204" t="n">
        <v>11014.91186274798</v>
      </c>
      <c r="AV22" s="200" t="n">
        <v>11014.91186274798</v>
      </c>
      <c r="AW22" s="184" t="n">
        <v>11014.91186274798</v>
      </c>
      <c r="AX22" s="184" t="n">
        <v>11014.91186274798</v>
      </c>
      <c r="AY22" s="184" t="n"/>
      <c r="AZ22" s="155" t="n"/>
      <c r="BA22" s="155" t="n"/>
      <c r="BB22" s="156" t="n"/>
      <c r="BC22" s="175" t="n">
        <v>-0.07305577376276512</v>
      </c>
      <c r="BD22" s="175" t="n">
        <v>-0.07305577376276512</v>
      </c>
      <c r="BE22" s="156" t="n"/>
      <c r="BF22" s="156">
        <f t="array" ref="BF22">_xlfn.XLOOKUP(MIN(ABS($BJ$7:$BJ$29 - MEDIAN(MIN($BJ$7:$BJ$29), MAX($BJ$7:$BJ$29), BD22))), ABS($BJ$7:$BJ$29 - MEDIAN(MIN($BJ$7:$BJ$29), MAX($BJ$7:$BJ$29), BD22)), $BK$7:$BK$29, "Error", 0)</f>
        <v/>
      </c>
      <c r="BG22" s="156" t="n"/>
      <c r="BH22" s="156" t="n"/>
      <c r="BI22" s="156" t="n"/>
      <c r="BJ22" s="176" t="n">
        <v>-0.08</v>
      </c>
      <c r="BK22" s="182" t="n">
        <v>-7</v>
      </c>
      <c r="BL22" s="178" t="n">
        <v>-8</v>
      </c>
    </row>
    <row r="23" ht="22" customHeight="1">
      <c r="A23" s="303" t="n"/>
      <c r="B23" s="201" t="inlineStr">
        <is>
          <t>current price</t>
        </is>
      </c>
      <c r="C23" s="233" t="n">
        <v>5456.039953637228</v>
      </c>
      <c r="D23" s="233" t="n">
        <v>5389.081241180655</v>
      </c>
      <c r="E23" s="233" t="n">
        <v>5556.568040865473</v>
      </c>
      <c r="F23" s="233" t="n">
        <v>5691.340213103103</v>
      </c>
      <c r="G23" s="233" t="n">
        <v>5684.443400850287</v>
      </c>
      <c r="H23" s="233" t="n">
        <v>5896.753556937212</v>
      </c>
      <c r="I23" s="233" t="n">
        <v>6080.830592159182</v>
      </c>
      <c r="J23" s="233" t="n">
        <v>6101.253473625053</v>
      </c>
      <c r="K23" s="233" t="n">
        <v>5826.602304433822</v>
      </c>
      <c r="L23" s="233" t="n">
        <v>5799.437768497737</v>
      </c>
      <c r="M23" s="233" t="n">
        <v>6207.731266520219</v>
      </c>
      <c r="N23" s="233" t="n">
        <v>6325.271627481328</v>
      </c>
      <c r="O23" s="233" t="n">
        <v>6493.994754765357</v>
      </c>
      <c r="P23" s="233" t="n">
        <v>6919.460915489646</v>
      </c>
      <c r="Q23" s="233" t="n">
        <v>7113.864364709239</v>
      </c>
      <c r="R23" s="233" t="n">
        <v>6882.126435037178</v>
      </c>
      <c r="S23" s="233" t="n">
        <v>7221.374947261065</v>
      </c>
      <c r="T23" s="233" t="n">
        <v>7476.489141348633</v>
      </c>
      <c r="U23" s="233" t="n">
        <v>7648.164643166238</v>
      </c>
      <c r="V23" s="233" t="n">
        <v>7620.821206418914</v>
      </c>
      <c r="W23" s="233" t="n">
        <v>7784.419110549905</v>
      </c>
      <c r="X23" s="233" t="n">
        <v>7935.140127287712</v>
      </c>
      <c r="Y23" s="233" t="n">
        <v>8453.776987131569</v>
      </c>
      <c r="Z23" s="233" t="n">
        <v>8440.021454084781</v>
      </c>
      <c r="AA23" s="204" t="n">
        <v>8754.540124096093</v>
      </c>
      <c r="AB23" s="204" t="n">
        <v>8600.382099986076</v>
      </c>
      <c r="AC23" s="204" t="n">
        <v>8030.052374214109</v>
      </c>
      <c r="AD23" s="204" t="n">
        <v>7700.228287491191</v>
      </c>
      <c r="AE23" s="204" t="n">
        <v>8122.071140874701</v>
      </c>
      <c r="AF23" s="204" t="n">
        <v>8489.240449912613</v>
      </c>
      <c r="AG23" s="204" t="n">
        <v>8764.333400798379</v>
      </c>
      <c r="AH23" s="204" t="n">
        <v>8877.688882435905</v>
      </c>
      <c r="AI23" s="204" t="n">
        <v>9307.794917976134</v>
      </c>
      <c r="AJ23" s="204" t="n">
        <v>9563.352514512953</v>
      </c>
      <c r="AK23" s="204" t="n">
        <v>9576.39765990153</v>
      </c>
      <c r="AL23" s="204" t="n">
        <v>9374.706886827946</v>
      </c>
      <c r="AM23" s="204" t="n">
        <v>9452.346524220542</v>
      </c>
      <c r="AN23" s="204" t="n">
        <v>9407.418936664355</v>
      </c>
      <c r="AO23" s="204" t="n">
        <v>9093.118631696852</v>
      </c>
      <c r="AP23" s="204" t="n">
        <v>9855.653817330953</v>
      </c>
      <c r="AQ23" s="204" t="n">
        <v>10458.96658113709</v>
      </c>
      <c r="AR23" s="204" t="n">
        <v>10655.84033390024</v>
      </c>
      <c r="AS23" s="204" t="n">
        <v>10493.99639371329</v>
      </c>
      <c r="AT23" s="204" t="n">
        <v>10683.04290431261</v>
      </c>
      <c r="AU23" s="204" t="n">
        <v>10949.95669629565</v>
      </c>
      <c r="AV23" s="201" t="n">
        <v>10949.95669629565</v>
      </c>
      <c r="AW23" s="184" t="n">
        <v>10949.95669629565</v>
      </c>
      <c r="AX23" s="184" t="n">
        <v>10949.95669629565</v>
      </c>
      <c r="AY23" s="184" t="n"/>
      <c r="AZ23" s="155" t="n"/>
      <c r="BA23" s="155" t="n"/>
      <c r="BB23" s="156" t="n"/>
      <c r="BC23" s="175" t="n">
        <v>-0.03490068454718886</v>
      </c>
      <c r="BD23" s="175" t="n">
        <v>-0.03490068454718886</v>
      </c>
      <c r="BE23" s="156" t="n"/>
      <c r="BF23" s="156">
        <f t="array" ref="BF23">_xlfn.XLOOKUP(MIN(ABS($BJ$7:$BJ$29 - MEDIAN(MIN($BJ$7:$BJ$29), MAX($BJ$7:$BJ$29), BD23))), ABS($BJ$7:$BJ$29 - MEDIAN(MIN($BJ$7:$BJ$29), MAX($BJ$7:$BJ$29), BD23)), $BK$7:$BK$29, "Error", 0)</f>
        <v/>
      </c>
      <c r="BG23" s="156" t="n"/>
      <c r="BH23" s="156" t="n"/>
      <c r="BI23" s="156" t="n"/>
      <c r="BJ23" s="176" t="n">
        <v>-0.1</v>
      </c>
      <c r="BK23" s="182" t="n">
        <v>-9</v>
      </c>
      <c r="BL23" s="178" t="n">
        <v>-10</v>
      </c>
    </row>
    <row r="24" ht="22" customHeight="1">
      <c r="A24" s="303" t="n"/>
      <c r="B24" s="201" t="inlineStr">
        <is>
          <t>% CHANGE</t>
        </is>
      </c>
      <c r="C24" s="230">
        <f>+(C23-C22)/C22</f>
        <v/>
      </c>
      <c r="D24" s="230">
        <f>+(D23-D22)/D22</f>
        <v/>
      </c>
      <c r="E24" s="230">
        <f>+(E23-E22)/E22</f>
        <v/>
      </c>
      <c r="F24" s="230">
        <f>+(F23-F22)/F22</f>
        <v/>
      </c>
      <c r="G24" s="230">
        <f>+(G23-G22)/G22</f>
        <v/>
      </c>
      <c r="H24" s="230">
        <f>+(H23-H22)/H22</f>
        <v/>
      </c>
      <c r="I24" s="230">
        <f>+(I23-I22)/I22</f>
        <v/>
      </c>
      <c r="J24" s="230">
        <f>+(J23-J22)/J22</f>
        <v/>
      </c>
      <c r="K24" s="230">
        <f>+(K23-K22)/K22</f>
        <v/>
      </c>
      <c r="L24" s="230">
        <f>+(L23-L22)/L22</f>
        <v/>
      </c>
      <c r="M24" s="230">
        <f>+(M23-M22)/M22</f>
        <v/>
      </c>
      <c r="N24" s="230">
        <f>+(N23-N22)/N22</f>
        <v/>
      </c>
      <c r="O24" s="230">
        <f>+(O23-O22)/O22</f>
        <v/>
      </c>
      <c r="P24" s="230">
        <f>+(P23-P22)/P22</f>
        <v/>
      </c>
      <c r="Q24" s="230">
        <f>+(Q23-Q22)/Q22</f>
        <v/>
      </c>
      <c r="R24" s="230">
        <f>+(R23-R22)/R22</f>
        <v/>
      </c>
      <c r="S24" s="230">
        <f>+(S23-S22)/S22</f>
        <v/>
      </c>
      <c r="T24" s="230">
        <f>+(T23-T22)/T22</f>
        <v/>
      </c>
      <c r="U24" s="230">
        <f>+(U23-U22)/U22</f>
        <v/>
      </c>
      <c r="V24" s="230">
        <f>+(V23-V22)/V22</f>
        <v/>
      </c>
      <c r="W24" s="230">
        <f>+(W23-W22)/W22</f>
        <v/>
      </c>
      <c r="X24" s="230">
        <f>+(X23-X22)/X22</f>
        <v/>
      </c>
      <c r="Y24" s="230">
        <f>+(Y23-Y22)/Y22</f>
        <v/>
      </c>
      <c r="Z24" s="230">
        <f>+(Z23-Z22)/Z22</f>
        <v/>
      </c>
      <c r="AA24" s="230">
        <f>+(AA23-AA22)/AA22</f>
        <v/>
      </c>
      <c r="AB24" s="205">
        <f>+(AB23-AB22)/AB22</f>
        <v/>
      </c>
      <c r="AC24" s="205">
        <f>+(AC23-AC22)/AC22</f>
        <v/>
      </c>
      <c r="AD24" s="205">
        <f>+(AD23-AD22)/AD22</f>
        <v/>
      </c>
      <c r="AE24" s="205">
        <f>+(AE23-AE22)/AE22</f>
        <v/>
      </c>
      <c r="AF24" s="205">
        <f>+(AF23-AF22)/AF22</f>
        <v/>
      </c>
      <c r="AG24" s="205">
        <f>+(AG23-AG22)/AG22</f>
        <v/>
      </c>
      <c r="AH24" s="205">
        <f>+(AH23-AH22)/AH22</f>
        <v/>
      </c>
      <c r="AI24" s="205">
        <f>+(AI23-AI22)/AI22</f>
        <v/>
      </c>
      <c r="AJ24" s="205">
        <f>+(AJ23-AJ22)/AJ22</f>
        <v/>
      </c>
      <c r="AK24" s="205">
        <f>+(AK23-AK22)/AK22</f>
        <v/>
      </c>
      <c r="AL24" s="205">
        <f>+(AL23-AL22)/AL22</f>
        <v/>
      </c>
      <c r="AM24" s="205">
        <f>+(AM23-AM22)/AM22</f>
        <v/>
      </c>
      <c r="AN24" s="205">
        <f>+(AN23-AN22)/AN22</f>
        <v/>
      </c>
      <c r="AO24" s="205">
        <f>+(AO23-AO22)/AO22</f>
        <v/>
      </c>
      <c r="AP24" s="205">
        <f>+(AP23-AP22)/AP22</f>
        <v/>
      </c>
      <c r="AQ24" s="205">
        <f>+(AQ23-AQ22)/AQ22</f>
        <v/>
      </c>
      <c r="AR24" s="205">
        <f>+(AR23-AR22)/AR22</f>
        <v/>
      </c>
      <c r="AS24" s="205">
        <f>+(AS23-AS22)/AS22</f>
        <v/>
      </c>
      <c r="AT24" s="205">
        <f>+(AT23-AT22)/AT22</f>
        <v/>
      </c>
      <c r="AU24" s="205">
        <f>+(AU23-AU22)/AU22</f>
        <v/>
      </c>
      <c r="AV24" s="201">
        <f>+(AV23-AV22)/AV22</f>
        <v/>
      </c>
      <c r="AW24" s="184">
        <f>+(AW23-AW22)/AW22</f>
        <v/>
      </c>
      <c r="AX24" s="184">
        <f>+(AX23-AX22)/AX22</f>
        <v/>
      </c>
      <c r="AY24" s="184" t="n"/>
      <c r="AZ24" s="155" t="n"/>
      <c r="BA24" s="155" t="n"/>
      <c r="BB24" s="156" t="n"/>
      <c r="BC24" s="175" t="n">
        <v>-0.03558363817758563</v>
      </c>
      <c r="BD24" s="175" t="n">
        <v>-0.03558363817758563</v>
      </c>
      <c r="BE24" s="156" t="n"/>
      <c r="BF24" s="156">
        <f t="array" ref="BF24">_xlfn.XLOOKUP(MIN(ABS($BJ$7:$BJ$29 - MEDIAN(MIN($BJ$7:$BJ$29), MAX($BJ$7:$BJ$29), BD24))), ABS($BJ$7:$BJ$29 - MEDIAN(MIN($BJ$7:$BJ$29), MAX($BJ$7:$BJ$29), BD24)), $BK$7:$BK$29, "Error", 0)</f>
        <v/>
      </c>
      <c r="BG24" s="156" t="n"/>
      <c r="BH24" s="156" t="n"/>
      <c r="BI24" s="156" t="n"/>
      <c r="BJ24" s="176" t="n">
        <v>-0.12</v>
      </c>
      <c r="BK24" s="182" t="n">
        <v>-10</v>
      </c>
      <c r="BL24" s="178" t="n">
        <v>-12</v>
      </c>
    </row>
    <row r="25" ht="44" customHeight="1">
      <c r="A25" s="303" t="n"/>
      <c r="B25" s="201" t="inlineStr">
        <is>
          <t>All time High SPX</t>
        </is>
      </c>
      <c r="C25" s="233" t="n">
        <v>4808.93017578125</v>
      </c>
      <c r="D25" s="233" t="n">
        <v>4808.93017578125</v>
      </c>
      <c r="E25" s="233" t="n">
        <v>4808.93017578125</v>
      </c>
      <c r="F25" s="233" t="n">
        <v>4808.93017578125</v>
      </c>
      <c r="G25" s="233" t="n">
        <v>4808.93017578125</v>
      </c>
      <c r="H25" s="233" t="n">
        <v>4808.93017578125</v>
      </c>
      <c r="I25" s="233" t="n">
        <v>4808.93017578125</v>
      </c>
      <c r="J25" s="233" t="n">
        <v>4808.93017578125</v>
      </c>
      <c r="K25" s="233" t="n">
        <v>4808.93017578125</v>
      </c>
      <c r="L25" s="233" t="n">
        <v>4808.93017578125</v>
      </c>
      <c r="M25" s="233" t="n">
        <v>4808.93017578125</v>
      </c>
      <c r="N25" s="233" t="n">
        <v>4808.93017578125</v>
      </c>
      <c r="O25" s="233" t="n">
        <v>4931.08984375</v>
      </c>
      <c r="P25" s="233" t="n">
        <v>5111.06005859375</v>
      </c>
      <c r="Q25" s="233" t="n">
        <v>5264.85009765625</v>
      </c>
      <c r="R25" s="233" t="n">
        <v>5264.85009765625</v>
      </c>
      <c r="S25" s="233" t="n">
        <v>5341.8798828125</v>
      </c>
      <c r="T25" s="233" t="n">
        <v>5523.64013671875</v>
      </c>
      <c r="U25" s="233" t="n">
        <v>5669.669921875</v>
      </c>
      <c r="V25" s="233" t="n">
        <v>5669.669921875</v>
      </c>
      <c r="W25" s="233" t="n">
        <v>5767.3701171875</v>
      </c>
      <c r="X25" s="233" t="n">
        <v>5767.3701171875</v>
      </c>
      <c r="Y25" s="233" t="n">
        <v>6044.169921875</v>
      </c>
      <c r="Z25" s="233" t="n">
        <v>6044.169921875</v>
      </c>
      <c r="AA25" s="231" t="n">
        <v>6128.18017578125</v>
      </c>
      <c r="AB25" s="203" t="n">
        <v>6128.18017578125</v>
      </c>
      <c r="AC25" s="203" t="n">
        <v>6128.18017578125</v>
      </c>
      <c r="AD25" s="203" t="n">
        <v>6128.18017578125</v>
      </c>
      <c r="AE25" s="203" t="n">
        <v>6128.18017578125</v>
      </c>
      <c r="AF25" s="203" t="n">
        <v>6215.080078125</v>
      </c>
      <c r="AG25" s="203" t="n">
        <v>6427.02001953125</v>
      </c>
      <c r="AH25" s="203" t="n">
        <v>6508.22998046875</v>
      </c>
      <c r="AI25" s="203" t="n">
        <v>6699.52001953125</v>
      </c>
      <c r="AJ25" s="203" t="n">
        <v>6920.33984375</v>
      </c>
      <c r="AK25" s="203" t="n">
        <v>6920.33984375</v>
      </c>
      <c r="AL25" s="203" t="n">
        <v>6945.77001953125</v>
      </c>
      <c r="AM25" s="203" t="n">
        <v>7002.27978515625</v>
      </c>
      <c r="AN25" s="203" t="n">
        <v>7002.27978515625</v>
      </c>
      <c r="AO25" s="203" t="n">
        <v>7002.27978515625</v>
      </c>
      <c r="AP25" s="203" t="n">
        <v>7219.830078125</v>
      </c>
      <c r="AQ25" s="203" t="n">
        <v>7599.3798828125</v>
      </c>
      <c r="AR25" s="203" t="n">
        <v>7599.3798828125</v>
      </c>
      <c r="AS25" s="203" t="n">
        <v>7599.3798828125</v>
      </c>
      <c r="AT25" s="203" t="n">
        <v>7816.7001953125</v>
      </c>
      <c r="AU25" s="203" t="n">
        <v>7816.7001953125</v>
      </c>
      <c r="AV25" s="201" t="n">
        <v>7816.7001953125</v>
      </c>
      <c r="AW25" s="184" t="n">
        <v>7816.7001953125</v>
      </c>
      <c r="AX25" s="184" t="n">
        <v>7816.7001953125</v>
      </c>
      <c r="AY25" s="184" t="n"/>
      <c r="AZ25" s="155" t="n"/>
      <c r="BA25" s="155" t="n"/>
      <c r="BB25" s="156" t="n"/>
      <c r="BC25" s="175" t="n">
        <v>-0.02402402402402402</v>
      </c>
      <c r="BD25" s="175" t="n">
        <v>-0.02402402402402402</v>
      </c>
      <c r="BE25" s="156" t="n"/>
      <c r="BF25" s="156">
        <f t="array" ref="BF25">_xlfn.XLOOKUP(MIN(ABS($BJ$7:$BJ$29 - MEDIAN(MIN($BJ$7:$BJ$29), MAX($BJ$7:$BJ$29), BD25))), ABS($BJ$7:$BJ$29 - MEDIAN(MIN($BJ$7:$BJ$29), MAX($BJ$7:$BJ$29), BD25)), $BK$7:$BK$29, "Error", 0)</f>
        <v/>
      </c>
      <c r="BG25" s="156" t="n"/>
      <c r="BH25" s="156" t="n"/>
      <c r="BI25" s="156" t="n"/>
      <c r="BJ25" s="176" t="n">
        <v>-0.14</v>
      </c>
      <c r="BK25" s="182" t="n">
        <v>-9</v>
      </c>
      <c r="BL25" s="178" t="n">
        <v>-14</v>
      </c>
    </row>
    <row r="26" ht="44" customHeight="1">
      <c r="A26" s="303" t="n"/>
      <c r="B26" s="201" t="inlineStr">
        <is>
          <t>current price SPX</t>
        </is>
      </c>
      <c r="C26" s="233" t="n">
        <v>4076.60009765625</v>
      </c>
      <c r="D26" s="233" t="n">
        <v>3970.14990234375</v>
      </c>
      <c r="E26" s="233" t="n">
        <v>4109.31005859375</v>
      </c>
      <c r="F26" s="233" t="n">
        <v>4169.47998046875</v>
      </c>
      <c r="G26" s="233" t="n">
        <v>4179.830078125</v>
      </c>
      <c r="H26" s="233" t="n">
        <v>4450.3798828125</v>
      </c>
      <c r="I26" s="233" t="n">
        <v>4588.9599609375</v>
      </c>
      <c r="J26" s="233" t="n">
        <v>4507.66015625</v>
      </c>
      <c r="K26" s="233" t="n">
        <v>4288.0498046875</v>
      </c>
      <c r="L26" s="233" t="n">
        <v>4193.7998046875</v>
      </c>
      <c r="M26" s="233" t="n">
        <v>4567.7998046875</v>
      </c>
      <c r="N26" s="233" t="n">
        <v>4769.830078125</v>
      </c>
      <c r="O26" s="233" t="n">
        <v>4845.64990234375</v>
      </c>
      <c r="P26" s="233" t="n">
        <v>5096.27001953125</v>
      </c>
      <c r="Q26" s="233" t="n">
        <v>5254.35009765625</v>
      </c>
      <c r="R26" s="233" t="n">
        <v>5035.68994140625</v>
      </c>
      <c r="S26" s="233" t="n">
        <v>5277.509765625</v>
      </c>
      <c r="T26" s="233" t="n">
        <v>5460.47998046875</v>
      </c>
      <c r="U26" s="233" t="n">
        <v>5522.2998046875</v>
      </c>
      <c r="V26" s="233" t="n">
        <v>5648.39990234375</v>
      </c>
      <c r="W26" s="233" t="n">
        <v>5762.47998046875</v>
      </c>
      <c r="X26" s="233" t="n">
        <v>5705.4501953125</v>
      </c>
      <c r="Y26" s="233" t="n">
        <v>6032.3798828125</v>
      </c>
      <c r="Z26" s="233" t="n">
        <v>5881.6298828125</v>
      </c>
      <c r="AA26" s="231" t="n">
        <v>6040.52978515625</v>
      </c>
      <c r="AB26" s="203" t="n">
        <v>5954.5</v>
      </c>
      <c r="AC26" s="203" t="n">
        <v>5611.85009765625</v>
      </c>
      <c r="AD26" s="203" t="n">
        <v>5569.06005859375</v>
      </c>
      <c r="AE26" s="203" t="n">
        <v>5911.68994140625</v>
      </c>
      <c r="AF26" s="203" t="n">
        <v>6204.9501953125</v>
      </c>
      <c r="AG26" s="203" t="n">
        <v>6339.39013671875</v>
      </c>
      <c r="AH26" s="203" t="n">
        <v>6460.259765625</v>
      </c>
      <c r="AI26" s="203" t="n">
        <v>6688.4599609375</v>
      </c>
      <c r="AJ26" s="203" t="n">
        <v>6840.2001953125</v>
      </c>
      <c r="AK26" s="203" t="n">
        <v>6849.08984375</v>
      </c>
      <c r="AL26" s="203" t="n">
        <v>6845.5</v>
      </c>
      <c r="AM26" s="203" t="n">
        <v>6939.02978515625</v>
      </c>
      <c r="AN26" s="203" t="n">
        <v>6878.8798828125</v>
      </c>
      <c r="AO26" s="203" t="n">
        <v>6528.52001953125</v>
      </c>
      <c r="AP26" s="203" t="n">
        <v>7209.009765625</v>
      </c>
      <c r="AQ26" s="203" t="n">
        <v>7580.06005859375</v>
      </c>
      <c r="AR26" s="203" t="n">
        <v>7499.35986328125</v>
      </c>
      <c r="AS26" s="203" t="n">
        <v>7489.72021484375</v>
      </c>
      <c r="AT26" s="203" t="n">
        <v>7686.14013671875</v>
      </c>
      <c r="AU26" s="203" t="n">
        <v>7743.41015625</v>
      </c>
      <c r="AV26" s="201" t="n">
        <v>7743.41015625</v>
      </c>
      <c r="AW26" s="184" t="n">
        <v>7743.41015625</v>
      </c>
      <c r="AX26" s="184" t="n">
        <v>7743.41015625</v>
      </c>
      <c r="AY26" s="184" t="n"/>
      <c r="AZ26" s="155" t="n"/>
      <c r="BA26" s="155" t="n"/>
      <c r="BB26" s="156" t="n"/>
      <c r="BC26" s="175" t="n">
        <v>-0.02882529186899473</v>
      </c>
      <c r="BD26" s="175" t="n">
        <v>-0.02882529186899473</v>
      </c>
      <c r="BE26" s="156" t="n"/>
      <c r="BF26" s="156">
        <f t="array" ref="BF26">_xlfn.XLOOKUP(MIN(ABS($BJ$7:$BJ$29 - MEDIAN(MIN($BJ$7:$BJ$29), MAX($BJ$7:$BJ$29), BD26))), ABS($BJ$7:$BJ$29 - MEDIAN(MIN($BJ$7:$BJ$29), MAX($BJ$7:$BJ$29), BD26)), $BK$7:$BK$29, "Error", 0)</f>
        <v/>
      </c>
      <c r="BG26" s="156" t="n"/>
      <c r="BH26" s="156" t="n"/>
      <c r="BI26" s="156" t="n"/>
      <c r="BJ26" s="176" t="n">
        <v>-0.16</v>
      </c>
      <c r="BK26" s="182" t="n">
        <v>-7</v>
      </c>
      <c r="BL26" s="178" t="n">
        <v>-16</v>
      </c>
    </row>
    <row r="27" ht="44" customHeight="1">
      <c r="A27" s="303" t="n"/>
      <c r="B27" s="201" t="inlineStr">
        <is>
          <t>original index % change</t>
        </is>
      </c>
      <c r="C27" s="230">
        <f>+(C26-C25)/C25</f>
        <v/>
      </c>
      <c r="D27" s="230">
        <f>+(D26-D25)/D25</f>
        <v/>
      </c>
      <c r="E27" s="230">
        <f>+(E26-E25)/E25</f>
        <v/>
      </c>
      <c r="F27" s="230">
        <f>+(F26-F25)/F25</f>
        <v/>
      </c>
      <c r="G27" s="230">
        <f>+(G26-G25)/G25</f>
        <v/>
      </c>
      <c r="H27" s="230">
        <f>+(H26-H25)/H25</f>
        <v/>
      </c>
      <c r="I27" s="230">
        <f>+(I26-I25)/I25</f>
        <v/>
      </c>
      <c r="J27" s="230">
        <f>+(J26-J25)/J25</f>
        <v/>
      </c>
      <c r="K27" s="230">
        <f>+(K26-K25)/K25</f>
        <v/>
      </c>
      <c r="L27" s="230">
        <f>+(L26-L25)/L25</f>
        <v/>
      </c>
      <c r="M27" s="230">
        <f>+(M26-M25)/M25</f>
        <v/>
      </c>
      <c r="N27" s="230">
        <f>+(N26-N25)/N25</f>
        <v/>
      </c>
      <c r="O27" s="230">
        <f>+(O26-O25)/O25</f>
        <v/>
      </c>
      <c r="P27" s="230">
        <f>+(P26-P25)/P25</f>
        <v/>
      </c>
      <c r="Q27" s="230">
        <f>+(Q26-Q25)/Q25</f>
        <v/>
      </c>
      <c r="R27" s="230">
        <f>+(R26-R25)/R25</f>
        <v/>
      </c>
      <c r="S27" s="230">
        <f>+(S26-S25)/S25</f>
        <v/>
      </c>
      <c r="T27" s="230">
        <f>+(T26-T25)/T25</f>
        <v/>
      </c>
      <c r="U27" s="230">
        <f>+(U26-U25)/U25</f>
        <v/>
      </c>
      <c r="V27" s="230">
        <f>+(V26-V25)/V25</f>
        <v/>
      </c>
      <c r="W27" s="230">
        <f>+(W26-W25)/W25</f>
        <v/>
      </c>
      <c r="X27" s="230">
        <f>+(X26-X25)/X25</f>
        <v/>
      </c>
      <c r="Y27" s="230">
        <f>+(Y26-Y25)/Y25</f>
        <v/>
      </c>
      <c r="Z27" s="230">
        <f>+(Z26-Z25)/Z25</f>
        <v/>
      </c>
      <c r="AA27" s="230">
        <f>+(AA26-AA25)/AA25</f>
        <v/>
      </c>
      <c r="AB27" s="205">
        <f>+(AB26-AB25)/AB25</f>
        <v/>
      </c>
      <c r="AC27" s="205">
        <f>+(AC26-AC25)/AC25</f>
        <v/>
      </c>
      <c r="AD27" s="205">
        <f>+(AD26-AD25)/AD25</f>
        <v/>
      </c>
      <c r="AE27" s="205">
        <f>+(AE26-AE25)/AE25</f>
        <v/>
      </c>
      <c r="AF27" s="205">
        <f>+(AF26-AF25)/AF25</f>
        <v/>
      </c>
      <c r="AG27" s="205">
        <f>+(AG26-AG25)/AG25</f>
        <v/>
      </c>
      <c r="AH27" s="205">
        <f>+(AH26-AH25)/AH25</f>
        <v/>
      </c>
      <c r="AI27" s="205">
        <f>+(AI26-AI25)/AI25</f>
        <v/>
      </c>
      <c r="AJ27" s="205">
        <f>+(AJ26-AJ25)/AJ25</f>
        <v/>
      </c>
      <c r="AK27" s="205">
        <f>+(AK26-AK25)/AK25</f>
        <v/>
      </c>
      <c r="AL27" s="205">
        <f>+(AL26-AL25)/AL25</f>
        <v/>
      </c>
      <c r="AM27" s="205">
        <f>+(AM26-AM25)/AM25</f>
        <v/>
      </c>
      <c r="AN27" s="205">
        <f>+(AN26-AN25)/AN25</f>
        <v/>
      </c>
      <c r="AO27" s="205">
        <f>+(AO26-AO25)/AO25</f>
        <v/>
      </c>
      <c r="AP27" s="205">
        <f>+(AP26-AP25)/AP25</f>
        <v/>
      </c>
      <c r="AQ27" s="205">
        <f>+(AQ26-AQ25)/AQ25</f>
        <v/>
      </c>
      <c r="AR27" s="205">
        <f>+(AR26-AR25)/AR25</f>
        <v/>
      </c>
      <c r="AS27" s="205">
        <f>+(AS26-AS25)/AS25</f>
        <v/>
      </c>
      <c r="AT27" s="205">
        <f>+(AT26-AT25)/AT25</f>
        <v/>
      </c>
      <c r="AU27" s="205">
        <f>+(AU26-AU25)/AU25</f>
        <v/>
      </c>
      <c r="AV27" s="201">
        <f>+(AV26-AV25)/AV25</f>
        <v/>
      </c>
      <c r="AW27" s="184">
        <f>+(AW26-AW25)/AW25</f>
        <v/>
      </c>
      <c r="AX27" s="184">
        <f>+(AX26-AX25)/AX25</f>
        <v/>
      </c>
      <c r="AY27" s="184" t="n"/>
      <c r="AZ27" s="155" t="n"/>
      <c r="BA27" s="155" t="n"/>
      <c r="BB27" s="156" t="n"/>
      <c r="BC27" s="175" t="n">
        <v>-0.001261493955987189</v>
      </c>
      <c r="BD27" s="175" t="n">
        <v>-0.001261493955987189</v>
      </c>
      <c r="BE27" s="156" t="n"/>
      <c r="BF27" s="156">
        <f t="array" ref="BF27">_xlfn.XLOOKUP(MIN(ABS($BJ$7:$BJ$29 - MEDIAN(MIN($BJ$7:$BJ$29), MAX($BJ$7:$BJ$29), BD27))), ABS($BJ$7:$BJ$29 - MEDIAN(MIN($BJ$7:$BJ$29), MAX($BJ$7:$BJ$29), BD27)), $BK$7:$BK$29, "Error", 0)</f>
        <v/>
      </c>
      <c r="BG27" s="156" t="n"/>
      <c r="BH27" s="156" t="n"/>
      <c r="BI27" s="156" t="n"/>
      <c r="BJ27" s="176" t="n">
        <v>-0.18</v>
      </c>
      <c r="BK27" s="182" t="n">
        <v>-5</v>
      </c>
      <c r="BL27" s="178" t="n">
        <v>-18</v>
      </c>
    </row>
    <row r="28" ht="22" customHeight="1">
      <c r="A28" s="303" t="n"/>
      <c r="B28" s="201" t="inlineStr">
        <is>
          <t>real % change</t>
        </is>
      </c>
      <c r="C28" s="230">
        <f>+C24-C27</f>
        <v/>
      </c>
      <c r="D28" s="230">
        <f>+D24-D27</f>
        <v/>
      </c>
      <c r="E28" s="230">
        <f>+E24-E27</f>
        <v/>
      </c>
      <c r="F28" s="230">
        <f>+F24-F27</f>
        <v/>
      </c>
      <c r="G28" s="230">
        <f>+G24-G27</f>
        <v/>
      </c>
      <c r="H28" s="230">
        <f>+H24-H27</f>
        <v/>
      </c>
      <c r="I28" s="230">
        <f>+I24-I27</f>
        <v/>
      </c>
      <c r="J28" s="230">
        <f>+J24-J27</f>
        <v/>
      </c>
      <c r="K28" s="230">
        <f>+K24-K27</f>
        <v/>
      </c>
      <c r="L28" s="230">
        <f>+L24-L27</f>
        <v/>
      </c>
      <c r="M28" s="230">
        <f>+M24-M27</f>
        <v/>
      </c>
      <c r="N28" s="230">
        <f>+N24-N27</f>
        <v/>
      </c>
      <c r="O28" s="230">
        <f>+O24-O27</f>
        <v/>
      </c>
      <c r="P28" s="230">
        <f>+P24-P27</f>
        <v/>
      </c>
      <c r="Q28" s="230">
        <f>+Q24-Q27</f>
        <v/>
      </c>
      <c r="R28" s="230">
        <f>+R24-R27</f>
        <v/>
      </c>
      <c r="S28" s="230">
        <f>+S24-S27</f>
        <v/>
      </c>
      <c r="T28" s="230">
        <f>+T24-T27</f>
        <v/>
      </c>
      <c r="U28" s="230">
        <f>+U24-U27</f>
        <v/>
      </c>
      <c r="V28" s="230">
        <f>+V24-V27</f>
        <v/>
      </c>
      <c r="W28" s="230">
        <f>+W24-W27</f>
        <v/>
      </c>
      <c r="X28" s="230">
        <f>+X24-X27</f>
        <v/>
      </c>
      <c r="Y28" s="230">
        <f>+Y24-Y27</f>
        <v/>
      </c>
      <c r="Z28" s="230">
        <f>+Z24-Z27</f>
        <v/>
      </c>
      <c r="AA28" s="230">
        <f>+AA24-AA27</f>
        <v/>
      </c>
      <c r="AB28" s="205">
        <f>+AB24-AB27</f>
        <v/>
      </c>
      <c r="AC28" s="205">
        <f>+AC24-AC27</f>
        <v/>
      </c>
      <c r="AD28" s="205">
        <f>+AD24-AD27</f>
        <v/>
      </c>
      <c r="AE28" s="205">
        <f>+AE24-AE27</f>
        <v/>
      </c>
      <c r="AF28" s="205">
        <f>+AF24-AF27</f>
        <v/>
      </c>
      <c r="AG28" s="205">
        <f>+AG24-AG27</f>
        <v/>
      </c>
      <c r="AH28" s="205">
        <f>+AH24-AH27</f>
        <v/>
      </c>
      <c r="AI28" s="205">
        <f>+AI24-AI27</f>
        <v/>
      </c>
      <c r="AJ28" s="205">
        <f>+AJ24-AJ27</f>
        <v/>
      </c>
      <c r="AK28" s="205">
        <f>+AK24-AK27</f>
        <v/>
      </c>
      <c r="AL28" s="205">
        <f>+AL24-AL27</f>
        <v/>
      </c>
      <c r="AM28" s="205">
        <f>+AM24-AM27</f>
        <v/>
      </c>
      <c r="AN28" s="205">
        <f>+AN24-AN27</f>
        <v/>
      </c>
      <c r="AO28" s="205">
        <f>+AO24-AO27</f>
        <v/>
      </c>
      <c r="AP28" s="205">
        <f>+AP24-AP27</f>
        <v/>
      </c>
      <c r="AQ28" s="205">
        <f>+AQ24-AQ27</f>
        <v/>
      </c>
      <c r="AR28" s="205">
        <f>+AR24-AR27</f>
        <v/>
      </c>
      <c r="AS28" s="205">
        <f>+AS24-AS27</f>
        <v/>
      </c>
      <c r="AT28" s="205">
        <f>+AT24-AT27</f>
        <v/>
      </c>
      <c r="AU28" s="205">
        <f>+AU24-AU27</f>
        <v/>
      </c>
      <c r="AV28" s="201">
        <f>+AV24-AV27</f>
        <v/>
      </c>
      <c r="AW28" s="184">
        <f>+AW24-AW27</f>
        <v/>
      </c>
      <c r="AX28" s="184">
        <f>+AX24-AX27</f>
        <v/>
      </c>
      <c r="AY28" s="184" t="n"/>
      <c r="AZ28" s="155" t="n"/>
      <c r="BA28" s="155" t="n"/>
      <c r="BB28" s="156" t="n"/>
      <c r="BC28" s="175" t="n">
        <v>-0.01469263353652237</v>
      </c>
      <c r="BD28" s="175" t="n">
        <v>-0.01469263353652237</v>
      </c>
      <c r="BE28" s="156" t="n"/>
      <c r="BF28" s="156">
        <f t="array" ref="BF28">_xlfn.XLOOKUP(MIN(ABS($BJ$7:$BJ$29 - MEDIAN(MIN($BJ$7:$BJ$29), MAX($BJ$7:$BJ$29), BD28))), ABS($BJ$7:$BJ$29 - MEDIAN(MIN($BJ$7:$BJ$29), MAX($BJ$7:$BJ$29), BD28)), $BK$7:$BK$29, "Error", 0)</f>
        <v/>
      </c>
      <c r="BG28" s="156" t="n"/>
      <c r="BH28" s="156" t="n"/>
      <c r="BI28" s="156" t="n"/>
      <c r="BJ28" s="176" t="n">
        <v>-0.2</v>
      </c>
      <c r="BK28" s="182" t="n">
        <v>-3</v>
      </c>
      <c r="BL28" s="178" t="n">
        <v>-20</v>
      </c>
    </row>
    <row r="29" ht="22" customHeight="1">
      <c r="A29" s="304" t="n"/>
      <c r="B29" s="206" t="inlineStr">
        <is>
          <t>Rating</t>
        </is>
      </c>
      <c r="C29" s="232">
        <f>_xlfn.XLOOKUP(MIN(ABS($BJ$7:$BJ$29 - MEDIAN(MIN($BJ$7:$BJ$29), MAX($BJ$7:$BJ$29), C28))), ABS($BJ$7:$BJ$29 - MEDIAN(MIN($BJ$7:$BJ$29), MAX($BJ$7:$BJ$29), C28)), $BK$7:$BK$29, "Error", 0)</f>
        <v/>
      </c>
      <c r="D29" s="232">
        <f>_xlfn.XLOOKUP(MIN(ABS($BJ$7:$BJ$29 - MEDIAN(MIN($BJ$7:$BJ$29), MAX($BJ$7:$BJ$29), D28))), ABS($BJ$7:$BJ$29 - MEDIAN(MIN($BJ$7:$BJ$29), MAX($BJ$7:$BJ$29), D28)), $BK$7:$BK$29, "Error", 0)</f>
        <v/>
      </c>
      <c r="E29" s="232">
        <f>_xlfn.XLOOKUP(MIN(ABS($BJ$7:$BJ$29 - MEDIAN(MIN($BJ$7:$BJ$29), MAX($BJ$7:$BJ$29), E28))), ABS($BJ$7:$BJ$29 - MEDIAN(MIN($BJ$7:$BJ$29), MAX($BJ$7:$BJ$29), E28)), $BK$7:$BK$29, "Error", 0)</f>
        <v/>
      </c>
      <c r="F29" s="232">
        <f>_xlfn.XLOOKUP(MIN(ABS($BJ$7:$BJ$29 - MEDIAN(MIN($BJ$7:$BJ$29), MAX($BJ$7:$BJ$29), F28))), ABS($BJ$7:$BJ$29 - MEDIAN(MIN($BJ$7:$BJ$29), MAX($BJ$7:$BJ$29), F28)), $BK$7:$BK$29, "Error", 0)</f>
        <v/>
      </c>
      <c r="G29" s="232">
        <f>_xlfn.XLOOKUP(MIN(ABS($BJ$7:$BJ$29 - MEDIAN(MIN($BJ$7:$BJ$29), MAX($BJ$7:$BJ$29), G28))), ABS($BJ$7:$BJ$29 - MEDIAN(MIN($BJ$7:$BJ$29), MAX($BJ$7:$BJ$29), G28)), $BK$7:$BK$29, "Error", 0)</f>
        <v/>
      </c>
      <c r="H29" s="232">
        <f>_xlfn.XLOOKUP(MIN(ABS($BJ$7:$BJ$29 - MEDIAN(MIN($BJ$7:$BJ$29), MAX($BJ$7:$BJ$29), H28))), ABS($BJ$7:$BJ$29 - MEDIAN(MIN($BJ$7:$BJ$29), MAX($BJ$7:$BJ$29), H28)), $BK$7:$BK$29, "Error", 0)</f>
        <v/>
      </c>
      <c r="I29" s="232">
        <f>_xlfn.XLOOKUP(MIN(ABS($BJ$7:$BJ$29 - MEDIAN(MIN($BJ$7:$BJ$29), MAX($BJ$7:$BJ$29), I28))), ABS($BJ$7:$BJ$29 - MEDIAN(MIN($BJ$7:$BJ$29), MAX($BJ$7:$BJ$29), I28)), $BK$7:$BK$29, "Error", 0)</f>
        <v/>
      </c>
      <c r="J29" s="232">
        <f>_xlfn.XLOOKUP(MIN(ABS($BJ$7:$BJ$29 - MEDIAN(MIN($BJ$7:$BJ$29), MAX($BJ$7:$BJ$29), J28))), ABS($BJ$7:$BJ$29 - MEDIAN(MIN($BJ$7:$BJ$29), MAX($BJ$7:$BJ$29), J28)), $BK$7:$BK$29, "Error", 0)</f>
        <v/>
      </c>
      <c r="K29" s="232">
        <f>_xlfn.XLOOKUP(MIN(ABS($BJ$7:$BJ$29 - MEDIAN(MIN($BJ$7:$BJ$29), MAX($BJ$7:$BJ$29), K28))), ABS($BJ$7:$BJ$29 - MEDIAN(MIN($BJ$7:$BJ$29), MAX($BJ$7:$BJ$29), K28)), $BK$7:$BK$29, "Error", 0)</f>
        <v/>
      </c>
      <c r="L29" s="232">
        <f>_xlfn.XLOOKUP(MIN(ABS($BJ$7:$BJ$29 - MEDIAN(MIN($BJ$7:$BJ$29), MAX($BJ$7:$BJ$29), L28))), ABS($BJ$7:$BJ$29 - MEDIAN(MIN($BJ$7:$BJ$29), MAX($BJ$7:$BJ$29), L28)), $BK$7:$BK$29, "Error", 0)</f>
        <v/>
      </c>
      <c r="M29" s="232">
        <f>_xlfn.XLOOKUP(MIN(ABS($BJ$7:$BJ$29 - MEDIAN(MIN($BJ$7:$BJ$29), MAX($BJ$7:$BJ$29), M28))), ABS($BJ$7:$BJ$29 - MEDIAN(MIN($BJ$7:$BJ$29), MAX($BJ$7:$BJ$29), M28)), $BK$7:$BK$29, "Error", 0)</f>
        <v/>
      </c>
      <c r="N29" s="232">
        <f>_xlfn.XLOOKUP(MIN(ABS($BJ$7:$BJ$29 - MEDIAN(MIN($BJ$7:$BJ$29), MAX($BJ$7:$BJ$29), N28))), ABS($BJ$7:$BJ$29 - MEDIAN(MIN($BJ$7:$BJ$29), MAX($BJ$7:$BJ$29), N28)), $BK$7:$BK$29, "Error", 0)</f>
        <v/>
      </c>
      <c r="O29" s="232">
        <f>_xlfn.XLOOKUP(MIN(ABS($BJ$7:$BJ$29 - MEDIAN(MIN($BJ$7:$BJ$29), MAX($BJ$7:$BJ$29), O28))), ABS($BJ$7:$BJ$29 - MEDIAN(MIN($BJ$7:$BJ$29), MAX($BJ$7:$BJ$29), O28)), $BK$7:$BK$29, "Error", 0)</f>
        <v/>
      </c>
      <c r="P29" s="232">
        <f>_xlfn.XLOOKUP(MIN(ABS($BJ$7:$BJ$29 - MEDIAN(MIN($BJ$7:$BJ$29), MAX($BJ$7:$BJ$29), P28))), ABS($BJ$7:$BJ$29 - MEDIAN(MIN($BJ$7:$BJ$29), MAX($BJ$7:$BJ$29), P28)), $BK$7:$BK$29, "Error", 0)</f>
        <v/>
      </c>
      <c r="Q29" s="232">
        <f>_xlfn.XLOOKUP(MIN(ABS($BJ$7:$BJ$29 - MEDIAN(MIN($BJ$7:$BJ$29), MAX($BJ$7:$BJ$29), Q28))), ABS($BJ$7:$BJ$29 - MEDIAN(MIN($BJ$7:$BJ$29), MAX($BJ$7:$BJ$29), Q28)), $BK$7:$BK$29, "Error", 0)</f>
        <v/>
      </c>
      <c r="R29" s="232">
        <f>_xlfn.XLOOKUP(MIN(ABS($BJ$7:$BJ$29 - MEDIAN(MIN($BJ$7:$BJ$29), MAX($BJ$7:$BJ$29), R28))), ABS($BJ$7:$BJ$29 - MEDIAN(MIN($BJ$7:$BJ$29), MAX($BJ$7:$BJ$29), R28)), $BK$7:$BK$29, "Error", 0)</f>
        <v/>
      </c>
      <c r="S29" s="232">
        <f>_xlfn.XLOOKUP(MIN(ABS($BJ$7:$BJ$29 - MEDIAN(MIN($BJ$7:$BJ$29), MAX($BJ$7:$BJ$29), S28))), ABS($BJ$7:$BJ$29 - MEDIAN(MIN($BJ$7:$BJ$29), MAX($BJ$7:$BJ$29), S28)), $BK$7:$BK$29, "Error", 0)</f>
        <v/>
      </c>
      <c r="T29" s="232">
        <f>_xlfn.XLOOKUP(MIN(ABS($BJ$7:$BJ$29 - MEDIAN(MIN($BJ$7:$BJ$29), MAX($BJ$7:$BJ$29), T28))), ABS($BJ$7:$BJ$29 - MEDIAN(MIN($BJ$7:$BJ$29), MAX($BJ$7:$BJ$29), T28)), $BK$7:$BK$29, "Error", 0)</f>
        <v/>
      </c>
      <c r="U29" s="232">
        <f>_xlfn.XLOOKUP(MIN(ABS($BJ$7:$BJ$29 - MEDIAN(MIN($BJ$7:$BJ$29), MAX($BJ$7:$BJ$29), U28))), ABS($BJ$7:$BJ$29 - MEDIAN(MIN($BJ$7:$BJ$29), MAX($BJ$7:$BJ$29), U28)), $BK$7:$BK$29, "Error", 0)</f>
        <v/>
      </c>
      <c r="V29" s="232">
        <f>_xlfn.XLOOKUP(MIN(ABS($BJ$7:$BJ$29 - MEDIAN(MIN($BJ$7:$BJ$29), MAX($BJ$7:$BJ$29), V28))), ABS($BJ$7:$BJ$29 - MEDIAN(MIN($BJ$7:$BJ$29), MAX($BJ$7:$BJ$29), V28)), $BK$7:$BK$29, "Error", 0)</f>
        <v/>
      </c>
      <c r="W29" s="232">
        <f>_xlfn.XLOOKUP(MIN(ABS($BJ$7:$BJ$29 - MEDIAN(MIN($BJ$7:$BJ$29), MAX($BJ$7:$BJ$29), W28))), ABS($BJ$7:$BJ$29 - MEDIAN(MIN($BJ$7:$BJ$29), MAX($BJ$7:$BJ$29), W28)), $BK$7:$BK$29, "Error", 0)</f>
        <v/>
      </c>
      <c r="X29" s="232">
        <f>_xlfn.XLOOKUP(MIN(ABS($BJ$7:$BJ$29 - MEDIAN(MIN($BJ$7:$BJ$29), MAX($BJ$7:$BJ$29), X28))), ABS($BJ$7:$BJ$29 - MEDIAN(MIN($BJ$7:$BJ$29), MAX($BJ$7:$BJ$29), X28)), $BK$7:$BK$29, "Error", 0)</f>
        <v/>
      </c>
      <c r="Y29" s="232">
        <f>_xlfn.XLOOKUP(MIN(ABS($BJ$7:$BJ$29 - MEDIAN(MIN($BJ$7:$BJ$29), MAX($BJ$7:$BJ$29), Y28))), ABS($BJ$7:$BJ$29 - MEDIAN(MIN($BJ$7:$BJ$29), MAX($BJ$7:$BJ$29), Y28)), $BK$7:$BK$29, "Error", 0)</f>
        <v/>
      </c>
      <c r="Z29" s="232">
        <f>_xlfn.XLOOKUP(MIN(ABS($BJ$7:$BJ$29 - MEDIAN(MIN($BJ$7:$BJ$29), MAX($BJ$7:$BJ$29), Z28))), ABS($BJ$7:$BJ$29 - MEDIAN(MIN($BJ$7:$BJ$29), MAX($BJ$7:$BJ$29), Z28)), $BK$7:$BK$29, "Error", 0)</f>
        <v/>
      </c>
      <c r="AA29" s="232">
        <f>_xlfn.XLOOKUP(MIN(ABS($BJ$7:$BJ$29 - MEDIAN(MIN($BJ$7:$BJ$29), MAX($BJ$7:$BJ$29), AA28))), ABS($BJ$7:$BJ$29 - MEDIAN(MIN($BJ$7:$BJ$29), MAX($BJ$7:$BJ$29), AA28)), $BK$7:$BK$29, "Error", 0)</f>
        <v/>
      </c>
      <c r="AB29" s="171">
        <f>_xlfn.XLOOKUP(MIN(ABS($BJ$7:$BJ$29 - MEDIAN(MIN($BJ$7:$BJ$29), MAX($BJ$7:$BJ$29), AB28))), ABS($BJ$7:$BJ$29 - MEDIAN(MIN($BJ$7:$BJ$29), MAX($BJ$7:$BJ$29), AB28)), $BK$7:$BK$29, "Error", 0)</f>
        <v/>
      </c>
      <c r="AC29" s="171">
        <f>_xlfn.XLOOKUP(MIN(ABS($BJ$7:$BJ$29 - MEDIAN(MIN($BJ$7:$BJ$29), MAX($BJ$7:$BJ$29), AC28))), ABS($BJ$7:$BJ$29 - MEDIAN(MIN($BJ$7:$BJ$29), MAX($BJ$7:$BJ$29), AC28)), $BK$7:$BK$29, "Error", 0)</f>
        <v/>
      </c>
      <c r="AD29" s="171">
        <f>_xlfn.XLOOKUP(MIN(ABS($BJ$7:$BJ$29 - MEDIAN(MIN($BJ$7:$BJ$29), MAX($BJ$7:$BJ$29), AD28))), ABS($BJ$7:$BJ$29 - MEDIAN(MIN($BJ$7:$BJ$29), MAX($BJ$7:$BJ$29), AD28)), $BK$7:$BK$29, "Error", 0)</f>
        <v/>
      </c>
      <c r="AE29" s="171">
        <f>_xlfn.XLOOKUP(MIN(ABS($BJ$7:$BJ$29 - MEDIAN(MIN($BJ$7:$BJ$29), MAX($BJ$7:$BJ$29), AE28))), ABS($BJ$7:$BJ$29 - MEDIAN(MIN($BJ$7:$BJ$29), MAX($BJ$7:$BJ$29), AE28)), $BK$7:$BK$29, "Error", 0)</f>
        <v/>
      </c>
      <c r="AF29" s="171">
        <f>_xlfn.XLOOKUP(MIN(ABS($BJ$7:$BJ$29 - MEDIAN(MIN($BJ$7:$BJ$29), MAX($BJ$7:$BJ$29), AF28))), ABS($BJ$7:$BJ$29 - MEDIAN(MIN($BJ$7:$BJ$29), MAX($BJ$7:$BJ$29), AF28)), $BK$7:$BK$29, "Error", 0)</f>
        <v/>
      </c>
      <c r="AG29" s="171">
        <f>_xlfn.XLOOKUP(MIN(ABS($BJ$7:$BJ$29 - MEDIAN(MIN($BJ$7:$BJ$29), MAX($BJ$7:$BJ$29), AG28))), ABS($BJ$7:$BJ$29 - MEDIAN(MIN($BJ$7:$BJ$29), MAX($BJ$7:$BJ$29), AG28)), $BK$7:$BK$29, "Error", 0)</f>
        <v/>
      </c>
      <c r="AH29" s="171">
        <f>_xlfn.XLOOKUP(MIN(ABS($BJ$7:$BJ$29 - MEDIAN(MIN($BJ$7:$BJ$29), MAX($BJ$7:$BJ$29), AH28))), ABS($BJ$7:$BJ$29 - MEDIAN(MIN($BJ$7:$BJ$29), MAX($BJ$7:$BJ$29), AH28)), $BK$7:$BK$29, "Error", 0)</f>
        <v/>
      </c>
      <c r="AI29" s="171">
        <f>_xlfn.XLOOKUP(MIN(ABS($BJ$7:$BJ$29 - MEDIAN(MIN($BJ$7:$BJ$29), MAX($BJ$7:$BJ$29), AI28))), ABS($BJ$7:$BJ$29 - MEDIAN(MIN($BJ$7:$BJ$29), MAX($BJ$7:$BJ$29), AI28)), $BK$7:$BK$29, "Error", 0)</f>
        <v/>
      </c>
      <c r="AJ29" s="171">
        <f>_xlfn.XLOOKUP(MIN(ABS($BJ$7:$BJ$29 - MEDIAN(MIN($BJ$7:$BJ$29), MAX($BJ$7:$BJ$29), AJ28))), ABS($BJ$7:$BJ$29 - MEDIAN(MIN($BJ$7:$BJ$29), MAX($BJ$7:$BJ$29), AJ28)), $BK$7:$BK$29, "Error", 0)</f>
        <v/>
      </c>
      <c r="AK29" s="171">
        <f>_xlfn.XLOOKUP(MIN(ABS($BJ$7:$BJ$29 - MEDIAN(MIN($BJ$7:$BJ$29), MAX($BJ$7:$BJ$29), AK28))), ABS($BJ$7:$BJ$29 - MEDIAN(MIN($BJ$7:$BJ$29), MAX($BJ$7:$BJ$29), AK28)), $BK$7:$BK$29, "Error", 0)</f>
        <v/>
      </c>
      <c r="AL29" s="171">
        <f>_xlfn.XLOOKUP(MIN(ABS($BJ$7:$BJ$29 - MEDIAN(MIN($BJ$7:$BJ$29), MAX($BJ$7:$BJ$29), AL28))), ABS($BJ$7:$BJ$29 - MEDIAN(MIN($BJ$7:$BJ$29), MAX($BJ$7:$BJ$29), AL28)), $BK$7:$BK$29, "Error", 0)</f>
        <v/>
      </c>
      <c r="AM29" s="171">
        <f>_xlfn.XLOOKUP(MIN(ABS($BJ$7:$BJ$29 - MEDIAN(MIN($BJ$7:$BJ$29), MAX($BJ$7:$BJ$29), AM28))), ABS($BJ$7:$BJ$29 - MEDIAN(MIN($BJ$7:$BJ$29), MAX($BJ$7:$BJ$29), AM28)), $BK$7:$BK$29, "Error", 0)</f>
        <v/>
      </c>
      <c r="AN29" s="171">
        <f>_xlfn.XLOOKUP(MIN(ABS($BJ$7:$BJ$29 - MEDIAN(MIN($BJ$7:$BJ$29), MAX($BJ$7:$BJ$29), AN28))), ABS($BJ$7:$BJ$29 - MEDIAN(MIN($BJ$7:$BJ$29), MAX($BJ$7:$BJ$29), AN28)), $BK$7:$BK$29, "Error", 0)</f>
        <v/>
      </c>
      <c r="AO29" s="171">
        <f>_xlfn.XLOOKUP(MIN(ABS($BJ$7:$BJ$29 - MEDIAN(MIN($BJ$7:$BJ$29), MAX($BJ$7:$BJ$29), AO28))), ABS($BJ$7:$BJ$29 - MEDIAN(MIN($BJ$7:$BJ$29), MAX($BJ$7:$BJ$29), AO28)), $BK$7:$BK$29, "Error", 0)</f>
        <v/>
      </c>
      <c r="AP29" s="171">
        <f>_xlfn.XLOOKUP(MIN(ABS($BJ$7:$BJ$29 - MEDIAN(MIN($BJ$7:$BJ$29), MAX($BJ$7:$BJ$29), AP28))), ABS($BJ$7:$BJ$29 - MEDIAN(MIN($BJ$7:$BJ$29), MAX($BJ$7:$BJ$29), AP28)), $BK$7:$BK$29, "Error", 0)</f>
        <v/>
      </c>
      <c r="AQ29" s="171">
        <f>_xlfn.XLOOKUP(MIN(ABS($BJ$7:$BJ$29 - MEDIAN(MIN($BJ$7:$BJ$29), MAX($BJ$7:$BJ$29), AQ28))), ABS($BJ$7:$BJ$29 - MEDIAN(MIN($BJ$7:$BJ$29), MAX($BJ$7:$BJ$29), AQ28)), $BK$7:$BK$29, "Error", 0)</f>
        <v/>
      </c>
      <c r="AR29" s="171">
        <f>_xlfn.XLOOKUP(MIN(ABS($BJ$7:$BJ$29 - MEDIAN(MIN($BJ$7:$BJ$29), MAX($BJ$7:$BJ$29), AR28))), ABS($BJ$7:$BJ$29 - MEDIAN(MIN($BJ$7:$BJ$29), MAX($BJ$7:$BJ$29), AR28)), $BK$7:$BK$29, "Error", 0)</f>
        <v/>
      </c>
      <c r="AS29" s="171">
        <f>_xlfn.XLOOKUP(MIN(ABS($BJ$7:$BJ$29 - MEDIAN(MIN($BJ$7:$BJ$29), MAX($BJ$7:$BJ$29), AS28))), ABS($BJ$7:$BJ$29 - MEDIAN(MIN($BJ$7:$BJ$29), MAX($BJ$7:$BJ$29), AS28)), $BK$7:$BK$29, "Error", 0)</f>
        <v/>
      </c>
      <c r="AT29" s="171">
        <f>_xlfn.XLOOKUP(MIN(ABS($BJ$7:$BJ$29 - MEDIAN(MIN($BJ$7:$BJ$29), MAX($BJ$7:$BJ$29), AT28))), ABS($BJ$7:$BJ$29 - MEDIAN(MIN($BJ$7:$BJ$29), MAX($BJ$7:$BJ$29), AT28)), $BK$7:$BK$29, "Error", 0)</f>
        <v/>
      </c>
      <c r="AU29" s="171">
        <f>_xlfn.XLOOKUP(MIN(ABS($BJ$7:$BJ$29 - MEDIAN(MIN($BJ$7:$BJ$29), MAX($BJ$7:$BJ$29), AU28))), ABS($BJ$7:$BJ$29 - MEDIAN(MIN($BJ$7:$BJ$29), MAX($BJ$7:$BJ$29), AU28)), $BK$7:$BK$29, "Error", 0)</f>
        <v/>
      </c>
      <c r="AV29" s="206">
        <f>_xlfn.XLOOKUP(MIN(ABS($BJ$7:$BJ$29 - MEDIAN(MIN($BJ$7:$BJ$29), MAX($BJ$7:$BJ$29), AV28))), ABS($BJ$7:$BJ$29 - MEDIAN(MIN($BJ$7:$BJ$29), MAX($BJ$7:$BJ$29), AV28)), $BK$7:$BK$29, "Error", 0)</f>
        <v/>
      </c>
      <c r="AW29" s="184">
        <f>_xlfn.XLOOKUP(MIN(ABS($BJ$7:$BJ$29 - MEDIAN(MIN($BJ$7:$BJ$29), MAX($BJ$7:$BJ$29), AW28))), ABS($BJ$7:$BJ$29 - MEDIAN(MIN($BJ$7:$BJ$29), MAX($BJ$7:$BJ$29), AW28)), $BK$7:$BK$29, "Error", 0)</f>
        <v/>
      </c>
      <c r="AX29" s="184">
        <f>_xlfn.XLOOKUP(MIN(ABS($BJ$7:$BJ$29 - MEDIAN(MIN($BJ$7:$BJ$29), MAX($BJ$7:$BJ$29), AX28))), ABS($BJ$7:$BJ$29 - MEDIAN(MIN($BJ$7:$BJ$29), MAX($BJ$7:$BJ$29), AX28)), $BK$7:$BK$29, "Error", 0)</f>
        <v/>
      </c>
      <c r="AY29" s="184" t="n"/>
      <c r="AZ29" s="155" t="n"/>
      <c r="BA29" s="155" t="n"/>
      <c r="BB29" s="156" t="n"/>
      <c r="BC29" s="175" t="n">
        <v>-0.003249495358293504</v>
      </c>
      <c r="BD29" s="175" t="n">
        <v>-0.003249495358293504</v>
      </c>
      <c r="BE29" s="156" t="n"/>
      <c r="BF29" s="156">
        <f t="array" ref="BF29">_xlfn.XLOOKUP(MIN(ABS($BJ$7:$BJ$29 - MEDIAN(MIN($BJ$7:$BJ$29), MAX($BJ$7:$BJ$29), BD29))), ABS($BJ$7:$BJ$29 - MEDIAN(MIN($BJ$7:$BJ$29), MAX($BJ$7:$BJ$29), BD29)), $BK$7:$BK$29, "Error", 0)</f>
        <v/>
      </c>
      <c r="BG29" s="156" t="n"/>
      <c r="BH29" s="156" t="n"/>
      <c r="BI29" s="156" t="n"/>
      <c r="BJ29" s="176" t="n">
        <v>-0.25</v>
      </c>
      <c r="BK29" s="182" t="n">
        <v>-2</v>
      </c>
      <c r="BL29" s="178" t="n">
        <v>-25</v>
      </c>
    </row>
    <row r="30" ht="44" customHeight="1">
      <c r="A30" s="305" t="inlineStr">
        <is>
          <t>EUR USD</t>
        </is>
      </c>
      <c r="B30" s="200" t="inlineStr">
        <is>
          <t>All time High (CL)</t>
        </is>
      </c>
      <c r="C30" s="233" t="n">
        <v>6509.300339839538</v>
      </c>
      <c r="D30" s="233" t="n">
        <v>6509.300339839538</v>
      </c>
      <c r="E30" s="233" t="n">
        <v>6509.300339839538</v>
      </c>
      <c r="F30" s="233" t="n">
        <v>6509.300339839538</v>
      </c>
      <c r="G30" s="233" t="n">
        <v>6509.300339839538</v>
      </c>
      <c r="H30" s="233" t="n">
        <v>6509.300339839538</v>
      </c>
      <c r="I30" s="233" t="n">
        <v>6509.300339839538</v>
      </c>
      <c r="J30" s="233" t="n">
        <v>6509.300339839538</v>
      </c>
      <c r="K30" s="233" t="n">
        <v>6509.300339839538</v>
      </c>
      <c r="L30" s="233" t="n">
        <v>6509.300339839538</v>
      </c>
      <c r="M30" s="233" t="n">
        <v>6509.300339839538</v>
      </c>
      <c r="N30" s="233" t="n">
        <v>6509.300339839538</v>
      </c>
      <c r="O30" s="233" t="n">
        <v>6509.300339839538</v>
      </c>
      <c r="P30" s="233" t="n">
        <v>6509.300339839538</v>
      </c>
      <c r="Q30" s="233" t="n">
        <v>6509.300339839538</v>
      </c>
      <c r="R30" s="233" t="n">
        <v>6509.300339839538</v>
      </c>
      <c r="S30" s="233" t="n">
        <v>6509.300339839538</v>
      </c>
      <c r="T30" s="233" t="n">
        <v>6509.300339839538</v>
      </c>
      <c r="U30" s="233" t="n">
        <v>6509.300339839538</v>
      </c>
      <c r="V30" s="233" t="n">
        <v>6509.300339839538</v>
      </c>
      <c r="W30" s="233" t="n">
        <v>6509.300339839538</v>
      </c>
      <c r="X30" s="233" t="n">
        <v>6509.300339839538</v>
      </c>
      <c r="Y30" s="233" t="n">
        <v>6509.300339839538</v>
      </c>
      <c r="Z30" s="233" t="n">
        <v>6509.300339839538</v>
      </c>
      <c r="AA30" s="204" t="n">
        <v>6509.300339839538</v>
      </c>
      <c r="AB30" s="204" t="n">
        <v>6509.300339839538</v>
      </c>
      <c r="AC30" s="204" t="n">
        <v>6509.300339839538</v>
      </c>
      <c r="AD30" s="204" t="n">
        <v>6509.300339839538</v>
      </c>
      <c r="AE30" s="204" t="n">
        <v>6509.300339839538</v>
      </c>
      <c r="AF30" s="204" t="n">
        <v>6509.300339839538</v>
      </c>
      <c r="AG30" s="204" t="n">
        <v>6509.300339839538</v>
      </c>
      <c r="AH30" s="204" t="n">
        <v>6509.300339839538</v>
      </c>
      <c r="AI30" s="204" t="n">
        <v>6565.698864525184</v>
      </c>
      <c r="AJ30" s="204" t="n">
        <v>6754.316311017319</v>
      </c>
      <c r="AK30" s="204" t="n">
        <v>6780.176909102069</v>
      </c>
      <c r="AL30" s="204" t="n">
        <v>6852.845810811035</v>
      </c>
      <c r="AM30" s="204" t="n">
        <v>7278.682173918118</v>
      </c>
      <c r="AN30" s="204" t="n">
        <v>7395.393235345138</v>
      </c>
      <c r="AO30" s="204" t="n">
        <v>7395.393235345138</v>
      </c>
      <c r="AP30" s="204" t="n">
        <v>7395.393235345138</v>
      </c>
      <c r="AQ30" s="204" t="n">
        <v>7395.393235345138</v>
      </c>
      <c r="AR30" s="204" t="n">
        <v>7395.393235345138</v>
      </c>
      <c r="AS30" s="204" t="n">
        <v>7418.529159030179</v>
      </c>
      <c r="AT30" s="204" t="n">
        <v>7703.443706435035</v>
      </c>
      <c r="AU30" s="204" t="n">
        <v>7703.443706435035</v>
      </c>
      <c r="AV30" s="200" t="n">
        <v>7703.443706435035</v>
      </c>
      <c r="AW30" s="184" t="n">
        <v>7703.443706435035</v>
      </c>
      <c r="AX30" s="184" t="n">
        <v>7703.443706435035</v>
      </c>
      <c r="AY30" s="184" t="n"/>
      <c r="AZ30" s="155" t="n"/>
      <c r="BA30" s="155" t="n"/>
      <c r="BB30" s="156" t="n"/>
      <c r="BC30" s="175" t="n">
        <v>-0.01530641132561628</v>
      </c>
      <c r="BD30" s="175" t="n">
        <v>-0.01530641132561628</v>
      </c>
      <c r="BE30" s="156" t="n"/>
      <c r="BF30" s="156">
        <f t="array" ref="BF30">_xlfn.XLOOKUP(MIN(ABS($BJ$7:$BJ$29 - MEDIAN(MIN($BJ$7:$BJ$29), MAX($BJ$7:$BJ$29), BD30))), ABS($BJ$7:$BJ$29 - MEDIAN(MIN($BJ$7:$BJ$29), MAX($BJ$7:$BJ$29), BD30)), $BK$7:$BK$29, "Error", 0)</f>
        <v/>
      </c>
      <c r="BG30" s="156" t="n"/>
      <c r="BH30" s="156" t="n"/>
      <c r="BI30" s="156" t="n"/>
      <c r="BJ30" s="156" t="n"/>
      <c r="BK30" s="156" t="n"/>
    </row>
    <row r="31" ht="22" customHeight="1">
      <c r="A31" s="303" t="n"/>
      <c r="B31" s="201" t="inlineStr">
        <is>
          <t>current price</t>
        </is>
      </c>
      <c r="C31" s="233" t="n">
        <v>4517.632480106084</v>
      </c>
      <c r="D31" s="233" t="n">
        <v>4497.431823253166</v>
      </c>
      <c r="E31" s="233" t="n">
        <v>4705.410567823914</v>
      </c>
      <c r="F31" s="233" t="n">
        <v>4851.224205619597</v>
      </c>
      <c r="G31" s="233" t="n">
        <v>4527.251554935123</v>
      </c>
      <c r="H31" s="233" t="n">
        <v>4780.943861039355</v>
      </c>
      <c r="I31" s="233" t="n">
        <v>4929.290294646577</v>
      </c>
      <c r="J31" s="233" t="n">
        <v>4697.835491719015</v>
      </c>
      <c r="K31" s="233" t="n">
        <v>4419.96835965151</v>
      </c>
      <c r="L31" s="233" t="n">
        <v>4310.893338315538</v>
      </c>
      <c r="M31" s="233" t="n">
        <v>4809.189374820387</v>
      </c>
      <c r="N31" s="233" t="n">
        <v>4999.060127247125</v>
      </c>
      <c r="O31" s="233" t="n">
        <v>5040.445839990221</v>
      </c>
      <c r="P31" s="233" t="n">
        <v>5286.925254135509</v>
      </c>
      <c r="Q31" s="233" t="n">
        <v>5490.840314542642</v>
      </c>
      <c r="R31" s="233" t="n">
        <v>5273.43272319634</v>
      </c>
      <c r="S31" s="233" t="n">
        <v>5400.01086849696</v>
      </c>
      <c r="T31" s="233" t="n">
        <v>5247.153278780228</v>
      </c>
      <c r="U31" s="233" t="n">
        <v>5270.607035711815</v>
      </c>
      <c r="V31" s="233" t="n">
        <v>5484.491348514683</v>
      </c>
      <c r="W31" s="233" t="n">
        <v>5585.410391576588</v>
      </c>
      <c r="X31" s="233" t="n">
        <v>5242.409368642489</v>
      </c>
      <c r="Y31" s="233" t="n">
        <v>5083.483346845314</v>
      </c>
      <c r="Z31" s="233" t="n">
        <v>5094.831191449834</v>
      </c>
      <c r="AA31" s="204" t="n">
        <v>5496.906503319042</v>
      </c>
      <c r="AB31" s="204" t="n">
        <v>5679.414339352516</v>
      </c>
      <c r="AC31" s="204" t="n">
        <v>5680.813500807679</v>
      </c>
      <c r="AD31" s="204" t="n">
        <v>5877.110349409399</v>
      </c>
      <c r="AE31" s="204" t="n">
        <v>6091.4754250939</v>
      </c>
      <c r="AF31" s="204" t="n">
        <v>6219.3503090085</v>
      </c>
      <c r="AG31" s="204" t="n">
        <v>6080.325412741397</v>
      </c>
      <c r="AH31" s="204" t="n">
        <v>6254.212643332605</v>
      </c>
      <c r="AI31" s="204" t="n">
        <v>6487.441231449135</v>
      </c>
      <c r="AJ31" s="204" t="n">
        <v>6552.377200694871</v>
      </c>
      <c r="AK31" s="204" t="n">
        <v>6573.315374165308</v>
      </c>
      <c r="AL31" s="204" t="n">
        <v>6803.338781997096</v>
      </c>
      <c r="AM31" s="204" t="n">
        <v>7051.345233048778</v>
      </c>
      <c r="AN31" s="204" t="n">
        <v>7245.184516673908</v>
      </c>
      <c r="AO31" s="204" t="n">
        <v>6382.912703547394</v>
      </c>
      <c r="AP31" s="204" t="n">
        <v>6872.367863245541</v>
      </c>
      <c r="AQ31" s="204" t="n">
        <v>7055.200938976952</v>
      </c>
      <c r="AR31" s="204" t="n">
        <v>7227.972087662201</v>
      </c>
      <c r="AS31" s="204" t="n">
        <v>7326.66890296014</v>
      </c>
      <c r="AT31" s="204" t="n">
        <v>7440.29925860744</v>
      </c>
      <c r="AU31" s="204" t="n">
        <v>7185.976383085654</v>
      </c>
      <c r="AV31" s="201" t="n">
        <v>7185.976383085654</v>
      </c>
      <c r="AW31" s="184" t="n">
        <v>7185.976383085654</v>
      </c>
      <c r="AX31" s="184" t="n">
        <v>7185.976383085654</v>
      </c>
      <c r="AY31" s="184" t="n"/>
      <c r="AZ31" s="155" t="n"/>
      <c r="BA31" s="155" t="n"/>
      <c r="BB31" s="156" t="n"/>
      <c r="BC31" s="175" t="n">
        <v>0.006181344968478698</v>
      </c>
      <c r="BD31" s="175" t="n">
        <v>0.006181344968478698</v>
      </c>
      <c r="BE31" s="156" t="n"/>
      <c r="BF31" s="156">
        <f t="array" ref="BF31">_xlfn.XLOOKUP(MIN(ABS($BJ$7:$BJ$29 - MEDIAN(MIN($BJ$7:$BJ$29), MAX($BJ$7:$BJ$29), BD31))), ABS($BJ$7:$BJ$29 - MEDIAN(MIN($BJ$7:$BJ$29), MAX($BJ$7:$BJ$29), BD31)), $BK$7:$BK$29, "Error", 0)</f>
        <v/>
      </c>
      <c r="BG31" s="156" t="n"/>
      <c r="BH31" s="156" t="n"/>
      <c r="BI31" s="156" t="n"/>
      <c r="BJ31" s="156" t="n"/>
      <c r="BK31" s="156" t="n"/>
    </row>
    <row r="32" ht="22" customHeight="1">
      <c r="A32" s="303" t="n"/>
      <c r="B32" s="201" t="inlineStr">
        <is>
          <t>% CHANGE</t>
        </is>
      </c>
      <c r="C32" s="230">
        <f>+(C31-C30)/C30</f>
        <v/>
      </c>
      <c r="D32" s="230">
        <f>+(D31-D30)/D30</f>
        <v/>
      </c>
      <c r="E32" s="230">
        <f>+(E31-E30)/E30</f>
        <v/>
      </c>
      <c r="F32" s="230">
        <f>+(F31-F30)/F30</f>
        <v/>
      </c>
      <c r="G32" s="230">
        <f>+(G31-G30)/G30</f>
        <v/>
      </c>
      <c r="H32" s="230">
        <f>+(H31-H30)/H30</f>
        <v/>
      </c>
      <c r="I32" s="230">
        <f>+(I31-I30)/I30</f>
        <v/>
      </c>
      <c r="J32" s="230">
        <f>+(J31-J30)/J30</f>
        <v/>
      </c>
      <c r="K32" s="230">
        <f>+(K31-K30)/K30</f>
        <v/>
      </c>
      <c r="L32" s="230">
        <f>+(L31-L30)/L30</f>
        <v/>
      </c>
      <c r="M32" s="230">
        <f>+(M31-M30)/M30</f>
        <v/>
      </c>
      <c r="N32" s="230">
        <f>+(N31-N30)/N30</f>
        <v/>
      </c>
      <c r="O32" s="230">
        <f>+(O31-O30)/O30</f>
        <v/>
      </c>
      <c r="P32" s="230">
        <f>+(P31-P30)/P30</f>
        <v/>
      </c>
      <c r="Q32" s="230">
        <f>+(Q31-Q30)/Q30</f>
        <v/>
      </c>
      <c r="R32" s="230">
        <f>+(R31-R30)/R30</f>
        <v/>
      </c>
      <c r="S32" s="230">
        <f>+(S31-S30)/S30</f>
        <v/>
      </c>
      <c r="T32" s="230">
        <f>+(T31-T30)/T30</f>
        <v/>
      </c>
      <c r="U32" s="230">
        <f>+(U31-U30)/U30</f>
        <v/>
      </c>
      <c r="V32" s="230">
        <f>+(V31-V30)/V30</f>
        <v/>
      </c>
      <c r="W32" s="230">
        <f>+(W31-W30)/W30</f>
        <v/>
      </c>
      <c r="X32" s="230">
        <f>+(X31-X30)/X30</f>
        <v/>
      </c>
      <c r="Y32" s="230">
        <f>+(Y31-Y30)/Y30</f>
        <v/>
      </c>
      <c r="Z32" s="230">
        <f>+(Z31-Z30)/Z30</f>
        <v/>
      </c>
      <c r="AA32" s="230">
        <f>+(AA31-AA30)/AA30</f>
        <v/>
      </c>
      <c r="AB32" s="205">
        <f>+(AB31-AB30)/AB30</f>
        <v/>
      </c>
      <c r="AC32" s="205">
        <f>+(AC31-AC30)/AC30</f>
        <v/>
      </c>
      <c r="AD32" s="205">
        <f>+(AD31-AD30)/AD30</f>
        <v/>
      </c>
      <c r="AE32" s="205">
        <f>+(AE31-AE30)/AE30</f>
        <v/>
      </c>
      <c r="AF32" s="205">
        <f>+(AF31-AF30)/AF30</f>
        <v/>
      </c>
      <c r="AG32" s="205">
        <f>+(AG31-AG30)/AG30</f>
        <v/>
      </c>
      <c r="AH32" s="205">
        <f>+(AH31-AH30)/AH30</f>
        <v/>
      </c>
      <c r="AI32" s="205">
        <f>+(AI31-AI30)/AI30</f>
        <v/>
      </c>
      <c r="AJ32" s="205">
        <f>+(AJ31-AJ30)/AJ30</f>
        <v/>
      </c>
      <c r="AK32" s="205">
        <f>+(AK31-AK30)/AK30</f>
        <v/>
      </c>
      <c r="AL32" s="205">
        <f>+(AL31-AL30)/AL30</f>
        <v/>
      </c>
      <c r="AM32" s="205">
        <f>+(AM31-AM30)/AM30</f>
        <v/>
      </c>
      <c r="AN32" s="205">
        <f>+(AN31-AN30)/AN30</f>
        <v/>
      </c>
      <c r="AO32" s="205">
        <f>+(AO31-AO30)/AO30</f>
        <v/>
      </c>
      <c r="AP32" s="205">
        <f>+(AP31-AP30)/AP30</f>
        <v/>
      </c>
      <c r="AQ32" s="205">
        <f>+(AQ31-AQ30)/AQ30</f>
        <v/>
      </c>
      <c r="AR32" s="205">
        <f>+(AR31-AR30)/AR30</f>
        <v/>
      </c>
      <c r="AS32" s="205">
        <f>+(AS31-AS30)/AS30</f>
        <v/>
      </c>
      <c r="AT32" s="205">
        <f>+(AT31-AT30)/AT30</f>
        <v/>
      </c>
      <c r="AU32" s="205">
        <f>+(AU31-AU30)/AU30</f>
        <v/>
      </c>
      <c r="AV32" s="201">
        <f>+(AV31-AV30)/AV30</f>
        <v/>
      </c>
      <c r="AW32" s="184">
        <f>+(AW31-AW30)/AW30</f>
        <v/>
      </c>
      <c r="AX32" s="184">
        <f>+(AX31-AX30)/AX30</f>
        <v/>
      </c>
      <c r="AY32" s="184" t="n"/>
      <c r="AZ32" s="155" t="n"/>
      <c r="BA32" s="155" t="n"/>
      <c r="BB32" s="156" t="n"/>
      <c r="BC32" s="175" t="n">
        <v>0.001608214723399552</v>
      </c>
      <c r="BD32" s="175" t="n">
        <v>0.001608214723399552</v>
      </c>
      <c r="BE32" s="156" t="n"/>
      <c r="BF32" s="156">
        <f t="array" ref="BF32">_xlfn.XLOOKUP(MIN(ABS($BJ$7:$BJ$29 - MEDIAN(MIN($BJ$7:$BJ$29), MAX($BJ$7:$BJ$29), BD32))), ABS($BJ$7:$BJ$29 - MEDIAN(MIN($BJ$7:$BJ$29), MAX($BJ$7:$BJ$29), BD32)), $BK$7:$BK$29, "Error", 0)</f>
        <v/>
      </c>
      <c r="BG32" s="156" t="n"/>
      <c r="BH32" s="156" t="n"/>
      <c r="BI32" s="156" t="n"/>
      <c r="BJ32" s="156" t="n"/>
      <c r="BK32" s="156" t="n"/>
    </row>
    <row r="33" ht="44" customHeight="1">
      <c r="A33" s="303" t="n"/>
      <c r="B33" s="201" t="inlineStr">
        <is>
          <t>All time High STOXX50</t>
        </is>
      </c>
      <c r="C33" s="233" t="n">
        <v>4522.240234375</v>
      </c>
      <c r="D33" s="233" t="n">
        <v>4522.240234375</v>
      </c>
      <c r="E33" s="233" t="n">
        <v>4522.240234375</v>
      </c>
      <c r="F33" s="233" t="n">
        <v>4522.240234375</v>
      </c>
      <c r="G33" s="233" t="n">
        <v>4522.240234375</v>
      </c>
      <c r="H33" s="233" t="n">
        <v>4522.240234375</v>
      </c>
      <c r="I33" s="233" t="n">
        <v>4522.240234375</v>
      </c>
      <c r="J33" s="233" t="n">
        <v>4522.240234375</v>
      </c>
      <c r="K33" s="233" t="n">
        <v>4522.240234375</v>
      </c>
      <c r="L33" s="233" t="n">
        <v>4522.240234375</v>
      </c>
      <c r="M33" s="233" t="n">
        <v>4522.240234375</v>
      </c>
      <c r="N33" s="233" t="n">
        <v>4593.10986328125</v>
      </c>
      <c r="O33" s="233" t="n">
        <v>4674.740234375</v>
      </c>
      <c r="P33" s="233" t="n">
        <v>4898.3701171875</v>
      </c>
      <c r="Q33" s="233" t="n">
        <v>5103.259765625</v>
      </c>
      <c r="R33" s="233" t="n">
        <v>5103.259765625</v>
      </c>
      <c r="S33" s="233" t="n">
        <v>5103.259765625</v>
      </c>
      <c r="T33" s="233" t="n">
        <v>5103.259765625</v>
      </c>
      <c r="U33" s="233" t="n">
        <v>5103.259765625</v>
      </c>
      <c r="V33" s="233" t="n">
        <v>5103.259765625</v>
      </c>
      <c r="W33" s="233" t="n">
        <v>5103.259765625</v>
      </c>
      <c r="X33" s="233" t="n">
        <v>5103.259765625</v>
      </c>
      <c r="Y33" s="233" t="n">
        <v>5103.259765625</v>
      </c>
      <c r="Z33" s="233" t="n">
        <v>5103.259765625</v>
      </c>
      <c r="AA33" s="231" t="n">
        <v>5314.2900390625</v>
      </c>
      <c r="AB33" s="203" t="n">
        <v>5544.1201171875</v>
      </c>
      <c r="AC33" s="203" t="n">
        <v>5544.1201171875</v>
      </c>
      <c r="AD33" s="203" t="n">
        <v>5544.1201171875</v>
      </c>
      <c r="AE33" s="203" t="n">
        <v>5544.1201171875</v>
      </c>
      <c r="AF33" s="203" t="n">
        <v>5544.1201171875</v>
      </c>
      <c r="AG33" s="203" t="n">
        <v>5544.1201171875</v>
      </c>
      <c r="AH33" s="203" t="n">
        <v>5544.1201171875</v>
      </c>
      <c r="AI33" s="203" t="n">
        <v>5544.1201171875</v>
      </c>
      <c r="AJ33" s="203" t="n">
        <v>5734.27978515625</v>
      </c>
      <c r="AK33" s="203" t="n">
        <v>5818.06982421875</v>
      </c>
      <c r="AL33" s="203" t="n">
        <v>5818.06982421875</v>
      </c>
      <c r="AM33" s="203" t="n">
        <v>6053.68017578125</v>
      </c>
      <c r="AN33" s="203" t="n">
        <v>6199.77978515625</v>
      </c>
      <c r="AO33" s="203" t="n">
        <v>6199.77978515625</v>
      </c>
      <c r="AP33" s="203" t="n">
        <v>6199.77978515625</v>
      </c>
      <c r="AQ33" s="203" t="n">
        <v>6199.77978515625</v>
      </c>
      <c r="AR33" s="203" t="n">
        <v>6337.22021484375</v>
      </c>
      <c r="AS33" s="203" t="n">
        <v>6431.419921875</v>
      </c>
      <c r="AT33" s="203" t="n">
        <v>6577.2001953125</v>
      </c>
      <c r="AU33" s="203" t="n">
        <v>6577.2001953125</v>
      </c>
      <c r="AV33" s="201" t="n">
        <v>6577.2001953125</v>
      </c>
      <c r="AW33" s="184" t="n">
        <v>6577.2001953125</v>
      </c>
      <c r="AX33" s="184" t="n">
        <v>6577.2001953125</v>
      </c>
      <c r="AY33" s="184" t="n"/>
      <c r="AZ33" s="155" t="n"/>
      <c r="BA33" s="155" t="n"/>
      <c r="BB33" s="156" t="n"/>
      <c r="BC33" s="156" t="n"/>
      <c r="BD33" s="183" t="n"/>
      <c r="BE33" s="156" t="n"/>
      <c r="BF33" s="156" t="n"/>
      <c r="BG33" s="156" t="n"/>
      <c r="BH33" s="156" t="n"/>
      <c r="BI33" s="156" t="n"/>
      <c r="BJ33" s="156" t="n"/>
      <c r="BK33" s="156" t="n"/>
    </row>
    <row r="34" ht="44" customHeight="1">
      <c r="A34" s="303" t="n"/>
      <c r="B34" s="201" t="inlineStr">
        <is>
          <t>current price STOXX50</t>
        </is>
      </c>
      <c r="C34" s="233" t="n">
        <v>4163.4501953125</v>
      </c>
      <c r="D34" s="233" t="n">
        <v>4238.3798828125</v>
      </c>
      <c r="E34" s="233" t="n">
        <v>4315.0498046875</v>
      </c>
      <c r="F34" s="233" t="n">
        <v>4359.31005859375</v>
      </c>
      <c r="G34" s="233" t="n">
        <v>4218.0400390625</v>
      </c>
      <c r="H34" s="233" t="n">
        <v>4399.08984375</v>
      </c>
      <c r="I34" s="233" t="n">
        <v>4471.31005859375</v>
      </c>
      <c r="J34" s="233" t="n">
        <v>4297.10986328125</v>
      </c>
      <c r="K34" s="233" t="n">
        <v>4174.66015625</v>
      </c>
      <c r="L34" s="233" t="n">
        <v>4061.1201171875</v>
      </c>
      <c r="M34" s="233" t="n">
        <v>4382.47021484375</v>
      </c>
      <c r="N34" s="233" t="n">
        <v>4521.64990234375</v>
      </c>
      <c r="O34" s="233" t="n">
        <v>4648.39990234375</v>
      </c>
      <c r="P34" s="233" t="n">
        <v>4877.77001953125</v>
      </c>
      <c r="Q34" s="233" t="n">
        <v>5083.419921875</v>
      </c>
      <c r="R34" s="233" t="n">
        <v>4921.22021484375</v>
      </c>
      <c r="S34" s="233" t="n">
        <v>4983.669921875</v>
      </c>
      <c r="T34" s="233" t="n">
        <v>4894.02001953125</v>
      </c>
      <c r="U34" s="233" t="n">
        <v>4872.93994140625</v>
      </c>
      <c r="V34" s="233" t="n">
        <v>4957.97998046875</v>
      </c>
      <c r="W34" s="233" t="n">
        <v>5000.4501953125</v>
      </c>
      <c r="X34" s="233" t="n">
        <v>4827.6298828125</v>
      </c>
      <c r="Y34" s="233" t="n">
        <v>4804.39990234375</v>
      </c>
      <c r="Z34" s="233" t="n">
        <v>4895.97998046875</v>
      </c>
      <c r="AA34" s="231" t="n">
        <v>5286.8701171875</v>
      </c>
      <c r="AB34" s="203" t="n">
        <v>5463.5400390625</v>
      </c>
      <c r="AC34" s="203" t="n">
        <v>5248.39013671875</v>
      </c>
      <c r="AD34" s="203" t="n">
        <v>5160.22021484375</v>
      </c>
      <c r="AE34" s="203" t="n">
        <v>5366.58984375</v>
      </c>
      <c r="AF34" s="203" t="n">
        <v>5303.240234375</v>
      </c>
      <c r="AG34" s="203" t="n">
        <v>5319.919921875</v>
      </c>
      <c r="AH34" s="203" t="n">
        <v>5351.72998046875</v>
      </c>
      <c r="AI34" s="203" t="n">
        <v>5529.9599609375</v>
      </c>
      <c r="AJ34" s="203" t="n">
        <v>5662.0400390625</v>
      </c>
      <c r="AK34" s="203" t="n">
        <v>5668.169921875</v>
      </c>
      <c r="AL34" s="203" t="n">
        <v>5791.41015625</v>
      </c>
      <c r="AM34" s="203" t="n">
        <v>5947.81005859375</v>
      </c>
      <c r="AN34" s="203" t="n">
        <v>6138.41015625</v>
      </c>
      <c r="AO34" s="203" t="n">
        <v>5569.72998046875</v>
      </c>
      <c r="AP34" s="203" t="n">
        <v>5881.509765625</v>
      </c>
      <c r="AQ34" s="203" t="n">
        <v>6050.5400390625</v>
      </c>
      <c r="AR34" s="203" t="n">
        <v>6328.08984375</v>
      </c>
      <c r="AS34" s="203" t="n">
        <v>6358.009765625</v>
      </c>
      <c r="AT34" s="203" t="n">
        <v>6420.16015625</v>
      </c>
      <c r="AU34" s="203" t="n">
        <v>6302.81982421875</v>
      </c>
      <c r="AV34" s="201" t="n">
        <v>6302.81982421875</v>
      </c>
      <c r="AW34" s="184" t="n">
        <v>6302.81982421875</v>
      </c>
      <c r="AX34" s="184" t="n">
        <v>6302.81982421875</v>
      </c>
      <c r="AY34" s="184" t="n"/>
      <c r="AZ34" s="155" t="n"/>
      <c r="BA34" s="155" t="n"/>
      <c r="BB34" s="156" t="n"/>
      <c r="BC34" s="156" t="n"/>
      <c r="BD34" s="183" t="n"/>
      <c r="BE34" s="156" t="n"/>
      <c r="BF34" s="156" t="n"/>
      <c r="BG34" s="156" t="n"/>
      <c r="BH34" s="156" t="n"/>
      <c r="BI34" s="156" t="n"/>
      <c r="BJ34" s="156" t="n"/>
      <c r="BK34" s="156" t="n"/>
    </row>
    <row r="35" ht="44" customHeight="1">
      <c r="A35" s="303" t="n"/>
      <c r="B35" s="201" t="inlineStr">
        <is>
          <t>original index % change</t>
        </is>
      </c>
      <c r="C35" s="230">
        <f>+(C34-C33)/C33</f>
        <v/>
      </c>
      <c r="D35" s="230">
        <f>+(D34-D33)/D33</f>
        <v/>
      </c>
      <c r="E35" s="230">
        <f>+(E34-E33)/E33</f>
        <v/>
      </c>
      <c r="F35" s="230">
        <f>+(F34-F33)/F33</f>
        <v/>
      </c>
      <c r="G35" s="230">
        <f>+(G34-G33)/G33</f>
        <v/>
      </c>
      <c r="H35" s="230">
        <f>+(H34-H33)/H33</f>
        <v/>
      </c>
      <c r="I35" s="230">
        <f>+(I34-I33)/I33</f>
        <v/>
      </c>
      <c r="J35" s="230">
        <f>+(J34-J33)/J33</f>
        <v/>
      </c>
      <c r="K35" s="230">
        <f>+(K34-K33)/K33</f>
        <v/>
      </c>
      <c r="L35" s="230">
        <f>+(L34-L33)/L33</f>
        <v/>
      </c>
      <c r="M35" s="230">
        <f>+(M34-M33)/M33</f>
        <v/>
      </c>
      <c r="N35" s="230">
        <f>+(N34-N33)/N33</f>
        <v/>
      </c>
      <c r="O35" s="230">
        <f>+(O34-O33)/O33</f>
        <v/>
      </c>
      <c r="P35" s="230">
        <f>+(P34-P33)/P33</f>
        <v/>
      </c>
      <c r="Q35" s="230">
        <f>+(Q34-Q33)/Q33</f>
        <v/>
      </c>
      <c r="R35" s="230">
        <f>+(R34-R33)/R33</f>
        <v/>
      </c>
      <c r="S35" s="230">
        <f>+(S34-S33)/S33</f>
        <v/>
      </c>
      <c r="T35" s="230">
        <f>+(T34-T33)/T33</f>
        <v/>
      </c>
      <c r="U35" s="230">
        <f>+(U34-U33)/U33</f>
        <v/>
      </c>
      <c r="V35" s="230">
        <f>+(V34-V33)/V33</f>
        <v/>
      </c>
      <c r="W35" s="230">
        <f>+(W34-W33)/W33</f>
        <v/>
      </c>
      <c r="X35" s="230">
        <f>+(X34-X33)/X33</f>
        <v/>
      </c>
      <c r="Y35" s="230">
        <f>+(Y34-Y33)/Y33</f>
        <v/>
      </c>
      <c r="Z35" s="230">
        <f>+(Z34-Z33)/Z33</f>
        <v/>
      </c>
      <c r="AA35" s="230">
        <f>+(AA34-AA33)/AA33</f>
        <v/>
      </c>
      <c r="AB35" s="205">
        <f>+(AB34-AB33)/AB33</f>
        <v/>
      </c>
      <c r="AC35" s="205">
        <f>+(AC34-AC33)/AC33</f>
        <v/>
      </c>
      <c r="AD35" s="205">
        <f>+(AD34-AD33)/AD33</f>
        <v/>
      </c>
      <c r="AE35" s="205">
        <f>+(AE34-AE33)/AE33</f>
        <v/>
      </c>
      <c r="AF35" s="205">
        <f>+(AF34-AF33)/AF33</f>
        <v/>
      </c>
      <c r="AG35" s="205">
        <f>+(AG34-AG33)/AG33</f>
        <v/>
      </c>
      <c r="AH35" s="205">
        <f>+(AH34-AH33)/AH33</f>
        <v/>
      </c>
      <c r="AI35" s="205">
        <f>+(AI34-AI33)/AI33</f>
        <v/>
      </c>
      <c r="AJ35" s="205">
        <f>+(AJ34-AJ33)/AJ33</f>
        <v/>
      </c>
      <c r="AK35" s="205">
        <f>+(AK34-AK33)/AK33</f>
        <v/>
      </c>
      <c r="AL35" s="205">
        <f>+(AL34-AL33)/AL33</f>
        <v/>
      </c>
      <c r="AM35" s="205">
        <f>+(AM34-AM33)/AM33</f>
        <v/>
      </c>
      <c r="AN35" s="205">
        <f>+(AN34-AN33)/AN33</f>
        <v/>
      </c>
      <c r="AO35" s="205">
        <f>+(AO34-AO33)/AO33</f>
        <v/>
      </c>
      <c r="AP35" s="205">
        <f>+(AP34-AP33)/AP33</f>
        <v/>
      </c>
      <c r="AQ35" s="205">
        <f>+(AQ34-AQ33)/AQ33</f>
        <v/>
      </c>
      <c r="AR35" s="205">
        <f>+(AR34-AR33)/AR33</f>
        <v/>
      </c>
      <c r="AS35" s="205">
        <f>+(AS34-AS33)/AS33</f>
        <v/>
      </c>
      <c r="AT35" s="205">
        <f>+(AT34-AT33)/AT33</f>
        <v/>
      </c>
      <c r="AU35" s="205">
        <f>+(AU34-AU33)/AU33</f>
        <v/>
      </c>
      <c r="AV35" s="201">
        <f>+(AV34-AV33)/AV33</f>
        <v/>
      </c>
      <c r="AW35" s="184">
        <f>+(AW34-AW33)/AW33</f>
        <v/>
      </c>
      <c r="AX35" s="184">
        <f>+(AX34-AX33)/AX33</f>
        <v/>
      </c>
      <c r="AY35" s="184" t="n"/>
    </row>
    <row r="36" ht="22" customHeight="1">
      <c r="A36" s="303" t="n"/>
      <c r="B36" s="201" t="inlineStr">
        <is>
          <t>real % change</t>
        </is>
      </c>
      <c r="C36" s="230">
        <f>+C32-C35</f>
        <v/>
      </c>
      <c r="D36" s="230">
        <f>+D32-D35</f>
        <v/>
      </c>
      <c r="E36" s="230">
        <f>+E32-E35</f>
        <v/>
      </c>
      <c r="F36" s="230">
        <f>+F32-F35</f>
        <v/>
      </c>
      <c r="G36" s="230">
        <f>+G32-G35</f>
        <v/>
      </c>
      <c r="H36" s="230">
        <f>+H32-H35</f>
        <v/>
      </c>
      <c r="I36" s="230">
        <f>+I32-I35</f>
        <v/>
      </c>
      <c r="J36" s="230">
        <f>+J32-J35</f>
        <v/>
      </c>
      <c r="K36" s="230">
        <f>+K32-K35</f>
        <v/>
      </c>
      <c r="L36" s="230">
        <f>+L32-L35</f>
        <v/>
      </c>
      <c r="M36" s="230">
        <f>+M32-M35</f>
        <v/>
      </c>
      <c r="N36" s="230">
        <f>+N32-N35</f>
        <v/>
      </c>
      <c r="O36" s="230">
        <f>+O32-O35</f>
        <v/>
      </c>
      <c r="P36" s="230">
        <f>+P32-P35</f>
        <v/>
      </c>
      <c r="Q36" s="230">
        <f>+Q32-Q35</f>
        <v/>
      </c>
      <c r="R36" s="230">
        <f>+R32-R35</f>
        <v/>
      </c>
      <c r="S36" s="230">
        <f>+S32-S35</f>
        <v/>
      </c>
      <c r="T36" s="230">
        <f>+T32-T35</f>
        <v/>
      </c>
      <c r="U36" s="230">
        <f>+U32-U35</f>
        <v/>
      </c>
      <c r="V36" s="230">
        <f>+V32-V35</f>
        <v/>
      </c>
      <c r="W36" s="230">
        <f>+W32-W35</f>
        <v/>
      </c>
      <c r="X36" s="230">
        <f>+X32-X35</f>
        <v/>
      </c>
      <c r="Y36" s="230">
        <f>+Y32-Y35</f>
        <v/>
      </c>
      <c r="Z36" s="230">
        <f>+Z32-Z35</f>
        <v/>
      </c>
      <c r="AA36" s="230">
        <f>+AA32-AA35</f>
        <v/>
      </c>
      <c r="AB36" s="205">
        <f>+AB32-AB35</f>
        <v/>
      </c>
      <c r="AC36" s="205">
        <f>+AC32-AC35</f>
        <v/>
      </c>
      <c r="AD36" s="205">
        <f>+AD32-AD35</f>
        <v/>
      </c>
      <c r="AE36" s="205">
        <f>+AE32-AE35</f>
        <v/>
      </c>
      <c r="AF36" s="205">
        <f>+AF32-AF35</f>
        <v/>
      </c>
      <c r="AG36" s="205">
        <f>+AG32-AG35</f>
        <v/>
      </c>
      <c r="AH36" s="205">
        <f>+AH32-AH35</f>
        <v/>
      </c>
      <c r="AI36" s="205">
        <f>+AI32-AI35</f>
        <v/>
      </c>
      <c r="AJ36" s="205">
        <f>+AJ32-AJ35</f>
        <v/>
      </c>
      <c r="AK36" s="205">
        <f>+AK32-AK35</f>
        <v/>
      </c>
      <c r="AL36" s="205">
        <f>+AL32-AL35</f>
        <v/>
      </c>
      <c r="AM36" s="205">
        <f>+AM32-AM35</f>
        <v/>
      </c>
      <c r="AN36" s="205">
        <f>+AN32-AN35</f>
        <v/>
      </c>
      <c r="AO36" s="205">
        <f>+AO32-AO35</f>
        <v/>
      </c>
      <c r="AP36" s="205">
        <f>+AP32-AP35</f>
        <v/>
      </c>
      <c r="AQ36" s="205">
        <f>+AQ32-AQ35</f>
        <v/>
      </c>
      <c r="AR36" s="205">
        <f>+AR32-AR35</f>
        <v/>
      </c>
      <c r="AS36" s="205">
        <f>+AS32-AS35</f>
        <v/>
      </c>
      <c r="AT36" s="205">
        <f>+AT32-AT35</f>
        <v/>
      </c>
      <c r="AU36" s="205">
        <f>+AU32-AU35</f>
        <v/>
      </c>
      <c r="AV36" s="201">
        <f>+AV32-AV35</f>
        <v/>
      </c>
      <c r="AW36" s="184">
        <f>+AW32-AW35</f>
        <v/>
      </c>
      <c r="AX36" s="184">
        <f>+AX32-AX35</f>
        <v/>
      </c>
      <c r="AY36" s="184" t="n"/>
    </row>
    <row r="37" ht="22" customHeight="1">
      <c r="A37" s="304" t="n"/>
      <c r="B37" s="206" t="inlineStr">
        <is>
          <t>Rating</t>
        </is>
      </c>
      <c r="C37" s="232">
        <f>_xlfn.XLOOKUP(MIN(ABS($BJ$7:$BJ$29 - MEDIAN(MIN($BJ$7:$BJ$29), MAX($BJ$7:$BJ$29), C36))), ABS($BJ$7:$BJ$29 - MEDIAN(MIN($BJ$7:$BJ$29), MAX($BJ$7:$BJ$29), C36)), $BK$7:$BK$29, "Error", 0)</f>
        <v/>
      </c>
      <c r="D37" s="232">
        <f>_xlfn.XLOOKUP(MIN(ABS($BJ$7:$BJ$29 - MEDIAN(MIN($BJ$7:$BJ$29), MAX($BJ$7:$BJ$29), D36))), ABS($BJ$7:$BJ$29 - MEDIAN(MIN($BJ$7:$BJ$29), MAX($BJ$7:$BJ$29), D36)), $BK$7:$BK$29, "Error", 0)</f>
        <v/>
      </c>
      <c r="E37" s="232">
        <f>_xlfn.XLOOKUP(MIN(ABS($BJ$7:$BJ$29 - MEDIAN(MIN($BJ$7:$BJ$29), MAX($BJ$7:$BJ$29), E36))), ABS($BJ$7:$BJ$29 - MEDIAN(MIN($BJ$7:$BJ$29), MAX($BJ$7:$BJ$29), E36)), $BK$7:$BK$29, "Error", 0)</f>
        <v/>
      </c>
      <c r="F37" s="232">
        <f>_xlfn.XLOOKUP(MIN(ABS($BJ$7:$BJ$29 - MEDIAN(MIN($BJ$7:$BJ$29), MAX($BJ$7:$BJ$29), F36))), ABS($BJ$7:$BJ$29 - MEDIAN(MIN($BJ$7:$BJ$29), MAX($BJ$7:$BJ$29), F36)), $BK$7:$BK$29, "Error", 0)</f>
        <v/>
      </c>
      <c r="G37" s="232">
        <f>_xlfn.XLOOKUP(MIN(ABS($BJ$7:$BJ$29 - MEDIAN(MIN($BJ$7:$BJ$29), MAX($BJ$7:$BJ$29), G36))), ABS($BJ$7:$BJ$29 - MEDIAN(MIN($BJ$7:$BJ$29), MAX($BJ$7:$BJ$29), G36)), $BK$7:$BK$29, "Error", 0)</f>
        <v/>
      </c>
      <c r="H37" s="232">
        <f>_xlfn.XLOOKUP(MIN(ABS($BJ$7:$BJ$29 - MEDIAN(MIN($BJ$7:$BJ$29), MAX($BJ$7:$BJ$29), H36))), ABS($BJ$7:$BJ$29 - MEDIAN(MIN($BJ$7:$BJ$29), MAX($BJ$7:$BJ$29), H36)), $BK$7:$BK$29, "Error", 0)</f>
        <v/>
      </c>
      <c r="I37" s="232">
        <f>_xlfn.XLOOKUP(MIN(ABS($BJ$7:$BJ$29 - MEDIAN(MIN($BJ$7:$BJ$29), MAX($BJ$7:$BJ$29), I36))), ABS($BJ$7:$BJ$29 - MEDIAN(MIN($BJ$7:$BJ$29), MAX($BJ$7:$BJ$29), I36)), $BK$7:$BK$29, "Error", 0)</f>
        <v/>
      </c>
      <c r="J37" s="232">
        <f>_xlfn.XLOOKUP(MIN(ABS($BJ$7:$BJ$29 - MEDIAN(MIN($BJ$7:$BJ$29), MAX($BJ$7:$BJ$29), J36))), ABS($BJ$7:$BJ$29 - MEDIAN(MIN($BJ$7:$BJ$29), MAX($BJ$7:$BJ$29), J36)), $BK$7:$BK$29, "Error", 0)</f>
        <v/>
      </c>
      <c r="K37" s="232">
        <f>_xlfn.XLOOKUP(MIN(ABS($BJ$7:$BJ$29 - MEDIAN(MIN($BJ$7:$BJ$29), MAX($BJ$7:$BJ$29), K36))), ABS($BJ$7:$BJ$29 - MEDIAN(MIN($BJ$7:$BJ$29), MAX($BJ$7:$BJ$29), K36)), $BK$7:$BK$29, "Error", 0)</f>
        <v/>
      </c>
      <c r="L37" s="232">
        <f>_xlfn.XLOOKUP(MIN(ABS($BJ$7:$BJ$29 - MEDIAN(MIN($BJ$7:$BJ$29), MAX($BJ$7:$BJ$29), L36))), ABS($BJ$7:$BJ$29 - MEDIAN(MIN($BJ$7:$BJ$29), MAX($BJ$7:$BJ$29), L36)), $BK$7:$BK$29, "Error", 0)</f>
        <v/>
      </c>
      <c r="M37" s="232">
        <f>_xlfn.XLOOKUP(MIN(ABS($BJ$7:$BJ$29 - MEDIAN(MIN($BJ$7:$BJ$29), MAX($BJ$7:$BJ$29), M36))), ABS($BJ$7:$BJ$29 - MEDIAN(MIN($BJ$7:$BJ$29), MAX($BJ$7:$BJ$29), M36)), $BK$7:$BK$29, "Error", 0)</f>
        <v/>
      </c>
      <c r="N37" s="232">
        <f>_xlfn.XLOOKUP(MIN(ABS($BJ$7:$BJ$29 - MEDIAN(MIN($BJ$7:$BJ$29), MAX($BJ$7:$BJ$29), N36))), ABS($BJ$7:$BJ$29 - MEDIAN(MIN($BJ$7:$BJ$29), MAX($BJ$7:$BJ$29), N36)), $BK$7:$BK$29, "Error", 0)</f>
        <v/>
      </c>
      <c r="O37" s="232">
        <f>_xlfn.XLOOKUP(MIN(ABS($BJ$7:$BJ$29 - MEDIAN(MIN($BJ$7:$BJ$29), MAX($BJ$7:$BJ$29), O36))), ABS($BJ$7:$BJ$29 - MEDIAN(MIN($BJ$7:$BJ$29), MAX($BJ$7:$BJ$29), O36)), $BK$7:$BK$29, "Error", 0)</f>
        <v/>
      </c>
      <c r="P37" s="232">
        <f>_xlfn.XLOOKUP(MIN(ABS($BJ$7:$BJ$29 - MEDIAN(MIN($BJ$7:$BJ$29), MAX($BJ$7:$BJ$29), P36))), ABS($BJ$7:$BJ$29 - MEDIAN(MIN($BJ$7:$BJ$29), MAX($BJ$7:$BJ$29), P36)), $BK$7:$BK$29, "Error", 0)</f>
        <v/>
      </c>
      <c r="Q37" s="232">
        <f>_xlfn.XLOOKUP(MIN(ABS($BJ$7:$BJ$29 - MEDIAN(MIN($BJ$7:$BJ$29), MAX($BJ$7:$BJ$29), Q36))), ABS($BJ$7:$BJ$29 - MEDIAN(MIN($BJ$7:$BJ$29), MAX($BJ$7:$BJ$29), Q36)), $BK$7:$BK$29, "Error", 0)</f>
        <v/>
      </c>
      <c r="R37" s="232">
        <f>_xlfn.XLOOKUP(MIN(ABS($BJ$7:$BJ$29 - MEDIAN(MIN($BJ$7:$BJ$29), MAX($BJ$7:$BJ$29), R36))), ABS($BJ$7:$BJ$29 - MEDIAN(MIN($BJ$7:$BJ$29), MAX($BJ$7:$BJ$29), R36)), $BK$7:$BK$29, "Error", 0)</f>
        <v/>
      </c>
      <c r="S37" s="232">
        <f>_xlfn.XLOOKUP(MIN(ABS($BJ$7:$BJ$29 - MEDIAN(MIN($BJ$7:$BJ$29), MAX($BJ$7:$BJ$29), S36))), ABS($BJ$7:$BJ$29 - MEDIAN(MIN($BJ$7:$BJ$29), MAX($BJ$7:$BJ$29), S36)), $BK$7:$BK$29, "Error", 0)</f>
        <v/>
      </c>
      <c r="T37" s="232">
        <f>_xlfn.XLOOKUP(MIN(ABS($BJ$7:$BJ$29 - MEDIAN(MIN($BJ$7:$BJ$29), MAX($BJ$7:$BJ$29), T36))), ABS($BJ$7:$BJ$29 - MEDIAN(MIN($BJ$7:$BJ$29), MAX($BJ$7:$BJ$29), T36)), $BK$7:$BK$29, "Error", 0)</f>
        <v/>
      </c>
      <c r="U37" s="232">
        <f>_xlfn.XLOOKUP(MIN(ABS($BJ$7:$BJ$29 - MEDIAN(MIN($BJ$7:$BJ$29), MAX($BJ$7:$BJ$29), U36))), ABS($BJ$7:$BJ$29 - MEDIAN(MIN($BJ$7:$BJ$29), MAX($BJ$7:$BJ$29), U36)), $BK$7:$BK$29, "Error", 0)</f>
        <v/>
      </c>
      <c r="V37" s="232">
        <f>_xlfn.XLOOKUP(MIN(ABS($BJ$7:$BJ$29 - MEDIAN(MIN($BJ$7:$BJ$29), MAX($BJ$7:$BJ$29), V36))), ABS($BJ$7:$BJ$29 - MEDIAN(MIN($BJ$7:$BJ$29), MAX($BJ$7:$BJ$29), V36)), $BK$7:$BK$29, "Error", 0)</f>
        <v/>
      </c>
      <c r="W37" s="232">
        <f>_xlfn.XLOOKUP(MIN(ABS($BJ$7:$BJ$29 - MEDIAN(MIN($BJ$7:$BJ$29), MAX($BJ$7:$BJ$29), W36))), ABS($BJ$7:$BJ$29 - MEDIAN(MIN($BJ$7:$BJ$29), MAX($BJ$7:$BJ$29), W36)), $BK$7:$BK$29, "Error", 0)</f>
        <v/>
      </c>
      <c r="X37" s="232">
        <f>_xlfn.XLOOKUP(MIN(ABS($BJ$7:$BJ$29 - MEDIAN(MIN($BJ$7:$BJ$29), MAX($BJ$7:$BJ$29), X36))), ABS($BJ$7:$BJ$29 - MEDIAN(MIN($BJ$7:$BJ$29), MAX($BJ$7:$BJ$29), X36)), $BK$7:$BK$29, "Error", 0)</f>
        <v/>
      </c>
      <c r="Y37" s="232">
        <f>_xlfn.XLOOKUP(MIN(ABS($BJ$7:$BJ$29 - MEDIAN(MIN($BJ$7:$BJ$29), MAX($BJ$7:$BJ$29), Y36))), ABS($BJ$7:$BJ$29 - MEDIAN(MIN($BJ$7:$BJ$29), MAX($BJ$7:$BJ$29), Y36)), $BK$7:$BK$29, "Error", 0)</f>
        <v/>
      </c>
      <c r="Z37" s="232">
        <f>_xlfn.XLOOKUP(MIN(ABS($BJ$7:$BJ$29 - MEDIAN(MIN($BJ$7:$BJ$29), MAX($BJ$7:$BJ$29), Z36))), ABS($BJ$7:$BJ$29 - MEDIAN(MIN($BJ$7:$BJ$29), MAX($BJ$7:$BJ$29), Z36)), $BK$7:$BK$29, "Error", 0)</f>
        <v/>
      </c>
      <c r="AA37" s="232">
        <f>_xlfn.XLOOKUP(MIN(ABS($BJ$7:$BJ$29 - MEDIAN(MIN($BJ$7:$BJ$29), MAX($BJ$7:$BJ$29), AA36))), ABS($BJ$7:$BJ$29 - MEDIAN(MIN($BJ$7:$BJ$29), MAX($BJ$7:$BJ$29), AA36)), $BK$7:$BK$29, "Error", 0)</f>
        <v/>
      </c>
      <c r="AB37" s="171">
        <f>_xlfn.XLOOKUP(MIN(ABS($BJ$7:$BJ$29 - MEDIAN(MIN($BJ$7:$BJ$29), MAX($BJ$7:$BJ$29), AB36))), ABS($BJ$7:$BJ$29 - MEDIAN(MIN($BJ$7:$BJ$29), MAX($BJ$7:$BJ$29), AB36)), $BK$7:$BK$29, "Error", 0)</f>
        <v/>
      </c>
      <c r="AC37" s="171">
        <f>_xlfn.XLOOKUP(MIN(ABS($BJ$7:$BJ$29 - MEDIAN(MIN($BJ$7:$BJ$29), MAX($BJ$7:$BJ$29), AC36))), ABS($BJ$7:$BJ$29 - MEDIAN(MIN($BJ$7:$BJ$29), MAX($BJ$7:$BJ$29), AC36)), $BK$7:$BK$29, "Error", 0)</f>
        <v/>
      </c>
      <c r="AD37" s="171">
        <f>_xlfn.XLOOKUP(MIN(ABS($BJ$7:$BJ$29 - MEDIAN(MIN($BJ$7:$BJ$29), MAX($BJ$7:$BJ$29), AD36))), ABS($BJ$7:$BJ$29 - MEDIAN(MIN($BJ$7:$BJ$29), MAX($BJ$7:$BJ$29), AD36)), $BK$7:$BK$29, "Error", 0)</f>
        <v/>
      </c>
      <c r="AE37" s="171">
        <f>_xlfn.XLOOKUP(MIN(ABS($BJ$7:$BJ$29 - MEDIAN(MIN($BJ$7:$BJ$29), MAX($BJ$7:$BJ$29), AE36))), ABS($BJ$7:$BJ$29 - MEDIAN(MIN($BJ$7:$BJ$29), MAX($BJ$7:$BJ$29), AE36)), $BK$7:$BK$29, "Error", 0)</f>
        <v/>
      </c>
      <c r="AF37" s="171">
        <f>_xlfn.XLOOKUP(MIN(ABS($BJ$7:$BJ$29 - MEDIAN(MIN($BJ$7:$BJ$29), MAX($BJ$7:$BJ$29), AF36))), ABS($BJ$7:$BJ$29 - MEDIAN(MIN($BJ$7:$BJ$29), MAX($BJ$7:$BJ$29), AF36)), $BK$7:$BK$29, "Error", 0)</f>
        <v/>
      </c>
      <c r="AG37" s="171">
        <f>_xlfn.XLOOKUP(MIN(ABS($BJ$7:$BJ$29 - MEDIAN(MIN($BJ$7:$BJ$29), MAX($BJ$7:$BJ$29), AG36))), ABS($BJ$7:$BJ$29 - MEDIAN(MIN($BJ$7:$BJ$29), MAX($BJ$7:$BJ$29), AG36)), $BK$7:$BK$29, "Error", 0)</f>
        <v/>
      </c>
      <c r="AH37" s="171">
        <f>_xlfn.XLOOKUP(MIN(ABS($BJ$7:$BJ$29 - MEDIAN(MIN($BJ$7:$BJ$29), MAX($BJ$7:$BJ$29), AH36))), ABS($BJ$7:$BJ$29 - MEDIAN(MIN($BJ$7:$BJ$29), MAX($BJ$7:$BJ$29), AH36)), $BK$7:$BK$29, "Error", 0)</f>
        <v/>
      </c>
      <c r="AI37" s="171">
        <f>_xlfn.XLOOKUP(MIN(ABS($BJ$7:$BJ$29 - MEDIAN(MIN($BJ$7:$BJ$29), MAX($BJ$7:$BJ$29), AI36))), ABS($BJ$7:$BJ$29 - MEDIAN(MIN($BJ$7:$BJ$29), MAX($BJ$7:$BJ$29), AI36)), $BK$7:$BK$29, "Error", 0)</f>
        <v/>
      </c>
      <c r="AJ37" s="171">
        <f>_xlfn.XLOOKUP(MIN(ABS($BJ$7:$BJ$29 - MEDIAN(MIN($BJ$7:$BJ$29), MAX($BJ$7:$BJ$29), AJ36))), ABS($BJ$7:$BJ$29 - MEDIAN(MIN($BJ$7:$BJ$29), MAX($BJ$7:$BJ$29), AJ36)), $BK$7:$BK$29, "Error", 0)</f>
        <v/>
      </c>
      <c r="AK37" s="171">
        <f>_xlfn.XLOOKUP(MIN(ABS($BJ$7:$BJ$29 - MEDIAN(MIN($BJ$7:$BJ$29), MAX($BJ$7:$BJ$29), AK36))), ABS($BJ$7:$BJ$29 - MEDIAN(MIN($BJ$7:$BJ$29), MAX($BJ$7:$BJ$29), AK36)), $BK$7:$BK$29, "Error", 0)</f>
        <v/>
      </c>
      <c r="AL37" s="171">
        <f>_xlfn.XLOOKUP(MIN(ABS($BJ$7:$BJ$29 - MEDIAN(MIN($BJ$7:$BJ$29), MAX($BJ$7:$BJ$29), AL36))), ABS($BJ$7:$BJ$29 - MEDIAN(MIN($BJ$7:$BJ$29), MAX($BJ$7:$BJ$29), AL36)), $BK$7:$BK$29, "Error", 0)</f>
        <v/>
      </c>
      <c r="AM37" s="171">
        <f>_xlfn.XLOOKUP(MIN(ABS($BJ$7:$BJ$29 - MEDIAN(MIN($BJ$7:$BJ$29), MAX($BJ$7:$BJ$29), AM36))), ABS($BJ$7:$BJ$29 - MEDIAN(MIN($BJ$7:$BJ$29), MAX($BJ$7:$BJ$29), AM36)), $BK$7:$BK$29, "Error", 0)</f>
        <v/>
      </c>
      <c r="AN37" s="171">
        <f>_xlfn.XLOOKUP(MIN(ABS($BJ$7:$BJ$29 - MEDIAN(MIN($BJ$7:$BJ$29), MAX($BJ$7:$BJ$29), AN36))), ABS($BJ$7:$BJ$29 - MEDIAN(MIN($BJ$7:$BJ$29), MAX($BJ$7:$BJ$29), AN36)), $BK$7:$BK$29, "Error", 0)</f>
        <v/>
      </c>
      <c r="AO37" s="171">
        <f>_xlfn.XLOOKUP(MIN(ABS($BJ$7:$BJ$29 - MEDIAN(MIN($BJ$7:$BJ$29), MAX($BJ$7:$BJ$29), AO36))), ABS($BJ$7:$BJ$29 - MEDIAN(MIN($BJ$7:$BJ$29), MAX($BJ$7:$BJ$29), AO36)), $BK$7:$BK$29, "Error", 0)</f>
        <v/>
      </c>
      <c r="AP37" s="171">
        <f>_xlfn.XLOOKUP(MIN(ABS($BJ$7:$BJ$29 - MEDIAN(MIN($BJ$7:$BJ$29), MAX($BJ$7:$BJ$29), AP36))), ABS($BJ$7:$BJ$29 - MEDIAN(MIN($BJ$7:$BJ$29), MAX($BJ$7:$BJ$29), AP36)), $BK$7:$BK$29, "Error", 0)</f>
        <v/>
      </c>
      <c r="AQ37" s="171">
        <f>_xlfn.XLOOKUP(MIN(ABS($BJ$7:$BJ$29 - MEDIAN(MIN($BJ$7:$BJ$29), MAX($BJ$7:$BJ$29), AQ36))), ABS($BJ$7:$BJ$29 - MEDIAN(MIN($BJ$7:$BJ$29), MAX($BJ$7:$BJ$29), AQ36)), $BK$7:$BK$29, "Error", 0)</f>
        <v/>
      </c>
      <c r="AR37" s="171">
        <f>_xlfn.XLOOKUP(MIN(ABS($BJ$7:$BJ$29 - MEDIAN(MIN($BJ$7:$BJ$29), MAX($BJ$7:$BJ$29), AR36))), ABS($BJ$7:$BJ$29 - MEDIAN(MIN($BJ$7:$BJ$29), MAX($BJ$7:$BJ$29), AR36)), $BK$7:$BK$29, "Error", 0)</f>
        <v/>
      </c>
      <c r="AS37" s="171">
        <f>_xlfn.XLOOKUP(MIN(ABS($BJ$7:$BJ$29 - MEDIAN(MIN($BJ$7:$BJ$29), MAX($BJ$7:$BJ$29), AS36))), ABS($BJ$7:$BJ$29 - MEDIAN(MIN($BJ$7:$BJ$29), MAX($BJ$7:$BJ$29), AS36)), $BK$7:$BK$29, "Error", 0)</f>
        <v/>
      </c>
      <c r="AT37" s="171">
        <f>_xlfn.XLOOKUP(MIN(ABS($BJ$7:$BJ$29 - MEDIAN(MIN($BJ$7:$BJ$29), MAX($BJ$7:$BJ$29), AT36))), ABS($BJ$7:$BJ$29 - MEDIAN(MIN($BJ$7:$BJ$29), MAX($BJ$7:$BJ$29), AT36)), $BK$7:$BK$29, "Error", 0)</f>
        <v/>
      </c>
      <c r="AU37" s="171">
        <f>_xlfn.XLOOKUP(MIN(ABS($BJ$7:$BJ$29 - MEDIAN(MIN($BJ$7:$BJ$29), MAX($BJ$7:$BJ$29), AU36))), ABS($BJ$7:$BJ$29 - MEDIAN(MIN($BJ$7:$BJ$29), MAX($BJ$7:$BJ$29), AU36)), $BK$7:$BK$29, "Error", 0)</f>
        <v/>
      </c>
      <c r="AV37" s="206">
        <f>_xlfn.XLOOKUP(MIN(ABS($BJ$7:$BJ$29 - MEDIAN(MIN($BJ$7:$BJ$29), MAX($BJ$7:$BJ$29), AV36))), ABS($BJ$7:$BJ$29 - MEDIAN(MIN($BJ$7:$BJ$29), MAX($BJ$7:$BJ$29), AV36)), $BK$7:$BK$29, "Error", 0)</f>
        <v/>
      </c>
      <c r="AW37" s="184">
        <f>_xlfn.XLOOKUP(MIN(ABS($BJ$7:$BJ$29 - MEDIAN(MIN($BJ$7:$BJ$29), MAX($BJ$7:$BJ$29), AW36))), ABS($BJ$7:$BJ$29 - MEDIAN(MIN($BJ$7:$BJ$29), MAX($BJ$7:$BJ$29), AW36)), $BK$7:$BK$29, "Error", 0)</f>
        <v/>
      </c>
      <c r="AX37" s="184">
        <f>_xlfn.XLOOKUP(MIN(ABS($BJ$7:$BJ$29 - MEDIAN(MIN($BJ$7:$BJ$29), MAX($BJ$7:$BJ$29), AX36))), ABS($BJ$7:$BJ$29 - MEDIAN(MIN($BJ$7:$BJ$29), MAX($BJ$7:$BJ$29), AX36)), $BK$7:$BK$29, "Error", 0)</f>
        <v/>
      </c>
      <c r="AY37" s="184" t="n"/>
    </row>
    <row r="38" ht="44" customHeight="1">
      <c r="A38" s="305" t="inlineStr">
        <is>
          <t>EUR JPY</t>
        </is>
      </c>
      <c r="B38" s="200" t="inlineStr">
        <is>
          <t>All time High (CL)</t>
        </is>
      </c>
      <c r="C38" s="233" t="n">
        <v>228810185.5444336</v>
      </c>
      <c r="D38" s="233" t="n">
        <v>228810185.5444336</v>
      </c>
      <c r="E38" s="233" t="n">
        <v>228810185.5444336</v>
      </c>
      <c r="F38" s="233" t="n">
        <v>228810185.5444336</v>
      </c>
      <c r="G38" s="233" t="n">
        <v>228810185.5444336</v>
      </c>
      <c r="H38" s="233" t="n">
        <v>228810185.5444336</v>
      </c>
      <c r="I38" s="233" t="n">
        <v>228810185.5444336</v>
      </c>
      <c r="J38" s="233" t="n">
        <v>228810185.5444336</v>
      </c>
      <c r="K38" s="233" t="n">
        <v>228810185.5444336</v>
      </c>
      <c r="L38" s="233" t="n">
        <v>228810185.5444336</v>
      </c>
      <c r="M38" s="233" t="n">
        <v>228810185.5444336</v>
      </c>
      <c r="N38" s="233" t="n">
        <v>228810185.5444336</v>
      </c>
      <c r="O38" s="233" t="n">
        <v>228810185.5444336</v>
      </c>
      <c r="P38" s="233" t="n">
        <v>228810185.5444336</v>
      </c>
      <c r="Q38" s="233" t="n">
        <v>228810185.5444336</v>
      </c>
      <c r="R38" s="233" t="n">
        <v>228810185.5444336</v>
      </c>
      <c r="S38" s="233" t="n">
        <v>228810185.5444336</v>
      </c>
      <c r="T38" s="233" t="n">
        <v>228810185.5444336</v>
      </c>
      <c r="U38" s="233" t="n">
        <v>228810185.5444336</v>
      </c>
      <c r="V38" s="233" t="n">
        <v>228810185.5444336</v>
      </c>
      <c r="W38" s="233" t="n">
        <v>228810185.5444336</v>
      </c>
      <c r="X38" s="233" t="n">
        <v>228810185.5444336</v>
      </c>
      <c r="Y38" s="233" t="n">
        <v>228810185.5444336</v>
      </c>
      <c r="Z38" s="233" t="n">
        <v>228810185.5444336</v>
      </c>
      <c r="AA38" s="204" t="n">
        <v>228810185.5444336</v>
      </c>
      <c r="AB38" s="204" t="n">
        <v>228810185.5444336</v>
      </c>
      <c r="AC38" s="204" t="n">
        <v>228810185.5444336</v>
      </c>
      <c r="AD38" s="204" t="n">
        <v>228810185.5444336</v>
      </c>
      <c r="AE38" s="204" t="n">
        <v>228810185.5444336</v>
      </c>
      <c r="AF38" s="204" t="n">
        <v>228810185.5444336</v>
      </c>
      <c r="AG38" s="204" t="n">
        <v>228810185.5444336</v>
      </c>
      <c r="AH38" s="204" t="n">
        <v>228810185.5444336</v>
      </c>
      <c r="AI38" s="204" t="n">
        <v>228810185.5444336</v>
      </c>
      <c r="AJ38" s="204" t="n">
        <v>228810185.5444336</v>
      </c>
      <c r="AK38" s="204" t="n">
        <v>228810185.5444336</v>
      </c>
      <c r="AL38" s="204" t="n">
        <v>228810185.5444336</v>
      </c>
      <c r="AM38" s="204" t="n">
        <v>228810185.5444336</v>
      </c>
      <c r="AN38" s="204" t="n">
        <v>228810185.5444336</v>
      </c>
      <c r="AO38" s="204" t="n">
        <v>228810185.5444336</v>
      </c>
      <c r="AP38" s="204" t="n">
        <v>228810185.5444336</v>
      </c>
      <c r="AQ38" s="204" t="n">
        <v>228810185.5444336</v>
      </c>
      <c r="AR38" s="204" t="n">
        <v>228810185.5444336</v>
      </c>
      <c r="AS38" s="204" t="n">
        <v>228810185.5444336</v>
      </c>
      <c r="AT38" s="204" t="n">
        <v>228810185.5444336</v>
      </c>
      <c r="AU38" s="204" t="n">
        <v>228810185.5444336</v>
      </c>
      <c r="AV38" s="200" t="n">
        <v>228810185.5444336</v>
      </c>
      <c r="AW38" s="184" t="n">
        <v>228810185.5444336</v>
      </c>
      <c r="AX38" s="184" t="n">
        <v>228810185.5444336</v>
      </c>
      <c r="AY38" s="184" t="n"/>
    </row>
    <row r="39" ht="22" customHeight="1">
      <c r="A39" s="303" t="n"/>
      <c r="B39" s="201" t="inlineStr">
        <is>
          <t>current price</t>
        </is>
      </c>
      <c r="C39" s="233" t="n">
        <v>589415.4817166626</v>
      </c>
      <c r="D39" s="233" t="n">
        <v>612907.8490524739</v>
      </c>
      <c r="E39" s="233" t="n">
        <v>626722.1370943487</v>
      </c>
      <c r="F39" s="233" t="n">
        <v>661198.4329585582</v>
      </c>
      <c r="G39" s="233" t="n">
        <v>632756.5945353806</v>
      </c>
      <c r="H39" s="233" t="n">
        <v>692188.020417273</v>
      </c>
      <c r="I39" s="233" t="n">
        <v>693804.2358969897</v>
      </c>
      <c r="J39" s="233" t="n">
        <v>686110.9345030934</v>
      </c>
      <c r="K39" s="233" t="n">
        <v>659846.7741048336</v>
      </c>
      <c r="L39" s="233" t="n">
        <v>642720.9652162492</v>
      </c>
      <c r="M39" s="233" t="n">
        <v>707080.9020379558</v>
      </c>
      <c r="N39" s="233" t="n">
        <v>704967.4860524014</v>
      </c>
      <c r="O39" s="233" t="n">
        <v>742726.0120331049</v>
      </c>
      <c r="P39" s="233" t="n">
        <v>796276.4553261548</v>
      </c>
      <c r="Q39" s="233" t="n">
        <v>830983.7908614576</v>
      </c>
      <c r="R39" s="233" t="n">
        <v>823792.5598604679</v>
      </c>
      <c r="S39" s="233" t="n">
        <v>847203.9629895091</v>
      </c>
      <c r="T39" s="233" t="n">
        <v>844123.9871929213</v>
      </c>
      <c r="U39" s="233" t="n">
        <v>804580.8572261035</v>
      </c>
      <c r="V39" s="233" t="n">
        <v>801823.4416863024</v>
      </c>
      <c r="W39" s="233" t="n">
        <v>797471.7757842094</v>
      </c>
      <c r="X39" s="233" t="n">
        <v>803187.2717969567</v>
      </c>
      <c r="Y39" s="233" t="n">
        <v>761372.4654322267</v>
      </c>
      <c r="Z39" s="233" t="n">
        <v>799934.5928583667</v>
      </c>
      <c r="AA39" s="204" t="n">
        <v>846993.6047364771</v>
      </c>
      <c r="AB39" s="204" t="n">
        <v>851918.8371971995</v>
      </c>
      <c r="AC39" s="204" t="n">
        <v>849913.820539467</v>
      </c>
      <c r="AD39" s="204" t="n">
        <v>836249.8426318765</v>
      </c>
      <c r="AE39" s="204" t="n">
        <v>877115.457164526</v>
      </c>
      <c r="AF39" s="204" t="n">
        <v>898655.242838949</v>
      </c>
      <c r="AG39" s="204" t="n">
        <v>907259.1077593267</v>
      </c>
      <c r="AH39" s="204" t="n">
        <v>919744.5613075271</v>
      </c>
      <c r="AI39" s="204" t="n">
        <v>963971.5226682425</v>
      </c>
      <c r="AJ39" s="204" t="n">
        <v>1008403.663387656</v>
      </c>
      <c r="AK39" s="204" t="n">
        <v>1026805.206760824</v>
      </c>
      <c r="AL39" s="204" t="n">
        <v>1063997.880975842</v>
      </c>
      <c r="AM39" s="204" t="n">
        <v>1090926.073063798</v>
      </c>
      <c r="AN39" s="204" t="n">
        <v>1129142.171226919</v>
      </c>
      <c r="AO39" s="204" t="n">
        <v>1019945.669332467</v>
      </c>
      <c r="AP39" s="204" t="n">
        <v>1100912.801154852</v>
      </c>
      <c r="AQ39" s="204" t="n">
        <v>1124589.012383983</v>
      </c>
      <c r="AR39" s="204" t="n">
        <v>1170070.146378994</v>
      </c>
      <c r="AS39" s="204" t="n">
        <v>1173561.454180926</v>
      </c>
      <c r="AT39" s="204" t="n">
        <v>1191305.702001095</v>
      </c>
      <c r="AU39" s="204" t="n">
        <v>1128942.206152529</v>
      </c>
      <c r="AV39" s="201" t="n">
        <v>1128942.206152529</v>
      </c>
      <c r="AW39" s="184" t="n">
        <v>1128942.206152529</v>
      </c>
      <c r="AX39" s="184" t="n">
        <v>1128942.206152529</v>
      </c>
      <c r="AY39" s="184" t="n"/>
    </row>
    <row r="40" ht="22" customHeight="1">
      <c r="A40" s="303" t="n"/>
      <c r="B40" s="201" t="inlineStr">
        <is>
          <t>% CHANGE</t>
        </is>
      </c>
      <c r="C40" s="230">
        <f>+(C39-C38)/C38</f>
        <v/>
      </c>
      <c r="D40" s="230">
        <f>+(D39-D38)/D38</f>
        <v/>
      </c>
      <c r="E40" s="230">
        <f>+(E39-E38)/E38</f>
        <v/>
      </c>
      <c r="F40" s="230">
        <f>+(F39-F38)/F38</f>
        <v/>
      </c>
      <c r="G40" s="230">
        <f>+(G39-G38)/G38</f>
        <v/>
      </c>
      <c r="H40" s="230">
        <f>+(H39-H38)/H38</f>
        <v/>
      </c>
      <c r="I40" s="230">
        <f>+(I39-I38)/I38</f>
        <v/>
      </c>
      <c r="J40" s="230">
        <f>+(J39-J38)/J38</f>
        <v/>
      </c>
      <c r="K40" s="230">
        <f>+(K39-K38)/K38</f>
        <v/>
      </c>
      <c r="L40" s="230">
        <f>+(L39-L38)/L38</f>
        <v/>
      </c>
      <c r="M40" s="230">
        <f>+(M39-M38)/M38</f>
        <v/>
      </c>
      <c r="N40" s="230">
        <f>+(N39-N38)/N38</f>
        <v/>
      </c>
      <c r="O40" s="230">
        <f>+(O39-O38)/O38</f>
        <v/>
      </c>
      <c r="P40" s="230">
        <f>+(P39-P38)/P38</f>
        <v/>
      </c>
      <c r="Q40" s="230">
        <f>+(Q39-Q38)/Q38</f>
        <v/>
      </c>
      <c r="R40" s="230">
        <f>+(R39-R38)/R38</f>
        <v/>
      </c>
      <c r="S40" s="230">
        <f>+(S39-S38)/S38</f>
        <v/>
      </c>
      <c r="T40" s="230">
        <f>+(T39-T38)/T38</f>
        <v/>
      </c>
      <c r="U40" s="230">
        <f>+(U39-U38)/U38</f>
        <v/>
      </c>
      <c r="V40" s="230">
        <f>+(V39-V38)/V38</f>
        <v/>
      </c>
      <c r="W40" s="230">
        <f>+(W39-W38)/W38</f>
        <v/>
      </c>
      <c r="X40" s="230">
        <f>+(X39-X38)/X38</f>
        <v/>
      </c>
      <c r="Y40" s="230">
        <f>+(Y39-Y38)/Y38</f>
        <v/>
      </c>
      <c r="Z40" s="230">
        <f>+(Z39-Z38)/Z38</f>
        <v/>
      </c>
      <c r="AA40" s="230">
        <f>+(AA39-AA38)/AA38</f>
        <v/>
      </c>
      <c r="AB40" s="205">
        <f>+(AB39-AB38)/AB38</f>
        <v/>
      </c>
      <c r="AC40" s="205">
        <f>+(AC39-AC38)/AC38</f>
        <v/>
      </c>
      <c r="AD40" s="205">
        <f>+(AD39-AD38)/AD38</f>
        <v/>
      </c>
      <c r="AE40" s="205">
        <f>+(AE39-AE38)/AE38</f>
        <v/>
      </c>
      <c r="AF40" s="205">
        <f>+(AF39-AF38)/AF38</f>
        <v/>
      </c>
      <c r="AG40" s="205">
        <f>+(AG39-AG38)/AG38</f>
        <v/>
      </c>
      <c r="AH40" s="205">
        <f>+(AH39-AH38)/AH38</f>
        <v/>
      </c>
      <c r="AI40" s="205">
        <f>+(AI39-AI38)/AI38</f>
        <v/>
      </c>
      <c r="AJ40" s="205">
        <f>+(AJ39-AJ38)/AJ38</f>
        <v/>
      </c>
      <c r="AK40" s="205">
        <f>+(AK39-AK38)/AK38</f>
        <v/>
      </c>
      <c r="AL40" s="205">
        <f>+(AL39-AL38)/AL38</f>
        <v/>
      </c>
      <c r="AM40" s="205">
        <f>+(AM39-AM38)/AM38</f>
        <v/>
      </c>
      <c r="AN40" s="205">
        <f>+(AN39-AN38)/AN38</f>
        <v/>
      </c>
      <c r="AO40" s="205">
        <f>+(AO39-AO38)/AO38</f>
        <v/>
      </c>
      <c r="AP40" s="205">
        <f>+(AP39-AP38)/AP38</f>
        <v/>
      </c>
      <c r="AQ40" s="205">
        <f>+(AQ39-AQ38)/AQ38</f>
        <v/>
      </c>
      <c r="AR40" s="205">
        <f>+(AR39-AR38)/AR38</f>
        <v/>
      </c>
      <c r="AS40" s="205">
        <f>+(AS39-AS38)/AS38</f>
        <v/>
      </c>
      <c r="AT40" s="205">
        <f>+(AT39-AT38)/AT38</f>
        <v/>
      </c>
      <c r="AU40" s="205">
        <f>+(AU39-AU38)/AU38</f>
        <v/>
      </c>
      <c r="AV40" s="201">
        <f>+(AV39-AV38)/AV38</f>
        <v/>
      </c>
      <c r="AW40" s="184">
        <f>+(AW39-AW38)/AW38</f>
        <v/>
      </c>
      <c r="AX40" s="184">
        <f>+(AX39-AX38)/AX38</f>
        <v/>
      </c>
      <c r="AY40" s="184" t="n"/>
    </row>
    <row r="41" ht="44" customHeight="1">
      <c r="A41" s="303" t="n"/>
      <c r="B41" s="201" t="inlineStr">
        <is>
          <t>All time High STOXX50</t>
        </is>
      </c>
      <c r="C41" s="233" t="n">
        <v>4522.240234375</v>
      </c>
      <c r="D41" s="233" t="n">
        <v>4522.240234375</v>
      </c>
      <c r="E41" s="233" t="n">
        <v>4522.240234375</v>
      </c>
      <c r="F41" s="233" t="n">
        <v>4522.240234375</v>
      </c>
      <c r="G41" s="233" t="n">
        <v>4522.240234375</v>
      </c>
      <c r="H41" s="233" t="n">
        <v>4522.240234375</v>
      </c>
      <c r="I41" s="233" t="n">
        <v>4522.240234375</v>
      </c>
      <c r="J41" s="233" t="n">
        <v>4522.240234375</v>
      </c>
      <c r="K41" s="233" t="n">
        <v>4522.240234375</v>
      </c>
      <c r="L41" s="233" t="n">
        <v>4522.240234375</v>
      </c>
      <c r="M41" s="233" t="n">
        <v>4522.240234375</v>
      </c>
      <c r="N41" s="233" t="n">
        <v>4593.10986328125</v>
      </c>
      <c r="O41" s="233" t="n">
        <v>4674.740234375</v>
      </c>
      <c r="P41" s="233" t="n">
        <v>4898.3701171875</v>
      </c>
      <c r="Q41" s="233" t="n">
        <v>5103.259765625</v>
      </c>
      <c r="R41" s="233" t="n">
        <v>5103.259765625</v>
      </c>
      <c r="S41" s="233" t="n">
        <v>5103.259765625</v>
      </c>
      <c r="T41" s="233" t="n">
        <v>5103.259765625</v>
      </c>
      <c r="U41" s="233" t="n">
        <v>5103.259765625</v>
      </c>
      <c r="V41" s="233" t="n">
        <v>5103.259765625</v>
      </c>
      <c r="W41" s="233" t="n">
        <v>5103.259765625</v>
      </c>
      <c r="X41" s="233" t="n">
        <v>5103.259765625</v>
      </c>
      <c r="Y41" s="233" t="n">
        <v>5103.259765625</v>
      </c>
      <c r="Z41" s="233" t="n">
        <v>5103.259765625</v>
      </c>
      <c r="AA41" s="231" t="n">
        <v>5314.2900390625</v>
      </c>
      <c r="AB41" s="203" t="n">
        <v>5544.1201171875</v>
      </c>
      <c r="AC41" s="203" t="n">
        <v>5544.1201171875</v>
      </c>
      <c r="AD41" s="203" t="n">
        <v>5544.1201171875</v>
      </c>
      <c r="AE41" s="203" t="n">
        <v>5544.1201171875</v>
      </c>
      <c r="AF41" s="203" t="n">
        <v>5544.1201171875</v>
      </c>
      <c r="AG41" s="203" t="n">
        <v>5544.1201171875</v>
      </c>
      <c r="AH41" s="203" t="n">
        <v>5544.1201171875</v>
      </c>
      <c r="AI41" s="203" t="n">
        <v>5544.1201171875</v>
      </c>
      <c r="AJ41" s="203" t="n">
        <v>5734.27978515625</v>
      </c>
      <c r="AK41" s="203" t="n">
        <v>5818.06982421875</v>
      </c>
      <c r="AL41" s="203" t="n">
        <v>5818.06982421875</v>
      </c>
      <c r="AM41" s="203" t="n">
        <v>6053.68017578125</v>
      </c>
      <c r="AN41" s="203" t="n">
        <v>6199.77978515625</v>
      </c>
      <c r="AO41" s="203" t="n">
        <v>6199.77978515625</v>
      </c>
      <c r="AP41" s="203" t="n">
        <v>6199.77978515625</v>
      </c>
      <c r="AQ41" s="203" t="n">
        <v>6199.77978515625</v>
      </c>
      <c r="AR41" s="203" t="n">
        <v>6337.22021484375</v>
      </c>
      <c r="AS41" s="203" t="n">
        <v>6431.419921875</v>
      </c>
      <c r="AT41" s="203" t="n">
        <v>6577.2001953125</v>
      </c>
      <c r="AU41" s="203" t="n">
        <v>6577.2001953125</v>
      </c>
      <c r="AV41" s="201" t="n">
        <v>6577.2001953125</v>
      </c>
      <c r="AW41" s="184" t="n">
        <v>6577.2001953125</v>
      </c>
      <c r="AX41" s="184" t="n">
        <v>6577.2001953125</v>
      </c>
      <c r="AY41" s="184" t="n"/>
    </row>
    <row r="42" ht="44" customHeight="1">
      <c r="A42" s="303" t="n"/>
      <c r="B42" s="201" t="inlineStr">
        <is>
          <t>current price STOXX50</t>
        </is>
      </c>
      <c r="C42" s="233" t="n">
        <v>4163.4501953125</v>
      </c>
      <c r="D42" s="233" t="n">
        <v>4238.3798828125</v>
      </c>
      <c r="E42" s="233" t="n">
        <v>4315.0498046875</v>
      </c>
      <c r="F42" s="233" t="n">
        <v>4359.31005859375</v>
      </c>
      <c r="G42" s="233" t="n">
        <v>4218.0400390625</v>
      </c>
      <c r="H42" s="233" t="n">
        <v>4399.08984375</v>
      </c>
      <c r="I42" s="233" t="n">
        <v>4471.31005859375</v>
      </c>
      <c r="J42" s="233" t="n">
        <v>4297.10986328125</v>
      </c>
      <c r="K42" s="233" t="n">
        <v>4174.66015625</v>
      </c>
      <c r="L42" s="233" t="n">
        <v>4061.1201171875</v>
      </c>
      <c r="M42" s="233" t="n">
        <v>4382.47021484375</v>
      </c>
      <c r="N42" s="233" t="n">
        <v>4521.64990234375</v>
      </c>
      <c r="O42" s="233" t="n">
        <v>4648.39990234375</v>
      </c>
      <c r="P42" s="233" t="n">
        <v>4877.77001953125</v>
      </c>
      <c r="Q42" s="233" t="n">
        <v>5083.419921875</v>
      </c>
      <c r="R42" s="233" t="n">
        <v>4921.22021484375</v>
      </c>
      <c r="S42" s="233" t="n">
        <v>4983.669921875</v>
      </c>
      <c r="T42" s="233" t="n">
        <v>4894.02001953125</v>
      </c>
      <c r="U42" s="233" t="n">
        <v>4872.93994140625</v>
      </c>
      <c r="V42" s="233" t="n">
        <v>4957.97998046875</v>
      </c>
      <c r="W42" s="233" t="n">
        <v>5000.4501953125</v>
      </c>
      <c r="X42" s="233" t="n">
        <v>4827.6298828125</v>
      </c>
      <c r="Y42" s="233" t="n">
        <v>4804.39990234375</v>
      </c>
      <c r="Z42" s="233" t="n">
        <v>4895.97998046875</v>
      </c>
      <c r="AA42" s="231" t="n">
        <v>5286.8701171875</v>
      </c>
      <c r="AB42" s="203" t="n">
        <v>5463.5400390625</v>
      </c>
      <c r="AC42" s="203" t="n">
        <v>5248.39013671875</v>
      </c>
      <c r="AD42" s="203" t="n">
        <v>5160.22021484375</v>
      </c>
      <c r="AE42" s="203" t="n">
        <v>5366.58984375</v>
      </c>
      <c r="AF42" s="203" t="n">
        <v>5303.240234375</v>
      </c>
      <c r="AG42" s="203" t="n">
        <v>5319.919921875</v>
      </c>
      <c r="AH42" s="203" t="n">
        <v>5351.72998046875</v>
      </c>
      <c r="AI42" s="203" t="n">
        <v>5529.9599609375</v>
      </c>
      <c r="AJ42" s="203" t="n">
        <v>5662.0400390625</v>
      </c>
      <c r="AK42" s="203" t="n">
        <v>5668.169921875</v>
      </c>
      <c r="AL42" s="203" t="n">
        <v>5791.41015625</v>
      </c>
      <c r="AM42" s="203" t="n">
        <v>5947.81005859375</v>
      </c>
      <c r="AN42" s="203" t="n">
        <v>6138.41015625</v>
      </c>
      <c r="AO42" s="203" t="n">
        <v>5569.72998046875</v>
      </c>
      <c r="AP42" s="203" t="n">
        <v>5881.509765625</v>
      </c>
      <c r="AQ42" s="203" t="n">
        <v>6050.5400390625</v>
      </c>
      <c r="AR42" s="203" t="n">
        <v>6328.08984375</v>
      </c>
      <c r="AS42" s="203" t="n">
        <v>6358.009765625</v>
      </c>
      <c r="AT42" s="203" t="n">
        <v>6420.16015625</v>
      </c>
      <c r="AU42" s="203" t="n">
        <v>6302.81982421875</v>
      </c>
      <c r="AV42" s="201" t="n">
        <v>6302.81982421875</v>
      </c>
      <c r="AW42" s="184" t="n">
        <v>6302.81982421875</v>
      </c>
      <c r="AX42" s="184" t="n">
        <v>6302.81982421875</v>
      </c>
      <c r="AY42" s="184" t="n"/>
    </row>
    <row r="43" ht="44" customHeight="1">
      <c r="A43" s="303" t="n"/>
      <c r="B43" s="201" t="inlineStr">
        <is>
          <t>original index % change</t>
        </is>
      </c>
      <c r="C43" s="230">
        <f>+(C42-C41)/C41</f>
        <v/>
      </c>
      <c r="D43" s="230">
        <f>+(D42-D41)/D41</f>
        <v/>
      </c>
      <c r="E43" s="230">
        <f>+(E42-E41)/E41</f>
        <v/>
      </c>
      <c r="F43" s="230">
        <f>+(F42-F41)/F41</f>
        <v/>
      </c>
      <c r="G43" s="230">
        <f>+(G42-G41)/G41</f>
        <v/>
      </c>
      <c r="H43" s="230">
        <f>+(H42-H41)/H41</f>
        <v/>
      </c>
      <c r="I43" s="230">
        <f>+(I42-I41)/I41</f>
        <v/>
      </c>
      <c r="J43" s="230">
        <f>+(J42-J41)/J41</f>
        <v/>
      </c>
      <c r="K43" s="230">
        <f>+(K42-K41)/K41</f>
        <v/>
      </c>
      <c r="L43" s="230">
        <f>+(L42-L41)/L41</f>
        <v/>
      </c>
      <c r="M43" s="230">
        <f>+(M42-M41)/M41</f>
        <v/>
      </c>
      <c r="N43" s="230">
        <f>+(N42-N41)/N41</f>
        <v/>
      </c>
      <c r="O43" s="230">
        <f>+(O42-O41)/O41</f>
        <v/>
      </c>
      <c r="P43" s="230">
        <f>+(P42-P41)/P41</f>
        <v/>
      </c>
      <c r="Q43" s="230">
        <f>+(Q42-Q41)/Q41</f>
        <v/>
      </c>
      <c r="R43" s="230">
        <f>+(R42-R41)/R41</f>
        <v/>
      </c>
      <c r="S43" s="230">
        <f>+(S42-S41)/S41</f>
        <v/>
      </c>
      <c r="T43" s="230">
        <f>+(T42-T41)/T41</f>
        <v/>
      </c>
      <c r="U43" s="230">
        <f>+(U42-U41)/U41</f>
        <v/>
      </c>
      <c r="V43" s="230">
        <f>+(V42-V41)/V41</f>
        <v/>
      </c>
      <c r="W43" s="230">
        <f>+(W42-W41)/W41</f>
        <v/>
      </c>
      <c r="X43" s="230">
        <f>+(X42-X41)/X41</f>
        <v/>
      </c>
      <c r="Y43" s="230">
        <f>+(Y42-Y41)/Y41</f>
        <v/>
      </c>
      <c r="Z43" s="230">
        <f>+(Z42-Z41)/Z41</f>
        <v/>
      </c>
      <c r="AA43" s="230">
        <f>+(AA42-AA41)/AA41</f>
        <v/>
      </c>
      <c r="AB43" s="205">
        <f>+(AB42-AB41)/AB41</f>
        <v/>
      </c>
      <c r="AC43" s="205">
        <f>+(AC42-AC41)/AC41</f>
        <v/>
      </c>
      <c r="AD43" s="205">
        <f>+(AD42-AD41)/AD41</f>
        <v/>
      </c>
      <c r="AE43" s="205">
        <f>+(AE42-AE41)/AE41</f>
        <v/>
      </c>
      <c r="AF43" s="205">
        <f>+(AF42-AF41)/AF41</f>
        <v/>
      </c>
      <c r="AG43" s="205">
        <f>+(AG42-AG41)/AG41</f>
        <v/>
      </c>
      <c r="AH43" s="205">
        <f>+(AH42-AH41)/AH41</f>
        <v/>
      </c>
      <c r="AI43" s="205">
        <f>+(AI42-AI41)/AI41</f>
        <v/>
      </c>
      <c r="AJ43" s="205">
        <f>+(AJ42-AJ41)/AJ41</f>
        <v/>
      </c>
      <c r="AK43" s="205">
        <f>+(AK42-AK41)/AK41</f>
        <v/>
      </c>
      <c r="AL43" s="205">
        <f>+(AL42-AL41)/AL41</f>
        <v/>
      </c>
      <c r="AM43" s="205">
        <f>+(AM42-AM41)/AM41</f>
        <v/>
      </c>
      <c r="AN43" s="205">
        <f>+(AN42-AN41)/AN41</f>
        <v/>
      </c>
      <c r="AO43" s="205">
        <f>+(AO42-AO41)/AO41</f>
        <v/>
      </c>
      <c r="AP43" s="205">
        <f>+(AP42-AP41)/AP41</f>
        <v/>
      </c>
      <c r="AQ43" s="205">
        <f>+(AQ42-AQ41)/AQ41</f>
        <v/>
      </c>
      <c r="AR43" s="205">
        <f>+(AR42-AR41)/AR41</f>
        <v/>
      </c>
      <c r="AS43" s="205">
        <f>+(AS42-AS41)/AS41</f>
        <v/>
      </c>
      <c r="AT43" s="205">
        <f>+(AT42-AT41)/AT41</f>
        <v/>
      </c>
      <c r="AU43" s="205">
        <f>+(AU42-AU41)/AU41</f>
        <v/>
      </c>
      <c r="AV43" s="201">
        <f>+(AV42-AV41)/AV41</f>
        <v/>
      </c>
      <c r="AW43" s="184">
        <f>+(AW42-AW41)/AW41</f>
        <v/>
      </c>
      <c r="AX43" s="184">
        <f>+(AX42-AX41)/AX41</f>
        <v/>
      </c>
      <c r="AY43" s="184" t="n"/>
    </row>
    <row r="44" ht="22" customHeight="1">
      <c r="A44" s="303" t="n"/>
      <c r="B44" s="201" t="inlineStr">
        <is>
          <t>real % change</t>
        </is>
      </c>
      <c r="C44" s="230">
        <f>+C40-C43</f>
        <v/>
      </c>
      <c r="D44" s="230">
        <f>+D40-D43</f>
        <v/>
      </c>
      <c r="E44" s="230">
        <f>+E40-E43</f>
        <v/>
      </c>
      <c r="F44" s="230">
        <f>+F40-F43</f>
        <v/>
      </c>
      <c r="G44" s="230">
        <f>+G40-G43</f>
        <v/>
      </c>
      <c r="H44" s="230">
        <f>+H40-H43</f>
        <v/>
      </c>
      <c r="I44" s="230">
        <f>+I40-I43</f>
        <v/>
      </c>
      <c r="J44" s="230">
        <f>+J40-J43</f>
        <v/>
      </c>
      <c r="K44" s="230">
        <f>+K40-K43</f>
        <v/>
      </c>
      <c r="L44" s="230">
        <f>+L40-L43</f>
        <v/>
      </c>
      <c r="M44" s="230">
        <f>+M40-M43</f>
        <v/>
      </c>
      <c r="N44" s="230">
        <f>+N40-N43</f>
        <v/>
      </c>
      <c r="O44" s="230">
        <f>+O40-O43</f>
        <v/>
      </c>
      <c r="P44" s="230">
        <f>+P40-P43</f>
        <v/>
      </c>
      <c r="Q44" s="230">
        <f>+Q40-Q43</f>
        <v/>
      </c>
      <c r="R44" s="230">
        <f>+R40-R43</f>
        <v/>
      </c>
      <c r="S44" s="230">
        <f>+S40-S43</f>
        <v/>
      </c>
      <c r="T44" s="230">
        <f>+T40-T43</f>
        <v/>
      </c>
      <c r="U44" s="230">
        <f>+U40-U43</f>
        <v/>
      </c>
      <c r="V44" s="230">
        <f>+V40-V43</f>
        <v/>
      </c>
      <c r="W44" s="230">
        <f>+W40-W43</f>
        <v/>
      </c>
      <c r="X44" s="230">
        <f>+X40-X43</f>
        <v/>
      </c>
      <c r="Y44" s="230">
        <f>+Y40-Y43</f>
        <v/>
      </c>
      <c r="Z44" s="230">
        <f>+Z40-Z43</f>
        <v/>
      </c>
      <c r="AA44" s="230">
        <f>+AA40-AA43</f>
        <v/>
      </c>
      <c r="AB44" s="205">
        <f>+AB40-AB43</f>
        <v/>
      </c>
      <c r="AC44" s="205">
        <f>+AC40-AC43</f>
        <v/>
      </c>
      <c r="AD44" s="205">
        <f>+AD40-AD43</f>
        <v/>
      </c>
      <c r="AE44" s="205">
        <f>+AE40-AE43</f>
        <v/>
      </c>
      <c r="AF44" s="205">
        <f>+AF40-AF43</f>
        <v/>
      </c>
      <c r="AG44" s="205">
        <f>+AG40-AG43</f>
        <v/>
      </c>
      <c r="AH44" s="205">
        <f>+AH40-AH43</f>
        <v/>
      </c>
      <c r="AI44" s="205">
        <f>+AI40-AI43</f>
        <v/>
      </c>
      <c r="AJ44" s="205">
        <f>+AJ40-AJ43</f>
        <v/>
      </c>
      <c r="AK44" s="205">
        <f>+AK40-AK43</f>
        <v/>
      </c>
      <c r="AL44" s="205">
        <f>+AL40-AL43</f>
        <v/>
      </c>
      <c r="AM44" s="205">
        <f>+AM40-AM43</f>
        <v/>
      </c>
      <c r="AN44" s="205">
        <f>+AN40-AN43</f>
        <v/>
      </c>
      <c r="AO44" s="205">
        <f>+AO40-AO43</f>
        <v/>
      </c>
      <c r="AP44" s="205">
        <f>+AP40-AP43</f>
        <v/>
      </c>
      <c r="AQ44" s="205">
        <f>+AQ40-AQ43</f>
        <v/>
      </c>
      <c r="AR44" s="205">
        <f>+AR40-AR43</f>
        <v/>
      </c>
      <c r="AS44" s="205">
        <f>+AS40-AS43</f>
        <v/>
      </c>
      <c r="AT44" s="205">
        <f>+AT40-AT43</f>
        <v/>
      </c>
      <c r="AU44" s="205">
        <f>+AU40-AU43</f>
        <v/>
      </c>
      <c r="AV44" s="201">
        <f>+AV40-AV43</f>
        <v/>
      </c>
      <c r="AW44" s="184">
        <f>+AW40-AW43</f>
        <v/>
      </c>
      <c r="AX44" s="184">
        <f>+AX40-AX43</f>
        <v/>
      </c>
      <c r="AY44" s="184" t="n"/>
    </row>
    <row r="45" ht="22" customHeight="1">
      <c r="A45" s="304" t="n"/>
      <c r="B45" s="206" t="inlineStr">
        <is>
          <t>Rating</t>
        </is>
      </c>
      <c r="C45" s="232">
        <f>_xlfn.XLOOKUP(MIN(ABS($BJ$7:$BJ$29 - MEDIAN(MIN($BJ$7:$BJ$29), MAX($BJ$7:$BJ$29), C44))), ABS($BJ$7:$BJ$29 - MEDIAN(MIN($BJ$7:$BJ$29), MAX($BJ$7:$BJ$29), C44)), $BK$7:$BK$29, "Error", 0)</f>
        <v/>
      </c>
      <c r="D45" s="232">
        <f>_xlfn.XLOOKUP(MIN(ABS($BJ$7:$BJ$29 - MEDIAN(MIN($BJ$7:$BJ$29), MAX($BJ$7:$BJ$29), D44))), ABS($BJ$7:$BJ$29 - MEDIAN(MIN($BJ$7:$BJ$29), MAX($BJ$7:$BJ$29), D44)), $BK$7:$BK$29, "Error", 0)</f>
        <v/>
      </c>
      <c r="E45" s="232">
        <f>_xlfn.XLOOKUP(MIN(ABS($BJ$7:$BJ$29 - MEDIAN(MIN($BJ$7:$BJ$29), MAX($BJ$7:$BJ$29), E44))), ABS($BJ$7:$BJ$29 - MEDIAN(MIN($BJ$7:$BJ$29), MAX($BJ$7:$BJ$29), E44)), $BK$7:$BK$29, "Error", 0)</f>
        <v/>
      </c>
      <c r="F45" s="232">
        <f>_xlfn.XLOOKUP(MIN(ABS($BJ$7:$BJ$29 - MEDIAN(MIN($BJ$7:$BJ$29), MAX($BJ$7:$BJ$29), F44))), ABS($BJ$7:$BJ$29 - MEDIAN(MIN($BJ$7:$BJ$29), MAX($BJ$7:$BJ$29), F44)), $BK$7:$BK$29, "Error", 0)</f>
        <v/>
      </c>
      <c r="G45" s="232">
        <f>_xlfn.XLOOKUP(MIN(ABS($BJ$7:$BJ$29 - MEDIAN(MIN($BJ$7:$BJ$29), MAX($BJ$7:$BJ$29), G44))), ABS($BJ$7:$BJ$29 - MEDIAN(MIN($BJ$7:$BJ$29), MAX($BJ$7:$BJ$29), G44)), $BK$7:$BK$29, "Error", 0)</f>
        <v/>
      </c>
      <c r="H45" s="232">
        <f>_xlfn.XLOOKUP(MIN(ABS($BJ$7:$BJ$29 - MEDIAN(MIN($BJ$7:$BJ$29), MAX($BJ$7:$BJ$29), H44))), ABS($BJ$7:$BJ$29 - MEDIAN(MIN($BJ$7:$BJ$29), MAX($BJ$7:$BJ$29), H44)), $BK$7:$BK$29, "Error", 0)</f>
        <v/>
      </c>
      <c r="I45" s="232">
        <f>_xlfn.XLOOKUP(MIN(ABS($BJ$7:$BJ$29 - MEDIAN(MIN($BJ$7:$BJ$29), MAX($BJ$7:$BJ$29), I44))), ABS($BJ$7:$BJ$29 - MEDIAN(MIN($BJ$7:$BJ$29), MAX($BJ$7:$BJ$29), I44)), $BK$7:$BK$29, "Error", 0)</f>
        <v/>
      </c>
      <c r="J45" s="232">
        <f>_xlfn.XLOOKUP(MIN(ABS($BJ$7:$BJ$29 - MEDIAN(MIN($BJ$7:$BJ$29), MAX($BJ$7:$BJ$29), J44))), ABS($BJ$7:$BJ$29 - MEDIAN(MIN($BJ$7:$BJ$29), MAX($BJ$7:$BJ$29), J44)), $BK$7:$BK$29, "Error", 0)</f>
        <v/>
      </c>
      <c r="K45" s="232">
        <f>_xlfn.XLOOKUP(MIN(ABS($BJ$7:$BJ$29 - MEDIAN(MIN($BJ$7:$BJ$29), MAX($BJ$7:$BJ$29), K44))), ABS($BJ$7:$BJ$29 - MEDIAN(MIN($BJ$7:$BJ$29), MAX($BJ$7:$BJ$29), K44)), $BK$7:$BK$29, "Error", 0)</f>
        <v/>
      </c>
      <c r="L45" s="232">
        <f>_xlfn.XLOOKUP(MIN(ABS($BJ$7:$BJ$29 - MEDIAN(MIN($BJ$7:$BJ$29), MAX($BJ$7:$BJ$29), L44))), ABS($BJ$7:$BJ$29 - MEDIAN(MIN($BJ$7:$BJ$29), MAX($BJ$7:$BJ$29), L44)), $BK$7:$BK$29, "Error", 0)</f>
        <v/>
      </c>
      <c r="M45" s="232">
        <f>_xlfn.XLOOKUP(MIN(ABS($BJ$7:$BJ$29 - MEDIAN(MIN($BJ$7:$BJ$29), MAX($BJ$7:$BJ$29), M44))), ABS($BJ$7:$BJ$29 - MEDIAN(MIN($BJ$7:$BJ$29), MAX($BJ$7:$BJ$29), M44)), $BK$7:$BK$29, "Error", 0)</f>
        <v/>
      </c>
      <c r="N45" s="232">
        <f>_xlfn.XLOOKUP(MIN(ABS($BJ$7:$BJ$29 - MEDIAN(MIN($BJ$7:$BJ$29), MAX($BJ$7:$BJ$29), N44))), ABS($BJ$7:$BJ$29 - MEDIAN(MIN($BJ$7:$BJ$29), MAX($BJ$7:$BJ$29), N44)), $BK$7:$BK$29, "Error", 0)</f>
        <v/>
      </c>
      <c r="O45" s="232">
        <f>_xlfn.XLOOKUP(MIN(ABS($BJ$7:$BJ$29 - MEDIAN(MIN($BJ$7:$BJ$29), MAX($BJ$7:$BJ$29), O44))), ABS($BJ$7:$BJ$29 - MEDIAN(MIN($BJ$7:$BJ$29), MAX($BJ$7:$BJ$29), O44)), $BK$7:$BK$29, "Error", 0)</f>
        <v/>
      </c>
      <c r="P45" s="232">
        <f>_xlfn.XLOOKUP(MIN(ABS($BJ$7:$BJ$29 - MEDIAN(MIN($BJ$7:$BJ$29), MAX($BJ$7:$BJ$29), P44))), ABS($BJ$7:$BJ$29 - MEDIAN(MIN($BJ$7:$BJ$29), MAX($BJ$7:$BJ$29), P44)), $BK$7:$BK$29, "Error", 0)</f>
        <v/>
      </c>
      <c r="Q45" s="232">
        <f>_xlfn.XLOOKUP(MIN(ABS($BJ$7:$BJ$29 - MEDIAN(MIN($BJ$7:$BJ$29), MAX($BJ$7:$BJ$29), Q44))), ABS($BJ$7:$BJ$29 - MEDIAN(MIN($BJ$7:$BJ$29), MAX($BJ$7:$BJ$29), Q44)), $BK$7:$BK$29, "Error", 0)</f>
        <v/>
      </c>
      <c r="R45" s="232">
        <f>_xlfn.XLOOKUP(MIN(ABS($BJ$7:$BJ$29 - MEDIAN(MIN($BJ$7:$BJ$29), MAX($BJ$7:$BJ$29), R44))), ABS($BJ$7:$BJ$29 - MEDIAN(MIN($BJ$7:$BJ$29), MAX($BJ$7:$BJ$29), R44)), $BK$7:$BK$29, "Error", 0)</f>
        <v/>
      </c>
      <c r="S45" s="232">
        <f>_xlfn.XLOOKUP(MIN(ABS($BJ$7:$BJ$29 - MEDIAN(MIN($BJ$7:$BJ$29), MAX($BJ$7:$BJ$29), S44))), ABS($BJ$7:$BJ$29 - MEDIAN(MIN($BJ$7:$BJ$29), MAX($BJ$7:$BJ$29), S44)), $BK$7:$BK$29, "Error", 0)</f>
        <v/>
      </c>
      <c r="T45" s="232">
        <f>_xlfn.XLOOKUP(MIN(ABS($BJ$7:$BJ$29 - MEDIAN(MIN($BJ$7:$BJ$29), MAX($BJ$7:$BJ$29), T44))), ABS($BJ$7:$BJ$29 - MEDIAN(MIN($BJ$7:$BJ$29), MAX($BJ$7:$BJ$29), T44)), $BK$7:$BK$29, "Error", 0)</f>
        <v/>
      </c>
      <c r="U45" s="232">
        <f>_xlfn.XLOOKUP(MIN(ABS($BJ$7:$BJ$29 - MEDIAN(MIN($BJ$7:$BJ$29), MAX($BJ$7:$BJ$29), U44))), ABS($BJ$7:$BJ$29 - MEDIAN(MIN($BJ$7:$BJ$29), MAX($BJ$7:$BJ$29), U44)), $BK$7:$BK$29, "Error", 0)</f>
        <v/>
      </c>
      <c r="V45" s="232">
        <f>_xlfn.XLOOKUP(MIN(ABS($BJ$7:$BJ$29 - MEDIAN(MIN($BJ$7:$BJ$29), MAX($BJ$7:$BJ$29), V44))), ABS($BJ$7:$BJ$29 - MEDIAN(MIN($BJ$7:$BJ$29), MAX($BJ$7:$BJ$29), V44)), $BK$7:$BK$29, "Error", 0)</f>
        <v/>
      </c>
      <c r="W45" s="232">
        <f>_xlfn.XLOOKUP(MIN(ABS($BJ$7:$BJ$29 - MEDIAN(MIN($BJ$7:$BJ$29), MAX($BJ$7:$BJ$29), W44))), ABS($BJ$7:$BJ$29 - MEDIAN(MIN($BJ$7:$BJ$29), MAX($BJ$7:$BJ$29), W44)), $BK$7:$BK$29, "Error", 0)</f>
        <v/>
      </c>
      <c r="X45" s="232">
        <f>_xlfn.XLOOKUP(MIN(ABS($BJ$7:$BJ$29 - MEDIAN(MIN($BJ$7:$BJ$29), MAX($BJ$7:$BJ$29), X44))), ABS($BJ$7:$BJ$29 - MEDIAN(MIN($BJ$7:$BJ$29), MAX($BJ$7:$BJ$29), X44)), $BK$7:$BK$29, "Error", 0)</f>
        <v/>
      </c>
      <c r="Y45" s="232">
        <f>_xlfn.XLOOKUP(MIN(ABS($BJ$7:$BJ$29 - MEDIAN(MIN($BJ$7:$BJ$29), MAX($BJ$7:$BJ$29), Y44))), ABS($BJ$7:$BJ$29 - MEDIAN(MIN($BJ$7:$BJ$29), MAX($BJ$7:$BJ$29), Y44)), $BK$7:$BK$29, "Error", 0)</f>
        <v/>
      </c>
      <c r="Z45" s="232">
        <f>_xlfn.XLOOKUP(MIN(ABS($BJ$7:$BJ$29 - MEDIAN(MIN($BJ$7:$BJ$29), MAX($BJ$7:$BJ$29), Z44))), ABS($BJ$7:$BJ$29 - MEDIAN(MIN($BJ$7:$BJ$29), MAX($BJ$7:$BJ$29), Z44)), $BK$7:$BK$29, "Error", 0)</f>
        <v/>
      </c>
      <c r="AA45" s="232">
        <f>_xlfn.XLOOKUP(MIN(ABS($BJ$7:$BJ$29 - MEDIAN(MIN($BJ$7:$BJ$29), MAX($BJ$7:$BJ$29), AA44))), ABS($BJ$7:$BJ$29 - MEDIAN(MIN($BJ$7:$BJ$29), MAX($BJ$7:$BJ$29), AA44)), $BK$7:$BK$29, "Error", 0)</f>
        <v/>
      </c>
      <c r="AB45" s="171">
        <f>_xlfn.XLOOKUP(MIN(ABS($BJ$7:$BJ$29 - MEDIAN(MIN($BJ$7:$BJ$29), MAX($BJ$7:$BJ$29), AB44))), ABS($BJ$7:$BJ$29 - MEDIAN(MIN($BJ$7:$BJ$29), MAX($BJ$7:$BJ$29), AB44)), $BK$7:$BK$29, "Error", 0)</f>
        <v/>
      </c>
      <c r="AC45" s="171">
        <f>_xlfn.XLOOKUP(MIN(ABS($BJ$7:$BJ$29 - MEDIAN(MIN($BJ$7:$BJ$29), MAX($BJ$7:$BJ$29), AC44))), ABS($BJ$7:$BJ$29 - MEDIAN(MIN($BJ$7:$BJ$29), MAX($BJ$7:$BJ$29), AC44)), $BK$7:$BK$29, "Error", 0)</f>
        <v/>
      </c>
      <c r="AD45" s="171">
        <f>_xlfn.XLOOKUP(MIN(ABS($BJ$7:$BJ$29 - MEDIAN(MIN($BJ$7:$BJ$29), MAX($BJ$7:$BJ$29), AD44))), ABS($BJ$7:$BJ$29 - MEDIAN(MIN($BJ$7:$BJ$29), MAX($BJ$7:$BJ$29), AD44)), $BK$7:$BK$29, "Error", 0)</f>
        <v/>
      </c>
      <c r="AE45" s="171">
        <f>_xlfn.XLOOKUP(MIN(ABS($BJ$7:$BJ$29 - MEDIAN(MIN($BJ$7:$BJ$29), MAX($BJ$7:$BJ$29), AE44))), ABS($BJ$7:$BJ$29 - MEDIAN(MIN($BJ$7:$BJ$29), MAX($BJ$7:$BJ$29), AE44)), $BK$7:$BK$29, "Error", 0)</f>
        <v/>
      </c>
      <c r="AF45" s="171">
        <f>_xlfn.XLOOKUP(MIN(ABS($BJ$7:$BJ$29 - MEDIAN(MIN($BJ$7:$BJ$29), MAX($BJ$7:$BJ$29), AF44))), ABS($BJ$7:$BJ$29 - MEDIAN(MIN($BJ$7:$BJ$29), MAX($BJ$7:$BJ$29), AF44)), $BK$7:$BK$29, "Error", 0)</f>
        <v/>
      </c>
      <c r="AG45" s="171">
        <f>_xlfn.XLOOKUP(MIN(ABS($BJ$7:$BJ$29 - MEDIAN(MIN($BJ$7:$BJ$29), MAX($BJ$7:$BJ$29), AG44))), ABS($BJ$7:$BJ$29 - MEDIAN(MIN($BJ$7:$BJ$29), MAX($BJ$7:$BJ$29), AG44)), $BK$7:$BK$29, "Error", 0)</f>
        <v/>
      </c>
      <c r="AH45" s="171">
        <f>_xlfn.XLOOKUP(MIN(ABS($BJ$7:$BJ$29 - MEDIAN(MIN($BJ$7:$BJ$29), MAX($BJ$7:$BJ$29), AH44))), ABS($BJ$7:$BJ$29 - MEDIAN(MIN($BJ$7:$BJ$29), MAX($BJ$7:$BJ$29), AH44)), $BK$7:$BK$29, "Error", 0)</f>
        <v/>
      </c>
      <c r="AI45" s="171">
        <f>_xlfn.XLOOKUP(MIN(ABS($BJ$7:$BJ$29 - MEDIAN(MIN($BJ$7:$BJ$29), MAX($BJ$7:$BJ$29), AI44))), ABS($BJ$7:$BJ$29 - MEDIAN(MIN($BJ$7:$BJ$29), MAX($BJ$7:$BJ$29), AI44)), $BK$7:$BK$29, "Error", 0)</f>
        <v/>
      </c>
      <c r="AJ45" s="171">
        <f>_xlfn.XLOOKUP(MIN(ABS($BJ$7:$BJ$29 - MEDIAN(MIN($BJ$7:$BJ$29), MAX($BJ$7:$BJ$29), AJ44))), ABS($BJ$7:$BJ$29 - MEDIAN(MIN($BJ$7:$BJ$29), MAX($BJ$7:$BJ$29), AJ44)), $BK$7:$BK$29, "Error", 0)</f>
        <v/>
      </c>
      <c r="AK45" s="171">
        <f>_xlfn.XLOOKUP(MIN(ABS($BJ$7:$BJ$29 - MEDIAN(MIN($BJ$7:$BJ$29), MAX($BJ$7:$BJ$29), AK44))), ABS($BJ$7:$BJ$29 - MEDIAN(MIN($BJ$7:$BJ$29), MAX($BJ$7:$BJ$29), AK44)), $BK$7:$BK$29, "Error", 0)</f>
        <v/>
      </c>
      <c r="AL45" s="171">
        <f>_xlfn.XLOOKUP(MIN(ABS($BJ$7:$BJ$29 - MEDIAN(MIN($BJ$7:$BJ$29), MAX($BJ$7:$BJ$29), AL44))), ABS($BJ$7:$BJ$29 - MEDIAN(MIN($BJ$7:$BJ$29), MAX($BJ$7:$BJ$29), AL44)), $BK$7:$BK$29, "Error", 0)</f>
        <v/>
      </c>
      <c r="AM45" s="171">
        <f>_xlfn.XLOOKUP(MIN(ABS($BJ$7:$BJ$29 - MEDIAN(MIN($BJ$7:$BJ$29), MAX($BJ$7:$BJ$29), AM44))), ABS($BJ$7:$BJ$29 - MEDIAN(MIN($BJ$7:$BJ$29), MAX($BJ$7:$BJ$29), AM44)), $BK$7:$BK$29, "Error", 0)</f>
        <v/>
      </c>
      <c r="AN45" s="171">
        <f>_xlfn.XLOOKUP(MIN(ABS($BJ$7:$BJ$29 - MEDIAN(MIN($BJ$7:$BJ$29), MAX($BJ$7:$BJ$29), AN44))), ABS($BJ$7:$BJ$29 - MEDIAN(MIN($BJ$7:$BJ$29), MAX($BJ$7:$BJ$29), AN44)), $BK$7:$BK$29, "Error", 0)</f>
        <v/>
      </c>
      <c r="AO45" s="171">
        <f>_xlfn.XLOOKUP(MIN(ABS($BJ$7:$BJ$29 - MEDIAN(MIN($BJ$7:$BJ$29), MAX($BJ$7:$BJ$29), AO44))), ABS($BJ$7:$BJ$29 - MEDIAN(MIN($BJ$7:$BJ$29), MAX($BJ$7:$BJ$29), AO44)), $BK$7:$BK$29, "Error", 0)</f>
        <v/>
      </c>
      <c r="AP45" s="171">
        <f>_xlfn.XLOOKUP(MIN(ABS($BJ$7:$BJ$29 - MEDIAN(MIN($BJ$7:$BJ$29), MAX($BJ$7:$BJ$29), AP44))), ABS($BJ$7:$BJ$29 - MEDIAN(MIN($BJ$7:$BJ$29), MAX($BJ$7:$BJ$29), AP44)), $BK$7:$BK$29, "Error", 0)</f>
        <v/>
      </c>
      <c r="AQ45" s="171">
        <f>_xlfn.XLOOKUP(MIN(ABS($BJ$7:$BJ$29 - MEDIAN(MIN($BJ$7:$BJ$29), MAX($BJ$7:$BJ$29), AQ44))), ABS($BJ$7:$BJ$29 - MEDIAN(MIN($BJ$7:$BJ$29), MAX($BJ$7:$BJ$29), AQ44)), $BK$7:$BK$29, "Error", 0)</f>
        <v/>
      </c>
      <c r="AR45" s="171">
        <f>_xlfn.XLOOKUP(MIN(ABS($BJ$7:$BJ$29 - MEDIAN(MIN($BJ$7:$BJ$29), MAX($BJ$7:$BJ$29), AR44))), ABS($BJ$7:$BJ$29 - MEDIAN(MIN($BJ$7:$BJ$29), MAX($BJ$7:$BJ$29), AR44)), $BK$7:$BK$29, "Error", 0)</f>
        <v/>
      </c>
      <c r="AS45" s="171">
        <f>_xlfn.XLOOKUP(MIN(ABS($BJ$7:$BJ$29 - MEDIAN(MIN($BJ$7:$BJ$29), MAX($BJ$7:$BJ$29), AS44))), ABS($BJ$7:$BJ$29 - MEDIAN(MIN($BJ$7:$BJ$29), MAX($BJ$7:$BJ$29), AS44)), $BK$7:$BK$29, "Error", 0)</f>
        <v/>
      </c>
      <c r="AT45" s="171">
        <f>_xlfn.XLOOKUP(MIN(ABS($BJ$7:$BJ$29 - MEDIAN(MIN($BJ$7:$BJ$29), MAX($BJ$7:$BJ$29), AT44))), ABS($BJ$7:$BJ$29 - MEDIAN(MIN($BJ$7:$BJ$29), MAX($BJ$7:$BJ$29), AT44)), $BK$7:$BK$29, "Error", 0)</f>
        <v/>
      </c>
      <c r="AU45" s="171">
        <f>_xlfn.XLOOKUP(MIN(ABS($BJ$7:$BJ$29 - MEDIAN(MIN($BJ$7:$BJ$29), MAX($BJ$7:$BJ$29), AU44))), ABS($BJ$7:$BJ$29 - MEDIAN(MIN($BJ$7:$BJ$29), MAX($BJ$7:$BJ$29), AU44)), $BK$7:$BK$29, "Error", 0)</f>
        <v/>
      </c>
      <c r="AV45" s="206">
        <f>_xlfn.XLOOKUP(MIN(ABS($BJ$7:$BJ$29 - MEDIAN(MIN($BJ$7:$BJ$29), MAX($BJ$7:$BJ$29), AV44))), ABS($BJ$7:$BJ$29 - MEDIAN(MIN($BJ$7:$BJ$29), MAX($BJ$7:$BJ$29), AV44)), $BK$7:$BK$29, "Error", 0)</f>
        <v/>
      </c>
      <c r="AW45" s="184">
        <f>_xlfn.XLOOKUP(MIN(ABS($BJ$7:$BJ$29 - MEDIAN(MIN($BJ$7:$BJ$29), MAX($BJ$7:$BJ$29), AW44))), ABS($BJ$7:$BJ$29 - MEDIAN(MIN($BJ$7:$BJ$29), MAX($BJ$7:$BJ$29), AW44)), $BK$7:$BK$29, "Error", 0)</f>
        <v/>
      </c>
      <c r="AX45" s="184">
        <f>_xlfn.XLOOKUP(MIN(ABS($BJ$7:$BJ$29 - MEDIAN(MIN($BJ$7:$BJ$29), MAX($BJ$7:$BJ$29), AX44))), ABS($BJ$7:$BJ$29 - MEDIAN(MIN($BJ$7:$BJ$29), MAX($BJ$7:$BJ$29), AX44)), $BK$7:$BK$29, "Error", 0)</f>
        <v/>
      </c>
      <c r="AY45" s="184" t="n"/>
    </row>
    <row r="46" ht="44" customHeight="1">
      <c r="A46" s="305" t="inlineStr">
        <is>
          <t>EUR CHF</t>
        </is>
      </c>
      <c r="B46" s="200" t="inlineStr">
        <is>
          <t>All time High (CL)</t>
        </is>
      </c>
      <c r="C46" s="233" t="n">
        <v>7715.54756839294</v>
      </c>
      <c r="D46" s="233" t="n">
        <v>7715.54756839294</v>
      </c>
      <c r="E46" s="233" t="n">
        <v>7715.54756839294</v>
      </c>
      <c r="F46" s="233" t="n">
        <v>7715.54756839294</v>
      </c>
      <c r="G46" s="233" t="n">
        <v>7715.54756839294</v>
      </c>
      <c r="H46" s="233" t="n">
        <v>7715.54756839294</v>
      </c>
      <c r="I46" s="233" t="n">
        <v>7715.54756839294</v>
      </c>
      <c r="J46" s="233" t="n">
        <v>7715.54756839294</v>
      </c>
      <c r="K46" s="233" t="n">
        <v>7715.54756839294</v>
      </c>
      <c r="L46" s="233" t="n">
        <v>7715.54756839294</v>
      </c>
      <c r="M46" s="233" t="n">
        <v>7715.54756839294</v>
      </c>
      <c r="N46" s="233" t="n">
        <v>7715.54756839294</v>
      </c>
      <c r="O46" s="233" t="n">
        <v>7715.54756839294</v>
      </c>
      <c r="P46" s="233" t="n">
        <v>7715.54756839294</v>
      </c>
      <c r="Q46" s="233" t="n">
        <v>7715.54756839294</v>
      </c>
      <c r="R46" s="233" t="n">
        <v>7715.54756839294</v>
      </c>
      <c r="S46" s="233" t="n">
        <v>7715.54756839294</v>
      </c>
      <c r="T46" s="233" t="n">
        <v>7715.54756839294</v>
      </c>
      <c r="U46" s="233" t="n">
        <v>7715.54756839294</v>
      </c>
      <c r="V46" s="233" t="n">
        <v>7715.54756839294</v>
      </c>
      <c r="W46" s="233" t="n">
        <v>7715.54756839294</v>
      </c>
      <c r="X46" s="233" t="n">
        <v>7715.54756839294</v>
      </c>
      <c r="Y46" s="233" t="n">
        <v>7715.54756839294</v>
      </c>
      <c r="Z46" s="233" t="n">
        <v>7715.54756839294</v>
      </c>
      <c r="AA46" s="204" t="n">
        <v>7715.54756839294</v>
      </c>
      <c r="AB46" s="204" t="n">
        <v>7715.54756839294</v>
      </c>
      <c r="AC46" s="204" t="n">
        <v>7715.54756839294</v>
      </c>
      <c r="AD46" s="204" t="n">
        <v>7715.54756839294</v>
      </c>
      <c r="AE46" s="204" t="n">
        <v>7715.54756839294</v>
      </c>
      <c r="AF46" s="204" t="n">
        <v>7715.54756839294</v>
      </c>
      <c r="AG46" s="204" t="n">
        <v>7715.54756839294</v>
      </c>
      <c r="AH46" s="204" t="n">
        <v>7715.54756839294</v>
      </c>
      <c r="AI46" s="204" t="n">
        <v>7715.54756839294</v>
      </c>
      <c r="AJ46" s="204" t="n">
        <v>7715.54756839294</v>
      </c>
      <c r="AK46" s="204" t="n">
        <v>7715.54756839294</v>
      </c>
      <c r="AL46" s="204" t="n">
        <v>7715.54756839294</v>
      </c>
      <c r="AM46" s="204" t="n">
        <v>7715.54756839294</v>
      </c>
      <c r="AN46" s="204" t="n">
        <v>7715.54756839294</v>
      </c>
      <c r="AO46" s="204" t="n">
        <v>7715.54756839294</v>
      </c>
      <c r="AP46" s="204" t="n">
        <v>7715.54756839294</v>
      </c>
      <c r="AQ46" s="204" t="n">
        <v>7715.54756839294</v>
      </c>
      <c r="AR46" s="204" t="n">
        <v>7715.54756839294</v>
      </c>
      <c r="AS46" s="204" t="n">
        <v>7715.54756839294</v>
      </c>
      <c r="AT46" s="204" t="n">
        <v>7715.54756839294</v>
      </c>
      <c r="AU46" s="204" t="n">
        <v>7715.54756839294</v>
      </c>
      <c r="AV46" s="200" t="n">
        <v>7715.54756839294</v>
      </c>
      <c r="AW46" s="184" t="n">
        <v>7715.54756839294</v>
      </c>
      <c r="AX46" s="184" t="n">
        <v>7715.54756839294</v>
      </c>
      <c r="AY46" s="184" t="n"/>
    </row>
    <row r="47" ht="22" customHeight="1">
      <c r="A47" s="303" t="n"/>
      <c r="B47" s="201" t="inlineStr">
        <is>
          <t>current price</t>
        </is>
      </c>
      <c r="C47" s="233" t="n">
        <v>4179.979204875766</v>
      </c>
      <c r="D47" s="233" t="n">
        <v>4207.185485128779</v>
      </c>
      <c r="E47" s="233" t="n">
        <v>4297.789570489957</v>
      </c>
      <c r="F47" s="233" t="n">
        <v>4354.514801315585</v>
      </c>
      <c r="G47" s="233" t="n">
        <v>4100.778426617442</v>
      </c>
      <c r="H47" s="233" t="n">
        <v>4298.614530360326</v>
      </c>
      <c r="I47" s="233" t="n">
        <v>4287.40504765496</v>
      </c>
      <c r="J47" s="233" t="n">
        <v>4123.850483013055</v>
      </c>
      <c r="K47" s="233" t="n">
        <v>4041.906079932349</v>
      </c>
      <c r="L47" s="233" t="n">
        <v>3888.563101099804</v>
      </c>
      <c r="M47" s="233" t="n">
        <v>4199.940342515911</v>
      </c>
      <c r="N47" s="233" t="n">
        <v>4201.517060366197</v>
      </c>
      <c r="O47" s="233" t="n">
        <v>4343.929611212923</v>
      </c>
      <c r="P47" s="233" t="n">
        <v>4645.149292619404</v>
      </c>
      <c r="Q47" s="233" t="n">
        <v>4951.759313902119</v>
      </c>
      <c r="R47" s="233" t="n">
        <v>4803.110983659775</v>
      </c>
      <c r="S47" s="233" t="n">
        <v>4876.421252571745</v>
      </c>
      <c r="T47" s="233" t="n">
        <v>4714.4094344076</v>
      </c>
      <c r="U47" s="233" t="n">
        <v>4648.735889937263</v>
      </c>
      <c r="V47" s="233" t="n">
        <v>4656.039133941871</v>
      </c>
      <c r="W47" s="233" t="n">
        <v>4698.273038556159</v>
      </c>
      <c r="X47" s="233" t="n">
        <v>4541.882589476241</v>
      </c>
      <c r="Y47" s="233" t="n">
        <v>4481.544204622536</v>
      </c>
      <c r="Z47" s="233" t="n">
        <v>4601.731490726088</v>
      </c>
      <c r="AA47" s="204" t="n">
        <v>4999.317181632214</v>
      </c>
      <c r="AB47" s="204" t="n">
        <v>5110.704496100952</v>
      </c>
      <c r="AC47" s="204" t="n">
        <v>5003.815239434887</v>
      </c>
      <c r="AD47" s="204" t="n">
        <v>4839.048085247108</v>
      </c>
      <c r="AE47" s="204" t="n">
        <v>5010.248323675012</v>
      </c>
      <c r="AF47" s="204" t="n">
        <v>4964.416320188902</v>
      </c>
      <c r="AG47" s="204" t="n">
        <v>4944.280446509714</v>
      </c>
      <c r="AH47" s="204" t="n">
        <v>5006.00827272702</v>
      </c>
      <c r="AI47" s="204" t="n">
        <v>5172.558803605789</v>
      </c>
      <c r="AJ47" s="204" t="n">
        <v>5251.881699016434</v>
      </c>
      <c r="AK47" s="204" t="n">
        <v>5285.001568126958</v>
      </c>
      <c r="AL47" s="204" t="n">
        <v>5386.359098045621</v>
      </c>
      <c r="AM47" s="204" t="n">
        <v>5452.9523933155</v>
      </c>
      <c r="AN47" s="204" t="n">
        <v>5601.728954415768</v>
      </c>
      <c r="AO47" s="204" t="n">
        <v>5104.044866681535</v>
      </c>
      <c r="AP47" s="204" t="n">
        <v>5433.338672124781</v>
      </c>
      <c r="AQ47" s="204" t="n">
        <v>5513.252004541398</v>
      </c>
      <c r="AR47" s="204" t="n">
        <v>5837.030057391152</v>
      </c>
      <c r="AS47" s="204" t="n">
        <v>5904.683480155654</v>
      </c>
      <c r="AT47" s="204" t="n">
        <v>6018.001251446782</v>
      </c>
      <c r="AU47" s="204" t="n">
        <v>5944.630643213895</v>
      </c>
      <c r="AV47" s="201" t="n">
        <v>5944.630643213895</v>
      </c>
      <c r="AW47" s="184" t="n">
        <v>5944.630643213895</v>
      </c>
      <c r="AX47" s="184" t="n">
        <v>5944.630643213895</v>
      </c>
      <c r="AY47" s="184" t="n"/>
    </row>
    <row r="48" ht="22" customHeight="1">
      <c r="A48" s="303" t="n"/>
      <c r="B48" s="201" t="inlineStr">
        <is>
          <t>% CHANGE</t>
        </is>
      </c>
      <c r="C48" s="230">
        <f>+(C47-C46)/C46</f>
        <v/>
      </c>
      <c r="D48" s="230">
        <f>+(D47-D46)/D46</f>
        <v/>
      </c>
      <c r="E48" s="230">
        <f>+(E47-E46)/E46</f>
        <v/>
      </c>
      <c r="F48" s="230">
        <f>+(F47-F46)/F46</f>
        <v/>
      </c>
      <c r="G48" s="230">
        <f>+(G47-G46)/G46</f>
        <v/>
      </c>
      <c r="H48" s="230">
        <f>+(H47-H46)/H46</f>
        <v/>
      </c>
      <c r="I48" s="230">
        <f>+(I47-I46)/I46</f>
        <v/>
      </c>
      <c r="J48" s="230">
        <f>+(J47-J46)/J46</f>
        <v/>
      </c>
      <c r="K48" s="230">
        <f>+(K47-K46)/K46</f>
        <v/>
      </c>
      <c r="L48" s="230">
        <f>+(L47-L46)/L46</f>
        <v/>
      </c>
      <c r="M48" s="230">
        <f>+(M47-M46)/M46</f>
        <v/>
      </c>
      <c r="N48" s="230">
        <f>+(N47-N46)/N46</f>
        <v/>
      </c>
      <c r="O48" s="230">
        <f>+(O47-O46)/O46</f>
        <v/>
      </c>
      <c r="P48" s="230">
        <f>+(P47-P46)/P46</f>
        <v/>
      </c>
      <c r="Q48" s="230">
        <f>+(Q47-Q46)/Q46</f>
        <v/>
      </c>
      <c r="R48" s="230">
        <f>+(R47-R46)/R46</f>
        <v/>
      </c>
      <c r="S48" s="230">
        <f>+(S47-S46)/S46</f>
        <v/>
      </c>
      <c r="T48" s="230">
        <f>+(T47-T46)/T46</f>
        <v/>
      </c>
      <c r="U48" s="230">
        <f>+(U47-U46)/U46</f>
        <v/>
      </c>
      <c r="V48" s="230">
        <f>+(V47-V46)/V46</f>
        <v/>
      </c>
      <c r="W48" s="230">
        <f>+(W47-W46)/W46</f>
        <v/>
      </c>
      <c r="X48" s="230">
        <f>+(X47-X46)/X46</f>
        <v/>
      </c>
      <c r="Y48" s="230">
        <f>+(Y47-Y46)/Y46</f>
        <v/>
      </c>
      <c r="Z48" s="230">
        <f>+(Z47-Z46)/Z46</f>
        <v/>
      </c>
      <c r="AA48" s="230">
        <f>+(AA47-AA46)/AA46</f>
        <v/>
      </c>
      <c r="AB48" s="205">
        <f>+(AB47-AB46)/AB46</f>
        <v/>
      </c>
      <c r="AC48" s="205">
        <f>+(AC47-AC46)/AC46</f>
        <v/>
      </c>
      <c r="AD48" s="205">
        <f>+(AD47-AD46)/AD46</f>
        <v/>
      </c>
      <c r="AE48" s="205">
        <f>+(AE47-AE46)/AE46</f>
        <v/>
      </c>
      <c r="AF48" s="205">
        <f>+(AF47-AF46)/AF46</f>
        <v/>
      </c>
      <c r="AG48" s="205">
        <f>+(AG47-AG46)/AG46</f>
        <v/>
      </c>
      <c r="AH48" s="205">
        <f>+(AH47-AH46)/AH46</f>
        <v/>
      </c>
      <c r="AI48" s="205">
        <f>+(AI47-AI46)/AI46</f>
        <v/>
      </c>
      <c r="AJ48" s="205">
        <f>+(AJ47-AJ46)/AJ46</f>
        <v/>
      </c>
      <c r="AK48" s="205">
        <f>+(AK47-AK46)/AK46</f>
        <v/>
      </c>
      <c r="AL48" s="205">
        <f>+(AL47-AL46)/AL46</f>
        <v/>
      </c>
      <c r="AM48" s="205">
        <f>+(AM47-AM46)/AM46</f>
        <v/>
      </c>
      <c r="AN48" s="205">
        <f>+(AN47-AN46)/AN46</f>
        <v/>
      </c>
      <c r="AO48" s="205">
        <f>+(AO47-AO46)/AO46</f>
        <v/>
      </c>
      <c r="AP48" s="205">
        <f>+(AP47-AP46)/AP46</f>
        <v/>
      </c>
      <c r="AQ48" s="205">
        <f>+(AQ47-AQ46)/AQ46</f>
        <v/>
      </c>
      <c r="AR48" s="205">
        <f>+(AR47-AR46)/AR46</f>
        <v/>
      </c>
      <c r="AS48" s="205">
        <f>+(AS47-AS46)/AS46</f>
        <v/>
      </c>
      <c r="AT48" s="205">
        <f>+(AT47-AT46)/AT46</f>
        <v/>
      </c>
      <c r="AU48" s="205">
        <f>+(AU47-AU46)/AU46</f>
        <v/>
      </c>
      <c r="AV48" s="201">
        <f>+(AV47-AV46)/AV46</f>
        <v/>
      </c>
      <c r="AW48" s="184">
        <f>+(AW47-AW46)/AW46</f>
        <v/>
      </c>
      <c r="AX48" s="184">
        <f>+(AX47-AX46)/AX46</f>
        <v/>
      </c>
      <c r="AY48" s="184" t="n"/>
    </row>
    <row r="49" ht="44" customHeight="1">
      <c r="A49" s="303" t="n"/>
      <c r="B49" s="201" t="inlineStr">
        <is>
          <t>All time High STOXX50</t>
        </is>
      </c>
      <c r="C49" s="233" t="n">
        <v>4522.240234375</v>
      </c>
      <c r="D49" s="233" t="n">
        <v>4522.240234375</v>
      </c>
      <c r="E49" s="233" t="n">
        <v>4522.240234375</v>
      </c>
      <c r="F49" s="233" t="n">
        <v>4522.240234375</v>
      </c>
      <c r="G49" s="233" t="n">
        <v>4522.240234375</v>
      </c>
      <c r="H49" s="233" t="n">
        <v>4522.240234375</v>
      </c>
      <c r="I49" s="233" t="n">
        <v>4522.240234375</v>
      </c>
      <c r="J49" s="233" t="n">
        <v>4522.240234375</v>
      </c>
      <c r="K49" s="233" t="n">
        <v>4522.240234375</v>
      </c>
      <c r="L49" s="233" t="n">
        <v>4522.240234375</v>
      </c>
      <c r="M49" s="233" t="n">
        <v>4522.240234375</v>
      </c>
      <c r="N49" s="233" t="n">
        <v>4593.10986328125</v>
      </c>
      <c r="O49" s="233" t="n">
        <v>4674.740234375</v>
      </c>
      <c r="P49" s="233" t="n">
        <v>4898.3701171875</v>
      </c>
      <c r="Q49" s="233" t="n">
        <v>5103.259765625</v>
      </c>
      <c r="R49" s="233" t="n">
        <v>5103.259765625</v>
      </c>
      <c r="S49" s="233" t="n">
        <v>5103.259765625</v>
      </c>
      <c r="T49" s="233" t="n">
        <v>5103.259765625</v>
      </c>
      <c r="U49" s="233" t="n">
        <v>5103.259765625</v>
      </c>
      <c r="V49" s="233" t="n">
        <v>5103.259765625</v>
      </c>
      <c r="W49" s="233" t="n">
        <v>5103.259765625</v>
      </c>
      <c r="X49" s="233" t="n">
        <v>5103.259765625</v>
      </c>
      <c r="Y49" s="233" t="n">
        <v>5103.259765625</v>
      </c>
      <c r="Z49" s="233" t="n">
        <v>5103.259765625</v>
      </c>
      <c r="AA49" s="231" t="n">
        <v>5314.2900390625</v>
      </c>
      <c r="AB49" s="203" t="n">
        <v>5544.1201171875</v>
      </c>
      <c r="AC49" s="203" t="n">
        <v>5544.1201171875</v>
      </c>
      <c r="AD49" s="203" t="n">
        <v>5544.1201171875</v>
      </c>
      <c r="AE49" s="203" t="n">
        <v>5544.1201171875</v>
      </c>
      <c r="AF49" s="203" t="n">
        <v>5544.1201171875</v>
      </c>
      <c r="AG49" s="203" t="n">
        <v>5544.1201171875</v>
      </c>
      <c r="AH49" s="203" t="n">
        <v>5544.1201171875</v>
      </c>
      <c r="AI49" s="203" t="n">
        <v>5544.1201171875</v>
      </c>
      <c r="AJ49" s="203" t="n">
        <v>5734.27978515625</v>
      </c>
      <c r="AK49" s="203" t="n">
        <v>5818.06982421875</v>
      </c>
      <c r="AL49" s="203" t="n">
        <v>5818.06982421875</v>
      </c>
      <c r="AM49" s="203" t="n">
        <v>6053.68017578125</v>
      </c>
      <c r="AN49" s="203" t="n">
        <v>6199.77978515625</v>
      </c>
      <c r="AO49" s="203" t="n">
        <v>6199.77978515625</v>
      </c>
      <c r="AP49" s="203" t="n">
        <v>6199.77978515625</v>
      </c>
      <c r="AQ49" s="203" t="n">
        <v>6199.77978515625</v>
      </c>
      <c r="AR49" s="203" t="n">
        <v>6337.22021484375</v>
      </c>
      <c r="AS49" s="203" t="n">
        <v>6431.419921875</v>
      </c>
      <c r="AT49" s="203" t="n">
        <v>6577.2001953125</v>
      </c>
      <c r="AU49" s="203" t="n">
        <v>6577.2001953125</v>
      </c>
      <c r="AV49" s="201" t="n">
        <v>6577.2001953125</v>
      </c>
      <c r="AW49" s="184" t="n">
        <v>6577.2001953125</v>
      </c>
      <c r="AX49" s="184" t="n">
        <v>6577.2001953125</v>
      </c>
      <c r="AY49" s="184" t="n"/>
    </row>
    <row r="50" ht="44" customHeight="1">
      <c r="A50" s="303" t="n"/>
      <c r="B50" s="201" t="inlineStr">
        <is>
          <t>current price STOXX50</t>
        </is>
      </c>
      <c r="C50" s="233" t="n">
        <v>4163.4501953125</v>
      </c>
      <c r="D50" s="233" t="n">
        <v>4238.3798828125</v>
      </c>
      <c r="E50" s="233" t="n">
        <v>4315.0498046875</v>
      </c>
      <c r="F50" s="233" t="n">
        <v>4359.31005859375</v>
      </c>
      <c r="G50" s="233" t="n">
        <v>4218.0400390625</v>
      </c>
      <c r="H50" s="233" t="n">
        <v>4399.08984375</v>
      </c>
      <c r="I50" s="233" t="n">
        <v>4471.31005859375</v>
      </c>
      <c r="J50" s="233" t="n">
        <v>4297.10986328125</v>
      </c>
      <c r="K50" s="233" t="n">
        <v>4174.66015625</v>
      </c>
      <c r="L50" s="233" t="n">
        <v>4061.1201171875</v>
      </c>
      <c r="M50" s="233" t="n">
        <v>4382.47021484375</v>
      </c>
      <c r="N50" s="233" t="n">
        <v>4521.64990234375</v>
      </c>
      <c r="O50" s="233" t="n">
        <v>4648.39990234375</v>
      </c>
      <c r="P50" s="233" t="n">
        <v>4877.77001953125</v>
      </c>
      <c r="Q50" s="233" t="n">
        <v>5083.419921875</v>
      </c>
      <c r="R50" s="233" t="n">
        <v>4921.22021484375</v>
      </c>
      <c r="S50" s="233" t="n">
        <v>4983.669921875</v>
      </c>
      <c r="T50" s="233" t="n">
        <v>4894.02001953125</v>
      </c>
      <c r="U50" s="233" t="n">
        <v>4872.93994140625</v>
      </c>
      <c r="V50" s="233" t="n">
        <v>4957.97998046875</v>
      </c>
      <c r="W50" s="233" t="n">
        <v>5000.4501953125</v>
      </c>
      <c r="X50" s="233" t="n">
        <v>4827.6298828125</v>
      </c>
      <c r="Y50" s="233" t="n">
        <v>4804.39990234375</v>
      </c>
      <c r="Z50" s="233" t="n">
        <v>4895.97998046875</v>
      </c>
      <c r="AA50" s="231" t="n">
        <v>5286.8701171875</v>
      </c>
      <c r="AB50" s="203" t="n">
        <v>5463.5400390625</v>
      </c>
      <c r="AC50" s="203" t="n">
        <v>5248.39013671875</v>
      </c>
      <c r="AD50" s="203" t="n">
        <v>5160.22021484375</v>
      </c>
      <c r="AE50" s="203" t="n">
        <v>5366.58984375</v>
      </c>
      <c r="AF50" s="203" t="n">
        <v>5303.240234375</v>
      </c>
      <c r="AG50" s="203" t="n">
        <v>5319.919921875</v>
      </c>
      <c r="AH50" s="203" t="n">
        <v>5351.72998046875</v>
      </c>
      <c r="AI50" s="203" t="n">
        <v>5529.9599609375</v>
      </c>
      <c r="AJ50" s="203" t="n">
        <v>5662.0400390625</v>
      </c>
      <c r="AK50" s="203" t="n">
        <v>5668.169921875</v>
      </c>
      <c r="AL50" s="203" t="n">
        <v>5791.41015625</v>
      </c>
      <c r="AM50" s="203" t="n">
        <v>5947.81005859375</v>
      </c>
      <c r="AN50" s="203" t="n">
        <v>6138.41015625</v>
      </c>
      <c r="AO50" s="203" t="n">
        <v>5569.72998046875</v>
      </c>
      <c r="AP50" s="203" t="n">
        <v>5881.509765625</v>
      </c>
      <c r="AQ50" s="203" t="n">
        <v>6050.5400390625</v>
      </c>
      <c r="AR50" s="203" t="n">
        <v>6328.08984375</v>
      </c>
      <c r="AS50" s="203" t="n">
        <v>6358.009765625</v>
      </c>
      <c r="AT50" s="203" t="n">
        <v>6420.16015625</v>
      </c>
      <c r="AU50" s="203" t="n">
        <v>6302.81982421875</v>
      </c>
      <c r="AV50" s="201" t="n">
        <v>6302.81982421875</v>
      </c>
      <c r="AW50" s="184" t="n">
        <v>6302.81982421875</v>
      </c>
      <c r="AX50" s="184" t="n">
        <v>6302.81982421875</v>
      </c>
      <c r="AY50" s="184" t="n"/>
    </row>
    <row r="51" ht="44" customHeight="1">
      <c r="A51" s="303" t="n"/>
      <c r="B51" s="201" t="inlineStr">
        <is>
          <t>original index % change</t>
        </is>
      </c>
      <c r="C51" s="230">
        <f>+(C50-C49)/C49</f>
        <v/>
      </c>
      <c r="D51" s="230">
        <f>+(D50-D49)/D49</f>
        <v/>
      </c>
      <c r="E51" s="230">
        <f>+(E50-E49)/E49</f>
        <v/>
      </c>
      <c r="F51" s="230">
        <f>+(F50-F49)/F49</f>
        <v/>
      </c>
      <c r="G51" s="230">
        <f>+(G50-G49)/G49</f>
        <v/>
      </c>
      <c r="H51" s="230">
        <f>+(H50-H49)/H49</f>
        <v/>
      </c>
      <c r="I51" s="230">
        <f>+(I50-I49)/I49</f>
        <v/>
      </c>
      <c r="J51" s="230">
        <f>+(J50-J49)/J49</f>
        <v/>
      </c>
      <c r="K51" s="230">
        <f>+(K50-K49)/K49</f>
        <v/>
      </c>
      <c r="L51" s="230">
        <f>+(L50-L49)/L49</f>
        <v/>
      </c>
      <c r="M51" s="230">
        <f>+(M50-M49)/M49</f>
        <v/>
      </c>
      <c r="N51" s="230">
        <f>+(N50-N49)/N49</f>
        <v/>
      </c>
      <c r="O51" s="230">
        <f>+(O50-O49)/O49</f>
        <v/>
      </c>
      <c r="P51" s="230">
        <f>+(P50-P49)/P49</f>
        <v/>
      </c>
      <c r="Q51" s="230">
        <f>+(Q50-Q49)/Q49</f>
        <v/>
      </c>
      <c r="R51" s="230">
        <f>+(R50-R49)/R49</f>
        <v/>
      </c>
      <c r="S51" s="230">
        <f>+(S50-S49)/S49</f>
        <v/>
      </c>
      <c r="T51" s="230">
        <f>+(T50-T49)/T49</f>
        <v/>
      </c>
      <c r="U51" s="230">
        <f>+(U50-U49)/U49</f>
        <v/>
      </c>
      <c r="V51" s="230">
        <f>+(V50-V49)/V49</f>
        <v/>
      </c>
      <c r="W51" s="230">
        <f>+(W50-W49)/W49</f>
        <v/>
      </c>
      <c r="X51" s="230">
        <f>+(X50-X49)/X49</f>
        <v/>
      </c>
      <c r="Y51" s="230">
        <f>+(Y50-Y49)/Y49</f>
        <v/>
      </c>
      <c r="Z51" s="230">
        <f>+(Z50-Z49)/Z49</f>
        <v/>
      </c>
      <c r="AA51" s="230">
        <f>+(AA50-AA49)/AA49</f>
        <v/>
      </c>
      <c r="AB51" s="205">
        <f>+(AB50-AB49)/AB49</f>
        <v/>
      </c>
      <c r="AC51" s="205">
        <f>+(AC50-AC49)/AC49</f>
        <v/>
      </c>
      <c r="AD51" s="205">
        <f>+(AD50-AD49)/AD49</f>
        <v/>
      </c>
      <c r="AE51" s="205">
        <f>+(AE50-AE49)/AE49</f>
        <v/>
      </c>
      <c r="AF51" s="205">
        <f>+(AF50-AF49)/AF49</f>
        <v/>
      </c>
      <c r="AG51" s="205">
        <f>+(AG50-AG49)/AG49</f>
        <v/>
      </c>
      <c r="AH51" s="205">
        <f>+(AH50-AH49)/AH49</f>
        <v/>
      </c>
      <c r="AI51" s="205">
        <f>+(AI50-AI49)/AI49</f>
        <v/>
      </c>
      <c r="AJ51" s="205">
        <f>+(AJ50-AJ49)/AJ49</f>
        <v/>
      </c>
      <c r="AK51" s="205">
        <f>+(AK50-AK49)/AK49</f>
        <v/>
      </c>
      <c r="AL51" s="205">
        <f>+(AL50-AL49)/AL49</f>
        <v/>
      </c>
      <c r="AM51" s="205">
        <f>+(AM50-AM49)/AM49</f>
        <v/>
      </c>
      <c r="AN51" s="205">
        <f>+(AN50-AN49)/AN49</f>
        <v/>
      </c>
      <c r="AO51" s="205">
        <f>+(AO50-AO49)/AO49</f>
        <v/>
      </c>
      <c r="AP51" s="205">
        <f>+(AP50-AP49)/AP49</f>
        <v/>
      </c>
      <c r="AQ51" s="205">
        <f>+(AQ50-AQ49)/AQ49</f>
        <v/>
      </c>
      <c r="AR51" s="205">
        <f>+(AR50-AR49)/AR49</f>
        <v/>
      </c>
      <c r="AS51" s="205">
        <f>+(AS50-AS49)/AS49</f>
        <v/>
      </c>
      <c r="AT51" s="205">
        <f>+(AT50-AT49)/AT49</f>
        <v/>
      </c>
      <c r="AU51" s="205">
        <f>+(AU50-AU49)/AU49</f>
        <v/>
      </c>
      <c r="AV51" s="201">
        <f>+(AV50-AV49)/AV49</f>
        <v/>
      </c>
      <c r="AW51" s="184">
        <f>+(AW50-AW49)/AW49</f>
        <v/>
      </c>
      <c r="AX51" s="184">
        <f>+(AX50-AX49)/AX49</f>
        <v/>
      </c>
      <c r="AY51" s="184" t="n"/>
    </row>
    <row r="52" ht="22" customHeight="1">
      <c r="A52" s="303" t="n"/>
      <c r="B52" s="201" t="inlineStr">
        <is>
          <t>real % change</t>
        </is>
      </c>
      <c r="C52" s="230">
        <f>+C48-C51</f>
        <v/>
      </c>
      <c r="D52" s="230">
        <f>+D48-D51</f>
        <v/>
      </c>
      <c r="E52" s="230">
        <f>+E48-E51</f>
        <v/>
      </c>
      <c r="F52" s="230">
        <f>+F48-F51</f>
        <v/>
      </c>
      <c r="G52" s="230">
        <f>+G48-G51</f>
        <v/>
      </c>
      <c r="H52" s="230">
        <f>+H48-H51</f>
        <v/>
      </c>
      <c r="I52" s="230">
        <f>+I48-I51</f>
        <v/>
      </c>
      <c r="J52" s="230">
        <f>+J48-J51</f>
        <v/>
      </c>
      <c r="K52" s="230">
        <f>+K48-K51</f>
        <v/>
      </c>
      <c r="L52" s="230">
        <f>+L48-L51</f>
        <v/>
      </c>
      <c r="M52" s="230">
        <f>+M48-M51</f>
        <v/>
      </c>
      <c r="N52" s="230">
        <f>+N48-N51</f>
        <v/>
      </c>
      <c r="O52" s="230">
        <f>+O48-O51</f>
        <v/>
      </c>
      <c r="P52" s="230">
        <f>+P48-P51</f>
        <v/>
      </c>
      <c r="Q52" s="230">
        <f>+Q48-Q51</f>
        <v/>
      </c>
      <c r="R52" s="230">
        <f>+R48-R51</f>
        <v/>
      </c>
      <c r="S52" s="230">
        <f>+S48-S51</f>
        <v/>
      </c>
      <c r="T52" s="230">
        <f>+T48-T51</f>
        <v/>
      </c>
      <c r="U52" s="230">
        <f>+U48-U51</f>
        <v/>
      </c>
      <c r="V52" s="230">
        <f>+V48-V51</f>
        <v/>
      </c>
      <c r="W52" s="230">
        <f>+W48-W51</f>
        <v/>
      </c>
      <c r="X52" s="230">
        <f>+X48-X51</f>
        <v/>
      </c>
      <c r="Y52" s="230">
        <f>+Y48-Y51</f>
        <v/>
      </c>
      <c r="Z52" s="230">
        <f>+Z48-Z51</f>
        <v/>
      </c>
      <c r="AA52" s="230">
        <f>+AA48-AA51</f>
        <v/>
      </c>
      <c r="AB52" s="205">
        <f>+AB48-AB51</f>
        <v/>
      </c>
      <c r="AC52" s="205">
        <f>+AC48-AC51</f>
        <v/>
      </c>
      <c r="AD52" s="205">
        <f>+AD48-AD51</f>
        <v/>
      </c>
      <c r="AE52" s="205">
        <f>+AE48-AE51</f>
        <v/>
      </c>
      <c r="AF52" s="205">
        <f>+AF48-AF51</f>
        <v/>
      </c>
      <c r="AG52" s="205">
        <f>+AG48-AG51</f>
        <v/>
      </c>
      <c r="AH52" s="205">
        <f>+AH48-AH51</f>
        <v/>
      </c>
      <c r="AI52" s="205">
        <f>+AI48-AI51</f>
        <v/>
      </c>
      <c r="AJ52" s="205">
        <f>+AJ48-AJ51</f>
        <v/>
      </c>
      <c r="AK52" s="205">
        <f>+AK48-AK51</f>
        <v/>
      </c>
      <c r="AL52" s="205">
        <f>+AL48-AL51</f>
        <v/>
      </c>
      <c r="AM52" s="205">
        <f>+AM48-AM51</f>
        <v/>
      </c>
      <c r="AN52" s="205">
        <f>+AN48-AN51</f>
        <v/>
      </c>
      <c r="AO52" s="205">
        <f>+AO48-AO51</f>
        <v/>
      </c>
      <c r="AP52" s="205">
        <f>+AP48-AP51</f>
        <v/>
      </c>
      <c r="AQ52" s="205">
        <f>+AQ48-AQ51</f>
        <v/>
      </c>
      <c r="AR52" s="205">
        <f>+AR48-AR51</f>
        <v/>
      </c>
      <c r="AS52" s="205">
        <f>+AS48-AS51</f>
        <v/>
      </c>
      <c r="AT52" s="205">
        <f>+AT48-AT51</f>
        <v/>
      </c>
      <c r="AU52" s="205">
        <f>+AU48-AU51</f>
        <v/>
      </c>
      <c r="AV52" s="201">
        <f>+AV48-AV51</f>
        <v/>
      </c>
      <c r="AW52" s="184">
        <f>+AW48-AW51</f>
        <v/>
      </c>
      <c r="AX52" s="184">
        <f>+AX48-AX51</f>
        <v/>
      </c>
      <c r="AY52" s="184" t="n"/>
    </row>
    <row r="53" ht="22" customHeight="1">
      <c r="A53" s="304" t="n"/>
      <c r="B53" s="206" t="inlineStr">
        <is>
          <t>Rating</t>
        </is>
      </c>
      <c r="C53" s="232">
        <f>_xlfn.XLOOKUP(MIN(ABS($BJ$7:$BJ$29 - MEDIAN(MIN($BJ$7:$BJ$29), MAX($BJ$7:$BJ$29), C52))), ABS($BJ$7:$BJ$29 - MEDIAN(MIN($BJ$7:$BJ$29), MAX($BJ$7:$BJ$29), C52)), $BK$7:$BK$29, "Error", 0)</f>
        <v/>
      </c>
      <c r="D53" s="232">
        <f>_xlfn.XLOOKUP(MIN(ABS($BJ$7:$BJ$29 - MEDIAN(MIN($BJ$7:$BJ$29), MAX($BJ$7:$BJ$29), D52))), ABS($BJ$7:$BJ$29 - MEDIAN(MIN($BJ$7:$BJ$29), MAX($BJ$7:$BJ$29), D52)), $BK$7:$BK$29, "Error", 0)</f>
        <v/>
      </c>
      <c r="E53" s="232">
        <f>_xlfn.XLOOKUP(MIN(ABS($BJ$7:$BJ$29 - MEDIAN(MIN($BJ$7:$BJ$29), MAX($BJ$7:$BJ$29), E52))), ABS($BJ$7:$BJ$29 - MEDIAN(MIN($BJ$7:$BJ$29), MAX($BJ$7:$BJ$29), E52)), $BK$7:$BK$29, "Error", 0)</f>
        <v/>
      </c>
      <c r="F53" s="232">
        <f>_xlfn.XLOOKUP(MIN(ABS($BJ$7:$BJ$29 - MEDIAN(MIN($BJ$7:$BJ$29), MAX($BJ$7:$BJ$29), F52))), ABS($BJ$7:$BJ$29 - MEDIAN(MIN($BJ$7:$BJ$29), MAX($BJ$7:$BJ$29), F52)), $BK$7:$BK$29, "Error", 0)</f>
        <v/>
      </c>
      <c r="G53" s="232">
        <f>_xlfn.XLOOKUP(MIN(ABS($BJ$7:$BJ$29 - MEDIAN(MIN($BJ$7:$BJ$29), MAX($BJ$7:$BJ$29), G52))), ABS($BJ$7:$BJ$29 - MEDIAN(MIN($BJ$7:$BJ$29), MAX($BJ$7:$BJ$29), G52)), $BK$7:$BK$29, "Error", 0)</f>
        <v/>
      </c>
      <c r="H53" s="232">
        <f>_xlfn.XLOOKUP(MIN(ABS($BJ$7:$BJ$29 - MEDIAN(MIN($BJ$7:$BJ$29), MAX($BJ$7:$BJ$29), H52))), ABS($BJ$7:$BJ$29 - MEDIAN(MIN($BJ$7:$BJ$29), MAX($BJ$7:$BJ$29), H52)), $BK$7:$BK$29, "Error", 0)</f>
        <v/>
      </c>
      <c r="I53" s="232">
        <f>_xlfn.XLOOKUP(MIN(ABS($BJ$7:$BJ$29 - MEDIAN(MIN($BJ$7:$BJ$29), MAX($BJ$7:$BJ$29), I52))), ABS($BJ$7:$BJ$29 - MEDIAN(MIN($BJ$7:$BJ$29), MAX($BJ$7:$BJ$29), I52)), $BK$7:$BK$29, "Error", 0)</f>
        <v/>
      </c>
      <c r="J53" s="232">
        <f>_xlfn.XLOOKUP(MIN(ABS($BJ$7:$BJ$29 - MEDIAN(MIN($BJ$7:$BJ$29), MAX($BJ$7:$BJ$29), J52))), ABS($BJ$7:$BJ$29 - MEDIAN(MIN($BJ$7:$BJ$29), MAX($BJ$7:$BJ$29), J52)), $BK$7:$BK$29, "Error", 0)</f>
        <v/>
      </c>
      <c r="K53" s="232">
        <f>_xlfn.XLOOKUP(MIN(ABS($BJ$7:$BJ$29 - MEDIAN(MIN($BJ$7:$BJ$29), MAX($BJ$7:$BJ$29), K52))), ABS($BJ$7:$BJ$29 - MEDIAN(MIN($BJ$7:$BJ$29), MAX($BJ$7:$BJ$29), K52)), $BK$7:$BK$29, "Error", 0)</f>
        <v/>
      </c>
      <c r="L53" s="232">
        <f>_xlfn.XLOOKUP(MIN(ABS($BJ$7:$BJ$29 - MEDIAN(MIN($BJ$7:$BJ$29), MAX($BJ$7:$BJ$29), L52))), ABS($BJ$7:$BJ$29 - MEDIAN(MIN($BJ$7:$BJ$29), MAX($BJ$7:$BJ$29), L52)), $BK$7:$BK$29, "Error", 0)</f>
        <v/>
      </c>
      <c r="M53" s="232">
        <f>_xlfn.XLOOKUP(MIN(ABS($BJ$7:$BJ$29 - MEDIAN(MIN($BJ$7:$BJ$29), MAX($BJ$7:$BJ$29), M52))), ABS($BJ$7:$BJ$29 - MEDIAN(MIN($BJ$7:$BJ$29), MAX($BJ$7:$BJ$29), M52)), $BK$7:$BK$29, "Error", 0)</f>
        <v/>
      </c>
      <c r="N53" s="232">
        <f>_xlfn.XLOOKUP(MIN(ABS($BJ$7:$BJ$29 - MEDIAN(MIN($BJ$7:$BJ$29), MAX($BJ$7:$BJ$29), N52))), ABS($BJ$7:$BJ$29 - MEDIAN(MIN($BJ$7:$BJ$29), MAX($BJ$7:$BJ$29), N52)), $BK$7:$BK$29, "Error", 0)</f>
        <v/>
      </c>
      <c r="O53" s="232">
        <f>_xlfn.XLOOKUP(MIN(ABS($BJ$7:$BJ$29 - MEDIAN(MIN($BJ$7:$BJ$29), MAX($BJ$7:$BJ$29), O52))), ABS($BJ$7:$BJ$29 - MEDIAN(MIN($BJ$7:$BJ$29), MAX($BJ$7:$BJ$29), O52)), $BK$7:$BK$29, "Error", 0)</f>
        <v/>
      </c>
      <c r="P53" s="232">
        <f>_xlfn.XLOOKUP(MIN(ABS($BJ$7:$BJ$29 - MEDIAN(MIN($BJ$7:$BJ$29), MAX($BJ$7:$BJ$29), P52))), ABS($BJ$7:$BJ$29 - MEDIAN(MIN($BJ$7:$BJ$29), MAX($BJ$7:$BJ$29), P52)), $BK$7:$BK$29, "Error", 0)</f>
        <v/>
      </c>
      <c r="Q53" s="232">
        <f>_xlfn.XLOOKUP(MIN(ABS($BJ$7:$BJ$29 - MEDIAN(MIN($BJ$7:$BJ$29), MAX($BJ$7:$BJ$29), Q52))), ABS($BJ$7:$BJ$29 - MEDIAN(MIN($BJ$7:$BJ$29), MAX($BJ$7:$BJ$29), Q52)), $BK$7:$BK$29, "Error", 0)</f>
        <v/>
      </c>
      <c r="R53" s="232">
        <f>_xlfn.XLOOKUP(MIN(ABS($BJ$7:$BJ$29 - MEDIAN(MIN($BJ$7:$BJ$29), MAX($BJ$7:$BJ$29), R52))), ABS($BJ$7:$BJ$29 - MEDIAN(MIN($BJ$7:$BJ$29), MAX($BJ$7:$BJ$29), R52)), $BK$7:$BK$29, "Error", 0)</f>
        <v/>
      </c>
      <c r="S53" s="232">
        <f>_xlfn.XLOOKUP(MIN(ABS($BJ$7:$BJ$29 - MEDIAN(MIN($BJ$7:$BJ$29), MAX($BJ$7:$BJ$29), S52))), ABS($BJ$7:$BJ$29 - MEDIAN(MIN($BJ$7:$BJ$29), MAX($BJ$7:$BJ$29), S52)), $BK$7:$BK$29, "Error", 0)</f>
        <v/>
      </c>
      <c r="T53" s="232">
        <f>_xlfn.XLOOKUP(MIN(ABS($BJ$7:$BJ$29 - MEDIAN(MIN($BJ$7:$BJ$29), MAX($BJ$7:$BJ$29), T52))), ABS($BJ$7:$BJ$29 - MEDIAN(MIN($BJ$7:$BJ$29), MAX($BJ$7:$BJ$29), T52)), $BK$7:$BK$29, "Error", 0)</f>
        <v/>
      </c>
      <c r="U53" s="232">
        <f>_xlfn.XLOOKUP(MIN(ABS($BJ$7:$BJ$29 - MEDIAN(MIN($BJ$7:$BJ$29), MAX($BJ$7:$BJ$29), U52))), ABS($BJ$7:$BJ$29 - MEDIAN(MIN($BJ$7:$BJ$29), MAX($BJ$7:$BJ$29), U52)), $BK$7:$BK$29, "Error", 0)</f>
        <v/>
      </c>
      <c r="V53" s="232">
        <f>_xlfn.XLOOKUP(MIN(ABS($BJ$7:$BJ$29 - MEDIAN(MIN($BJ$7:$BJ$29), MAX($BJ$7:$BJ$29), V52))), ABS($BJ$7:$BJ$29 - MEDIAN(MIN($BJ$7:$BJ$29), MAX($BJ$7:$BJ$29), V52)), $BK$7:$BK$29, "Error", 0)</f>
        <v/>
      </c>
      <c r="W53" s="232">
        <f>_xlfn.XLOOKUP(MIN(ABS($BJ$7:$BJ$29 - MEDIAN(MIN($BJ$7:$BJ$29), MAX($BJ$7:$BJ$29), W52))), ABS($BJ$7:$BJ$29 - MEDIAN(MIN($BJ$7:$BJ$29), MAX($BJ$7:$BJ$29), W52)), $BK$7:$BK$29, "Error", 0)</f>
        <v/>
      </c>
      <c r="X53" s="232">
        <f>_xlfn.XLOOKUP(MIN(ABS($BJ$7:$BJ$29 - MEDIAN(MIN($BJ$7:$BJ$29), MAX($BJ$7:$BJ$29), X52))), ABS($BJ$7:$BJ$29 - MEDIAN(MIN($BJ$7:$BJ$29), MAX($BJ$7:$BJ$29), X52)), $BK$7:$BK$29, "Error", 0)</f>
        <v/>
      </c>
      <c r="Y53" s="232">
        <f>_xlfn.XLOOKUP(MIN(ABS($BJ$7:$BJ$29 - MEDIAN(MIN($BJ$7:$BJ$29), MAX($BJ$7:$BJ$29), Y52))), ABS($BJ$7:$BJ$29 - MEDIAN(MIN($BJ$7:$BJ$29), MAX($BJ$7:$BJ$29), Y52)), $BK$7:$BK$29, "Error", 0)</f>
        <v/>
      </c>
      <c r="Z53" s="232">
        <f>_xlfn.XLOOKUP(MIN(ABS($BJ$7:$BJ$29 - MEDIAN(MIN($BJ$7:$BJ$29), MAX($BJ$7:$BJ$29), Z52))), ABS($BJ$7:$BJ$29 - MEDIAN(MIN($BJ$7:$BJ$29), MAX($BJ$7:$BJ$29), Z52)), $BK$7:$BK$29, "Error", 0)</f>
        <v/>
      </c>
      <c r="AA53" s="232">
        <f>_xlfn.XLOOKUP(MIN(ABS($BJ$7:$BJ$29 - MEDIAN(MIN($BJ$7:$BJ$29), MAX($BJ$7:$BJ$29), AA52))), ABS($BJ$7:$BJ$29 - MEDIAN(MIN($BJ$7:$BJ$29), MAX($BJ$7:$BJ$29), AA52)), $BK$7:$BK$29, "Error", 0)</f>
        <v/>
      </c>
      <c r="AB53" s="171">
        <f>_xlfn.XLOOKUP(MIN(ABS($BJ$7:$BJ$29 - MEDIAN(MIN($BJ$7:$BJ$29), MAX($BJ$7:$BJ$29), AB52))), ABS($BJ$7:$BJ$29 - MEDIAN(MIN($BJ$7:$BJ$29), MAX($BJ$7:$BJ$29), AB52)), $BK$7:$BK$29, "Error", 0)</f>
        <v/>
      </c>
      <c r="AC53" s="171">
        <f>_xlfn.XLOOKUP(MIN(ABS($BJ$7:$BJ$29 - MEDIAN(MIN($BJ$7:$BJ$29), MAX($BJ$7:$BJ$29), AC52))), ABS($BJ$7:$BJ$29 - MEDIAN(MIN($BJ$7:$BJ$29), MAX($BJ$7:$BJ$29), AC52)), $BK$7:$BK$29, "Error", 0)</f>
        <v/>
      </c>
      <c r="AD53" s="171">
        <f>_xlfn.XLOOKUP(MIN(ABS($BJ$7:$BJ$29 - MEDIAN(MIN($BJ$7:$BJ$29), MAX($BJ$7:$BJ$29), AD52))), ABS($BJ$7:$BJ$29 - MEDIAN(MIN($BJ$7:$BJ$29), MAX($BJ$7:$BJ$29), AD52)), $BK$7:$BK$29, "Error", 0)</f>
        <v/>
      </c>
      <c r="AE53" s="171">
        <f>_xlfn.XLOOKUP(MIN(ABS($BJ$7:$BJ$29 - MEDIAN(MIN($BJ$7:$BJ$29), MAX($BJ$7:$BJ$29), AE52))), ABS($BJ$7:$BJ$29 - MEDIAN(MIN($BJ$7:$BJ$29), MAX($BJ$7:$BJ$29), AE52)), $BK$7:$BK$29, "Error", 0)</f>
        <v/>
      </c>
      <c r="AF53" s="171">
        <f>_xlfn.XLOOKUP(MIN(ABS($BJ$7:$BJ$29 - MEDIAN(MIN($BJ$7:$BJ$29), MAX($BJ$7:$BJ$29), AF52))), ABS($BJ$7:$BJ$29 - MEDIAN(MIN($BJ$7:$BJ$29), MAX($BJ$7:$BJ$29), AF52)), $BK$7:$BK$29, "Error", 0)</f>
        <v/>
      </c>
      <c r="AG53" s="171">
        <f>_xlfn.XLOOKUP(MIN(ABS($BJ$7:$BJ$29 - MEDIAN(MIN($BJ$7:$BJ$29), MAX($BJ$7:$BJ$29), AG52))), ABS($BJ$7:$BJ$29 - MEDIAN(MIN($BJ$7:$BJ$29), MAX($BJ$7:$BJ$29), AG52)), $BK$7:$BK$29, "Error", 0)</f>
        <v/>
      </c>
      <c r="AH53" s="171">
        <f>_xlfn.XLOOKUP(MIN(ABS($BJ$7:$BJ$29 - MEDIAN(MIN($BJ$7:$BJ$29), MAX($BJ$7:$BJ$29), AH52))), ABS($BJ$7:$BJ$29 - MEDIAN(MIN($BJ$7:$BJ$29), MAX($BJ$7:$BJ$29), AH52)), $BK$7:$BK$29, "Error", 0)</f>
        <v/>
      </c>
      <c r="AI53" s="171">
        <f>_xlfn.XLOOKUP(MIN(ABS($BJ$7:$BJ$29 - MEDIAN(MIN($BJ$7:$BJ$29), MAX($BJ$7:$BJ$29), AI52))), ABS($BJ$7:$BJ$29 - MEDIAN(MIN($BJ$7:$BJ$29), MAX($BJ$7:$BJ$29), AI52)), $BK$7:$BK$29, "Error", 0)</f>
        <v/>
      </c>
      <c r="AJ53" s="171">
        <f>_xlfn.XLOOKUP(MIN(ABS($BJ$7:$BJ$29 - MEDIAN(MIN($BJ$7:$BJ$29), MAX($BJ$7:$BJ$29), AJ52))), ABS($BJ$7:$BJ$29 - MEDIAN(MIN($BJ$7:$BJ$29), MAX($BJ$7:$BJ$29), AJ52)), $BK$7:$BK$29, "Error", 0)</f>
        <v/>
      </c>
      <c r="AK53" s="171">
        <f>_xlfn.XLOOKUP(MIN(ABS($BJ$7:$BJ$29 - MEDIAN(MIN($BJ$7:$BJ$29), MAX($BJ$7:$BJ$29), AK52))), ABS($BJ$7:$BJ$29 - MEDIAN(MIN($BJ$7:$BJ$29), MAX($BJ$7:$BJ$29), AK52)), $BK$7:$BK$29, "Error", 0)</f>
        <v/>
      </c>
      <c r="AL53" s="171">
        <f>_xlfn.XLOOKUP(MIN(ABS($BJ$7:$BJ$29 - MEDIAN(MIN($BJ$7:$BJ$29), MAX($BJ$7:$BJ$29), AL52))), ABS($BJ$7:$BJ$29 - MEDIAN(MIN($BJ$7:$BJ$29), MAX($BJ$7:$BJ$29), AL52)), $BK$7:$BK$29, "Error", 0)</f>
        <v/>
      </c>
      <c r="AM53" s="171">
        <f>_xlfn.XLOOKUP(MIN(ABS($BJ$7:$BJ$29 - MEDIAN(MIN($BJ$7:$BJ$29), MAX($BJ$7:$BJ$29), AM52))), ABS($BJ$7:$BJ$29 - MEDIAN(MIN($BJ$7:$BJ$29), MAX($BJ$7:$BJ$29), AM52)), $BK$7:$BK$29, "Error", 0)</f>
        <v/>
      </c>
      <c r="AN53" s="171">
        <f>_xlfn.XLOOKUP(MIN(ABS($BJ$7:$BJ$29 - MEDIAN(MIN($BJ$7:$BJ$29), MAX($BJ$7:$BJ$29), AN52))), ABS($BJ$7:$BJ$29 - MEDIAN(MIN($BJ$7:$BJ$29), MAX($BJ$7:$BJ$29), AN52)), $BK$7:$BK$29, "Error", 0)</f>
        <v/>
      </c>
      <c r="AO53" s="171">
        <f>_xlfn.XLOOKUP(MIN(ABS($BJ$7:$BJ$29 - MEDIAN(MIN($BJ$7:$BJ$29), MAX($BJ$7:$BJ$29), AO52))), ABS($BJ$7:$BJ$29 - MEDIAN(MIN($BJ$7:$BJ$29), MAX($BJ$7:$BJ$29), AO52)), $BK$7:$BK$29, "Error", 0)</f>
        <v/>
      </c>
      <c r="AP53" s="171">
        <f>_xlfn.XLOOKUP(MIN(ABS($BJ$7:$BJ$29 - MEDIAN(MIN($BJ$7:$BJ$29), MAX($BJ$7:$BJ$29), AP52))), ABS($BJ$7:$BJ$29 - MEDIAN(MIN($BJ$7:$BJ$29), MAX($BJ$7:$BJ$29), AP52)), $BK$7:$BK$29, "Error", 0)</f>
        <v/>
      </c>
      <c r="AQ53" s="171">
        <f>_xlfn.XLOOKUP(MIN(ABS($BJ$7:$BJ$29 - MEDIAN(MIN($BJ$7:$BJ$29), MAX($BJ$7:$BJ$29), AQ52))), ABS($BJ$7:$BJ$29 - MEDIAN(MIN($BJ$7:$BJ$29), MAX($BJ$7:$BJ$29), AQ52)), $BK$7:$BK$29, "Error", 0)</f>
        <v/>
      </c>
      <c r="AR53" s="171">
        <f>_xlfn.XLOOKUP(MIN(ABS($BJ$7:$BJ$29 - MEDIAN(MIN($BJ$7:$BJ$29), MAX($BJ$7:$BJ$29), AR52))), ABS($BJ$7:$BJ$29 - MEDIAN(MIN($BJ$7:$BJ$29), MAX($BJ$7:$BJ$29), AR52)), $BK$7:$BK$29, "Error", 0)</f>
        <v/>
      </c>
      <c r="AS53" s="171">
        <f>_xlfn.XLOOKUP(MIN(ABS($BJ$7:$BJ$29 - MEDIAN(MIN($BJ$7:$BJ$29), MAX($BJ$7:$BJ$29), AS52))), ABS($BJ$7:$BJ$29 - MEDIAN(MIN($BJ$7:$BJ$29), MAX($BJ$7:$BJ$29), AS52)), $BK$7:$BK$29, "Error", 0)</f>
        <v/>
      </c>
      <c r="AT53" s="171">
        <f>_xlfn.XLOOKUP(MIN(ABS($BJ$7:$BJ$29 - MEDIAN(MIN($BJ$7:$BJ$29), MAX($BJ$7:$BJ$29), AT52))), ABS($BJ$7:$BJ$29 - MEDIAN(MIN($BJ$7:$BJ$29), MAX($BJ$7:$BJ$29), AT52)), $BK$7:$BK$29, "Error", 0)</f>
        <v/>
      </c>
      <c r="AU53" s="171">
        <f>_xlfn.XLOOKUP(MIN(ABS($BJ$7:$BJ$29 - MEDIAN(MIN($BJ$7:$BJ$29), MAX($BJ$7:$BJ$29), AU52))), ABS($BJ$7:$BJ$29 - MEDIAN(MIN($BJ$7:$BJ$29), MAX($BJ$7:$BJ$29), AU52)), $BK$7:$BK$29, "Error", 0)</f>
        <v/>
      </c>
      <c r="AV53" s="206">
        <f>_xlfn.XLOOKUP(MIN(ABS($BJ$7:$BJ$29 - MEDIAN(MIN($BJ$7:$BJ$29), MAX($BJ$7:$BJ$29), AV52))), ABS($BJ$7:$BJ$29 - MEDIAN(MIN($BJ$7:$BJ$29), MAX($BJ$7:$BJ$29), AV52)), $BK$7:$BK$29, "Error", 0)</f>
        <v/>
      </c>
      <c r="AW53" s="184">
        <f>_xlfn.XLOOKUP(MIN(ABS($BJ$7:$BJ$29 - MEDIAN(MIN($BJ$7:$BJ$29), MAX($BJ$7:$BJ$29), AW52))), ABS($BJ$7:$BJ$29 - MEDIAN(MIN($BJ$7:$BJ$29), MAX($BJ$7:$BJ$29), AW52)), $BK$7:$BK$29, "Error", 0)</f>
        <v/>
      </c>
      <c r="AX53" s="184">
        <f>_xlfn.XLOOKUP(MIN(ABS($BJ$7:$BJ$29 - MEDIAN(MIN($BJ$7:$BJ$29), MAX($BJ$7:$BJ$29), AX52))), ABS($BJ$7:$BJ$29 - MEDIAN(MIN($BJ$7:$BJ$29), MAX($BJ$7:$BJ$29), AX52)), $BK$7:$BK$29, "Error", 0)</f>
        <v/>
      </c>
      <c r="AY53" s="184" t="n"/>
    </row>
    <row r="54" ht="44" customHeight="1">
      <c r="A54" s="305" t="inlineStr">
        <is>
          <t>EUR GBP</t>
        </is>
      </c>
      <c r="B54" s="200" t="inlineStr">
        <is>
          <t>All time High (CL)</t>
        </is>
      </c>
      <c r="C54" s="233" t="n">
        <v>3736.168247839669</v>
      </c>
      <c r="D54" s="233" t="n">
        <v>3878.941903849598</v>
      </c>
      <c r="E54" s="233" t="n">
        <v>3878.941903849598</v>
      </c>
      <c r="F54" s="233" t="n">
        <v>3948.444495932199</v>
      </c>
      <c r="G54" s="233" t="n">
        <v>3948.444495932199</v>
      </c>
      <c r="H54" s="233" t="n">
        <v>3948.444495932199</v>
      </c>
      <c r="I54" s="233" t="n">
        <v>3948.444495932199</v>
      </c>
      <c r="J54" s="233" t="n">
        <v>3948.444495932199</v>
      </c>
      <c r="K54" s="233" t="n">
        <v>3948.444495932199</v>
      </c>
      <c r="L54" s="233" t="n">
        <v>3948.444495932199</v>
      </c>
      <c r="M54" s="233" t="n">
        <v>3948.444495932199</v>
      </c>
      <c r="N54" s="233" t="n">
        <v>4002.527915679908</v>
      </c>
      <c r="O54" s="233" t="n">
        <v>4070.296330095036</v>
      </c>
      <c r="P54" s="233" t="n">
        <v>4201.821920157876</v>
      </c>
      <c r="Q54" s="233" t="n">
        <v>4400.030680886004</v>
      </c>
      <c r="R54" s="233" t="n">
        <v>4400.030680886004</v>
      </c>
      <c r="S54" s="233" t="n">
        <v>4400.030680886004</v>
      </c>
      <c r="T54" s="233" t="n">
        <v>4400.030680886004</v>
      </c>
      <c r="U54" s="233" t="n">
        <v>4400.030680886004</v>
      </c>
      <c r="V54" s="233" t="n">
        <v>4400.030680886004</v>
      </c>
      <c r="W54" s="233" t="n">
        <v>4400.030680886004</v>
      </c>
      <c r="X54" s="233" t="n">
        <v>4400.030680886004</v>
      </c>
      <c r="Y54" s="233" t="n">
        <v>4400.030680886004</v>
      </c>
      <c r="Z54" s="233" t="n">
        <v>4400.030680886004</v>
      </c>
      <c r="AA54" s="204" t="n">
        <v>4502.957241554628</v>
      </c>
      <c r="AB54" s="204" t="n">
        <v>4643.588750951865</v>
      </c>
      <c r="AC54" s="204" t="n">
        <v>4643.588750951865</v>
      </c>
      <c r="AD54" s="204" t="n">
        <v>4643.588750951865</v>
      </c>
      <c r="AE54" s="204" t="n">
        <v>4669.056785317312</v>
      </c>
      <c r="AF54" s="204" t="n">
        <v>4669.056785317312</v>
      </c>
      <c r="AG54" s="204" t="n">
        <v>4787.834015261964</v>
      </c>
      <c r="AH54" s="204" t="n">
        <v>4816.949093448813</v>
      </c>
      <c r="AI54" s="204" t="n">
        <v>4838.383047242125</v>
      </c>
      <c r="AJ54" s="204" t="n">
        <v>5055.685027007712</v>
      </c>
      <c r="AK54" s="204" t="n">
        <v>5055.685027007712</v>
      </c>
      <c r="AL54" s="204" t="n">
        <v>5107.211773897056</v>
      </c>
      <c r="AM54" s="204" t="n">
        <v>5294.245906512311</v>
      </c>
      <c r="AN54" s="204" t="n">
        <v>5447.622444387409</v>
      </c>
      <c r="AO54" s="204" t="n">
        <v>5447.622444387409</v>
      </c>
      <c r="AP54" s="204" t="n">
        <v>5447.622444387409</v>
      </c>
      <c r="AQ54" s="204" t="n">
        <v>5447.622444387409</v>
      </c>
      <c r="AR54" s="204" t="n">
        <v>5500.706962153228</v>
      </c>
      <c r="AS54" s="204" t="n">
        <v>5500.706962153228</v>
      </c>
      <c r="AT54" s="204" t="n">
        <v>5646.329200830136</v>
      </c>
      <c r="AU54" s="204" t="n">
        <v>5646.329200830136</v>
      </c>
      <c r="AV54" s="200" t="n">
        <v>5646.329200830136</v>
      </c>
      <c r="AW54" s="184" t="n">
        <v>5646.329200830136</v>
      </c>
      <c r="AX54" s="184" t="n">
        <v>5646.329200830136</v>
      </c>
      <c r="AY54" s="184" t="n"/>
    </row>
    <row r="55" ht="22" customHeight="1">
      <c r="A55" s="303" t="n"/>
      <c r="B55" s="201" t="inlineStr">
        <is>
          <t>current price</t>
        </is>
      </c>
      <c r="C55" s="233" t="n">
        <v>3657.632624095771</v>
      </c>
      <c r="D55" s="233" t="n">
        <v>3727.824753123161</v>
      </c>
      <c r="E55" s="233" t="n">
        <v>3798.279539911717</v>
      </c>
      <c r="F55" s="233" t="n">
        <v>3872.375132116344</v>
      </c>
      <c r="G55" s="233" t="n">
        <v>3646.832954073616</v>
      </c>
      <c r="H55" s="233" t="n">
        <v>3789.727908189408</v>
      </c>
      <c r="I55" s="233" t="n">
        <v>3834.59538855881</v>
      </c>
      <c r="J55" s="233" t="n">
        <v>3694.44008816182</v>
      </c>
      <c r="K55" s="233" t="n">
        <v>3622.352537156548</v>
      </c>
      <c r="L55" s="233" t="n">
        <v>3542.921132526884</v>
      </c>
      <c r="M55" s="233" t="n">
        <v>3787.725177640677</v>
      </c>
      <c r="N55" s="233" t="n">
        <v>3922.531322624563</v>
      </c>
      <c r="O55" s="233" t="n">
        <v>3969.873029420211</v>
      </c>
      <c r="P55" s="233" t="n">
        <v>4175.468564101495</v>
      </c>
      <c r="Q55" s="233" t="n">
        <v>4345.30727746943</v>
      </c>
      <c r="R55" s="233" t="n">
        <v>4198.489797008398</v>
      </c>
      <c r="S55" s="233" t="n">
        <v>4240.50519677368</v>
      </c>
      <c r="T55" s="233" t="n">
        <v>4147.682094903517</v>
      </c>
      <c r="U55" s="233" t="n">
        <v>4104.96467681331</v>
      </c>
      <c r="V55" s="233" t="n">
        <v>4176.106526673742</v>
      </c>
      <c r="W55" s="233" t="n">
        <v>4173.17560026265</v>
      </c>
      <c r="X55" s="233" t="n">
        <v>4045.070996397233</v>
      </c>
      <c r="Y55" s="233" t="n">
        <v>3991.975943461264</v>
      </c>
      <c r="Z55" s="233" t="n">
        <v>4059.697717326344</v>
      </c>
      <c r="AA55" s="204" t="n">
        <v>4424.158685145085</v>
      </c>
      <c r="AB55" s="204" t="n">
        <v>4507.52988629014</v>
      </c>
      <c r="AC55" s="204" t="n">
        <v>4390.540754857357</v>
      </c>
      <c r="AD55" s="204" t="n">
        <v>4382.110731873545</v>
      </c>
      <c r="AE55" s="204" t="n">
        <v>4523.498462095158</v>
      </c>
      <c r="AF55" s="204" t="n">
        <v>4532.838578732917</v>
      </c>
      <c r="AG55" s="204" t="n">
        <v>4585.877454665489</v>
      </c>
      <c r="AH55" s="204" t="n">
        <v>4631.922155189095</v>
      </c>
      <c r="AI55" s="204" t="n">
        <v>4828.207946439099</v>
      </c>
      <c r="AJ55" s="204" t="n">
        <v>4978.91494560783</v>
      </c>
      <c r="AK55" s="204" t="n">
        <v>4968.150995984906</v>
      </c>
      <c r="AL55" s="204" t="n">
        <v>5051.499634785345</v>
      </c>
      <c r="AM55" s="204" t="n">
        <v>5149.614085999492</v>
      </c>
      <c r="AN55" s="204" t="n">
        <v>5369.69696445507</v>
      </c>
      <c r="AO55" s="204" t="n">
        <v>4843.994245282811</v>
      </c>
      <c r="AP55" s="204" t="n">
        <v>5094.799163863994</v>
      </c>
      <c r="AQ55" s="204" t="n">
        <v>5243.397858788667</v>
      </c>
      <c r="AR55" s="204" t="n">
        <v>5450.826919982443</v>
      </c>
      <c r="AS55" s="204" t="n">
        <v>5442.583352703601</v>
      </c>
      <c r="AT55" s="204" t="n">
        <v>5494.630043602781</v>
      </c>
      <c r="AU55" s="204" t="n">
        <v>5417.399809398194</v>
      </c>
      <c r="AV55" s="201" t="n">
        <v>5417.399809398194</v>
      </c>
      <c r="AW55" s="184" t="n">
        <v>5417.399809398194</v>
      </c>
      <c r="AX55" s="184" t="n">
        <v>5417.399809398194</v>
      </c>
      <c r="AY55" s="184" t="n"/>
    </row>
    <row r="56" ht="22" customHeight="1">
      <c r="A56" s="303" t="n"/>
      <c r="B56" s="201" t="inlineStr">
        <is>
          <t>% CHANGE</t>
        </is>
      </c>
      <c r="C56" s="230">
        <f>+(C55-C54)/C54</f>
        <v/>
      </c>
      <c r="D56" s="230">
        <f>+(D55-D54)/D54</f>
        <v/>
      </c>
      <c r="E56" s="230">
        <f>+(E55-E54)/E54</f>
        <v/>
      </c>
      <c r="F56" s="230">
        <f>+(F55-F54)/F54</f>
        <v/>
      </c>
      <c r="G56" s="230">
        <f>+(G55-G54)/G54</f>
        <v/>
      </c>
      <c r="H56" s="230">
        <f>+(H55-H54)/H54</f>
        <v/>
      </c>
      <c r="I56" s="230">
        <f>+(I55-I54)/I54</f>
        <v/>
      </c>
      <c r="J56" s="230">
        <f>+(J55-J54)/J54</f>
        <v/>
      </c>
      <c r="K56" s="230">
        <f>+(K55-K54)/K54</f>
        <v/>
      </c>
      <c r="L56" s="230">
        <f>+(L55-L54)/L54</f>
        <v/>
      </c>
      <c r="M56" s="230">
        <f>+(M55-M54)/M54</f>
        <v/>
      </c>
      <c r="N56" s="230">
        <f>+(N55-N54)/N54</f>
        <v/>
      </c>
      <c r="O56" s="230">
        <f>+(O55-O54)/O54</f>
        <v/>
      </c>
      <c r="P56" s="230">
        <f>+(P55-P54)/P54</f>
        <v/>
      </c>
      <c r="Q56" s="230">
        <f>+(Q55-Q54)/Q54</f>
        <v/>
      </c>
      <c r="R56" s="230">
        <f>+(R55-R54)/R54</f>
        <v/>
      </c>
      <c r="S56" s="230">
        <f>+(S55-S54)/S54</f>
        <v/>
      </c>
      <c r="T56" s="230">
        <f>+(T55-T54)/T54</f>
        <v/>
      </c>
      <c r="U56" s="230">
        <f>+(U55-U54)/U54</f>
        <v/>
      </c>
      <c r="V56" s="230">
        <f>+(V55-V54)/V54</f>
        <v/>
      </c>
      <c r="W56" s="230">
        <f>+(W55-W54)/W54</f>
        <v/>
      </c>
      <c r="X56" s="230">
        <f>+(X55-X54)/X54</f>
        <v/>
      </c>
      <c r="Y56" s="230">
        <f>+(Y55-Y54)/Y54</f>
        <v/>
      </c>
      <c r="Z56" s="230">
        <f>+(Z55-Z54)/Z54</f>
        <v/>
      </c>
      <c r="AA56" s="230">
        <f>+(AA55-AA54)/AA54</f>
        <v/>
      </c>
      <c r="AB56" s="205">
        <f>+(AB55-AB54)/AB54</f>
        <v/>
      </c>
      <c r="AC56" s="205">
        <f>+(AC55-AC54)/AC54</f>
        <v/>
      </c>
      <c r="AD56" s="205">
        <f>+(AD55-AD54)/AD54</f>
        <v/>
      </c>
      <c r="AE56" s="205">
        <f>+(AE55-AE54)/AE54</f>
        <v/>
      </c>
      <c r="AF56" s="205">
        <f>+(AF55-AF54)/AF54</f>
        <v/>
      </c>
      <c r="AG56" s="205">
        <f>+(AG55-AG54)/AG54</f>
        <v/>
      </c>
      <c r="AH56" s="205">
        <f>+(AH55-AH54)/AH54</f>
        <v/>
      </c>
      <c r="AI56" s="205">
        <f>+(AI55-AI54)/AI54</f>
        <v/>
      </c>
      <c r="AJ56" s="205">
        <f>+(AJ55-AJ54)/AJ54</f>
        <v/>
      </c>
      <c r="AK56" s="205">
        <f>+(AK55-AK54)/AK54</f>
        <v/>
      </c>
      <c r="AL56" s="205">
        <f>+(AL55-AL54)/AL54</f>
        <v/>
      </c>
      <c r="AM56" s="205">
        <f>+(AM55-AM54)/AM54</f>
        <v/>
      </c>
      <c r="AN56" s="205">
        <f>+(AN55-AN54)/AN54</f>
        <v/>
      </c>
      <c r="AO56" s="205">
        <f>+(AO55-AO54)/AO54</f>
        <v/>
      </c>
      <c r="AP56" s="205">
        <f>+(AP55-AP54)/AP54</f>
        <v/>
      </c>
      <c r="AQ56" s="205">
        <f>+(AQ55-AQ54)/AQ54</f>
        <v/>
      </c>
      <c r="AR56" s="205">
        <f>+(AR55-AR54)/AR54</f>
        <v/>
      </c>
      <c r="AS56" s="205">
        <f>+(AS55-AS54)/AS54</f>
        <v/>
      </c>
      <c r="AT56" s="205">
        <f>+(AT55-AT54)/AT54</f>
        <v/>
      </c>
      <c r="AU56" s="205">
        <f>+(AU55-AU54)/AU54</f>
        <v/>
      </c>
      <c r="AV56" s="201">
        <f>+(AV55-AV54)/AV54</f>
        <v/>
      </c>
      <c r="AW56" s="184">
        <f>+(AW55-AW54)/AW54</f>
        <v/>
      </c>
      <c r="AX56" s="184">
        <f>+(AX55-AX54)/AX54</f>
        <v/>
      </c>
      <c r="AY56" s="184" t="n"/>
    </row>
    <row r="57" ht="44" customHeight="1">
      <c r="A57" s="303" t="n"/>
      <c r="B57" s="201" t="inlineStr">
        <is>
          <t>All time High STOXX50</t>
        </is>
      </c>
      <c r="C57" s="233" t="n">
        <v>4522.240234375</v>
      </c>
      <c r="D57" s="233" t="n">
        <v>4522.240234375</v>
      </c>
      <c r="E57" s="233" t="n">
        <v>4522.240234375</v>
      </c>
      <c r="F57" s="233" t="n">
        <v>4522.240234375</v>
      </c>
      <c r="G57" s="233" t="n">
        <v>4522.240234375</v>
      </c>
      <c r="H57" s="233" t="n">
        <v>4522.240234375</v>
      </c>
      <c r="I57" s="233" t="n">
        <v>4522.240234375</v>
      </c>
      <c r="J57" s="233" t="n">
        <v>4522.240234375</v>
      </c>
      <c r="K57" s="233" t="n">
        <v>4522.240234375</v>
      </c>
      <c r="L57" s="233" t="n">
        <v>4522.240234375</v>
      </c>
      <c r="M57" s="233" t="n">
        <v>4522.240234375</v>
      </c>
      <c r="N57" s="233" t="n">
        <v>4593.10986328125</v>
      </c>
      <c r="O57" s="233" t="n">
        <v>4674.740234375</v>
      </c>
      <c r="P57" s="233" t="n">
        <v>4898.3701171875</v>
      </c>
      <c r="Q57" s="233" t="n">
        <v>5103.259765625</v>
      </c>
      <c r="R57" s="233" t="n">
        <v>5103.259765625</v>
      </c>
      <c r="S57" s="233" t="n">
        <v>5103.259765625</v>
      </c>
      <c r="T57" s="233" t="n">
        <v>5103.259765625</v>
      </c>
      <c r="U57" s="233" t="n">
        <v>5103.259765625</v>
      </c>
      <c r="V57" s="233" t="n">
        <v>5103.259765625</v>
      </c>
      <c r="W57" s="233" t="n">
        <v>5103.259765625</v>
      </c>
      <c r="X57" s="233" t="n">
        <v>5103.259765625</v>
      </c>
      <c r="Y57" s="233" t="n">
        <v>5103.259765625</v>
      </c>
      <c r="Z57" s="233" t="n">
        <v>5103.259765625</v>
      </c>
      <c r="AA57" s="231" t="n">
        <v>5314.2900390625</v>
      </c>
      <c r="AB57" s="203" t="n">
        <v>5544.1201171875</v>
      </c>
      <c r="AC57" s="203" t="n">
        <v>5544.1201171875</v>
      </c>
      <c r="AD57" s="203" t="n">
        <v>5544.1201171875</v>
      </c>
      <c r="AE57" s="203" t="n">
        <v>5544.1201171875</v>
      </c>
      <c r="AF57" s="203" t="n">
        <v>5544.1201171875</v>
      </c>
      <c r="AG57" s="203" t="n">
        <v>5544.1201171875</v>
      </c>
      <c r="AH57" s="203" t="n">
        <v>5544.1201171875</v>
      </c>
      <c r="AI57" s="203" t="n">
        <v>5544.1201171875</v>
      </c>
      <c r="AJ57" s="203" t="n">
        <v>5734.27978515625</v>
      </c>
      <c r="AK57" s="203" t="n">
        <v>5818.06982421875</v>
      </c>
      <c r="AL57" s="203" t="n">
        <v>5818.06982421875</v>
      </c>
      <c r="AM57" s="203" t="n">
        <v>6053.68017578125</v>
      </c>
      <c r="AN57" s="203" t="n">
        <v>6199.77978515625</v>
      </c>
      <c r="AO57" s="203" t="n">
        <v>6199.77978515625</v>
      </c>
      <c r="AP57" s="203" t="n">
        <v>6199.77978515625</v>
      </c>
      <c r="AQ57" s="203" t="n">
        <v>6199.77978515625</v>
      </c>
      <c r="AR57" s="203" t="n">
        <v>6337.22021484375</v>
      </c>
      <c r="AS57" s="203" t="n">
        <v>6431.419921875</v>
      </c>
      <c r="AT57" s="203" t="n">
        <v>6577.2001953125</v>
      </c>
      <c r="AU57" s="203" t="n">
        <v>6577.2001953125</v>
      </c>
      <c r="AV57" s="201" t="n">
        <v>6577.2001953125</v>
      </c>
      <c r="AW57" s="184" t="n">
        <v>6577.2001953125</v>
      </c>
      <c r="AX57" s="184" t="n">
        <v>6577.2001953125</v>
      </c>
      <c r="AY57" s="184" t="n"/>
    </row>
    <row r="58" ht="44" customHeight="1">
      <c r="A58" s="303" t="n"/>
      <c r="B58" s="201" t="inlineStr">
        <is>
          <t>current price STOXX50</t>
        </is>
      </c>
      <c r="C58" s="233" t="n">
        <v>4163.4501953125</v>
      </c>
      <c r="D58" s="233" t="n">
        <v>4238.3798828125</v>
      </c>
      <c r="E58" s="233" t="n">
        <v>4315.0498046875</v>
      </c>
      <c r="F58" s="233" t="n">
        <v>4359.31005859375</v>
      </c>
      <c r="G58" s="233" t="n">
        <v>4218.0400390625</v>
      </c>
      <c r="H58" s="233" t="n">
        <v>4399.08984375</v>
      </c>
      <c r="I58" s="233" t="n">
        <v>4471.31005859375</v>
      </c>
      <c r="J58" s="233" t="n">
        <v>4297.10986328125</v>
      </c>
      <c r="K58" s="233" t="n">
        <v>4174.66015625</v>
      </c>
      <c r="L58" s="233" t="n">
        <v>4061.1201171875</v>
      </c>
      <c r="M58" s="233" t="n">
        <v>4382.47021484375</v>
      </c>
      <c r="N58" s="233" t="n">
        <v>4521.64990234375</v>
      </c>
      <c r="O58" s="233" t="n">
        <v>4648.39990234375</v>
      </c>
      <c r="P58" s="233" t="n">
        <v>4877.77001953125</v>
      </c>
      <c r="Q58" s="233" t="n">
        <v>5083.419921875</v>
      </c>
      <c r="R58" s="233" t="n">
        <v>4921.22021484375</v>
      </c>
      <c r="S58" s="233" t="n">
        <v>4983.669921875</v>
      </c>
      <c r="T58" s="233" t="n">
        <v>4894.02001953125</v>
      </c>
      <c r="U58" s="233" t="n">
        <v>4872.93994140625</v>
      </c>
      <c r="V58" s="233" t="n">
        <v>4957.97998046875</v>
      </c>
      <c r="W58" s="233" t="n">
        <v>5000.4501953125</v>
      </c>
      <c r="X58" s="233" t="n">
        <v>4827.6298828125</v>
      </c>
      <c r="Y58" s="233" t="n">
        <v>4804.39990234375</v>
      </c>
      <c r="Z58" s="233" t="n">
        <v>4895.97998046875</v>
      </c>
      <c r="AA58" s="231" t="n">
        <v>5286.8701171875</v>
      </c>
      <c r="AB58" s="203" t="n">
        <v>5463.5400390625</v>
      </c>
      <c r="AC58" s="203" t="n">
        <v>5248.39013671875</v>
      </c>
      <c r="AD58" s="203" t="n">
        <v>5160.22021484375</v>
      </c>
      <c r="AE58" s="203" t="n">
        <v>5366.58984375</v>
      </c>
      <c r="AF58" s="203" t="n">
        <v>5303.240234375</v>
      </c>
      <c r="AG58" s="203" t="n">
        <v>5319.919921875</v>
      </c>
      <c r="AH58" s="203" t="n">
        <v>5351.72998046875</v>
      </c>
      <c r="AI58" s="203" t="n">
        <v>5529.9599609375</v>
      </c>
      <c r="AJ58" s="203" t="n">
        <v>5662.0400390625</v>
      </c>
      <c r="AK58" s="203" t="n">
        <v>5668.169921875</v>
      </c>
      <c r="AL58" s="203" t="n">
        <v>5791.41015625</v>
      </c>
      <c r="AM58" s="203" t="n">
        <v>5947.81005859375</v>
      </c>
      <c r="AN58" s="203" t="n">
        <v>6138.41015625</v>
      </c>
      <c r="AO58" s="203" t="n">
        <v>5569.72998046875</v>
      </c>
      <c r="AP58" s="203" t="n">
        <v>5881.509765625</v>
      </c>
      <c r="AQ58" s="203" t="n">
        <v>6050.5400390625</v>
      </c>
      <c r="AR58" s="203" t="n">
        <v>6328.08984375</v>
      </c>
      <c r="AS58" s="203" t="n">
        <v>6358.009765625</v>
      </c>
      <c r="AT58" s="203" t="n">
        <v>6420.16015625</v>
      </c>
      <c r="AU58" s="203" t="n">
        <v>6302.81982421875</v>
      </c>
      <c r="AV58" s="201" t="n">
        <v>6302.81982421875</v>
      </c>
      <c r="AW58" s="184" t="n">
        <v>6302.81982421875</v>
      </c>
      <c r="AX58" s="184" t="n">
        <v>6302.81982421875</v>
      </c>
      <c r="AY58" s="184" t="n"/>
    </row>
    <row r="59" ht="44" customHeight="1">
      <c r="A59" s="303" t="n"/>
      <c r="B59" s="201" t="inlineStr">
        <is>
          <t>original index % change</t>
        </is>
      </c>
      <c r="C59" s="230">
        <f>+(C58-C57)/C57</f>
        <v/>
      </c>
      <c r="D59" s="230">
        <f>+(D58-D57)/D57</f>
        <v/>
      </c>
      <c r="E59" s="230">
        <f>+(E58-E57)/E57</f>
        <v/>
      </c>
      <c r="F59" s="230">
        <f>+(F58-F57)/F57</f>
        <v/>
      </c>
      <c r="G59" s="230">
        <f>+(G58-G57)/G57</f>
        <v/>
      </c>
      <c r="H59" s="230">
        <f>+(H58-H57)/H57</f>
        <v/>
      </c>
      <c r="I59" s="230">
        <f>+(I58-I57)/I57</f>
        <v/>
      </c>
      <c r="J59" s="230">
        <f>+(J58-J57)/J57</f>
        <v/>
      </c>
      <c r="K59" s="230">
        <f>+(K58-K57)/K57</f>
        <v/>
      </c>
      <c r="L59" s="230">
        <f>+(L58-L57)/L57</f>
        <v/>
      </c>
      <c r="M59" s="230">
        <f>+(M58-M57)/M57</f>
        <v/>
      </c>
      <c r="N59" s="230">
        <f>+(N58-N57)/N57</f>
        <v/>
      </c>
      <c r="O59" s="230">
        <f>+(O58-O57)/O57</f>
        <v/>
      </c>
      <c r="P59" s="230">
        <f>+(P58-P57)/P57</f>
        <v/>
      </c>
      <c r="Q59" s="230">
        <f>+(Q58-Q57)/Q57</f>
        <v/>
      </c>
      <c r="R59" s="230">
        <f>+(R58-R57)/R57</f>
        <v/>
      </c>
      <c r="S59" s="230">
        <f>+(S58-S57)/S57</f>
        <v/>
      </c>
      <c r="T59" s="230">
        <f>+(T58-T57)/T57</f>
        <v/>
      </c>
      <c r="U59" s="230">
        <f>+(U58-U57)/U57</f>
        <v/>
      </c>
      <c r="V59" s="230">
        <f>+(V58-V57)/V57</f>
        <v/>
      </c>
      <c r="W59" s="230">
        <f>+(W58-W57)/W57</f>
        <v/>
      </c>
      <c r="X59" s="230">
        <f>+(X58-X57)/X57</f>
        <v/>
      </c>
      <c r="Y59" s="230">
        <f>+(Y58-Y57)/Y57</f>
        <v/>
      </c>
      <c r="Z59" s="230">
        <f>+(Z58-Z57)/Z57</f>
        <v/>
      </c>
      <c r="AA59" s="230">
        <f>+(AA58-AA57)/AA57</f>
        <v/>
      </c>
      <c r="AB59" s="205">
        <f>+(AB58-AB57)/AB57</f>
        <v/>
      </c>
      <c r="AC59" s="205">
        <f>+(AC58-AC57)/AC57</f>
        <v/>
      </c>
      <c r="AD59" s="205">
        <f>+(AD58-AD57)/AD57</f>
        <v/>
      </c>
      <c r="AE59" s="205">
        <f>+(AE58-AE57)/AE57</f>
        <v/>
      </c>
      <c r="AF59" s="205">
        <f>+(AF58-AF57)/AF57</f>
        <v/>
      </c>
      <c r="AG59" s="205">
        <f>+(AG58-AG57)/AG57</f>
        <v/>
      </c>
      <c r="AH59" s="205">
        <f>+(AH58-AH57)/AH57</f>
        <v/>
      </c>
      <c r="AI59" s="205">
        <f>+(AI58-AI57)/AI57</f>
        <v/>
      </c>
      <c r="AJ59" s="205">
        <f>+(AJ58-AJ57)/AJ57</f>
        <v/>
      </c>
      <c r="AK59" s="205">
        <f>+(AK58-AK57)/AK57</f>
        <v/>
      </c>
      <c r="AL59" s="205">
        <f>+(AL58-AL57)/AL57</f>
        <v/>
      </c>
      <c r="AM59" s="205">
        <f>+(AM58-AM57)/AM57</f>
        <v/>
      </c>
      <c r="AN59" s="205">
        <f>+(AN58-AN57)/AN57</f>
        <v/>
      </c>
      <c r="AO59" s="205">
        <f>+(AO58-AO57)/AO57</f>
        <v/>
      </c>
      <c r="AP59" s="205">
        <f>+(AP58-AP57)/AP57</f>
        <v/>
      </c>
      <c r="AQ59" s="205">
        <f>+(AQ58-AQ57)/AQ57</f>
        <v/>
      </c>
      <c r="AR59" s="205">
        <f>+(AR58-AR57)/AR57</f>
        <v/>
      </c>
      <c r="AS59" s="205">
        <f>+(AS58-AS57)/AS57</f>
        <v/>
      </c>
      <c r="AT59" s="205">
        <f>+(AT58-AT57)/AT57</f>
        <v/>
      </c>
      <c r="AU59" s="205">
        <f>+(AU58-AU57)/AU57</f>
        <v/>
      </c>
      <c r="AV59" s="201">
        <f>+(AV58-AV57)/AV57</f>
        <v/>
      </c>
      <c r="AW59" s="184">
        <f>+(AW58-AW57)/AW57</f>
        <v/>
      </c>
      <c r="AX59" s="184">
        <f>+(AX58-AX57)/AX57</f>
        <v/>
      </c>
      <c r="AY59" s="184" t="n"/>
    </row>
    <row r="60" ht="22" customHeight="1">
      <c r="A60" s="303" t="n"/>
      <c r="B60" s="201" t="inlineStr">
        <is>
          <t>real % change</t>
        </is>
      </c>
      <c r="C60" s="230">
        <f>+C56-C59</f>
        <v/>
      </c>
      <c r="D60" s="230">
        <f>+D56-D59</f>
        <v/>
      </c>
      <c r="E60" s="230">
        <f>+E56-E59</f>
        <v/>
      </c>
      <c r="F60" s="230">
        <f>+F56-F59</f>
        <v/>
      </c>
      <c r="G60" s="230">
        <f>+G56-G59</f>
        <v/>
      </c>
      <c r="H60" s="230">
        <f>+H56-H59</f>
        <v/>
      </c>
      <c r="I60" s="230">
        <f>+I56-I59</f>
        <v/>
      </c>
      <c r="J60" s="230">
        <f>+J56-J59</f>
        <v/>
      </c>
      <c r="K60" s="230">
        <f>+K56-K59</f>
        <v/>
      </c>
      <c r="L60" s="230">
        <f>+L56-L59</f>
        <v/>
      </c>
      <c r="M60" s="230">
        <f>+M56-M59</f>
        <v/>
      </c>
      <c r="N60" s="230">
        <f>+N56-N59</f>
        <v/>
      </c>
      <c r="O60" s="230">
        <f>+O56-O59</f>
        <v/>
      </c>
      <c r="P60" s="230">
        <f>+P56-P59</f>
        <v/>
      </c>
      <c r="Q60" s="230">
        <f>+Q56-Q59</f>
        <v/>
      </c>
      <c r="R60" s="230">
        <f>+R56-R59</f>
        <v/>
      </c>
      <c r="S60" s="230">
        <f>+S56-S59</f>
        <v/>
      </c>
      <c r="T60" s="230">
        <f>+T56-T59</f>
        <v/>
      </c>
      <c r="U60" s="230">
        <f>+U56-U59</f>
        <v/>
      </c>
      <c r="V60" s="230">
        <f>+V56-V59</f>
        <v/>
      </c>
      <c r="W60" s="230">
        <f>+W56-W59</f>
        <v/>
      </c>
      <c r="X60" s="230">
        <f>+X56-X59</f>
        <v/>
      </c>
      <c r="Y60" s="230">
        <f>+Y56-Y59</f>
        <v/>
      </c>
      <c r="Z60" s="230">
        <f>+Z56-Z59</f>
        <v/>
      </c>
      <c r="AA60" s="230">
        <f>+AA56-AA59</f>
        <v/>
      </c>
      <c r="AB60" s="205">
        <f>+AB56-AB59</f>
        <v/>
      </c>
      <c r="AC60" s="205">
        <f>+AC56-AC59</f>
        <v/>
      </c>
      <c r="AD60" s="205">
        <f>+AD56-AD59</f>
        <v/>
      </c>
      <c r="AE60" s="205">
        <f>+AE56-AE59</f>
        <v/>
      </c>
      <c r="AF60" s="205">
        <f>+AF56-AF59</f>
        <v/>
      </c>
      <c r="AG60" s="205">
        <f>+AG56-AG59</f>
        <v/>
      </c>
      <c r="AH60" s="205">
        <f>+AH56-AH59</f>
        <v/>
      </c>
      <c r="AI60" s="205">
        <f>+AI56-AI59</f>
        <v/>
      </c>
      <c r="AJ60" s="205">
        <f>+AJ56-AJ59</f>
        <v/>
      </c>
      <c r="AK60" s="205">
        <f>+AK56-AK59</f>
        <v/>
      </c>
      <c r="AL60" s="205">
        <f>+AL56-AL59</f>
        <v/>
      </c>
      <c r="AM60" s="205">
        <f>+AM56-AM59</f>
        <v/>
      </c>
      <c r="AN60" s="205">
        <f>+AN56-AN59</f>
        <v/>
      </c>
      <c r="AO60" s="205">
        <f>+AO56-AO59</f>
        <v/>
      </c>
      <c r="AP60" s="205">
        <f>+AP56-AP59</f>
        <v/>
      </c>
      <c r="AQ60" s="205">
        <f>+AQ56-AQ59</f>
        <v/>
      </c>
      <c r="AR60" s="205">
        <f>+AR56-AR59</f>
        <v/>
      </c>
      <c r="AS60" s="205">
        <f>+AS56-AS59</f>
        <v/>
      </c>
      <c r="AT60" s="205">
        <f>+AT56-AT59</f>
        <v/>
      </c>
      <c r="AU60" s="205">
        <f>+AU56-AU59</f>
        <v/>
      </c>
      <c r="AV60" s="201">
        <f>+AV56-AV59</f>
        <v/>
      </c>
      <c r="AW60" s="184">
        <f>+AW56-AW59</f>
        <v/>
      </c>
      <c r="AX60" s="184">
        <f>+AX56-AX59</f>
        <v/>
      </c>
      <c r="AY60" s="184" t="n"/>
    </row>
    <row r="61" ht="22" customHeight="1">
      <c r="A61" s="304" t="n"/>
      <c r="B61" s="206" t="inlineStr">
        <is>
          <t>Rating</t>
        </is>
      </c>
      <c r="C61" s="232">
        <f>_xlfn.XLOOKUP(MIN(ABS($BJ$7:$BJ$29 - MEDIAN(MIN($BJ$7:$BJ$29), MAX($BJ$7:$BJ$29), C60))), ABS($BJ$7:$BJ$29 - MEDIAN(MIN($BJ$7:$BJ$29), MAX($BJ$7:$BJ$29), C60)), $BK$7:$BK$29, "Error", 0)</f>
        <v/>
      </c>
      <c r="D61" s="232">
        <f>_xlfn.XLOOKUP(MIN(ABS($BJ$7:$BJ$29 - MEDIAN(MIN($BJ$7:$BJ$29), MAX($BJ$7:$BJ$29), D60))), ABS($BJ$7:$BJ$29 - MEDIAN(MIN($BJ$7:$BJ$29), MAX($BJ$7:$BJ$29), D60)), $BK$7:$BK$29, "Error", 0)</f>
        <v/>
      </c>
      <c r="E61" s="232">
        <f>_xlfn.XLOOKUP(MIN(ABS($BJ$7:$BJ$29 - MEDIAN(MIN($BJ$7:$BJ$29), MAX($BJ$7:$BJ$29), E60))), ABS($BJ$7:$BJ$29 - MEDIAN(MIN($BJ$7:$BJ$29), MAX($BJ$7:$BJ$29), E60)), $BK$7:$BK$29, "Error", 0)</f>
        <v/>
      </c>
      <c r="F61" s="232">
        <f>_xlfn.XLOOKUP(MIN(ABS($BJ$7:$BJ$29 - MEDIAN(MIN($BJ$7:$BJ$29), MAX($BJ$7:$BJ$29), F60))), ABS($BJ$7:$BJ$29 - MEDIAN(MIN($BJ$7:$BJ$29), MAX($BJ$7:$BJ$29), F60)), $BK$7:$BK$29, "Error", 0)</f>
        <v/>
      </c>
      <c r="G61" s="232">
        <f>_xlfn.XLOOKUP(MIN(ABS($BJ$7:$BJ$29 - MEDIAN(MIN($BJ$7:$BJ$29), MAX($BJ$7:$BJ$29), G60))), ABS($BJ$7:$BJ$29 - MEDIAN(MIN($BJ$7:$BJ$29), MAX($BJ$7:$BJ$29), G60)), $BK$7:$BK$29, "Error", 0)</f>
        <v/>
      </c>
      <c r="H61" s="232">
        <f>_xlfn.XLOOKUP(MIN(ABS($BJ$7:$BJ$29 - MEDIAN(MIN($BJ$7:$BJ$29), MAX($BJ$7:$BJ$29), H60))), ABS($BJ$7:$BJ$29 - MEDIAN(MIN($BJ$7:$BJ$29), MAX($BJ$7:$BJ$29), H60)), $BK$7:$BK$29, "Error", 0)</f>
        <v/>
      </c>
      <c r="I61" s="232">
        <f>_xlfn.XLOOKUP(MIN(ABS($BJ$7:$BJ$29 - MEDIAN(MIN($BJ$7:$BJ$29), MAX($BJ$7:$BJ$29), I60))), ABS($BJ$7:$BJ$29 - MEDIAN(MIN($BJ$7:$BJ$29), MAX($BJ$7:$BJ$29), I60)), $BK$7:$BK$29, "Error", 0)</f>
        <v/>
      </c>
      <c r="J61" s="232">
        <f>_xlfn.XLOOKUP(MIN(ABS($BJ$7:$BJ$29 - MEDIAN(MIN($BJ$7:$BJ$29), MAX($BJ$7:$BJ$29), J60))), ABS($BJ$7:$BJ$29 - MEDIAN(MIN($BJ$7:$BJ$29), MAX($BJ$7:$BJ$29), J60)), $BK$7:$BK$29, "Error", 0)</f>
        <v/>
      </c>
      <c r="K61" s="232">
        <f>_xlfn.XLOOKUP(MIN(ABS($BJ$7:$BJ$29 - MEDIAN(MIN($BJ$7:$BJ$29), MAX($BJ$7:$BJ$29), K60))), ABS($BJ$7:$BJ$29 - MEDIAN(MIN($BJ$7:$BJ$29), MAX($BJ$7:$BJ$29), K60)), $BK$7:$BK$29, "Error", 0)</f>
        <v/>
      </c>
      <c r="L61" s="232">
        <f>_xlfn.XLOOKUP(MIN(ABS($BJ$7:$BJ$29 - MEDIAN(MIN($BJ$7:$BJ$29), MAX($BJ$7:$BJ$29), L60))), ABS($BJ$7:$BJ$29 - MEDIAN(MIN($BJ$7:$BJ$29), MAX($BJ$7:$BJ$29), L60)), $BK$7:$BK$29, "Error", 0)</f>
        <v/>
      </c>
      <c r="M61" s="232">
        <f>_xlfn.XLOOKUP(MIN(ABS($BJ$7:$BJ$29 - MEDIAN(MIN($BJ$7:$BJ$29), MAX($BJ$7:$BJ$29), M60))), ABS($BJ$7:$BJ$29 - MEDIAN(MIN($BJ$7:$BJ$29), MAX($BJ$7:$BJ$29), M60)), $BK$7:$BK$29, "Error", 0)</f>
        <v/>
      </c>
      <c r="N61" s="232">
        <f>_xlfn.XLOOKUP(MIN(ABS($BJ$7:$BJ$29 - MEDIAN(MIN($BJ$7:$BJ$29), MAX($BJ$7:$BJ$29), N60))), ABS($BJ$7:$BJ$29 - MEDIAN(MIN($BJ$7:$BJ$29), MAX($BJ$7:$BJ$29), N60)), $BK$7:$BK$29, "Error", 0)</f>
        <v/>
      </c>
      <c r="O61" s="232">
        <f>_xlfn.XLOOKUP(MIN(ABS($BJ$7:$BJ$29 - MEDIAN(MIN($BJ$7:$BJ$29), MAX($BJ$7:$BJ$29), O60))), ABS($BJ$7:$BJ$29 - MEDIAN(MIN($BJ$7:$BJ$29), MAX($BJ$7:$BJ$29), O60)), $BK$7:$BK$29, "Error", 0)</f>
        <v/>
      </c>
      <c r="P61" s="232">
        <f>_xlfn.XLOOKUP(MIN(ABS($BJ$7:$BJ$29 - MEDIAN(MIN($BJ$7:$BJ$29), MAX($BJ$7:$BJ$29), P60))), ABS($BJ$7:$BJ$29 - MEDIAN(MIN($BJ$7:$BJ$29), MAX($BJ$7:$BJ$29), P60)), $BK$7:$BK$29, "Error", 0)</f>
        <v/>
      </c>
      <c r="Q61" s="232">
        <f>_xlfn.XLOOKUP(MIN(ABS($BJ$7:$BJ$29 - MEDIAN(MIN($BJ$7:$BJ$29), MAX($BJ$7:$BJ$29), Q60))), ABS($BJ$7:$BJ$29 - MEDIAN(MIN($BJ$7:$BJ$29), MAX($BJ$7:$BJ$29), Q60)), $BK$7:$BK$29, "Error", 0)</f>
        <v/>
      </c>
      <c r="R61" s="232">
        <f>_xlfn.XLOOKUP(MIN(ABS($BJ$7:$BJ$29 - MEDIAN(MIN($BJ$7:$BJ$29), MAX($BJ$7:$BJ$29), R60))), ABS($BJ$7:$BJ$29 - MEDIAN(MIN($BJ$7:$BJ$29), MAX($BJ$7:$BJ$29), R60)), $BK$7:$BK$29, "Error", 0)</f>
        <v/>
      </c>
      <c r="S61" s="232">
        <f>_xlfn.XLOOKUP(MIN(ABS($BJ$7:$BJ$29 - MEDIAN(MIN($BJ$7:$BJ$29), MAX($BJ$7:$BJ$29), S60))), ABS($BJ$7:$BJ$29 - MEDIAN(MIN($BJ$7:$BJ$29), MAX($BJ$7:$BJ$29), S60)), $BK$7:$BK$29, "Error", 0)</f>
        <v/>
      </c>
      <c r="T61" s="232">
        <f>_xlfn.XLOOKUP(MIN(ABS($BJ$7:$BJ$29 - MEDIAN(MIN($BJ$7:$BJ$29), MAX($BJ$7:$BJ$29), T60))), ABS($BJ$7:$BJ$29 - MEDIAN(MIN($BJ$7:$BJ$29), MAX($BJ$7:$BJ$29), T60)), $BK$7:$BK$29, "Error", 0)</f>
        <v/>
      </c>
      <c r="U61" s="232">
        <f>_xlfn.XLOOKUP(MIN(ABS($BJ$7:$BJ$29 - MEDIAN(MIN($BJ$7:$BJ$29), MAX($BJ$7:$BJ$29), U60))), ABS($BJ$7:$BJ$29 - MEDIAN(MIN($BJ$7:$BJ$29), MAX($BJ$7:$BJ$29), U60)), $BK$7:$BK$29, "Error", 0)</f>
        <v/>
      </c>
      <c r="V61" s="232">
        <f>_xlfn.XLOOKUP(MIN(ABS($BJ$7:$BJ$29 - MEDIAN(MIN($BJ$7:$BJ$29), MAX($BJ$7:$BJ$29), V60))), ABS($BJ$7:$BJ$29 - MEDIAN(MIN($BJ$7:$BJ$29), MAX($BJ$7:$BJ$29), V60)), $BK$7:$BK$29, "Error", 0)</f>
        <v/>
      </c>
      <c r="W61" s="232">
        <f>_xlfn.XLOOKUP(MIN(ABS($BJ$7:$BJ$29 - MEDIAN(MIN($BJ$7:$BJ$29), MAX($BJ$7:$BJ$29), W60))), ABS($BJ$7:$BJ$29 - MEDIAN(MIN($BJ$7:$BJ$29), MAX($BJ$7:$BJ$29), W60)), $BK$7:$BK$29, "Error", 0)</f>
        <v/>
      </c>
      <c r="X61" s="232">
        <f>_xlfn.XLOOKUP(MIN(ABS($BJ$7:$BJ$29 - MEDIAN(MIN($BJ$7:$BJ$29), MAX($BJ$7:$BJ$29), X60))), ABS($BJ$7:$BJ$29 - MEDIAN(MIN($BJ$7:$BJ$29), MAX($BJ$7:$BJ$29), X60)), $BK$7:$BK$29, "Error", 0)</f>
        <v/>
      </c>
      <c r="Y61" s="232">
        <f>_xlfn.XLOOKUP(MIN(ABS($BJ$7:$BJ$29 - MEDIAN(MIN($BJ$7:$BJ$29), MAX($BJ$7:$BJ$29), Y60))), ABS($BJ$7:$BJ$29 - MEDIAN(MIN($BJ$7:$BJ$29), MAX($BJ$7:$BJ$29), Y60)), $BK$7:$BK$29, "Error", 0)</f>
        <v/>
      </c>
      <c r="Z61" s="232">
        <f>_xlfn.XLOOKUP(MIN(ABS($BJ$7:$BJ$29 - MEDIAN(MIN($BJ$7:$BJ$29), MAX($BJ$7:$BJ$29), Z60))), ABS($BJ$7:$BJ$29 - MEDIAN(MIN($BJ$7:$BJ$29), MAX($BJ$7:$BJ$29), Z60)), $BK$7:$BK$29, "Error", 0)</f>
        <v/>
      </c>
      <c r="AA61" s="232">
        <f>_xlfn.XLOOKUP(MIN(ABS($BJ$7:$BJ$29 - MEDIAN(MIN($BJ$7:$BJ$29), MAX($BJ$7:$BJ$29), AA60))), ABS($BJ$7:$BJ$29 - MEDIAN(MIN($BJ$7:$BJ$29), MAX($BJ$7:$BJ$29), AA60)), $BK$7:$BK$29, "Error", 0)</f>
        <v/>
      </c>
      <c r="AB61" s="171">
        <f>_xlfn.XLOOKUP(MIN(ABS($BJ$7:$BJ$29 - MEDIAN(MIN($BJ$7:$BJ$29), MAX($BJ$7:$BJ$29), AB60))), ABS($BJ$7:$BJ$29 - MEDIAN(MIN($BJ$7:$BJ$29), MAX($BJ$7:$BJ$29), AB60)), $BK$7:$BK$29, "Error", 0)</f>
        <v/>
      </c>
      <c r="AC61" s="171">
        <f>_xlfn.XLOOKUP(MIN(ABS($BJ$7:$BJ$29 - MEDIAN(MIN($BJ$7:$BJ$29), MAX($BJ$7:$BJ$29), AC60))), ABS($BJ$7:$BJ$29 - MEDIAN(MIN($BJ$7:$BJ$29), MAX($BJ$7:$BJ$29), AC60)), $BK$7:$BK$29, "Error", 0)</f>
        <v/>
      </c>
      <c r="AD61" s="171">
        <f>_xlfn.XLOOKUP(MIN(ABS($BJ$7:$BJ$29 - MEDIAN(MIN($BJ$7:$BJ$29), MAX($BJ$7:$BJ$29), AD60))), ABS($BJ$7:$BJ$29 - MEDIAN(MIN($BJ$7:$BJ$29), MAX($BJ$7:$BJ$29), AD60)), $BK$7:$BK$29, "Error", 0)</f>
        <v/>
      </c>
      <c r="AE61" s="171">
        <f>_xlfn.XLOOKUP(MIN(ABS($BJ$7:$BJ$29 - MEDIAN(MIN($BJ$7:$BJ$29), MAX($BJ$7:$BJ$29), AE60))), ABS($BJ$7:$BJ$29 - MEDIAN(MIN($BJ$7:$BJ$29), MAX($BJ$7:$BJ$29), AE60)), $BK$7:$BK$29, "Error", 0)</f>
        <v/>
      </c>
      <c r="AF61" s="171">
        <f>_xlfn.XLOOKUP(MIN(ABS($BJ$7:$BJ$29 - MEDIAN(MIN($BJ$7:$BJ$29), MAX($BJ$7:$BJ$29), AF60))), ABS($BJ$7:$BJ$29 - MEDIAN(MIN($BJ$7:$BJ$29), MAX($BJ$7:$BJ$29), AF60)), $BK$7:$BK$29, "Error", 0)</f>
        <v/>
      </c>
      <c r="AG61" s="171">
        <f>_xlfn.XLOOKUP(MIN(ABS($BJ$7:$BJ$29 - MEDIAN(MIN($BJ$7:$BJ$29), MAX($BJ$7:$BJ$29), AG60))), ABS($BJ$7:$BJ$29 - MEDIAN(MIN($BJ$7:$BJ$29), MAX($BJ$7:$BJ$29), AG60)), $BK$7:$BK$29, "Error", 0)</f>
        <v/>
      </c>
      <c r="AH61" s="171">
        <f>_xlfn.XLOOKUP(MIN(ABS($BJ$7:$BJ$29 - MEDIAN(MIN($BJ$7:$BJ$29), MAX($BJ$7:$BJ$29), AH60))), ABS($BJ$7:$BJ$29 - MEDIAN(MIN($BJ$7:$BJ$29), MAX($BJ$7:$BJ$29), AH60)), $BK$7:$BK$29, "Error", 0)</f>
        <v/>
      </c>
      <c r="AI61" s="171">
        <f>_xlfn.XLOOKUP(MIN(ABS($BJ$7:$BJ$29 - MEDIAN(MIN($BJ$7:$BJ$29), MAX($BJ$7:$BJ$29), AI60))), ABS($BJ$7:$BJ$29 - MEDIAN(MIN($BJ$7:$BJ$29), MAX($BJ$7:$BJ$29), AI60)), $BK$7:$BK$29, "Error", 0)</f>
        <v/>
      </c>
      <c r="AJ61" s="171">
        <f>_xlfn.XLOOKUP(MIN(ABS($BJ$7:$BJ$29 - MEDIAN(MIN($BJ$7:$BJ$29), MAX($BJ$7:$BJ$29), AJ60))), ABS($BJ$7:$BJ$29 - MEDIAN(MIN($BJ$7:$BJ$29), MAX($BJ$7:$BJ$29), AJ60)), $BK$7:$BK$29, "Error", 0)</f>
        <v/>
      </c>
      <c r="AK61" s="171">
        <f>_xlfn.XLOOKUP(MIN(ABS($BJ$7:$BJ$29 - MEDIAN(MIN($BJ$7:$BJ$29), MAX($BJ$7:$BJ$29), AK60))), ABS($BJ$7:$BJ$29 - MEDIAN(MIN($BJ$7:$BJ$29), MAX($BJ$7:$BJ$29), AK60)), $BK$7:$BK$29, "Error", 0)</f>
        <v/>
      </c>
      <c r="AL61" s="171">
        <f>_xlfn.XLOOKUP(MIN(ABS($BJ$7:$BJ$29 - MEDIAN(MIN($BJ$7:$BJ$29), MAX($BJ$7:$BJ$29), AL60))), ABS($BJ$7:$BJ$29 - MEDIAN(MIN($BJ$7:$BJ$29), MAX($BJ$7:$BJ$29), AL60)), $BK$7:$BK$29, "Error", 0)</f>
        <v/>
      </c>
      <c r="AM61" s="171">
        <f>_xlfn.XLOOKUP(MIN(ABS($BJ$7:$BJ$29 - MEDIAN(MIN($BJ$7:$BJ$29), MAX($BJ$7:$BJ$29), AM60))), ABS($BJ$7:$BJ$29 - MEDIAN(MIN($BJ$7:$BJ$29), MAX($BJ$7:$BJ$29), AM60)), $BK$7:$BK$29, "Error", 0)</f>
        <v/>
      </c>
      <c r="AN61" s="171">
        <f>_xlfn.XLOOKUP(MIN(ABS($BJ$7:$BJ$29 - MEDIAN(MIN($BJ$7:$BJ$29), MAX($BJ$7:$BJ$29), AN60))), ABS($BJ$7:$BJ$29 - MEDIAN(MIN($BJ$7:$BJ$29), MAX($BJ$7:$BJ$29), AN60)), $BK$7:$BK$29, "Error", 0)</f>
        <v/>
      </c>
      <c r="AO61" s="171">
        <f>_xlfn.XLOOKUP(MIN(ABS($BJ$7:$BJ$29 - MEDIAN(MIN($BJ$7:$BJ$29), MAX($BJ$7:$BJ$29), AO60))), ABS($BJ$7:$BJ$29 - MEDIAN(MIN($BJ$7:$BJ$29), MAX($BJ$7:$BJ$29), AO60)), $BK$7:$BK$29, "Error", 0)</f>
        <v/>
      </c>
      <c r="AP61" s="171">
        <f>_xlfn.XLOOKUP(MIN(ABS($BJ$7:$BJ$29 - MEDIAN(MIN($BJ$7:$BJ$29), MAX($BJ$7:$BJ$29), AP60))), ABS($BJ$7:$BJ$29 - MEDIAN(MIN($BJ$7:$BJ$29), MAX($BJ$7:$BJ$29), AP60)), $BK$7:$BK$29, "Error", 0)</f>
        <v/>
      </c>
      <c r="AQ61" s="171">
        <f>_xlfn.XLOOKUP(MIN(ABS($BJ$7:$BJ$29 - MEDIAN(MIN($BJ$7:$BJ$29), MAX($BJ$7:$BJ$29), AQ60))), ABS($BJ$7:$BJ$29 - MEDIAN(MIN($BJ$7:$BJ$29), MAX($BJ$7:$BJ$29), AQ60)), $BK$7:$BK$29, "Error", 0)</f>
        <v/>
      </c>
      <c r="AR61" s="171">
        <f>_xlfn.XLOOKUP(MIN(ABS($BJ$7:$BJ$29 - MEDIAN(MIN($BJ$7:$BJ$29), MAX($BJ$7:$BJ$29), AR60))), ABS($BJ$7:$BJ$29 - MEDIAN(MIN($BJ$7:$BJ$29), MAX($BJ$7:$BJ$29), AR60)), $BK$7:$BK$29, "Error", 0)</f>
        <v/>
      </c>
      <c r="AS61" s="171">
        <f>_xlfn.XLOOKUP(MIN(ABS($BJ$7:$BJ$29 - MEDIAN(MIN($BJ$7:$BJ$29), MAX($BJ$7:$BJ$29), AS60))), ABS($BJ$7:$BJ$29 - MEDIAN(MIN($BJ$7:$BJ$29), MAX($BJ$7:$BJ$29), AS60)), $BK$7:$BK$29, "Error", 0)</f>
        <v/>
      </c>
      <c r="AT61" s="171">
        <f>_xlfn.XLOOKUP(MIN(ABS($BJ$7:$BJ$29 - MEDIAN(MIN($BJ$7:$BJ$29), MAX($BJ$7:$BJ$29), AT60))), ABS($BJ$7:$BJ$29 - MEDIAN(MIN($BJ$7:$BJ$29), MAX($BJ$7:$BJ$29), AT60)), $BK$7:$BK$29, "Error", 0)</f>
        <v/>
      </c>
      <c r="AU61" s="171">
        <f>_xlfn.XLOOKUP(MIN(ABS($BJ$7:$BJ$29 - MEDIAN(MIN($BJ$7:$BJ$29), MAX($BJ$7:$BJ$29), AU60))), ABS($BJ$7:$BJ$29 - MEDIAN(MIN($BJ$7:$BJ$29), MAX($BJ$7:$BJ$29), AU60)), $BK$7:$BK$29, "Error", 0)</f>
        <v/>
      </c>
      <c r="AV61" s="206">
        <f>_xlfn.XLOOKUP(MIN(ABS($BJ$7:$BJ$29 - MEDIAN(MIN($BJ$7:$BJ$29), MAX($BJ$7:$BJ$29), AV60))), ABS($BJ$7:$BJ$29 - MEDIAN(MIN($BJ$7:$BJ$29), MAX($BJ$7:$BJ$29), AV60)), $BK$7:$BK$29, "Error", 0)</f>
        <v/>
      </c>
      <c r="AW61" s="184">
        <f>_xlfn.XLOOKUP(MIN(ABS($BJ$7:$BJ$29 - MEDIAN(MIN($BJ$7:$BJ$29), MAX($BJ$7:$BJ$29), AW60))), ABS($BJ$7:$BJ$29 - MEDIAN(MIN($BJ$7:$BJ$29), MAX($BJ$7:$BJ$29), AW60)), $BK$7:$BK$29, "Error", 0)</f>
        <v/>
      </c>
      <c r="AX61" s="184">
        <f>_xlfn.XLOOKUP(MIN(ABS($BJ$7:$BJ$29 - MEDIAN(MIN($BJ$7:$BJ$29), MAX($BJ$7:$BJ$29), AX60))), ABS($BJ$7:$BJ$29 - MEDIAN(MIN($BJ$7:$BJ$29), MAX($BJ$7:$BJ$29), AX60)), $BK$7:$BK$29, "Error", 0)</f>
        <v/>
      </c>
      <c r="AY61" s="184" t="n"/>
    </row>
    <row r="62" ht="44" customHeight="1">
      <c r="A62" s="305" t="inlineStr">
        <is>
          <t>EUR CAD</t>
        </is>
      </c>
      <c r="B62" s="200" t="inlineStr">
        <is>
          <t>All time High (CL)</t>
        </is>
      </c>
      <c r="C62" s="233" t="n">
        <v>6873.679838556563</v>
      </c>
      <c r="D62" s="233" t="n">
        <v>6873.679838556563</v>
      </c>
      <c r="E62" s="233" t="n">
        <v>6873.679838556563</v>
      </c>
      <c r="F62" s="233" t="n">
        <v>6873.679838556563</v>
      </c>
      <c r="G62" s="233" t="n">
        <v>6873.679838556563</v>
      </c>
      <c r="H62" s="233" t="n">
        <v>6873.679838556563</v>
      </c>
      <c r="I62" s="233" t="n">
        <v>6873.679838556563</v>
      </c>
      <c r="J62" s="233" t="n">
        <v>6873.679838556563</v>
      </c>
      <c r="K62" s="233" t="n">
        <v>6873.679838556563</v>
      </c>
      <c r="L62" s="233" t="n">
        <v>6873.679838556563</v>
      </c>
      <c r="M62" s="233" t="n">
        <v>6873.679838556563</v>
      </c>
      <c r="N62" s="233" t="n">
        <v>6873.679838556563</v>
      </c>
      <c r="O62" s="233" t="n">
        <v>6887.621813509846</v>
      </c>
      <c r="P62" s="233" t="n">
        <v>7223.871535866056</v>
      </c>
      <c r="Q62" s="233" t="n">
        <v>7542.107751675881</v>
      </c>
      <c r="R62" s="233" t="n">
        <v>7542.107751675881</v>
      </c>
      <c r="S62" s="233" t="n">
        <v>7593.24231046834</v>
      </c>
      <c r="T62" s="233" t="n">
        <v>7593.24231046834</v>
      </c>
      <c r="U62" s="233" t="n">
        <v>7594.509425686207</v>
      </c>
      <c r="V62" s="233" t="n">
        <v>7594.509425686207</v>
      </c>
      <c r="W62" s="233" t="n">
        <v>7689.069279763848</v>
      </c>
      <c r="X62" s="233" t="n">
        <v>7689.069279763848</v>
      </c>
      <c r="Y62" s="233" t="n">
        <v>7689.069279763848</v>
      </c>
      <c r="Z62" s="233" t="n">
        <v>7689.069279763848</v>
      </c>
      <c r="AA62" s="204" t="n">
        <v>8039.03276849247</v>
      </c>
      <c r="AB62" s="204" t="n">
        <v>8382.599049484357</v>
      </c>
      <c r="AC62" s="204" t="n">
        <v>8382.599049484357</v>
      </c>
      <c r="AD62" s="204" t="n">
        <v>8382.599049484357</v>
      </c>
      <c r="AE62" s="204" t="n">
        <v>8615.77714479994</v>
      </c>
      <c r="AF62" s="204" t="n">
        <v>8731.186492927372</v>
      </c>
      <c r="AG62" s="204" t="n">
        <v>8731.186492927372</v>
      </c>
      <c r="AH62" s="204" t="n">
        <v>8939.826905447466</v>
      </c>
      <c r="AI62" s="204" t="n">
        <v>9051.991173164919</v>
      </c>
      <c r="AJ62" s="204" t="n">
        <v>9441.892878161161</v>
      </c>
      <c r="AK62" s="204" t="n">
        <v>9505.329613085138</v>
      </c>
      <c r="AL62" s="204" t="n">
        <v>9505.329613085138</v>
      </c>
      <c r="AM62" s="204" t="n">
        <v>9894.316797531268</v>
      </c>
      <c r="AN62" s="204" t="n">
        <v>10043.89160948741</v>
      </c>
      <c r="AO62" s="204" t="n">
        <v>10043.89160948741</v>
      </c>
      <c r="AP62" s="204" t="n">
        <v>10043.89160948741</v>
      </c>
      <c r="AQ62" s="204" t="n">
        <v>10043.89160948741</v>
      </c>
      <c r="AR62" s="204" t="n">
        <v>10308.24948963162</v>
      </c>
      <c r="AS62" s="204" t="n">
        <v>10461.09021295281</v>
      </c>
      <c r="AT62" s="204" t="n">
        <v>10686.04269122181</v>
      </c>
      <c r="AU62" s="204" t="n">
        <v>10686.04269122181</v>
      </c>
      <c r="AV62" s="200" t="n">
        <v>10686.04269122181</v>
      </c>
      <c r="AW62" s="184" t="n">
        <v>10686.04269122181</v>
      </c>
      <c r="AX62" s="184" t="n">
        <v>10686.04269122181</v>
      </c>
      <c r="AY62" s="184" t="n"/>
    </row>
    <row r="63" ht="22" customHeight="1">
      <c r="A63" s="303" t="n"/>
      <c r="B63" s="201" t="inlineStr">
        <is>
          <t>current price</t>
        </is>
      </c>
      <c r="C63" s="233" t="n">
        <v>6046.037530003232</v>
      </c>
      <c r="D63" s="233" t="n">
        <v>6103.902883624425</v>
      </c>
      <c r="E63" s="233" t="n">
        <v>6362.281941679423</v>
      </c>
      <c r="F63" s="233" t="n">
        <v>6507.142040484177</v>
      </c>
      <c r="G63" s="233" t="n">
        <v>6155.891849315492</v>
      </c>
      <c r="H63" s="233" t="n">
        <v>6334.425322880968</v>
      </c>
      <c r="I63" s="233" t="n">
        <v>6531.510869422287</v>
      </c>
      <c r="J63" s="233" t="n">
        <v>6354.566316620563</v>
      </c>
      <c r="K63" s="233" t="n">
        <v>5989.802512421738</v>
      </c>
      <c r="L63" s="233" t="n">
        <v>5960.912193988101</v>
      </c>
      <c r="M63" s="233" t="n">
        <v>6535.271106628701</v>
      </c>
      <c r="N63" s="233" t="n">
        <v>6609.74773324054</v>
      </c>
      <c r="O63" s="233" t="n">
        <v>6754.589740278781</v>
      </c>
      <c r="P63" s="233" t="n">
        <v>7177.54108658043</v>
      </c>
      <c r="Q63" s="233" t="n">
        <v>7410.101291866507</v>
      </c>
      <c r="R63" s="233" t="n">
        <v>7206.5858645275</v>
      </c>
      <c r="S63" s="233" t="n">
        <v>7386.247336260974</v>
      </c>
      <c r="T63" s="233" t="n">
        <v>7169.739491968823</v>
      </c>
      <c r="U63" s="233" t="n">
        <v>7299.517770974373</v>
      </c>
      <c r="V63" s="233" t="n">
        <v>7381.440837010741</v>
      </c>
      <c r="W63" s="233" t="n">
        <v>7544.779548293445</v>
      </c>
      <c r="X63" s="233" t="n">
        <v>7290.686763202306</v>
      </c>
      <c r="Y63" s="233" t="n">
        <v>7112.433453232807</v>
      </c>
      <c r="Z63" s="233" t="n">
        <v>7310.383461003774</v>
      </c>
      <c r="AA63" s="204" t="n">
        <v>7966.044424025458</v>
      </c>
      <c r="AB63" s="204" t="n">
        <v>8202.303117442061</v>
      </c>
      <c r="AC63" s="204" t="n">
        <v>8128.444449479633</v>
      </c>
      <c r="AD63" s="204" t="n">
        <v>8125.541015236056</v>
      </c>
      <c r="AE63" s="204" t="n">
        <v>8362.220303743612</v>
      </c>
      <c r="AF63" s="204" t="n">
        <v>8508.306419680128</v>
      </c>
      <c r="AG63" s="204" t="n">
        <v>8405.207347641466</v>
      </c>
      <c r="AH63" s="204" t="n">
        <v>8592.737653578341</v>
      </c>
      <c r="AI63" s="204" t="n">
        <v>9027.16221322678</v>
      </c>
      <c r="AJ63" s="204" t="n">
        <v>9158.349466197775</v>
      </c>
      <c r="AK63" s="204" t="n">
        <v>9182.43530046544</v>
      </c>
      <c r="AL63" s="204" t="n">
        <v>9314.846028551925</v>
      </c>
      <c r="AM63" s="204" t="n">
        <v>9594.412714089267</v>
      </c>
      <c r="AN63" s="204" t="n">
        <v>9906.902755930088</v>
      </c>
      <c r="AO63" s="204" t="n">
        <v>8887.562499249238</v>
      </c>
      <c r="AP63" s="204" t="n">
        <v>9393.47715104511</v>
      </c>
      <c r="AQ63" s="204" t="n">
        <v>9729.873779568938</v>
      </c>
      <c r="AR63" s="204" t="n">
        <v>10268.52787053678</v>
      </c>
      <c r="AS63" s="204" t="n">
        <v>10265.00705764815</v>
      </c>
      <c r="AT63" s="204" t="n">
        <v>10340.50277973711</v>
      </c>
      <c r="AU63" s="204" t="n">
        <v>10152.58234836801</v>
      </c>
      <c r="AV63" s="201" t="n">
        <v>10152.58234836801</v>
      </c>
      <c r="AW63" s="184" t="n">
        <v>10152.58234836801</v>
      </c>
      <c r="AX63" s="184" t="n">
        <v>10152.58234836801</v>
      </c>
      <c r="AY63" s="184" t="n"/>
    </row>
    <row r="64" ht="22" customHeight="1">
      <c r="A64" s="303" t="n"/>
      <c r="B64" s="201" t="inlineStr">
        <is>
          <t>% CHANGE</t>
        </is>
      </c>
      <c r="C64" s="230">
        <f>+(C63-C62)/C62</f>
        <v/>
      </c>
      <c r="D64" s="230">
        <f>+(D63-D62)/D62</f>
        <v/>
      </c>
      <c r="E64" s="230">
        <f>+(E63-E62)/E62</f>
        <v/>
      </c>
      <c r="F64" s="230">
        <f>+(F63-F62)/F62</f>
        <v/>
      </c>
      <c r="G64" s="230">
        <f>+(G63-G62)/G62</f>
        <v/>
      </c>
      <c r="H64" s="230">
        <f>+(H63-H62)/H62</f>
        <v/>
      </c>
      <c r="I64" s="230">
        <f>+(I63-I62)/I62</f>
        <v/>
      </c>
      <c r="J64" s="230">
        <f>+(J63-J62)/J62</f>
        <v/>
      </c>
      <c r="K64" s="230">
        <f>+(K63-K62)/K62</f>
        <v/>
      </c>
      <c r="L64" s="230">
        <f>+(L63-L62)/L62</f>
        <v/>
      </c>
      <c r="M64" s="230">
        <f>+(M63-M62)/M62</f>
        <v/>
      </c>
      <c r="N64" s="230">
        <f>+(N63-N62)/N62</f>
        <v/>
      </c>
      <c r="O64" s="230">
        <f>+(O63-O62)/O62</f>
        <v/>
      </c>
      <c r="P64" s="230">
        <f>+(P63-P62)/P62</f>
        <v/>
      </c>
      <c r="Q64" s="230">
        <f>+(Q63-Q62)/Q62</f>
        <v/>
      </c>
      <c r="R64" s="230">
        <f>+(R63-R62)/R62</f>
        <v/>
      </c>
      <c r="S64" s="230">
        <f>+(S63-S62)/S62</f>
        <v/>
      </c>
      <c r="T64" s="230">
        <f>+(T63-T62)/T62</f>
        <v/>
      </c>
      <c r="U64" s="230">
        <f>+(U63-U62)/U62</f>
        <v/>
      </c>
      <c r="V64" s="230">
        <f>+(V63-V62)/V62</f>
        <v/>
      </c>
      <c r="W64" s="230">
        <f>+(W63-W62)/W62</f>
        <v/>
      </c>
      <c r="X64" s="230">
        <f>+(X63-X62)/X62</f>
        <v/>
      </c>
      <c r="Y64" s="230">
        <f>+(Y63-Y62)/Y62</f>
        <v/>
      </c>
      <c r="Z64" s="230">
        <f>+(Z63-Z62)/Z62</f>
        <v/>
      </c>
      <c r="AA64" s="230">
        <f>+(AA63-AA62)/AA62</f>
        <v/>
      </c>
      <c r="AB64" s="205">
        <f>+(AB63-AB62)/AB62</f>
        <v/>
      </c>
      <c r="AC64" s="205">
        <f>+(AC63-AC62)/AC62</f>
        <v/>
      </c>
      <c r="AD64" s="205">
        <f>+(AD63-AD62)/AD62</f>
        <v/>
      </c>
      <c r="AE64" s="205">
        <f>+(AE63-AE62)/AE62</f>
        <v/>
      </c>
      <c r="AF64" s="205">
        <f>+(AF63-AF62)/AF62</f>
        <v/>
      </c>
      <c r="AG64" s="205">
        <f>+(AG63-AG62)/AG62</f>
        <v/>
      </c>
      <c r="AH64" s="205">
        <f>+(AH63-AH62)/AH62</f>
        <v/>
      </c>
      <c r="AI64" s="205">
        <f>+(AI63-AI62)/AI62</f>
        <v/>
      </c>
      <c r="AJ64" s="205">
        <f>+(AJ63-AJ62)/AJ62</f>
        <v/>
      </c>
      <c r="AK64" s="205">
        <f>+(AK63-AK62)/AK62</f>
        <v/>
      </c>
      <c r="AL64" s="205">
        <f>+(AL63-AL62)/AL62</f>
        <v/>
      </c>
      <c r="AM64" s="205">
        <f>+(AM63-AM62)/AM62</f>
        <v/>
      </c>
      <c r="AN64" s="205">
        <f>+(AN63-AN62)/AN62</f>
        <v/>
      </c>
      <c r="AO64" s="205">
        <f>+(AO63-AO62)/AO62</f>
        <v/>
      </c>
      <c r="AP64" s="205">
        <f>+(AP63-AP62)/AP62</f>
        <v/>
      </c>
      <c r="AQ64" s="205">
        <f>+(AQ63-AQ62)/AQ62</f>
        <v/>
      </c>
      <c r="AR64" s="205">
        <f>+(AR63-AR62)/AR62</f>
        <v/>
      </c>
      <c r="AS64" s="205">
        <f>+(AS63-AS62)/AS62</f>
        <v/>
      </c>
      <c r="AT64" s="205">
        <f>+(AT63-AT62)/AT62</f>
        <v/>
      </c>
      <c r="AU64" s="205">
        <f>+(AU63-AU62)/AU62</f>
        <v/>
      </c>
      <c r="AV64" s="201">
        <f>+(AV63-AV62)/AV62</f>
        <v/>
      </c>
      <c r="AW64" s="184">
        <f>+(AW63-AW62)/AW62</f>
        <v/>
      </c>
      <c r="AX64" s="184">
        <f>+(AX63-AX62)/AX62</f>
        <v/>
      </c>
      <c r="AY64" s="184" t="n"/>
    </row>
    <row r="65" ht="44" customHeight="1">
      <c r="A65" s="303" t="n"/>
      <c r="B65" s="201" t="inlineStr">
        <is>
          <t>All time High STOXX50</t>
        </is>
      </c>
      <c r="C65" s="233" t="n">
        <v>4522.240234375</v>
      </c>
      <c r="D65" s="233" t="n">
        <v>4522.240234375</v>
      </c>
      <c r="E65" s="233" t="n">
        <v>4522.240234375</v>
      </c>
      <c r="F65" s="233" t="n">
        <v>4522.240234375</v>
      </c>
      <c r="G65" s="233" t="n">
        <v>4522.240234375</v>
      </c>
      <c r="H65" s="233" t="n">
        <v>4522.240234375</v>
      </c>
      <c r="I65" s="233" t="n">
        <v>4522.240234375</v>
      </c>
      <c r="J65" s="233" t="n">
        <v>4522.240234375</v>
      </c>
      <c r="K65" s="233" t="n">
        <v>4522.240234375</v>
      </c>
      <c r="L65" s="233" t="n">
        <v>4522.240234375</v>
      </c>
      <c r="M65" s="233" t="n">
        <v>4522.240234375</v>
      </c>
      <c r="N65" s="233" t="n">
        <v>4593.10986328125</v>
      </c>
      <c r="O65" s="233" t="n">
        <v>4674.740234375</v>
      </c>
      <c r="P65" s="233" t="n">
        <v>4898.3701171875</v>
      </c>
      <c r="Q65" s="233" t="n">
        <v>5103.259765625</v>
      </c>
      <c r="R65" s="233" t="n">
        <v>5103.259765625</v>
      </c>
      <c r="S65" s="233" t="n">
        <v>5103.259765625</v>
      </c>
      <c r="T65" s="233" t="n">
        <v>5103.259765625</v>
      </c>
      <c r="U65" s="233" t="n">
        <v>5103.259765625</v>
      </c>
      <c r="V65" s="233" t="n">
        <v>5103.259765625</v>
      </c>
      <c r="W65" s="233" t="n">
        <v>5103.259765625</v>
      </c>
      <c r="X65" s="233" t="n">
        <v>5103.259765625</v>
      </c>
      <c r="Y65" s="233" t="n">
        <v>5103.259765625</v>
      </c>
      <c r="Z65" s="233" t="n">
        <v>5103.259765625</v>
      </c>
      <c r="AA65" s="231" t="n">
        <v>5314.2900390625</v>
      </c>
      <c r="AB65" s="203" t="n">
        <v>5544.1201171875</v>
      </c>
      <c r="AC65" s="203" t="n">
        <v>5544.1201171875</v>
      </c>
      <c r="AD65" s="203" t="n">
        <v>5544.1201171875</v>
      </c>
      <c r="AE65" s="203" t="n">
        <v>5544.1201171875</v>
      </c>
      <c r="AF65" s="203" t="n">
        <v>5544.1201171875</v>
      </c>
      <c r="AG65" s="203" t="n">
        <v>5544.1201171875</v>
      </c>
      <c r="AH65" s="203" t="n">
        <v>5544.1201171875</v>
      </c>
      <c r="AI65" s="203" t="n">
        <v>5544.1201171875</v>
      </c>
      <c r="AJ65" s="203" t="n">
        <v>5734.27978515625</v>
      </c>
      <c r="AK65" s="203" t="n">
        <v>5818.06982421875</v>
      </c>
      <c r="AL65" s="203" t="n">
        <v>5818.06982421875</v>
      </c>
      <c r="AM65" s="203" t="n">
        <v>6053.68017578125</v>
      </c>
      <c r="AN65" s="203" t="n">
        <v>6199.77978515625</v>
      </c>
      <c r="AO65" s="203" t="n">
        <v>6199.77978515625</v>
      </c>
      <c r="AP65" s="203" t="n">
        <v>6199.77978515625</v>
      </c>
      <c r="AQ65" s="203" t="n">
        <v>6199.77978515625</v>
      </c>
      <c r="AR65" s="203" t="n">
        <v>6337.22021484375</v>
      </c>
      <c r="AS65" s="203" t="n">
        <v>6431.419921875</v>
      </c>
      <c r="AT65" s="203" t="n">
        <v>6577.2001953125</v>
      </c>
      <c r="AU65" s="203" t="n">
        <v>6577.2001953125</v>
      </c>
      <c r="AV65" s="201" t="n">
        <v>6577.2001953125</v>
      </c>
      <c r="AW65" s="184" t="n">
        <v>6577.2001953125</v>
      </c>
      <c r="AX65" s="184" t="n">
        <v>6577.2001953125</v>
      </c>
      <c r="AY65" s="184" t="n"/>
    </row>
    <row r="66" ht="44" customHeight="1">
      <c r="A66" s="303" t="n"/>
      <c r="B66" s="201" t="inlineStr">
        <is>
          <t>current price STOXX50</t>
        </is>
      </c>
      <c r="C66" s="233" t="n">
        <v>4163.4501953125</v>
      </c>
      <c r="D66" s="233" t="n">
        <v>4238.3798828125</v>
      </c>
      <c r="E66" s="233" t="n">
        <v>4315.0498046875</v>
      </c>
      <c r="F66" s="233" t="n">
        <v>4359.31005859375</v>
      </c>
      <c r="G66" s="233" t="n">
        <v>4218.0400390625</v>
      </c>
      <c r="H66" s="233" t="n">
        <v>4399.08984375</v>
      </c>
      <c r="I66" s="233" t="n">
        <v>4471.31005859375</v>
      </c>
      <c r="J66" s="233" t="n">
        <v>4297.10986328125</v>
      </c>
      <c r="K66" s="233" t="n">
        <v>4174.66015625</v>
      </c>
      <c r="L66" s="233" t="n">
        <v>4061.1201171875</v>
      </c>
      <c r="M66" s="233" t="n">
        <v>4382.47021484375</v>
      </c>
      <c r="N66" s="233" t="n">
        <v>4521.64990234375</v>
      </c>
      <c r="O66" s="233" t="n">
        <v>4648.39990234375</v>
      </c>
      <c r="P66" s="233" t="n">
        <v>4877.77001953125</v>
      </c>
      <c r="Q66" s="233" t="n">
        <v>5083.419921875</v>
      </c>
      <c r="R66" s="233" t="n">
        <v>4921.22021484375</v>
      </c>
      <c r="S66" s="233" t="n">
        <v>4983.669921875</v>
      </c>
      <c r="T66" s="233" t="n">
        <v>4894.02001953125</v>
      </c>
      <c r="U66" s="233" t="n">
        <v>4872.93994140625</v>
      </c>
      <c r="V66" s="233" t="n">
        <v>4957.97998046875</v>
      </c>
      <c r="W66" s="233" t="n">
        <v>5000.4501953125</v>
      </c>
      <c r="X66" s="233" t="n">
        <v>4827.6298828125</v>
      </c>
      <c r="Y66" s="233" t="n">
        <v>4804.39990234375</v>
      </c>
      <c r="Z66" s="233" t="n">
        <v>4895.97998046875</v>
      </c>
      <c r="AA66" s="231" t="n">
        <v>5286.8701171875</v>
      </c>
      <c r="AB66" s="203" t="n">
        <v>5463.5400390625</v>
      </c>
      <c r="AC66" s="203" t="n">
        <v>5248.39013671875</v>
      </c>
      <c r="AD66" s="203" t="n">
        <v>5160.22021484375</v>
      </c>
      <c r="AE66" s="203" t="n">
        <v>5366.58984375</v>
      </c>
      <c r="AF66" s="203" t="n">
        <v>5303.240234375</v>
      </c>
      <c r="AG66" s="203" t="n">
        <v>5319.919921875</v>
      </c>
      <c r="AH66" s="203" t="n">
        <v>5351.72998046875</v>
      </c>
      <c r="AI66" s="203" t="n">
        <v>5529.9599609375</v>
      </c>
      <c r="AJ66" s="203" t="n">
        <v>5662.0400390625</v>
      </c>
      <c r="AK66" s="203" t="n">
        <v>5668.169921875</v>
      </c>
      <c r="AL66" s="203" t="n">
        <v>5791.41015625</v>
      </c>
      <c r="AM66" s="203" t="n">
        <v>5947.81005859375</v>
      </c>
      <c r="AN66" s="203" t="n">
        <v>6138.41015625</v>
      </c>
      <c r="AO66" s="203" t="n">
        <v>5569.72998046875</v>
      </c>
      <c r="AP66" s="203" t="n">
        <v>5881.509765625</v>
      </c>
      <c r="AQ66" s="203" t="n">
        <v>6050.5400390625</v>
      </c>
      <c r="AR66" s="203" t="n">
        <v>6328.08984375</v>
      </c>
      <c r="AS66" s="203" t="n">
        <v>6358.009765625</v>
      </c>
      <c r="AT66" s="203" t="n">
        <v>6420.16015625</v>
      </c>
      <c r="AU66" s="203" t="n">
        <v>6302.81982421875</v>
      </c>
      <c r="AV66" s="201" t="n">
        <v>6302.81982421875</v>
      </c>
      <c r="AW66" s="184" t="n">
        <v>6302.81982421875</v>
      </c>
      <c r="AX66" s="184" t="n">
        <v>6302.81982421875</v>
      </c>
      <c r="AY66" s="184" t="n"/>
    </row>
    <row r="67" ht="44" customHeight="1">
      <c r="A67" s="303" t="n"/>
      <c r="B67" s="201" t="inlineStr">
        <is>
          <t>original index % change</t>
        </is>
      </c>
      <c r="C67" s="230">
        <f>+(C66-C65)/C65</f>
        <v/>
      </c>
      <c r="D67" s="230">
        <f>+(D66-D65)/D65</f>
        <v/>
      </c>
      <c r="E67" s="230">
        <f>+(E66-E65)/E65</f>
        <v/>
      </c>
      <c r="F67" s="230">
        <f>+(F66-F65)/F65</f>
        <v/>
      </c>
      <c r="G67" s="230">
        <f>+(G66-G65)/G65</f>
        <v/>
      </c>
      <c r="H67" s="230">
        <f>+(H66-H65)/H65</f>
        <v/>
      </c>
      <c r="I67" s="230">
        <f>+(I66-I65)/I65</f>
        <v/>
      </c>
      <c r="J67" s="230">
        <f>+(J66-J65)/J65</f>
        <v/>
      </c>
      <c r="K67" s="230">
        <f>+(K66-K65)/K65</f>
        <v/>
      </c>
      <c r="L67" s="230">
        <f>+(L66-L65)/L65</f>
        <v/>
      </c>
      <c r="M67" s="230">
        <f>+(M66-M65)/M65</f>
        <v/>
      </c>
      <c r="N67" s="230">
        <f>+(N66-N65)/N65</f>
        <v/>
      </c>
      <c r="O67" s="230">
        <f>+(O66-O65)/O65</f>
        <v/>
      </c>
      <c r="P67" s="230">
        <f>+(P66-P65)/P65</f>
        <v/>
      </c>
      <c r="Q67" s="230">
        <f>+(Q66-Q65)/Q65</f>
        <v/>
      </c>
      <c r="R67" s="230">
        <f>+(R66-R65)/R65</f>
        <v/>
      </c>
      <c r="S67" s="230">
        <f>+(S66-S65)/S65</f>
        <v/>
      </c>
      <c r="T67" s="230">
        <f>+(T66-T65)/T65</f>
        <v/>
      </c>
      <c r="U67" s="230">
        <f>+(U66-U65)/U65</f>
        <v/>
      </c>
      <c r="V67" s="230">
        <f>+(V66-V65)/V65</f>
        <v/>
      </c>
      <c r="W67" s="230">
        <f>+(W66-W65)/W65</f>
        <v/>
      </c>
      <c r="X67" s="230">
        <f>+(X66-X65)/X65</f>
        <v/>
      </c>
      <c r="Y67" s="230">
        <f>+(Y66-Y65)/Y65</f>
        <v/>
      </c>
      <c r="Z67" s="230">
        <f>+(Z66-Z65)/Z65</f>
        <v/>
      </c>
      <c r="AA67" s="230">
        <f>+(AA66-AA65)/AA65</f>
        <v/>
      </c>
      <c r="AB67" s="205">
        <f>+(AB66-AB65)/AB65</f>
        <v/>
      </c>
      <c r="AC67" s="205">
        <f>+(AC66-AC65)/AC65</f>
        <v/>
      </c>
      <c r="AD67" s="205">
        <f>+(AD66-AD65)/AD65</f>
        <v/>
      </c>
      <c r="AE67" s="205">
        <f>+(AE66-AE65)/AE65</f>
        <v/>
      </c>
      <c r="AF67" s="205">
        <f>+(AF66-AF65)/AF65</f>
        <v/>
      </c>
      <c r="AG67" s="205">
        <f>+(AG66-AG65)/AG65</f>
        <v/>
      </c>
      <c r="AH67" s="205">
        <f>+(AH66-AH65)/AH65</f>
        <v/>
      </c>
      <c r="AI67" s="205">
        <f>+(AI66-AI65)/AI65</f>
        <v/>
      </c>
      <c r="AJ67" s="205">
        <f>+(AJ66-AJ65)/AJ65</f>
        <v/>
      </c>
      <c r="AK67" s="205">
        <f>+(AK66-AK65)/AK65</f>
        <v/>
      </c>
      <c r="AL67" s="205">
        <f>+(AL66-AL65)/AL65</f>
        <v/>
      </c>
      <c r="AM67" s="205">
        <f>+(AM66-AM65)/AM65</f>
        <v/>
      </c>
      <c r="AN67" s="205">
        <f>+(AN66-AN65)/AN65</f>
        <v/>
      </c>
      <c r="AO67" s="205">
        <f>+(AO66-AO65)/AO65</f>
        <v/>
      </c>
      <c r="AP67" s="205">
        <f>+(AP66-AP65)/AP65</f>
        <v/>
      </c>
      <c r="AQ67" s="205">
        <f>+(AQ66-AQ65)/AQ65</f>
        <v/>
      </c>
      <c r="AR67" s="205">
        <f>+(AR66-AR65)/AR65</f>
        <v/>
      </c>
      <c r="AS67" s="205">
        <f>+(AS66-AS65)/AS65</f>
        <v/>
      </c>
      <c r="AT67" s="205">
        <f>+(AT66-AT65)/AT65</f>
        <v/>
      </c>
      <c r="AU67" s="205">
        <f>+(AU66-AU65)/AU65</f>
        <v/>
      </c>
      <c r="AV67" s="201">
        <f>+(AV66-AV65)/AV65</f>
        <v/>
      </c>
      <c r="AW67" s="184">
        <f>+(AW66-AW65)/AW65</f>
        <v/>
      </c>
      <c r="AX67" s="184">
        <f>+(AX66-AX65)/AX65</f>
        <v/>
      </c>
      <c r="AY67" s="184" t="n"/>
    </row>
    <row r="68" ht="22" customHeight="1">
      <c r="A68" s="303" t="n"/>
      <c r="B68" s="201" t="inlineStr">
        <is>
          <t>real % change</t>
        </is>
      </c>
      <c r="C68" s="230">
        <f>+C64-C67</f>
        <v/>
      </c>
      <c r="D68" s="230">
        <f>+D64-D67</f>
        <v/>
      </c>
      <c r="E68" s="230">
        <f>+E64-E67</f>
        <v/>
      </c>
      <c r="F68" s="230">
        <f>+F64-F67</f>
        <v/>
      </c>
      <c r="G68" s="230">
        <f>+G64-G67</f>
        <v/>
      </c>
      <c r="H68" s="230">
        <f>+H64-H67</f>
        <v/>
      </c>
      <c r="I68" s="230">
        <f>+I64-I67</f>
        <v/>
      </c>
      <c r="J68" s="230">
        <f>+J64-J67</f>
        <v/>
      </c>
      <c r="K68" s="230">
        <f>+K64-K67</f>
        <v/>
      </c>
      <c r="L68" s="230">
        <f>+L64-L67</f>
        <v/>
      </c>
      <c r="M68" s="230">
        <f>+M64-M67</f>
        <v/>
      </c>
      <c r="N68" s="230">
        <f>+N64-N67</f>
        <v/>
      </c>
      <c r="O68" s="230">
        <f>+O64-O67</f>
        <v/>
      </c>
      <c r="P68" s="230">
        <f>+P64-P67</f>
        <v/>
      </c>
      <c r="Q68" s="230">
        <f>+Q64-Q67</f>
        <v/>
      </c>
      <c r="R68" s="230">
        <f>+R64-R67</f>
        <v/>
      </c>
      <c r="S68" s="230">
        <f>+S64-S67</f>
        <v/>
      </c>
      <c r="T68" s="230">
        <f>+T64-T67</f>
        <v/>
      </c>
      <c r="U68" s="230">
        <f>+U64-U67</f>
        <v/>
      </c>
      <c r="V68" s="230">
        <f>+V64-V67</f>
        <v/>
      </c>
      <c r="W68" s="230">
        <f>+W64-W67</f>
        <v/>
      </c>
      <c r="X68" s="230">
        <f>+X64-X67</f>
        <v/>
      </c>
      <c r="Y68" s="230">
        <f>+Y64-Y67</f>
        <v/>
      </c>
      <c r="Z68" s="230">
        <f>+Z64-Z67</f>
        <v/>
      </c>
      <c r="AA68" s="230">
        <f>+AA64-AA67</f>
        <v/>
      </c>
      <c r="AB68" s="205">
        <f>+AB64-AB67</f>
        <v/>
      </c>
      <c r="AC68" s="205">
        <f>+AC64-AC67</f>
        <v/>
      </c>
      <c r="AD68" s="205">
        <f>+AD64-AD67</f>
        <v/>
      </c>
      <c r="AE68" s="205">
        <f>+AE64-AE67</f>
        <v/>
      </c>
      <c r="AF68" s="205">
        <f>+AF64-AF67</f>
        <v/>
      </c>
      <c r="AG68" s="205">
        <f>+AG64-AG67</f>
        <v/>
      </c>
      <c r="AH68" s="205">
        <f>+AH64-AH67</f>
        <v/>
      </c>
      <c r="AI68" s="205">
        <f>+AI64-AI67</f>
        <v/>
      </c>
      <c r="AJ68" s="205">
        <f>+AJ64-AJ67</f>
        <v/>
      </c>
      <c r="AK68" s="205">
        <f>+AK64-AK67</f>
        <v/>
      </c>
      <c r="AL68" s="205">
        <f>+AL64-AL67</f>
        <v/>
      </c>
      <c r="AM68" s="205">
        <f>+AM64-AM67</f>
        <v/>
      </c>
      <c r="AN68" s="205">
        <f>+AN64-AN67</f>
        <v/>
      </c>
      <c r="AO68" s="205">
        <f>+AO64-AO67</f>
        <v/>
      </c>
      <c r="AP68" s="205">
        <f>+AP64-AP67</f>
        <v/>
      </c>
      <c r="AQ68" s="205">
        <f>+AQ64-AQ67</f>
        <v/>
      </c>
      <c r="AR68" s="205">
        <f>+AR64-AR67</f>
        <v/>
      </c>
      <c r="AS68" s="205">
        <f>+AS64-AS67</f>
        <v/>
      </c>
      <c r="AT68" s="205">
        <f>+AT64-AT67</f>
        <v/>
      </c>
      <c r="AU68" s="205">
        <f>+AU64-AU67</f>
        <v/>
      </c>
      <c r="AV68" s="201">
        <f>+AV64-AV67</f>
        <v/>
      </c>
      <c r="AW68" s="184">
        <f>+AW64-AW67</f>
        <v/>
      </c>
      <c r="AX68" s="184">
        <f>+AX64-AX67</f>
        <v/>
      </c>
      <c r="AY68" s="184" t="n"/>
    </row>
    <row r="69" ht="22" customHeight="1">
      <c r="A69" s="304" t="n"/>
      <c r="B69" s="206" t="inlineStr">
        <is>
          <t>Rating</t>
        </is>
      </c>
      <c r="C69" s="232">
        <f>_xlfn.XLOOKUP(MIN(ABS($BJ$7:$BJ$29 - MEDIAN(MIN($BJ$7:$BJ$29), MAX($BJ$7:$BJ$29), C68))), ABS($BJ$7:$BJ$29 - MEDIAN(MIN($BJ$7:$BJ$29), MAX($BJ$7:$BJ$29), C68)), $BK$7:$BK$29, "Error", 0)</f>
        <v/>
      </c>
      <c r="D69" s="232">
        <f>_xlfn.XLOOKUP(MIN(ABS($BJ$7:$BJ$29 - MEDIAN(MIN($BJ$7:$BJ$29), MAX($BJ$7:$BJ$29), D68))), ABS($BJ$7:$BJ$29 - MEDIAN(MIN($BJ$7:$BJ$29), MAX($BJ$7:$BJ$29), D68)), $BK$7:$BK$29, "Error", 0)</f>
        <v/>
      </c>
      <c r="E69" s="232">
        <f>_xlfn.XLOOKUP(MIN(ABS($BJ$7:$BJ$29 - MEDIAN(MIN($BJ$7:$BJ$29), MAX($BJ$7:$BJ$29), E68))), ABS($BJ$7:$BJ$29 - MEDIAN(MIN($BJ$7:$BJ$29), MAX($BJ$7:$BJ$29), E68)), $BK$7:$BK$29, "Error", 0)</f>
        <v/>
      </c>
      <c r="F69" s="232">
        <f>_xlfn.XLOOKUP(MIN(ABS($BJ$7:$BJ$29 - MEDIAN(MIN($BJ$7:$BJ$29), MAX($BJ$7:$BJ$29), F68))), ABS($BJ$7:$BJ$29 - MEDIAN(MIN($BJ$7:$BJ$29), MAX($BJ$7:$BJ$29), F68)), $BK$7:$BK$29, "Error", 0)</f>
        <v/>
      </c>
      <c r="G69" s="232">
        <f>_xlfn.XLOOKUP(MIN(ABS($BJ$7:$BJ$29 - MEDIAN(MIN($BJ$7:$BJ$29), MAX($BJ$7:$BJ$29), G68))), ABS($BJ$7:$BJ$29 - MEDIAN(MIN($BJ$7:$BJ$29), MAX($BJ$7:$BJ$29), G68)), $BK$7:$BK$29, "Error", 0)</f>
        <v/>
      </c>
      <c r="H69" s="232">
        <f>_xlfn.XLOOKUP(MIN(ABS($BJ$7:$BJ$29 - MEDIAN(MIN($BJ$7:$BJ$29), MAX($BJ$7:$BJ$29), H68))), ABS($BJ$7:$BJ$29 - MEDIAN(MIN($BJ$7:$BJ$29), MAX($BJ$7:$BJ$29), H68)), $BK$7:$BK$29, "Error", 0)</f>
        <v/>
      </c>
      <c r="I69" s="232">
        <f>_xlfn.XLOOKUP(MIN(ABS($BJ$7:$BJ$29 - MEDIAN(MIN($BJ$7:$BJ$29), MAX($BJ$7:$BJ$29), I68))), ABS($BJ$7:$BJ$29 - MEDIAN(MIN($BJ$7:$BJ$29), MAX($BJ$7:$BJ$29), I68)), $BK$7:$BK$29, "Error", 0)</f>
        <v/>
      </c>
      <c r="J69" s="232">
        <f>_xlfn.XLOOKUP(MIN(ABS($BJ$7:$BJ$29 - MEDIAN(MIN($BJ$7:$BJ$29), MAX($BJ$7:$BJ$29), J68))), ABS($BJ$7:$BJ$29 - MEDIAN(MIN($BJ$7:$BJ$29), MAX($BJ$7:$BJ$29), J68)), $BK$7:$BK$29, "Error", 0)</f>
        <v/>
      </c>
      <c r="K69" s="232">
        <f>_xlfn.XLOOKUP(MIN(ABS($BJ$7:$BJ$29 - MEDIAN(MIN($BJ$7:$BJ$29), MAX($BJ$7:$BJ$29), K68))), ABS($BJ$7:$BJ$29 - MEDIAN(MIN($BJ$7:$BJ$29), MAX($BJ$7:$BJ$29), K68)), $BK$7:$BK$29, "Error", 0)</f>
        <v/>
      </c>
      <c r="L69" s="232">
        <f>_xlfn.XLOOKUP(MIN(ABS($BJ$7:$BJ$29 - MEDIAN(MIN($BJ$7:$BJ$29), MAX($BJ$7:$BJ$29), L68))), ABS($BJ$7:$BJ$29 - MEDIAN(MIN($BJ$7:$BJ$29), MAX($BJ$7:$BJ$29), L68)), $BK$7:$BK$29, "Error", 0)</f>
        <v/>
      </c>
      <c r="M69" s="232">
        <f>_xlfn.XLOOKUP(MIN(ABS($BJ$7:$BJ$29 - MEDIAN(MIN($BJ$7:$BJ$29), MAX($BJ$7:$BJ$29), M68))), ABS($BJ$7:$BJ$29 - MEDIAN(MIN($BJ$7:$BJ$29), MAX($BJ$7:$BJ$29), M68)), $BK$7:$BK$29, "Error", 0)</f>
        <v/>
      </c>
      <c r="N69" s="232">
        <f>_xlfn.XLOOKUP(MIN(ABS($BJ$7:$BJ$29 - MEDIAN(MIN($BJ$7:$BJ$29), MAX($BJ$7:$BJ$29), N68))), ABS($BJ$7:$BJ$29 - MEDIAN(MIN($BJ$7:$BJ$29), MAX($BJ$7:$BJ$29), N68)), $BK$7:$BK$29, "Error", 0)</f>
        <v/>
      </c>
      <c r="O69" s="232">
        <f>_xlfn.XLOOKUP(MIN(ABS($BJ$7:$BJ$29 - MEDIAN(MIN($BJ$7:$BJ$29), MAX($BJ$7:$BJ$29), O68))), ABS($BJ$7:$BJ$29 - MEDIAN(MIN($BJ$7:$BJ$29), MAX($BJ$7:$BJ$29), O68)), $BK$7:$BK$29, "Error", 0)</f>
        <v/>
      </c>
      <c r="P69" s="232">
        <f>_xlfn.XLOOKUP(MIN(ABS($BJ$7:$BJ$29 - MEDIAN(MIN($BJ$7:$BJ$29), MAX($BJ$7:$BJ$29), P68))), ABS($BJ$7:$BJ$29 - MEDIAN(MIN($BJ$7:$BJ$29), MAX($BJ$7:$BJ$29), P68)), $BK$7:$BK$29, "Error", 0)</f>
        <v/>
      </c>
      <c r="Q69" s="232">
        <f>_xlfn.XLOOKUP(MIN(ABS($BJ$7:$BJ$29 - MEDIAN(MIN($BJ$7:$BJ$29), MAX($BJ$7:$BJ$29), Q68))), ABS($BJ$7:$BJ$29 - MEDIAN(MIN($BJ$7:$BJ$29), MAX($BJ$7:$BJ$29), Q68)), $BK$7:$BK$29, "Error", 0)</f>
        <v/>
      </c>
      <c r="R69" s="232">
        <f>_xlfn.XLOOKUP(MIN(ABS($BJ$7:$BJ$29 - MEDIAN(MIN($BJ$7:$BJ$29), MAX($BJ$7:$BJ$29), R68))), ABS($BJ$7:$BJ$29 - MEDIAN(MIN($BJ$7:$BJ$29), MAX($BJ$7:$BJ$29), R68)), $BK$7:$BK$29, "Error", 0)</f>
        <v/>
      </c>
      <c r="S69" s="232">
        <f>_xlfn.XLOOKUP(MIN(ABS($BJ$7:$BJ$29 - MEDIAN(MIN($BJ$7:$BJ$29), MAX($BJ$7:$BJ$29), S68))), ABS($BJ$7:$BJ$29 - MEDIAN(MIN($BJ$7:$BJ$29), MAX($BJ$7:$BJ$29), S68)), $BK$7:$BK$29, "Error", 0)</f>
        <v/>
      </c>
      <c r="T69" s="232">
        <f>_xlfn.XLOOKUP(MIN(ABS($BJ$7:$BJ$29 - MEDIAN(MIN($BJ$7:$BJ$29), MAX($BJ$7:$BJ$29), T68))), ABS($BJ$7:$BJ$29 - MEDIAN(MIN($BJ$7:$BJ$29), MAX($BJ$7:$BJ$29), T68)), $BK$7:$BK$29, "Error", 0)</f>
        <v/>
      </c>
      <c r="U69" s="232">
        <f>_xlfn.XLOOKUP(MIN(ABS($BJ$7:$BJ$29 - MEDIAN(MIN($BJ$7:$BJ$29), MAX($BJ$7:$BJ$29), U68))), ABS($BJ$7:$BJ$29 - MEDIAN(MIN($BJ$7:$BJ$29), MAX($BJ$7:$BJ$29), U68)), $BK$7:$BK$29, "Error", 0)</f>
        <v/>
      </c>
      <c r="V69" s="232">
        <f>_xlfn.XLOOKUP(MIN(ABS($BJ$7:$BJ$29 - MEDIAN(MIN($BJ$7:$BJ$29), MAX($BJ$7:$BJ$29), V68))), ABS($BJ$7:$BJ$29 - MEDIAN(MIN($BJ$7:$BJ$29), MAX($BJ$7:$BJ$29), V68)), $BK$7:$BK$29, "Error", 0)</f>
        <v/>
      </c>
      <c r="W69" s="232">
        <f>_xlfn.XLOOKUP(MIN(ABS($BJ$7:$BJ$29 - MEDIAN(MIN($BJ$7:$BJ$29), MAX($BJ$7:$BJ$29), W68))), ABS($BJ$7:$BJ$29 - MEDIAN(MIN($BJ$7:$BJ$29), MAX($BJ$7:$BJ$29), W68)), $BK$7:$BK$29, "Error", 0)</f>
        <v/>
      </c>
      <c r="X69" s="232">
        <f>_xlfn.XLOOKUP(MIN(ABS($BJ$7:$BJ$29 - MEDIAN(MIN($BJ$7:$BJ$29), MAX($BJ$7:$BJ$29), X68))), ABS($BJ$7:$BJ$29 - MEDIAN(MIN($BJ$7:$BJ$29), MAX($BJ$7:$BJ$29), X68)), $BK$7:$BK$29, "Error", 0)</f>
        <v/>
      </c>
      <c r="Y69" s="232">
        <f>_xlfn.XLOOKUP(MIN(ABS($BJ$7:$BJ$29 - MEDIAN(MIN($BJ$7:$BJ$29), MAX($BJ$7:$BJ$29), Y68))), ABS($BJ$7:$BJ$29 - MEDIAN(MIN($BJ$7:$BJ$29), MAX($BJ$7:$BJ$29), Y68)), $BK$7:$BK$29, "Error", 0)</f>
        <v/>
      </c>
      <c r="Z69" s="232">
        <f>_xlfn.XLOOKUP(MIN(ABS($BJ$7:$BJ$29 - MEDIAN(MIN($BJ$7:$BJ$29), MAX($BJ$7:$BJ$29), Z68))), ABS($BJ$7:$BJ$29 - MEDIAN(MIN($BJ$7:$BJ$29), MAX($BJ$7:$BJ$29), Z68)), $BK$7:$BK$29, "Error", 0)</f>
        <v/>
      </c>
      <c r="AA69" s="232">
        <f>_xlfn.XLOOKUP(MIN(ABS($BJ$7:$BJ$29 - MEDIAN(MIN($BJ$7:$BJ$29), MAX($BJ$7:$BJ$29), AA68))), ABS($BJ$7:$BJ$29 - MEDIAN(MIN($BJ$7:$BJ$29), MAX($BJ$7:$BJ$29), AA68)), $BK$7:$BK$29, "Error", 0)</f>
        <v/>
      </c>
      <c r="AB69" s="171">
        <f>_xlfn.XLOOKUP(MIN(ABS($BJ$7:$BJ$29 - MEDIAN(MIN($BJ$7:$BJ$29), MAX($BJ$7:$BJ$29), AB68))), ABS($BJ$7:$BJ$29 - MEDIAN(MIN($BJ$7:$BJ$29), MAX($BJ$7:$BJ$29), AB68)), $BK$7:$BK$29, "Error", 0)</f>
        <v/>
      </c>
      <c r="AC69" s="171">
        <f>_xlfn.XLOOKUP(MIN(ABS($BJ$7:$BJ$29 - MEDIAN(MIN($BJ$7:$BJ$29), MAX($BJ$7:$BJ$29), AC68))), ABS($BJ$7:$BJ$29 - MEDIAN(MIN($BJ$7:$BJ$29), MAX($BJ$7:$BJ$29), AC68)), $BK$7:$BK$29, "Error", 0)</f>
        <v/>
      </c>
      <c r="AD69" s="171">
        <f>_xlfn.XLOOKUP(MIN(ABS($BJ$7:$BJ$29 - MEDIAN(MIN($BJ$7:$BJ$29), MAX($BJ$7:$BJ$29), AD68))), ABS($BJ$7:$BJ$29 - MEDIAN(MIN($BJ$7:$BJ$29), MAX($BJ$7:$BJ$29), AD68)), $BK$7:$BK$29, "Error", 0)</f>
        <v/>
      </c>
      <c r="AE69" s="171">
        <f>_xlfn.XLOOKUP(MIN(ABS($BJ$7:$BJ$29 - MEDIAN(MIN($BJ$7:$BJ$29), MAX($BJ$7:$BJ$29), AE68))), ABS($BJ$7:$BJ$29 - MEDIAN(MIN($BJ$7:$BJ$29), MAX($BJ$7:$BJ$29), AE68)), $BK$7:$BK$29, "Error", 0)</f>
        <v/>
      </c>
      <c r="AF69" s="171">
        <f>_xlfn.XLOOKUP(MIN(ABS($BJ$7:$BJ$29 - MEDIAN(MIN($BJ$7:$BJ$29), MAX($BJ$7:$BJ$29), AF68))), ABS($BJ$7:$BJ$29 - MEDIAN(MIN($BJ$7:$BJ$29), MAX($BJ$7:$BJ$29), AF68)), $BK$7:$BK$29, "Error", 0)</f>
        <v/>
      </c>
      <c r="AG69" s="171">
        <f>_xlfn.XLOOKUP(MIN(ABS($BJ$7:$BJ$29 - MEDIAN(MIN($BJ$7:$BJ$29), MAX($BJ$7:$BJ$29), AG68))), ABS($BJ$7:$BJ$29 - MEDIAN(MIN($BJ$7:$BJ$29), MAX($BJ$7:$BJ$29), AG68)), $BK$7:$BK$29, "Error", 0)</f>
        <v/>
      </c>
      <c r="AH69" s="171">
        <f>_xlfn.XLOOKUP(MIN(ABS($BJ$7:$BJ$29 - MEDIAN(MIN($BJ$7:$BJ$29), MAX($BJ$7:$BJ$29), AH68))), ABS($BJ$7:$BJ$29 - MEDIAN(MIN($BJ$7:$BJ$29), MAX($BJ$7:$BJ$29), AH68)), $BK$7:$BK$29, "Error", 0)</f>
        <v/>
      </c>
      <c r="AI69" s="171">
        <f>_xlfn.XLOOKUP(MIN(ABS($BJ$7:$BJ$29 - MEDIAN(MIN($BJ$7:$BJ$29), MAX($BJ$7:$BJ$29), AI68))), ABS($BJ$7:$BJ$29 - MEDIAN(MIN($BJ$7:$BJ$29), MAX($BJ$7:$BJ$29), AI68)), $BK$7:$BK$29, "Error", 0)</f>
        <v/>
      </c>
      <c r="AJ69" s="171">
        <f>_xlfn.XLOOKUP(MIN(ABS($BJ$7:$BJ$29 - MEDIAN(MIN($BJ$7:$BJ$29), MAX($BJ$7:$BJ$29), AJ68))), ABS($BJ$7:$BJ$29 - MEDIAN(MIN($BJ$7:$BJ$29), MAX($BJ$7:$BJ$29), AJ68)), $BK$7:$BK$29, "Error", 0)</f>
        <v/>
      </c>
      <c r="AK69" s="171">
        <f>_xlfn.XLOOKUP(MIN(ABS($BJ$7:$BJ$29 - MEDIAN(MIN($BJ$7:$BJ$29), MAX($BJ$7:$BJ$29), AK68))), ABS($BJ$7:$BJ$29 - MEDIAN(MIN($BJ$7:$BJ$29), MAX($BJ$7:$BJ$29), AK68)), $BK$7:$BK$29, "Error", 0)</f>
        <v/>
      </c>
      <c r="AL69" s="171">
        <f>_xlfn.XLOOKUP(MIN(ABS($BJ$7:$BJ$29 - MEDIAN(MIN($BJ$7:$BJ$29), MAX($BJ$7:$BJ$29), AL68))), ABS($BJ$7:$BJ$29 - MEDIAN(MIN($BJ$7:$BJ$29), MAX($BJ$7:$BJ$29), AL68)), $BK$7:$BK$29, "Error", 0)</f>
        <v/>
      </c>
      <c r="AM69" s="171">
        <f>_xlfn.XLOOKUP(MIN(ABS($BJ$7:$BJ$29 - MEDIAN(MIN($BJ$7:$BJ$29), MAX($BJ$7:$BJ$29), AM68))), ABS($BJ$7:$BJ$29 - MEDIAN(MIN($BJ$7:$BJ$29), MAX($BJ$7:$BJ$29), AM68)), $BK$7:$BK$29, "Error", 0)</f>
        <v/>
      </c>
      <c r="AN69" s="171">
        <f>_xlfn.XLOOKUP(MIN(ABS($BJ$7:$BJ$29 - MEDIAN(MIN($BJ$7:$BJ$29), MAX($BJ$7:$BJ$29), AN68))), ABS($BJ$7:$BJ$29 - MEDIAN(MIN($BJ$7:$BJ$29), MAX($BJ$7:$BJ$29), AN68)), $BK$7:$BK$29, "Error", 0)</f>
        <v/>
      </c>
      <c r="AO69" s="171">
        <f>_xlfn.XLOOKUP(MIN(ABS($BJ$7:$BJ$29 - MEDIAN(MIN($BJ$7:$BJ$29), MAX($BJ$7:$BJ$29), AO68))), ABS($BJ$7:$BJ$29 - MEDIAN(MIN($BJ$7:$BJ$29), MAX($BJ$7:$BJ$29), AO68)), $BK$7:$BK$29, "Error", 0)</f>
        <v/>
      </c>
      <c r="AP69" s="171">
        <f>_xlfn.XLOOKUP(MIN(ABS($BJ$7:$BJ$29 - MEDIAN(MIN($BJ$7:$BJ$29), MAX($BJ$7:$BJ$29), AP68))), ABS($BJ$7:$BJ$29 - MEDIAN(MIN($BJ$7:$BJ$29), MAX($BJ$7:$BJ$29), AP68)), $BK$7:$BK$29, "Error", 0)</f>
        <v/>
      </c>
      <c r="AQ69" s="171">
        <f>_xlfn.XLOOKUP(MIN(ABS($BJ$7:$BJ$29 - MEDIAN(MIN($BJ$7:$BJ$29), MAX($BJ$7:$BJ$29), AQ68))), ABS($BJ$7:$BJ$29 - MEDIAN(MIN($BJ$7:$BJ$29), MAX($BJ$7:$BJ$29), AQ68)), $BK$7:$BK$29, "Error", 0)</f>
        <v/>
      </c>
      <c r="AR69" s="171">
        <f>_xlfn.XLOOKUP(MIN(ABS($BJ$7:$BJ$29 - MEDIAN(MIN($BJ$7:$BJ$29), MAX($BJ$7:$BJ$29), AR68))), ABS($BJ$7:$BJ$29 - MEDIAN(MIN($BJ$7:$BJ$29), MAX($BJ$7:$BJ$29), AR68)), $BK$7:$BK$29, "Error", 0)</f>
        <v/>
      </c>
      <c r="AS69" s="171">
        <f>_xlfn.XLOOKUP(MIN(ABS($BJ$7:$BJ$29 - MEDIAN(MIN($BJ$7:$BJ$29), MAX($BJ$7:$BJ$29), AS68))), ABS($BJ$7:$BJ$29 - MEDIAN(MIN($BJ$7:$BJ$29), MAX($BJ$7:$BJ$29), AS68)), $BK$7:$BK$29, "Error", 0)</f>
        <v/>
      </c>
      <c r="AT69" s="171">
        <f>_xlfn.XLOOKUP(MIN(ABS($BJ$7:$BJ$29 - MEDIAN(MIN($BJ$7:$BJ$29), MAX($BJ$7:$BJ$29), AT68))), ABS($BJ$7:$BJ$29 - MEDIAN(MIN($BJ$7:$BJ$29), MAX($BJ$7:$BJ$29), AT68)), $BK$7:$BK$29, "Error", 0)</f>
        <v/>
      </c>
      <c r="AU69" s="171">
        <f>_xlfn.XLOOKUP(MIN(ABS($BJ$7:$BJ$29 - MEDIAN(MIN($BJ$7:$BJ$29), MAX($BJ$7:$BJ$29), AU68))), ABS($BJ$7:$BJ$29 - MEDIAN(MIN($BJ$7:$BJ$29), MAX($BJ$7:$BJ$29), AU68)), $BK$7:$BK$29, "Error", 0)</f>
        <v/>
      </c>
      <c r="AV69" s="206">
        <f>_xlfn.XLOOKUP(MIN(ABS($BJ$7:$BJ$29 - MEDIAN(MIN($BJ$7:$BJ$29), MAX($BJ$7:$BJ$29), AV68))), ABS($BJ$7:$BJ$29 - MEDIAN(MIN($BJ$7:$BJ$29), MAX($BJ$7:$BJ$29), AV68)), $BK$7:$BK$29, "Error", 0)</f>
        <v/>
      </c>
      <c r="AW69" s="184">
        <f>_xlfn.XLOOKUP(MIN(ABS($BJ$7:$BJ$29 - MEDIAN(MIN($BJ$7:$BJ$29), MAX($BJ$7:$BJ$29), AW68))), ABS($BJ$7:$BJ$29 - MEDIAN(MIN($BJ$7:$BJ$29), MAX($BJ$7:$BJ$29), AW68)), $BK$7:$BK$29, "Error", 0)</f>
        <v/>
      </c>
      <c r="AX69" s="184">
        <f>_xlfn.XLOOKUP(MIN(ABS($BJ$7:$BJ$29 - MEDIAN(MIN($BJ$7:$BJ$29), MAX($BJ$7:$BJ$29), AX68))), ABS($BJ$7:$BJ$29 - MEDIAN(MIN($BJ$7:$BJ$29), MAX($BJ$7:$BJ$29), AX68)), $BK$7:$BK$29, "Error", 0)</f>
        <v/>
      </c>
      <c r="AY69" s="184" t="n"/>
    </row>
    <row r="70" ht="44" customHeight="1">
      <c r="A70" s="283" t="inlineStr">
        <is>
          <t>EUR AUD</t>
        </is>
      </c>
      <c r="B70" s="200" t="inlineStr">
        <is>
          <t>All time High (CL)</t>
        </is>
      </c>
      <c r="C70" s="233" t="n">
        <v>7714.702338969684</v>
      </c>
      <c r="D70" s="233" t="n">
        <v>7714.702338969684</v>
      </c>
      <c r="E70" s="233" t="n">
        <v>7714.702338969684</v>
      </c>
      <c r="F70" s="233" t="n">
        <v>7714.702338969684</v>
      </c>
      <c r="G70" s="233" t="n">
        <v>7714.702338969684</v>
      </c>
      <c r="H70" s="233" t="n">
        <v>7714.702338969684</v>
      </c>
      <c r="I70" s="233" t="n">
        <v>7714.702338969684</v>
      </c>
      <c r="J70" s="233" t="n">
        <v>7714.702338969684</v>
      </c>
      <c r="K70" s="233" t="n">
        <v>7714.702338969684</v>
      </c>
      <c r="L70" s="233" t="n">
        <v>7714.702338969684</v>
      </c>
      <c r="M70" s="233" t="n">
        <v>7714.702338969684</v>
      </c>
      <c r="N70" s="233" t="n">
        <v>7714.702338969684</v>
      </c>
      <c r="O70" s="233" t="n">
        <v>7779.842889074003</v>
      </c>
      <c r="P70" s="233" t="n">
        <v>8178.857764756889</v>
      </c>
      <c r="Q70" s="233" t="n">
        <v>8544.336495915893</v>
      </c>
      <c r="R70" s="233" t="n">
        <v>8544.336495915893</v>
      </c>
      <c r="S70" s="233" t="n">
        <v>8544.336495915893</v>
      </c>
      <c r="T70" s="233" t="n">
        <v>8544.336495915893</v>
      </c>
      <c r="U70" s="233" t="n">
        <v>8544.336495915893</v>
      </c>
      <c r="V70" s="233" t="n">
        <v>8544.336495915893</v>
      </c>
      <c r="W70" s="233" t="n">
        <v>8544.336495915893</v>
      </c>
      <c r="X70" s="233" t="n">
        <v>8544.336495915893</v>
      </c>
      <c r="Y70" s="233" t="n">
        <v>8544.336495915893</v>
      </c>
      <c r="Z70" s="233" t="n">
        <v>8544.336495915893</v>
      </c>
      <c r="AA70" s="204" t="n">
        <v>8916.688014753396</v>
      </c>
      <c r="AB70" s="204" t="n">
        <v>9307.746362230391</v>
      </c>
      <c r="AC70" s="204" t="n">
        <v>9307.746362230391</v>
      </c>
      <c r="AD70" s="204" t="n">
        <v>9886.247126585338</v>
      </c>
      <c r="AE70" s="204" t="n">
        <v>9886.247126585338</v>
      </c>
      <c r="AF70" s="204" t="n">
        <v>9886.247126585338</v>
      </c>
      <c r="AG70" s="204" t="n">
        <v>9886.247126585338</v>
      </c>
      <c r="AH70" s="204" t="n">
        <v>10005.31857122737</v>
      </c>
      <c r="AI70" s="204" t="n">
        <v>10005.31857122737</v>
      </c>
      <c r="AJ70" s="204" t="n">
        <v>10412.07595697459</v>
      </c>
      <c r="AK70" s="204" t="n">
        <v>10458.38771665993</v>
      </c>
      <c r="AL70" s="204" t="n">
        <v>10458.38771665993</v>
      </c>
      <c r="AM70" s="204" t="n">
        <v>10458.38771665993</v>
      </c>
      <c r="AN70" s="204" t="n">
        <v>10628.53030045365</v>
      </c>
      <c r="AO70" s="204" t="n">
        <v>10628.53030045365</v>
      </c>
      <c r="AP70" s="204" t="n">
        <v>10628.53030045365</v>
      </c>
      <c r="AQ70" s="204" t="n">
        <v>10628.53030045365</v>
      </c>
      <c r="AR70" s="204" t="n">
        <v>10628.53030045365</v>
      </c>
      <c r="AS70" s="204" t="n">
        <v>10628.53030045365</v>
      </c>
      <c r="AT70" s="204" t="n">
        <v>10628.53030045365</v>
      </c>
      <c r="AU70" s="204" t="n">
        <v>10628.53030045365</v>
      </c>
      <c r="AV70" s="200" t="n">
        <v>10628.53030045365</v>
      </c>
      <c r="AW70" s="184" t="n">
        <v>10628.53030045365</v>
      </c>
      <c r="AX70" s="184" t="n">
        <v>10628.53030045365</v>
      </c>
      <c r="AY70" s="184" t="n"/>
    </row>
    <row r="71" ht="22" customHeight="1">
      <c r="A71" s="303" t="n"/>
      <c r="B71" s="201" t="inlineStr">
        <is>
          <t>current price</t>
        </is>
      </c>
      <c r="C71" s="233" t="n">
        <v>6400.388564256369</v>
      </c>
      <c r="D71" s="233" t="n">
        <v>6668.666994925123</v>
      </c>
      <c r="E71" s="233" t="n">
        <v>7006.518787808949</v>
      </c>
      <c r="F71" s="233" t="n">
        <v>7332.359697321255</v>
      </c>
      <c r="G71" s="233" t="n">
        <v>6944.707727163099</v>
      </c>
      <c r="H71" s="233" t="n">
        <v>7222.205654484686</v>
      </c>
      <c r="I71" s="233" t="n">
        <v>7400.107566692284</v>
      </c>
      <c r="J71" s="233" t="n">
        <v>7248.751683334063</v>
      </c>
      <c r="K71" s="233" t="n">
        <v>6871.908267933875</v>
      </c>
      <c r="L71" s="233" t="n">
        <v>6767.856562976376</v>
      </c>
      <c r="M71" s="233" t="n">
        <v>7266.968338045641</v>
      </c>
      <c r="N71" s="233" t="n">
        <v>7331.403145623102</v>
      </c>
      <c r="O71" s="233" t="n">
        <v>7642.759880578029</v>
      </c>
      <c r="P71" s="233" t="n">
        <v>8139.778952682973</v>
      </c>
      <c r="Q71" s="233" t="n">
        <v>8419.668155783089</v>
      </c>
      <c r="R71" s="233" t="n">
        <v>8036.106295455422</v>
      </c>
      <c r="S71" s="233" t="n">
        <v>8141.472880402114</v>
      </c>
      <c r="T71" s="233" t="n">
        <v>7843.645861032768</v>
      </c>
      <c r="U71" s="233" t="n">
        <v>8057.065014451277</v>
      </c>
      <c r="V71" s="233" t="n">
        <v>8103.818410468521</v>
      </c>
      <c r="W71" s="233" t="n">
        <v>8072.276885650819</v>
      </c>
      <c r="X71" s="233" t="n">
        <v>7975.196560637676</v>
      </c>
      <c r="Y71" s="233" t="n">
        <v>7808.110880736844</v>
      </c>
      <c r="Z71" s="233" t="n">
        <v>8191.953758416523</v>
      </c>
      <c r="AA71" s="204" t="n">
        <v>8843.87604060641</v>
      </c>
      <c r="AB71" s="204" t="n">
        <v>9112.365350022446</v>
      </c>
      <c r="AC71" s="204" t="n">
        <v>9041.349132348143</v>
      </c>
      <c r="AD71" s="204" t="n">
        <v>9203.768634449865</v>
      </c>
      <c r="AE71" s="204" t="n">
        <v>9460.761207909789</v>
      </c>
      <c r="AF71" s="204" t="n">
        <v>9518.944894353859</v>
      </c>
      <c r="AG71" s="204" t="n">
        <v>9430.249524885323</v>
      </c>
      <c r="AH71" s="204" t="n">
        <v>9558.725078374788</v>
      </c>
      <c r="AI71" s="204" t="n">
        <v>9860.416281222948</v>
      </c>
      <c r="AJ71" s="204" t="n">
        <v>9988.065072493628</v>
      </c>
      <c r="AK71" s="204" t="n">
        <v>10053.63298394298</v>
      </c>
      <c r="AL71" s="204" t="n">
        <v>10158.42307956796</v>
      </c>
      <c r="AM71" s="204" t="n">
        <v>10124.3626095957</v>
      </c>
      <c r="AN71" s="204" t="n">
        <v>10200.9330976666</v>
      </c>
      <c r="AO71" s="204" t="n">
        <v>9321.054344177304</v>
      </c>
      <c r="AP71" s="204" t="n">
        <v>9639.206599437166</v>
      </c>
      <c r="AQ71" s="204" t="n">
        <v>9808.530148039106</v>
      </c>
      <c r="AR71" s="204" t="n">
        <v>10499.18692518258</v>
      </c>
      <c r="AS71" s="204" t="n">
        <v>10429.2338855064</v>
      </c>
      <c r="AT71" s="204" t="n">
        <v>10391.34985475847</v>
      </c>
      <c r="AU71" s="204" t="n">
        <v>10221.28321428609</v>
      </c>
      <c r="AV71" s="201" t="n">
        <v>10221.28321428609</v>
      </c>
      <c r="AW71" s="184" t="n">
        <v>10221.28321428609</v>
      </c>
      <c r="AX71" s="184" t="n">
        <v>10221.28321428609</v>
      </c>
      <c r="AY71" s="184" t="n"/>
    </row>
    <row r="72" ht="22" customHeight="1">
      <c r="A72" s="303" t="n"/>
      <c r="B72" s="201" t="inlineStr">
        <is>
          <t>% CHANGE</t>
        </is>
      </c>
      <c r="C72" s="230">
        <f>+(C71-C70)/C70</f>
        <v/>
      </c>
      <c r="D72" s="230">
        <f>+(D71-D70)/D70</f>
        <v/>
      </c>
      <c r="E72" s="230">
        <f>+(E71-E70)/E70</f>
        <v/>
      </c>
      <c r="F72" s="230">
        <f>+(F71-F70)/F70</f>
        <v/>
      </c>
      <c r="G72" s="230">
        <f>+(G71-G70)/G70</f>
        <v/>
      </c>
      <c r="H72" s="230">
        <f>+(H71-H70)/H70</f>
        <v/>
      </c>
      <c r="I72" s="230">
        <f>+(I71-I70)/I70</f>
        <v/>
      </c>
      <c r="J72" s="230">
        <f>+(J71-J70)/J70</f>
        <v/>
      </c>
      <c r="K72" s="230">
        <f>+(K71-K70)/K70</f>
        <v/>
      </c>
      <c r="L72" s="230">
        <f>+(L71-L70)/L70</f>
        <v/>
      </c>
      <c r="M72" s="230">
        <f>+(M71-M70)/M70</f>
        <v/>
      </c>
      <c r="N72" s="230">
        <f>+(N71-N70)/N70</f>
        <v/>
      </c>
      <c r="O72" s="230">
        <f>+(O71-O70)/O70</f>
        <v/>
      </c>
      <c r="P72" s="230">
        <f>+(P71-P70)/P70</f>
        <v/>
      </c>
      <c r="Q72" s="230">
        <f>+(Q71-Q70)/Q70</f>
        <v/>
      </c>
      <c r="R72" s="230">
        <f>+(R71-R70)/R70</f>
        <v/>
      </c>
      <c r="S72" s="230">
        <f>+(S71-S70)/S70</f>
        <v/>
      </c>
      <c r="T72" s="230">
        <f>+(T71-T70)/T70</f>
        <v/>
      </c>
      <c r="U72" s="230">
        <f>+(U71-U70)/U70</f>
        <v/>
      </c>
      <c r="V72" s="230">
        <f>+(V71-V70)/V70</f>
        <v/>
      </c>
      <c r="W72" s="230">
        <f>+(W71-W70)/W70</f>
        <v/>
      </c>
      <c r="X72" s="230">
        <f>+(X71-X70)/X70</f>
        <v/>
      </c>
      <c r="Y72" s="230">
        <f>+(Y71-Y70)/Y70</f>
        <v/>
      </c>
      <c r="Z72" s="230">
        <f>+(Z71-Z70)/Z70</f>
        <v/>
      </c>
      <c r="AA72" s="230">
        <f>+(AA71-AA70)/AA70</f>
        <v/>
      </c>
      <c r="AB72" s="205">
        <f>+(AB71-AB70)/AB70</f>
        <v/>
      </c>
      <c r="AC72" s="205">
        <f>+(AC71-AC70)/AC70</f>
        <v/>
      </c>
      <c r="AD72" s="205">
        <f>+(AD71-AD70)/AD70</f>
        <v/>
      </c>
      <c r="AE72" s="205">
        <f>+(AE71-AE70)/AE70</f>
        <v/>
      </c>
      <c r="AF72" s="205">
        <f>+(AF71-AF70)/AF70</f>
        <v/>
      </c>
      <c r="AG72" s="205">
        <f>+(AG71-AG70)/AG70</f>
        <v/>
      </c>
      <c r="AH72" s="205">
        <f>+(AH71-AH70)/AH70</f>
        <v/>
      </c>
      <c r="AI72" s="205">
        <f>+(AI71-AI70)/AI70</f>
        <v/>
      </c>
      <c r="AJ72" s="205">
        <f>+(AJ71-AJ70)/AJ70</f>
        <v/>
      </c>
      <c r="AK72" s="205">
        <f>+(AK71-AK70)/AK70</f>
        <v/>
      </c>
      <c r="AL72" s="205">
        <f>+(AL71-AL70)/AL70</f>
        <v/>
      </c>
      <c r="AM72" s="205">
        <f>+(AM71-AM70)/AM70</f>
        <v/>
      </c>
      <c r="AN72" s="205">
        <f>+(AN71-AN70)/AN70</f>
        <v/>
      </c>
      <c r="AO72" s="205">
        <f>+(AO71-AO70)/AO70</f>
        <v/>
      </c>
      <c r="AP72" s="205">
        <f>+(AP71-AP70)/AP70</f>
        <v/>
      </c>
      <c r="AQ72" s="205">
        <f>+(AQ71-AQ70)/AQ70</f>
        <v/>
      </c>
      <c r="AR72" s="205">
        <f>+(AR71-AR70)/AR70</f>
        <v/>
      </c>
      <c r="AS72" s="205">
        <f>+(AS71-AS70)/AS70</f>
        <v/>
      </c>
      <c r="AT72" s="205">
        <f>+(AT71-AT70)/AT70</f>
        <v/>
      </c>
      <c r="AU72" s="205">
        <f>+(AU71-AU70)/AU70</f>
        <v/>
      </c>
      <c r="AV72" s="201">
        <f>+(AV71-AV70)/AV70</f>
        <v/>
      </c>
      <c r="AW72" s="184">
        <f>+(AW71-AW70)/AW70</f>
        <v/>
      </c>
      <c r="AX72" s="184">
        <f>+(AX71-AX70)/AX70</f>
        <v/>
      </c>
      <c r="AY72" s="184" t="n"/>
    </row>
    <row r="73" ht="44" customHeight="1">
      <c r="A73" s="303" t="n"/>
      <c r="B73" s="201" t="inlineStr">
        <is>
          <t>All time High STOXX50</t>
        </is>
      </c>
      <c r="C73" s="233" t="n">
        <v>4522.240234375</v>
      </c>
      <c r="D73" s="233" t="n">
        <v>4522.240234375</v>
      </c>
      <c r="E73" s="233" t="n">
        <v>4522.240234375</v>
      </c>
      <c r="F73" s="233" t="n">
        <v>4522.240234375</v>
      </c>
      <c r="G73" s="233" t="n">
        <v>4522.240234375</v>
      </c>
      <c r="H73" s="233" t="n">
        <v>4522.240234375</v>
      </c>
      <c r="I73" s="233" t="n">
        <v>4522.240234375</v>
      </c>
      <c r="J73" s="233" t="n">
        <v>4522.240234375</v>
      </c>
      <c r="K73" s="233" t="n">
        <v>4522.240234375</v>
      </c>
      <c r="L73" s="233" t="n">
        <v>4522.240234375</v>
      </c>
      <c r="M73" s="233" t="n">
        <v>4522.240234375</v>
      </c>
      <c r="N73" s="233" t="n">
        <v>4593.10986328125</v>
      </c>
      <c r="O73" s="233" t="n">
        <v>4674.740234375</v>
      </c>
      <c r="P73" s="233" t="n">
        <v>4898.3701171875</v>
      </c>
      <c r="Q73" s="233" t="n">
        <v>5103.259765625</v>
      </c>
      <c r="R73" s="233" t="n">
        <v>5103.259765625</v>
      </c>
      <c r="S73" s="233" t="n">
        <v>5103.259765625</v>
      </c>
      <c r="T73" s="233" t="n">
        <v>5103.259765625</v>
      </c>
      <c r="U73" s="233" t="n">
        <v>5103.259765625</v>
      </c>
      <c r="V73" s="233" t="n">
        <v>5103.259765625</v>
      </c>
      <c r="W73" s="233" t="n">
        <v>5103.259765625</v>
      </c>
      <c r="X73" s="233" t="n">
        <v>5103.259765625</v>
      </c>
      <c r="Y73" s="233" t="n">
        <v>5103.259765625</v>
      </c>
      <c r="Z73" s="233" t="n">
        <v>5103.259765625</v>
      </c>
      <c r="AA73" s="231" t="n">
        <v>5314.2900390625</v>
      </c>
      <c r="AB73" s="203" t="n">
        <v>5544.1201171875</v>
      </c>
      <c r="AC73" s="203" t="n">
        <v>5544.1201171875</v>
      </c>
      <c r="AD73" s="203" t="n">
        <v>5544.1201171875</v>
      </c>
      <c r="AE73" s="203" t="n">
        <v>5544.1201171875</v>
      </c>
      <c r="AF73" s="203" t="n">
        <v>5544.1201171875</v>
      </c>
      <c r="AG73" s="203" t="n">
        <v>5544.1201171875</v>
      </c>
      <c r="AH73" s="203" t="n">
        <v>5544.1201171875</v>
      </c>
      <c r="AI73" s="203" t="n">
        <v>5544.1201171875</v>
      </c>
      <c r="AJ73" s="203" t="n">
        <v>5734.27978515625</v>
      </c>
      <c r="AK73" s="203" t="n">
        <v>5818.06982421875</v>
      </c>
      <c r="AL73" s="203" t="n">
        <v>5818.06982421875</v>
      </c>
      <c r="AM73" s="203" t="n">
        <v>6053.68017578125</v>
      </c>
      <c r="AN73" s="203" t="n">
        <v>6199.77978515625</v>
      </c>
      <c r="AO73" s="203" t="n">
        <v>6199.77978515625</v>
      </c>
      <c r="AP73" s="203" t="n">
        <v>6199.77978515625</v>
      </c>
      <c r="AQ73" s="203" t="n">
        <v>6199.77978515625</v>
      </c>
      <c r="AR73" s="203" t="n">
        <v>6337.22021484375</v>
      </c>
      <c r="AS73" s="203" t="n">
        <v>6431.419921875</v>
      </c>
      <c r="AT73" s="203" t="n">
        <v>6577.2001953125</v>
      </c>
      <c r="AU73" s="203" t="n">
        <v>6577.2001953125</v>
      </c>
      <c r="AV73" s="201" t="n">
        <v>6577.2001953125</v>
      </c>
      <c r="AW73" s="184" t="n">
        <v>6577.2001953125</v>
      </c>
      <c r="AX73" s="184" t="n">
        <v>6577.2001953125</v>
      </c>
      <c r="AY73" s="184" t="n"/>
    </row>
    <row r="74" ht="44" customHeight="1">
      <c r="A74" s="303" t="n"/>
      <c r="B74" s="201" t="inlineStr">
        <is>
          <t>current price STOXX50</t>
        </is>
      </c>
      <c r="C74" s="233" t="n">
        <v>4163.4501953125</v>
      </c>
      <c r="D74" s="233" t="n">
        <v>4238.3798828125</v>
      </c>
      <c r="E74" s="233" t="n">
        <v>4315.0498046875</v>
      </c>
      <c r="F74" s="233" t="n">
        <v>4359.31005859375</v>
      </c>
      <c r="G74" s="233" t="n">
        <v>4218.0400390625</v>
      </c>
      <c r="H74" s="233" t="n">
        <v>4399.08984375</v>
      </c>
      <c r="I74" s="233" t="n">
        <v>4471.31005859375</v>
      </c>
      <c r="J74" s="233" t="n">
        <v>4297.10986328125</v>
      </c>
      <c r="K74" s="233" t="n">
        <v>4174.66015625</v>
      </c>
      <c r="L74" s="233" t="n">
        <v>4061.1201171875</v>
      </c>
      <c r="M74" s="233" t="n">
        <v>4382.47021484375</v>
      </c>
      <c r="N74" s="233" t="n">
        <v>4521.64990234375</v>
      </c>
      <c r="O74" s="233" t="n">
        <v>4648.39990234375</v>
      </c>
      <c r="P74" s="233" t="n">
        <v>4877.77001953125</v>
      </c>
      <c r="Q74" s="233" t="n">
        <v>5083.419921875</v>
      </c>
      <c r="R74" s="233" t="n">
        <v>4921.22021484375</v>
      </c>
      <c r="S74" s="233" t="n">
        <v>4983.669921875</v>
      </c>
      <c r="T74" s="233" t="n">
        <v>4894.02001953125</v>
      </c>
      <c r="U74" s="233" t="n">
        <v>4872.93994140625</v>
      </c>
      <c r="V74" s="233" t="n">
        <v>4957.97998046875</v>
      </c>
      <c r="W74" s="233" t="n">
        <v>5000.4501953125</v>
      </c>
      <c r="X74" s="233" t="n">
        <v>4827.6298828125</v>
      </c>
      <c r="Y74" s="233" t="n">
        <v>4804.39990234375</v>
      </c>
      <c r="Z74" s="233" t="n">
        <v>4895.97998046875</v>
      </c>
      <c r="AA74" s="231" t="n">
        <v>5286.8701171875</v>
      </c>
      <c r="AB74" s="203" t="n">
        <v>5463.5400390625</v>
      </c>
      <c r="AC74" s="203" t="n">
        <v>5248.39013671875</v>
      </c>
      <c r="AD74" s="203" t="n">
        <v>5160.22021484375</v>
      </c>
      <c r="AE74" s="203" t="n">
        <v>5366.58984375</v>
      </c>
      <c r="AF74" s="203" t="n">
        <v>5303.240234375</v>
      </c>
      <c r="AG74" s="203" t="n">
        <v>5319.919921875</v>
      </c>
      <c r="AH74" s="203" t="n">
        <v>5351.72998046875</v>
      </c>
      <c r="AI74" s="203" t="n">
        <v>5529.9599609375</v>
      </c>
      <c r="AJ74" s="203" t="n">
        <v>5662.0400390625</v>
      </c>
      <c r="AK74" s="203" t="n">
        <v>5668.169921875</v>
      </c>
      <c r="AL74" s="203" t="n">
        <v>5791.41015625</v>
      </c>
      <c r="AM74" s="203" t="n">
        <v>5947.81005859375</v>
      </c>
      <c r="AN74" s="203" t="n">
        <v>6138.41015625</v>
      </c>
      <c r="AO74" s="203" t="n">
        <v>5569.72998046875</v>
      </c>
      <c r="AP74" s="203" t="n">
        <v>5881.509765625</v>
      </c>
      <c r="AQ74" s="203" t="n">
        <v>6050.5400390625</v>
      </c>
      <c r="AR74" s="203" t="n">
        <v>6328.08984375</v>
      </c>
      <c r="AS74" s="203" t="n">
        <v>6358.009765625</v>
      </c>
      <c r="AT74" s="203" t="n">
        <v>6420.16015625</v>
      </c>
      <c r="AU74" s="203" t="n">
        <v>6302.81982421875</v>
      </c>
      <c r="AV74" s="201" t="n">
        <v>6302.81982421875</v>
      </c>
      <c r="AW74" s="184" t="n">
        <v>6302.81982421875</v>
      </c>
      <c r="AX74" s="184" t="n">
        <v>6302.81982421875</v>
      </c>
      <c r="AY74" s="184" t="n"/>
    </row>
    <row r="75" ht="44" customHeight="1">
      <c r="A75" s="303" t="n"/>
      <c r="B75" s="201" t="inlineStr">
        <is>
          <t>original index % change</t>
        </is>
      </c>
      <c r="C75" s="230">
        <f>+(C74-C73)/C73</f>
        <v/>
      </c>
      <c r="D75" s="230">
        <f>+(D74-D73)/D73</f>
        <v/>
      </c>
      <c r="E75" s="230">
        <f>+(E74-E73)/E73</f>
        <v/>
      </c>
      <c r="F75" s="230">
        <f>+(F74-F73)/F73</f>
        <v/>
      </c>
      <c r="G75" s="230">
        <f>+(G74-G73)/G73</f>
        <v/>
      </c>
      <c r="H75" s="230">
        <f>+(H74-H73)/H73</f>
        <v/>
      </c>
      <c r="I75" s="230">
        <f>+(I74-I73)/I73</f>
        <v/>
      </c>
      <c r="J75" s="230">
        <f>+(J74-J73)/J73</f>
        <v/>
      </c>
      <c r="K75" s="230">
        <f>+(K74-K73)/K73</f>
        <v/>
      </c>
      <c r="L75" s="230">
        <f>+(L74-L73)/L73</f>
        <v/>
      </c>
      <c r="M75" s="230">
        <f>+(M74-M73)/M73</f>
        <v/>
      </c>
      <c r="N75" s="230">
        <f>+(N74-N73)/N73</f>
        <v/>
      </c>
      <c r="O75" s="230">
        <f>+(O74-O73)/O73</f>
        <v/>
      </c>
      <c r="P75" s="230">
        <f>+(P74-P73)/P73</f>
        <v/>
      </c>
      <c r="Q75" s="230">
        <f>+(Q74-Q73)/Q73</f>
        <v/>
      </c>
      <c r="R75" s="230">
        <f>+(R74-R73)/R73</f>
        <v/>
      </c>
      <c r="S75" s="230">
        <f>+(S74-S73)/S73</f>
        <v/>
      </c>
      <c r="T75" s="230">
        <f>+(T74-T73)/T73</f>
        <v/>
      </c>
      <c r="U75" s="230">
        <f>+(U74-U73)/U73</f>
        <v/>
      </c>
      <c r="V75" s="230">
        <f>+(V74-V73)/V73</f>
        <v/>
      </c>
      <c r="W75" s="230">
        <f>+(W74-W73)/W73</f>
        <v/>
      </c>
      <c r="X75" s="230">
        <f>+(X74-X73)/X73</f>
        <v/>
      </c>
      <c r="Y75" s="230">
        <f>+(Y74-Y73)/Y73</f>
        <v/>
      </c>
      <c r="Z75" s="230">
        <f>+(Z74-Z73)/Z73</f>
        <v/>
      </c>
      <c r="AA75" s="230">
        <f>+(AA74-AA73)/AA73</f>
        <v/>
      </c>
      <c r="AB75" s="205">
        <f>+(AB74-AB73)/AB73</f>
        <v/>
      </c>
      <c r="AC75" s="205">
        <f>+(AC74-AC73)/AC73</f>
        <v/>
      </c>
      <c r="AD75" s="205">
        <f>+(AD74-AD73)/AD73</f>
        <v/>
      </c>
      <c r="AE75" s="205">
        <f>+(AE74-AE73)/AE73</f>
        <v/>
      </c>
      <c r="AF75" s="205">
        <f>+(AF74-AF73)/AF73</f>
        <v/>
      </c>
      <c r="AG75" s="205">
        <f>+(AG74-AG73)/AG73</f>
        <v/>
      </c>
      <c r="AH75" s="205">
        <f>+(AH74-AH73)/AH73</f>
        <v/>
      </c>
      <c r="AI75" s="205">
        <f>+(AI74-AI73)/AI73</f>
        <v/>
      </c>
      <c r="AJ75" s="205">
        <f>+(AJ74-AJ73)/AJ73</f>
        <v/>
      </c>
      <c r="AK75" s="205">
        <f>+(AK74-AK73)/AK73</f>
        <v/>
      </c>
      <c r="AL75" s="205">
        <f>+(AL74-AL73)/AL73</f>
        <v/>
      </c>
      <c r="AM75" s="205">
        <f>+(AM74-AM73)/AM73</f>
        <v/>
      </c>
      <c r="AN75" s="205">
        <f>+(AN74-AN73)/AN73</f>
        <v/>
      </c>
      <c r="AO75" s="205">
        <f>+(AO74-AO73)/AO73</f>
        <v/>
      </c>
      <c r="AP75" s="205">
        <f>+(AP74-AP73)/AP73</f>
        <v/>
      </c>
      <c r="AQ75" s="205">
        <f>+(AQ74-AQ73)/AQ73</f>
        <v/>
      </c>
      <c r="AR75" s="205">
        <f>+(AR74-AR73)/AR73</f>
        <v/>
      </c>
      <c r="AS75" s="205">
        <f>+(AS74-AS73)/AS73</f>
        <v/>
      </c>
      <c r="AT75" s="205">
        <f>+(AT74-AT73)/AT73</f>
        <v/>
      </c>
      <c r="AU75" s="205">
        <f>+(AU74-AU73)/AU73</f>
        <v/>
      </c>
      <c r="AV75" s="201">
        <f>+(AV74-AV73)/AV73</f>
        <v/>
      </c>
      <c r="AW75" s="184">
        <f>+(AW74-AW73)/AW73</f>
        <v/>
      </c>
      <c r="AX75" s="184">
        <f>+(AX74-AX73)/AX73</f>
        <v/>
      </c>
      <c r="AY75" s="184" t="n"/>
    </row>
    <row r="76" ht="22" customHeight="1">
      <c r="A76" s="303" t="n"/>
      <c r="B76" s="201" t="inlineStr">
        <is>
          <t>real % change</t>
        </is>
      </c>
      <c r="C76" s="230">
        <f>+C72-C75</f>
        <v/>
      </c>
      <c r="D76" s="230">
        <f>+D72-D75</f>
        <v/>
      </c>
      <c r="E76" s="230">
        <f>+E72-E75</f>
        <v/>
      </c>
      <c r="F76" s="230">
        <f>+F72-F75</f>
        <v/>
      </c>
      <c r="G76" s="230">
        <f>+G72-G75</f>
        <v/>
      </c>
      <c r="H76" s="230">
        <f>+H72-H75</f>
        <v/>
      </c>
      <c r="I76" s="230">
        <f>+I72-I75</f>
        <v/>
      </c>
      <c r="J76" s="230">
        <f>+J72-J75</f>
        <v/>
      </c>
      <c r="K76" s="230">
        <f>+K72-K75</f>
        <v/>
      </c>
      <c r="L76" s="230">
        <f>+L72-L75</f>
        <v/>
      </c>
      <c r="M76" s="230">
        <f>+M72-M75</f>
        <v/>
      </c>
      <c r="N76" s="230">
        <f>+N72-N75</f>
        <v/>
      </c>
      <c r="O76" s="230">
        <f>+O72-O75</f>
        <v/>
      </c>
      <c r="P76" s="230">
        <f>+P72-P75</f>
        <v/>
      </c>
      <c r="Q76" s="230">
        <f>+Q72-Q75</f>
        <v/>
      </c>
      <c r="R76" s="230">
        <f>+R72-R75</f>
        <v/>
      </c>
      <c r="S76" s="230">
        <f>+S72-S75</f>
        <v/>
      </c>
      <c r="T76" s="230">
        <f>+T72-T75</f>
        <v/>
      </c>
      <c r="U76" s="230">
        <f>+U72-U75</f>
        <v/>
      </c>
      <c r="V76" s="230">
        <f>+V72-V75</f>
        <v/>
      </c>
      <c r="W76" s="230">
        <f>+W72-W75</f>
        <v/>
      </c>
      <c r="X76" s="230">
        <f>+X72-X75</f>
        <v/>
      </c>
      <c r="Y76" s="230">
        <f>+Y72-Y75</f>
        <v/>
      </c>
      <c r="Z76" s="230">
        <f>+Z72-Z75</f>
        <v/>
      </c>
      <c r="AA76" s="230">
        <f>+AA72-AA75</f>
        <v/>
      </c>
      <c r="AB76" s="205">
        <f>+AB72-AB75</f>
        <v/>
      </c>
      <c r="AC76" s="205">
        <f>+AC72-AC75</f>
        <v/>
      </c>
      <c r="AD76" s="205">
        <f>+AD72-AD75</f>
        <v/>
      </c>
      <c r="AE76" s="205">
        <f>+AE72-AE75</f>
        <v/>
      </c>
      <c r="AF76" s="205">
        <f>+AF72-AF75</f>
        <v/>
      </c>
      <c r="AG76" s="205">
        <f>+AG72-AG75</f>
        <v/>
      </c>
      <c r="AH76" s="205">
        <f>+AH72-AH75</f>
        <v/>
      </c>
      <c r="AI76" s="205">
        <f>+AI72-AI75</f>
        <v/>
      </c>
      <c r="AJ76" s="205">
        <f>+AJ72-AJ75</f>
        <v/>
      </c>
      <c r="AK76" s="205">
        <f>+AK72-AK75</f>
        <v/>
      </c>
      <c r="AL76" s="205">
        <f>+AL72-AL75</f>
        <v/>
      </c>
      <c r="AM76" s="205">
        <f>+AM72-AM75</f>
        <v/>
      </c>
      <c r="AN76" s="205">
        <f>+AN72-AN75</f>
        <v/>
      </c>
      <c r="AO76" s="205">
        <f>+AO72-AO75</f>
        <v/>
      </c>
      <c r="AP76" s="205">
        <f>+AP72-AP75</f>
        <v/>
      </c>
      <c r="AQ76" s="205">
        <f>+AQ72-AQ75</f>
        <v/>
      </c>
      <c r="AR76" s="205">
        <f>+AR72-AR75</f>
        <v/>
      </c>
      <c r="AS76" s="205">
        <f>+AS72-AS75</f>
        <v/>
      </c>
      <c r="AT76" s="205">
        <f>+AT72-AT75</f>
        <v/>
      </c>
      <c r="AU76" s="205">
        <f>+AU72-AU75</f>
        <v/>
      </c>
      <c r="AV76" s="201">
        <f>+AV72-AV75</f>
        <v/>
      </c>
      <c r="AW76" s="184">
        <f>+AW72-AW75</f>
        <v/>
      </c>
      <c r="AX76" s="184">
        <f>+AX72-AX75</f>
        <v/>
      </c>
      <c r="AY76" s="184" t="n"/>
    </row>
    <row r="77" ht="22" customHeight="1">
      <c r="A77" s="303" t="n"/>
      <c r="B77" s="206" t="inlineStr">
        <is>
          <t>Rating</t>
        </is>
      </c>
      <c r="C77" s="232">
        <f>_xlfn.XLOOKUP(MIN(ABS($BJ$7:$BJ$29 - MEDIAN(MIN($BJ$7:$BJ$29), MAX($BJ$7:$BJ$29), C76))), ABS($BJ$7:$BJ$29 - MEDIAN(MIN($BJ$7:$BJ$29), MAX($BJ$7:$BJ$29), C76)), $BK$7:$BK$29, "Error", 0)</f>
        <v/>
      </c>
      <c r="D77" s="232">
        <f>_xlfn.XLOOKUP(MIN(ABS($BJ$7:$BJ$29 - MEDIAN(MIN($BJ$7:$BJ$29), MAX($BJ$7:$BJ$29), D76))), ABS($BJ$7:$BJ$29 - MEDIAN(MIN($BJ$7:$BJ$29), MAX($BJ$7:$BJ$29), D76)), $BK$7:$BK$29, "Error", 0)</f>
        <v/>
      </c>
      <c r="E77" s="232">
        <f>_xlfn.XLOOKUP(MIN(ABS($BJ$7:$BJ$29 - MEDIAN(MIN($BJ$7:$BJ$29), MAX($BJ$7:$BJ$29), E76))), ABS($BJ$7:$BJ$29 - MEDIAN(MIN($BJ$7:$BJ$29), MAX($BJ$7:$BJ$29), E76)), $BK$7:$BK$29, "Error", 0)</f>
        <v/>
      </c>
      <c r="F77" s="232">
        <f>_xlfn.XLOOKUP(MIN(ABS($BJ$7:$BJ$29 - MEDIAN(MIN($BJ$7:$BJ$29), MAX($BJ$7:$BJ$29), F76))), ABS($BJ$7:$BJ$29 - MEDIAN(MIN($BJ$7:$BJ$29), MAX($BJ$7:$BJ$29), F76)), $BK$7:$BK$29, "Error", 0)</f>
        <v/>
      </c>
      <c r="G77" s="232">
        <f>_xlfn.XLOOKUP(MIN(ABS($BJ$7:$BJ$29 - MEDIAN(MIN($BJ$7:$BJ$29), MAX($BJ$7:$BJ$29), G76))), ABS($BJ$7:$BJ$29 - MEDIAN(MIN($BJ$7:$BJ$29), MAX($BJ$7:$BJ$29), G76)), $BK$7:$BK$29, "Error", 0)</f>
        <v/>
      </c>
      <c r="H77" s="232">
        <f>_xlfn.XLOOKUP(MIN(ABS($BJ$7:$BJ$29 - MEDIAN(MIN($BJ$7:$BJ$29), MAX($BJ$7:$BJ$29), H76))), ABS($BJ$7:$BJ$29 - MEDIAN(MIN($BJ$7:$BJ$29), MAX($BJ$7:$BJ$29), H76)), $BK$7:$BK$29, "Error", 0)</f>
        <v/>
      </c>
      <c r="I77" s="232">
        <f>_xlfn.XLOOKUP(MIN(ABS($BJ$7:$BJ$29 - MEDIAN(MIN($BJ$7:$BJ$29), MAX($BJ$7:$BJ$29), I76))), ABS($BJ$7:$BJ$29 - MEDIAN(MIN($BJ$7:$BJ$29), MAX($BJ$7:$BJ$29), I76)), $BK$7:$BK$29, "Error", 0)</f>
        <v/>
      </c>
      <c r="J77" s="232">
        <f>_xlfn.XLOOKUP(MIN(ABS($BJ$7:$BJ$29 - MEDIAN(MIN($BJ$7:$BJ$29), MAX($BJ$7:$BJ$29), J76))), ABS($BJ$7:$BJ$29 - MEDIAN(MIN($BJ$7:$BJ$29), MAX($BJ$7:$BJ$29), J76)), $BK$7:$BK$29, "Error", 0)</f>
        <v/>
      </c>
      <c r="K77" s="232">
        <f>_xlfn.XLOOKUP(MIN(ABS($BJ$7:$BJ$29 - MEDIAN(MIN($BJ$7:$BJ$29), MAX($BJ$7:$BJ$29), K76))), ABS($BJ$7:$BJ$29 - MEDIAN(MIN($BJ$7:$BJ$29), MAX($BJ$7:$BJ$29), K76)), $BK$7:$BK$29, "Error", 0)</f>
        <v/>
      </c>
      <c r="L77" s="232">
        <f>_xlfn.XLOOKUP(MIN(ABS($BJ$7:$BJ$29 - MEDIAN(MIN($BJ$7:$BJ$29), MAX($BJ$7:$BJ$29), L76))), ABS($BJ$7:$BJ$29 - MEDIAN(MIN($BJ$7:$BJ$29), MAX($BJ$7:$BJ$29), L76)), $BK$7:$BK$29, "Error", 0)</f>
        <v/>
      </c>
      <c r="M77" s="232">
        <f>_xlfn.XLOOKUP(MIN(ABS($BJ$7:$BJ$29 - MEDIAN(MIN($BJ$7:$BJ$29), MAX($BJ$7:$BJ$29), M76))), ABS($BJ$7:$BJ$29 - MEDIAN(MIN($BJ$7:$BJ$29), MAX($BJ$7:$BJ$29), M76)), $BK$7:$BK$29, "Error", 0)</f>
        <v/>
      </c>
      <c r="N77" s="232">
        <f>_xlfn.XLOOKUP(MIN(ABS($BJ$7:$BJ$29 - MEDIAN(MIN($BJ$7:$BJ$29), MAX($BJ$7:$BJ$29), N76))), ABS($BJ$7:$BJ$29 - MEDIAN(MIN($BJ$7:$BJ$29), MAX($BJ$7:$BJ$29), N76)), $BK$7:$BK$29, "Error", 0)</f>
        <v/>
      </c>
      <c r="O77" s="232">
        <f>_xlfn.XLOOKUP(MIN(ABS($BJ$7:$BJ$29 - MEDIAN(MIN($BJ$7:$BJ$29), MAX($BJ$7:$BJ$29), O76))), ABS($BJ$7:$BJ$29 - MEDIAN(MIN($BJ$7:$BJ$29), MAX($BJ$7:$BJ$29), O76)), $BK$7:$BK$29, "Error", 0)</f>
        <v/>
      </c>
      <c r="P77" s="232">
        <f>_xlfn.XLOOKUP(MIN(ABS($BJ$7:$BJ$29 - MEDIAN(MIN($BJ$7:$BJ$29), MAX($BJ$7:$BJ$29), P76))), ABS($BJ$7:$BJ$29 - MEDIAN(MIN($BJ$7:$BJ$29), MAX($BJ$7:$BJ$29), P76)), $BK$7:$BK$29, "Error", 0)</f>
        <v/>
      </c>
      <c r="Q77" s="232">
        <f>_xlfn.XLOOKUP(MIN(ABS($BJ$7:$BJ$29 - MEDIAN(MIN($BJ$7:$BJ$29), MAX($BJ$7:$BJ$29), Q76))), ABS($BJ$7:$BJ$29 - MEDIAN(MIN($BJ$7:$BJ$29), MAX($BJ$7:$BJ$29), Q76)), $BK$7:$BK$29, "Error", 0)</f>
        <v/>
      </c>
      <c r="R77" s="232">
        <f>_xlfn.XLOOKUP(MIN(ABS($BJ$7:$BJ$29 - MEDIAN(MIN($BJ$7:$BJ$29), MAX($BJ$7:$BJ$29), R76))), ABS($BJ$7:$BJ$29 - MEDIAN(MIN($BJ$7:$BJ$29), MAX($BJ$7:$BJ$29), R76)), $BK$7:$BK$29, "Error", 0)</f>
        <v/>
      </c>
      <c r="S77" s="232">
        <f>_xlfn.XLOOKUP(MIN(ABS($BJ$7:$BJ$29 - MEDIAN(MIN($BJ$7:$BJ$29), MAX($BJ$7:$BJ$29), S76))), ABS($BJ$7:$BJ$29 - MEDIAN(MIN($BJ$7:$BJ$29), MAX($BJ$7:$BJ$29), S76)), $BK$7:$BK$29, "Error", 0)</f>
        <v/>
      </c>
      <c r="T77" s="232">
        <f>_xlfn.XLOOKUP(MIN(ABS($BJ$7:$BJ$29 - MEDIAN(MIN($BJ$7:$BJ$29), MAX($BJ$7:$BJ$29), T76))), ABS($BJ$7:$BJ$29 - MEDIAN(MIN($BJ$7:$BJ$29), MAX($BJ$7:$BJ$29), T76)), $BK$7:$BK$29, "Error", 0)</f>
        <v/>
      </c>
      <c r="U77" s="232">
        <f>_xlfn.XLOOKUP(MIN(ABS($BJ$7:$BJ$29 - MEDIAN(MIN($BJ$7:$BJ$29), MAX($BJ$7:$BJ$29), U76))), ABS($BJ$7:$BJ$29 - MEDIAN(MIN($BJ$7:$BJ$29), MAX($BJ$7:$BJ$29), U76)), $BK$7:$BK$29, "Error", 0)</f>
        <v/>
      </c>
      <c r="V77" s="232">
        <f>_xlfn.XLOOKUP(MIN(ABS($BJ$7:$BJ$29 - MEDIAN(MIN($BJ$7:$BJ$29), MAX($BJ$7:$BJ$29), V76))), ABS($BJ$7:$BJ$29 - MEDIAN(MIN($BJ$7:$BJ$29), MAX($BJ$7:$BJ$29), V76)), $BK$7:$BK$29, "Error", 0)</f>
        <v/>
      </c>
      <c r="W77" s="232">
        <f>_xlfn.XLOOKUP(MIN(ABS($BJ$7:$BJ$29 - MEDIAN(MIN($BJ$7:$BJ$29), MAX($BJ$7:$BJ$29), W76))), ABS($BJ$7:$BJ$29 - MEDIAN(MIN($BJ$7:$BJ$29), MAX($BJ$7:$BJ$29), W76)), $BK$7:$BK$29, "Error", 0)</f>
        <v/>
      </c>
      <c r="X77" s="232">
        <f>_xlfn.XLOOKUP(MIN(ABS($BJ$7:$BJ$29 - MEDIAN(MIN($BJ$7:$BJ$29), MAX($BJ$7:$BJ$29), X76))), ABS($BJ$7:$BJ$29 - MEDIAN(MIN($BJ$7:$BJ$29), MAX($BJ$7:$BJ$29), X76)), $BK$7:$BK$29, "Error", 0)</f>
        <v/>
      </c>
      <c r="Y77" s="232">
        <f>_xlfn.XLOOKUP(MIN(ABS($BJ$7:$BJ$29 - MEDIAN(MIN($BJ$7:$BJ$29), MAX($BJ$7:$BJ$29), Y76))), ABS($BJ$7:$BJ$29 - MEDIAN(MIN($BJ$7:$BJ$29), MAX($BJ$7:$BJ$29), Y76)), $BK$7:$BK$29, "Error", 0)</f>
        <v/>
      </c>
      <c r="Z77" s="232">
        <f>_xlfn.XLOOKUP(MIN(ABS($BJ$7:$BJ$29 - MEDIAN(MIN($BJ$7:$BJ$29), MAX($BJ$7:$BJ$29), Z76))), ABS($BJ$7:$BJ$29 - MEDIAN(MIN($BJ$7:$BJ$29), MAX($BJ$7:$BJ$29), Z76)), $BK$7:$BK$29, "Error", 0)</f>
        <v/>
      </c>
      <c r="AA77" s="232">
        <f>_xlfn.XLOOKUP(MIN(ABS($BJ$7:$BJ$29 - MEDIAN(MIN($BJ$7:$BJ$29), MAX($BJ$7:$BJ$29), AA76))), ABS($BJ$7:$BJ$29 - MEDIAN(MIN($BJ$7:$BJ$29), MAX($BJ$7:$BJ$29), AA76)), $BK$7:$BK$29, "Error", 0)</f>
        <v/>
      </c>
      <c r="AB77" s="171">
        <f>_xlfn.XLOOKUP(MIN(ABS($BJ$7:$BJ$29 - MEDIAN(MIN($BJ$7:$BJ$29), MAX($BJ$7:$BJ$29), AB76))), ABS($BJ$7:$BJ$29 - MEDIAN(MIN($BJ$7:$BJ$29), MAX($BJ$7:$BJ$29), AB76)), $BK$7:$BK$29, "Error", 0)</f>
        <v/>
      </c>
      <c r="AC77" s="171">
        <f>_xlfn.XLOOKUP(MIN(ABS($BJ$7:$BJ$29 - MEDIAN(MIN($BJ$7:$BJ$29), MAX($BJ$7:$BJ$29), AC76))), ABS($BJ$7:$BJ$29 - MEDIAN(MIN($BJ$7:$BJ$29), MAX($BJ$7:$BJ$29), AC76)), $BK$7:$BK$29, "Error", 0)</f>
        <v/>
      </c>
      <c r="AD77" s="171">
        <f>_xlfn.XLOOKUP(MIN(ABS($BJ$7:$BJ$29 - MEDIAN(MIN($BJ$7:$BJ$29), MAX($BJ$7:$BJ$29), AD76))), ABS($BJ$7:$BJ$29 - MEDIAN(MIN($BJ$7:$BJ$29), MAX($BJ$7:$BJ$29), AD76)), $BK$7:$BK$29, "Error", 0)</f>
        <v/>
      </c>
      <c r="AE77" s="171">
        <f>_xlfn.XLOOKUP(MIN(ABS($BJ$7:$BJ$29 - MEDIAN(MIN($BJ$7:$BJ$29), MAX($BJ$7:$BJ$29), AE76))), ABS($BJ$7:$BJ$29 - MEDIAN(MIN($BJ$7:$BJ$29), MAX($BJ$7:$BJ$29), AE76)), $BK$7:$BK$29, "Error", 0)</f>
        <v/>
      </c>
      <c r="AF77" s="171">
        <f>_xlfn.XLOOKUP(MIN(ABS($BJ$7:$BJ$29 - MEDIAN(MIN($BJ$7:$BJ$29), MAX($BJ$7:$BJ$29), AF76))), ABS($BJ$7:$BJ$29 - MEDIAN(MIN($BJ$7:$BJ$29), MAX($BJ$7:$BJ$29), AF76)), $BK$7:$BK$29, "Error", 0)</f>
        <v/>
      </c>
      <c r="AG77" s="171">
        <f>_xlfn.XLOOKUP(MIN(ABS($BJ$7:$BJ$29 - MEDIAN(MIN($BJ$7:$BJ$29), MAX($BJ$7:$BJ$29), AG76))), ABS($BJ$7:$BJ$29 - MEDIAN(MIN($BJ$7:$BJ$29), MAX($BJ$7:$BJ$29), AG76)), $BK$7:$BK$29, "Error", 0)</f>
        <v/>
      </c>
      <c r="AH77" s="171">
        <f>_xlfn.XLOOKUP(MIN(ABS($BJ$7:$BJ$29 - MEDIAN(MIN($BJ$7:$BJ$29), MAX($BJ$7:$BJ$29), AH76))), ABS($BJ$7:$BJ$29 - MEDIAN(MIN($BJ$7:$BJ$29), MAX($BJ$7:$BJ$29), AH76)), $BK$7:$BK$29, "Error", 0)</f>
        <v/>
      </c>
      <c r="AI77" s="171">
        <f>_xlfn.XLOOKUP(MIN(ABS($BJ$7:$BJ$29 - MEDIAN(MIN($BJ$7:$BJ$29), MAX($BJ$7:$BJ$29), AI76))), ABS($BJ$7:$BJ$29 - MEDIAN(MIN($BJ$7:$BJ$29), MAX($BJ$7:$BJ$29), AI76)), $BK$7:$BK$29, "Error", 0)</f>
        <v/>
      </c>
      <c r="AJ77" s="171">
        <f>_xlfn.XLOOKUP(MIN(ABS($BJ$7:$BJ$29 - MEDIAN(MIN($BJ$7:$BJ$29), MAX($BJ$7:$BJ$29), AJ76))), ABS($BJ$7:$BJ$29 - MEDIAN(MIN($BJ$7:$BJ$29), MAX($BJ$7:$BJ$29), AJ76)), $BK$7:$BK$29, "Error", 0)</f>
        <v/>
      </c>
      <c r="AK77" s="171">
        <f>_xlfn.XLOOKUP(MIN(ABS($BJ$7:$BJ$29 - MEDIAN(MIN($BJ$7:$BJ$29), MAX($BJ$7:$BJ$29), AK76))), ABS($BJ$7:$BJ$29 - MEDIAN(MIN($BJ$7:$BJ$29), MAX($BJ$7:$BJ$29), AK76)), $BK$7:$BK$29, "Error", 0)</f>
        <v/>
      </c>
      <c r="AL77" s="171">
        <f>_xlfn.XLOOKUP(MIN(ABS($BJ$7:$BJ$29 - MEDIAN(MIN($BJ$7:$BJ$29), MAX($BJ$7:$BJ$29), AL76))), ABS($BJ$7:$BJ$29 - MEDIAN(MIN($BJ$7:$BJ$29), MAX($BJ$7:$BJ$29), AL76)), $BK$7:$BK$29, "Error", 0)</f>
        <v/>
      </c>
      <c r="AM77" s="171">
        <f>_xlfn.XLOOKUP(MIN(ABS($BJ$7:$BJ$29 - MEDIAN(MIN($BJ$7:$BJ$29), MAX($BJ$7:$BJ$29), AM76))), ABS($BJ$7:$BJ$29 - MEDIAN(MIN($BJ$7:$BJ$29), MAX($BJ$7:$BJ$29), AM76)), $BK$7:$BK$29, "Error", 0)</f>
        <v/>
      </c>
      <c r="AN77" s="171">
        <f>_xlfn.XLOOKUP(MIN(ABS($BJ$7:$BJ$29 - MEDIAN(MIN($BJ$7:$BJ$29), MAX($BJ$7:$BJ$29), AN76))), ABS($BJ$7:$BJ$29 - MEDIAN(MIN($BJ$7:$BJ$29), MAX($BJ$7:$BJ$29), AN76)), $BK$7:$BK$29, "Error", 0)</f>
        <v/>
      </c>
      <c r="AO77" s="171">
        <f>_xlfn.XLOOKUP(MIN(ABS($BJ$7:$BJ$29 - MEDIAN(MIN($BJ$7:$BJ$29), MAX($BJ$7:$BJ$29), AO76))), ABS($BJ$7:$BJ$29 - MEDIAN(MIN($BJ$7:$BJ$29), MAX($BJ$7:$BJ$29), AO76)), $BK$7:$BK$29, "Error", 0)</f>
        <v/>
      </c>
      <c r="AP77" s="171">
        <f>_xlfn.XLOOKUP(MIN(ABS($BJ$7:$BJ$29 - MEDIAN(MIN($BJ$7:$BJ$29), MAX($BJ$7:$BJ$29), AP76))), ABS($BJ$7:$BJ$29 - MEDIAN(MIN($BJ$7:$BJ$29), MAX($BJ$7:$BJ$29), AP76)), $BK$7:$BK$29, "Error", 0)</f>
        <v/>
      </c>
      <c r="AQ77" s="171">
        <f>_xlfn.XLOOKUP(MIN(ABS($BJ$7:$BJ$29 - MEDIAN(MIN($BJ$7:$BJ$29), MAX($BJ$7:$BJ$29), AQ76))), ABS($BJ$7:$BJ$29 - MEDIAN(MIN($BJ$7:$BJ$29), MAX($BJ$7:$BJ$29), AQ76)), $BK$7:$BK$29, "Error", 0)</f>
        <v/>
      </c>
      <c r="AR77" s="171">
        <f>_xlfn.XLOOKUP(MIN(ABS($BJ$7:$BJ$29 - MEDIAN(MIN($BJ$7:$BJ$29), MAX($BJ$7:$BJ$29), AR76))), ABS($BJ$7:$BJ$29 - MEDIAN(MIN($BJ$7:$BJ$29), MAX($BJ$7:$BJ$29), AR76)), $BK$7:$BK$29, "Error", 0)</f>
        <v/>
      </c>
      <c r="AS77" s="171">
        <f>_xlfn.XLOOKUP(MIN(ABS($BJ$7:$BJ$29 - MEDIAN(MIN($BJ$7:$BJ$29), MAX($BJ$7:$BJ$29), AS76))), ABS($BJ$7:$BJ$29 - MEDIAN(MIN($BJ$7:$BJ$29), MAX($BJ$7:$BJ$29), AS76)), $BK$7:$BK$29, "Error", 0)</f>
        <v/>
      </c>
      <c r="AT77" s="171">
        <f>_xlfn.XLOOKUP(MIN(ABS($BJ$7:$BJ$29 - MEDIAN(MIN($BJ$7:$BJ$29), MAX($BJ$7:$BJ$29), AT76))), ABS($BJ$7:$BJ$29 - MEDIAN(MIN($BJ$7:$BJ$29), MAX($BJ$7:$BJ$29), AT76)), $BK$7:$BK$29, "Error", 0)</f>
        <v/>
      </c>
      <c r="AU77" s="171">
        <f>_xlfn.XLOOKUP(MIN(ABS($BJ$7:$BJ$29 - MEDIAN(MIN($BJ$7:$BJ$29), MAX($BJ$7:$BJ$29), AU76))), ABS($BJ$7:$BJ$29 - MEDIAN(MIN($BJ$7:$BJ$29), MAX($BJ$7:$BJ$29), AU76)), $BK$7:$BK$29, "Error", 0)</f>
        <v/>
      </c>
      <c r="AV77" s="206">
        <f>_xlfn.XLOOKUP(MIN(ABS($BJ$7:$BJ$29 - MEDIAN(MIN($BJ$7:$BJ$29), MAX($BJ$7:$BJ$29), AV76))), ABS($BJ$7:$BJ$29 - MEDIAN(MIN($BJ$7:$BJ$29), MAX($BJ$7:$BJ$29), AV76)), $BK$7:$BK$29, "Error", 0)</f>
        <v/>
      </c>
      <c r="AW77" s="184">
        <f>_xlfn.XLOOKUP(MIN(ABS($BJ$7:$BJ$29 - MEDIAN(MIN($BJ$7:$BJ$29), MAX($BJ$7:$BJ$29), AW76))), ABS($BJ$7:$BJ$29 - MEDIAN(MIN($BJ$7:$BJ$29), MAX($BJ$7:$BJ$29), AW76)), $BK$7:$BK$29, "Error", 0)</f>
        <v/>
      </c>
      <c r="AX77" s="184">
        <f>_xlfn.XLOOKUP(MIN(ABS($BJ$7:$BJ$29 - MEDIAN(MIN($BJ$7:$BJ$29), MAX($BJ$7:$BJ$29), AX76))), ABS($BJ$7:$BJ$29 - MEDIAN(MIN($BJ$7:$BJ$29), MAX($BJ$7:$BJ$29), AX76)), $BK$7:$BK$29, "Error", 0)</f>
        <v/>
      </c>
      <c r="AY77" s="184" t="n"/>
    </row>
    <row r="78" ht="44" customHeight="1">
      <c r="A78" s="305" t="inlineStr">
        <is>
          <t>EUR NZD</t>
        </is>
      </c>
      <c r="B78" s="200" t="inlineStr">
        <is>
          <t>All time High (CL)</t>
        </is>
      </c>
      <c r="C78" s="233" t="n">
        <v>8933.29599862016</v>
      </c>
      <c r="D78" s="233" t="n">
        <v>8933.29599862016</v>
      </c>
      <c r="E78" s="233" t="n">
        <v>8933.29599862016</v>
      </c>
      <c r="F78" s="233" t="n">
        <v>8933.29599862016</v>
      </c>
      <c r="G78" s="233" t="n">
        <v>8933.29599862016</v>
      </c>
      <c r="H78" s="233" t="n">
        <v>8933.29599862016</v>
      </c>
      <c r="I78" s="233" t="n">
        <v>8933.29599862016</v>
      </c>
      <c r="J78" s="233" t="n">
        <v>8933.29599862016</v>
      </c>
      <c r="K78" s="233" t="n">
        <v>8933.29599862016</v>
      </c>
      <c r="L78" s="233" t="n">
        <v>8933.29599862016</v>
      </c>
      <c r="M78" s="233" t="n">
        <v>8933.29599862016</v>
      </c>
      <c r="N78" s="233" t="n">
        <v>8933.29599862016</v>
      </c>
      <c r="O78" s="233" t="n">
        <v>8933.29599862016</v>
      </c>
      <c r="P78" s="233" t="n">
        <v>8933.29599862016</v>
      </c>
      <c r="Q78" s="233" t="n">
        <v>9242.513792671263</v>
      </c>
      <c r="R78" s="233" t="n">
        <v>9242.513792671263</v>
      </c>
      <c r="S78" s="233" t="n">
        <v>9242.513792671263</v>
      </c>
      <c r="T78" s="233" t="n">
        <v>9242.513792671263</v>
      </c>
      <c r="U78" s="233" t="n">
        <v>9321.193289669696</v>
      </c>
      <c r="V78" s="233" t="n">
        <v>9321.193289669696</v>
      </c>
      <c r="W78" s="233" t="n">
        <v>9321.193289669696</v>
      </c>
      <c r="X78" s="233" t="n">
        <v>9321.193289669696</v>
      </c>
      <c r="Y78" s="233" t="n">
        <v>9321.193289669696</v>
      </c>
      <c r="Z78" s="233" t="n">
        <v>9338.359205781016</v>
      </c>
      <c r="AA78" s="204" t="n">
        <v>9866.51113181957</v>
      </c>
      <c r="AB78" s="204" t="n">
        <v>10307.90504765476</v>
      </c>
      <c r="AC78" s="204" t="n">
        <v>10307.90504765476</v>
      </c>
      <c r="AD78" s="204" t="n">
        <v>10307.90504765476</v>
      </c>
      <c r="AE78" s="204" t="n">
        <v>10471.97310777754</v>
      </c>
      <c r="AF78" s="204" t="n">
        <v>10591.73104423913</v>
      </c>
      <c r="AG78" s="204" t="n">
        <v>10764.47537034209</v>
      </c>
      <c r="AH78" s="204" t="n">
        <v>11038.6281169774</v>
      </c>
      <c r="AI78" s="204" t="n">
        <v>11229.91101637925</v>
      </c>
      <c r="AJ78" s="204" t="n">
        <v>11746.15570384427</v>
      </c>
      <c r="AK78" s="204" t="n">
        <v>11746.15570384427</v>
      </c>
      <c r="AL78" s="204" t="n">
        <v>11860.20883692428</v>
      </c>
      <c r="AM78" s="204" t="n">
        <v>11860.20883692428</v>
      </c>
      <c r="AN78" s="204" t="n">
        <v>12307.86446685973</v>
      </c>
      <c r="AO78" s="204" t="n">
        <v>12307.86446685973</v>
      </c>
      <c r="AP78" s="204" t="n">
        <v>12335.50067530596</v>
      </c>
      <c r="AQ78" s="204" t="n">
        <v>12335.50067530596</v>
      </c>
      <c r="AR78" s="204" t="n">
        <v>12823.80909501063</v>
      </c>
      <c r="AS78" s="204" t="n">
        <v>12823.80909501063</v>
      </c>
      <c r="AT78" s="204" t="n">
        <v>13005.42678362015</v>
      </c>
      <c r="AU78" s="204" t="n">
        <v>13005.42678362015</v>
      </c>
      <c r="AV78" s="200" t="n">
        <v>13005.42678362015</v>
      </c>
      <c r="AW78" s="184" t="n">
        <v>13005.42678362015</v>
      </c>
      <c r="AX78" s="184" t="n">
        <v>13005.42678362015</v>
      </c>
      <c r="AY78" s="184" t="n"/>
    </row>
    <row r="79" ht="22" customHeight="1">
      <c r="A79" s="303" t="n"/>
      <c r="B79" s="201" t="inlineStr">
        <is>
          <t>current price</t>
        </is>
      </c>
      <c r="C79" s="233" t="n">
        <v>6983.188646277529</v>
      </c>
      <c r="D79" s="233" t="n">
        <v>7294.378916458925</v>
      </c>
      <c r="E79" s="233" t="n">
        <v>7504.993343221722</v>
      </c>
      <c r="F79" s="233" t="n">
        <v>7844.14239720715</v>
      </c>
      <c r="G79" s="233" t="n">
        <v>7482.803234451334</v>
      </c>
      <c r="H79" s="233" t="n">
        <v>7879.957741943188</v>
      </c>
      <c r="I79" s="233" t="n">
        <v>8001.543662792421</v>
      </c>
      <c r="J79" s="233" t="n">
        <v>7888.89217359887</v>
      </c>
      <c r="K79" s="233" t="n">
        <v>7365.770401982591</v>
      </c>
      <c r="L79" s="233" t="n">
        <v>7381.04512727086</v>
      </c>
      <c r="M79" s="233" t="n">
        <v>7811.753283342463</v>
      </c>
      <c r="N79" s="233" t="n">
        <v>7897.966103482642</v>
      </c>
      <c r="O79" s="233" t="n">
        <v>8219.904896996508</v>
      </c>
      <c r="P79" s="233" t="n">
        <v>8671.114400532853</v>
      </c>
      <c r="Q79" s="233" t="n">
        <v>9196.923568930943</v>
      </c>
      <c r="R79" s="233" t="n">
        <v>8829.161414604052</v>
      </c>
      <c r="S79" s="233" t="n">
        <v>8825.830047576455</v>
      </c>
      <c r="T79" s="233" t="n">
        <v>8611.028355049668</v>
      </c>
      <c r="U79" s="233" t="n">
        <v>8930.003337811853</v>
      </c>
      <c r="V79" s="233" t="n">
        <v>8772.15390000795</v>
      </c>
      <c r="W79" s="233" t="n">
        <v>8795.692063476192</v>
      </c>
      <c r="X79" s="233" t="n">
        <v>8779.382961988798</v>
      </c>
      <c r="Y79" s="233" t="n">
        <v>8626.30021709518</v>
      </c>
      <c r="Z79" s="233" t="n">
        <v>9034.796789562446</v>
      </c>
      <c r="AA79" s="204" t="n">
        <v>9751.896346253925</v>
      </c>
      <c r="AB79" s="204" t="n">
        <v>10092.14193791675</v>
      </c>
      <c r="AC79" s="204" t="n">
        <v>9953.466738887422</v>
      </c>
      <c r="AD79" s="204" t="n">
        <v>9899.005008131382</v>
      </c>
      <c r="AE79" s="204" t="n">
        <v>10216.91380185261</v>
      </c>
      <c r="AF79" s="204" t="n">
        <v>10255.56518341834</v>
      </c>
      <c r="AG79" s="204" t="n">
        <v>10291.33170580538</v>
      </c>
      <c r="AH79" s="204" t="n">
        <v>10612.48076562944</v>
      </c>
      <c r="AI79" s="204" t="n">
        <v>11220.89680657163</v>
      </c>
      <c r="AJ79" s="204" t="n">
        <v>11403.85856872285</v>
      </c>
      <c r="AK79" s="204" t="n">
        <v>11458.20612411853</v>
      </c>
      <c r="AL79" s="204" t="n">
        <v>11746.36953515466</v>
      </c>
      <c r="AM79" s="204" t="n">
        <v>11705.88468930131</v>
      </c>
      <c r="AN79" s="204" t="n">
        <v>12114.21399277914</v>
      </c>
      <c r="AO79" s="204" t="n">
        <v>11160.90332787624</v>
      </c>
      <c r="AP79" s="204" t="n">
        <v>11766.60791766411</v>
      </c>
      <c r="AQ79" s="204" t="n">
        <v>11784.6369771841</v>
      </c>
      <c r="AR79" s="204" t="n">
        <v>12782.74136367626</v>
      </c>
      <c r="AS79" s="204" t="n">
        <v>12468.62917214516</v>
      </c>
      <c r="AT79" s="204" t="n">
        <v>12567.01412722142</v>
      </c>
      <c r="AU79" s="204" t="n">
        <v>12684.4251967821</v>
      </c>
      <c r="AV79" s="201" t="n">
        <v>12684.4251967821</v>
      </c>
      <c r="AW79" s="184" t="n">
        <v>12684.4251967821</v>
      </c>
      <c r="AX79" s="184" t="n">
        <v>12684.4251967821</v>
      </c>
      <c r="AY79" s="184" t="n"/>
    </row>
    <row r="80" ht="22" customHeight="1">
      <c r="A80" s="303" t="n"/>
      <c r="B80" s="201" t="inlineStr">
        <is>
          <t>% CHANGE</t>
        </is>
      </c>
      <c r="C80" s="230">
        <f>+(C79-C78)/C78</f>
        <v/>
      </c>
      <c r="D80" s="230">
        <f>+(D79-D78)/D78</f>
        <v/>
      </c>
      <c r="E80" s="230">
        <f>+(E79-E78)/E78</f>
        <v/>
      </c>
      <c r="F80" s="230">
        <f>+(F79-F78)/F78</f>
        <v/>
      </c>
      <c r="G80" s="230">
        <f>+(G79-G78)/G78</f>
        <v/>
      </c>
      <c r="H80" s="230">
        <f>+(H79-H78)/H78</f>
        <v/>
      </c>
      <c r="I80" s="230">
        <f>+(I79-I78)/I78</f>
        <v/>
      </c>
      <c r="J80" s="230">
        <f>+(J79-J78)/J78</f>
        <v/>
      </c>
      <c r="K80" s="230">
        <f>+(K79-K78)/K78</f>
        <v/>
      </c>
      <c r="L80" s="230">
        <f>+(L79-L78)/L78</f>
        <v/>
      </c>
      <c r="M80" s="230">
        <f>+(M79-M78)/M78</f>
        <v/>
      </c>
      <c r="N80" s="230">
        <f>+(N79-N78)/N78</f>
        <v/>
      </c>
      <c r="O80" s="230">
        <f>+(O79-O78)/O78</f>
        <v/>
      </c>
      <c r="P80" s="230">
        <f>+(P79-P78)/P78</f>
        <v/>
      </c>
      <c r="Q80" s="230">
        <f>+(Q79-Q78)/Q78</f>
        <v/>
      </c>
      <c r="R80" s="230">
        <f>+(R79-R78)/R78</f>
        <v/>
      </c>
      <c r="S80" s="230">
        <f>+(S79-S78)/S78</f>
        <v/>
      </c>
      <c r="T80" s="230">
        <f>+(T79-T78)/T78</f>
        <v/>
      </c>
      <c r="U80" s="230">
        <f>+(U79-U78)/U78</f>
        <v/>
      </c>
      <c r="V80" s="230">
        <f>+(V79-V78)/V78</f>
        <v/>
      </c>
      <c r="W80" s="230">
        <f>+(W79-W78)/W78</f>
        <v/>
      </c>
      <c r="X80" s="230">
        <f>+(X79-X78)/X78</f>
        <v/>
      </c>
      <c r="Y80" s="230">
        <f>+(Y79-Y78)/Y78</f>
        <v/>
      </c>
      <c r="Z80" s="230">
        <f>+(Z79-Z78)/Z78</f>
        <v/>
      </c>
      <c r="AA80" s="230">
        <f>+(AA79-AA78)/AA78</f>
        <v/>
      </c>
      <c r="AB80" s="205">
        <f>+(AB79-AB78)/AB78</f>
        <v/>
      </c>
      <c r="AC80" s="205">
        <f>+(AC79-AC78)/AC78</f>
        <v/>
      </c>
      <c r="AD80" s="205">
        <f>+(AD79-AD78)/AD78</f>
        <v/>
      </c>
      <c r="AE80" s="205">
        <f>+(AE79-AE78)/AE78</f>
        <v/>
      </c>
      <c r="AF80" s="205">
        <f>+(AF79-AF78)/AF78</f>
        <v/>
      </c>
      <c r="AG80" s="205">
        <f>+(AG79-AG78)/AG78</f>
        <v/>
      </c>
      <c r="AH80" s="205">
        <f>+(AH79-AH78)/AH78</f>
        <v/>
      </c>
      <c r="AI80" s="205">
        <f>+(AI79-AI78)/AI78</f>
        <v/>
      </c>
      <c r="AJ80" s="205">
        <f>+(AJ79-AJ78)/AJ78</f>
        <v/>
      </c>
      <c r="AK80" s="205">
        <f>+(AK79-AK78)/AK78</f>
        <v/>
      </c>
      <c r="AL80" s="205">
        <f>+(AL79-AL78)/AL78</f>
        <v/>
      </c>
      <c r="AM80" s="205">
        <f>+(AM79-AM78)/AM78</f>
        <v/>
      </c>
      <c r="AN80" s="205">
        <f>+(AN79-AN78)/AN78</f>
        <v/>
      </c>
      <c r="AO80" s="205">
        <f>+(AO79-AO78)/AO78</f>
        <v/>
      </c>
      <c r="AP80" s="205">
        <f>+(AP79-AP78)/AP78</f>
        <v/>
      </c>
      <c r="AQ80" s="205">
        <f>+(AQ79-AQ78)/AQ78</f>
        <v/>
      </c>
      <c r="AR80" s="205">
        <f>+(AR79-AR78)/AR78</f>
        <v/>
      </c>
      <c r="AS80" s="205">
        <f>+(AS79-AS78)/AS78</f>
        <v/>
      </c>
      <c r="AT80" s="205">
        <f>+(AT79-AT78)/AT78</f>
        <v/>
      </c>
      <c r="AU80" s="205">
        <f>+(AU79-AU78)/AU78</f>
        <v/>
      </c>
      <c r="AV80" s="201">
        <f>+(AV79-AV78)/AV78</f>
        <v/>
      </c>
      <c r="AW80" s="184">
        <f>+(AW79-AW78)/AW78</f>
        <v/>
      </c>
      <c r="AX80" s="184">
        <f>+(AX79-AX78)/AX78</f>
        <v/>
      </c>
      <c r="AY80" s="184" t="n"/>
    </row>
    <row r="81" ht="44" customHeight="1">
      <c r="A81" s="303" t="n"/>
      <c r="B81" s="201" t="inlineStr">
        <is>
          <t>All time High STOXX50</t>
        </is>
      </c>
      <c r="C81" s="233" t="n">
        <v>4522.240234375</v>
      </c>
      <c r="D81" s="233" t="n">
        <v>4522.240234375</v>
      </c>
      <c r="E81" s="233" t="n">
        <v>4522.240234375</v>
      </c>
      <c r="F81" s="233" t="n">
        <v>4522.240234375</v>
      </c>
      <c r="G81" s="233" t="n">
        <v>4522.240234375</v>
      </c>
      <c r="H81" s="233" t="n">
        <v>4522.240234375</v>
      </c>
      <c r="I81" s="233" t="n">
        <v>4522.240234375</v>
      </c>
      <c r="J81" s="233" t="n">
        <v>4522.240234375</v>
      </c>
      <c r="K81" s="233" t="n">
        <v>4522.240234375</v>
      </c>
      <c r="L81" s="233" t="n">
        <v>4522.240234375</v>
      </c>
      <c r="M81" s="233" t="n">
        <v>4522.240234375</v>
      </c>
      <c r="N81" s="233" t="n">
        <v>4593.10986328125</v>
      </c>
      <c r="O81" s="233" t="n">
        <v>4674.740234375</v>
      </c>
      <c r="P81" s="233" t="n">
        <v>4898.3701171875</v>
      </c>
      <c r="Q81" s="233" t="n">
        <v>5103.259765625</v>
      </c>
      <c r="R81" s="233" t="n">
        <v>5103.259765625</v>
      </c>
      <c r="S81" s="233" t="n">
        <v>5103.259765625</v>
      </c>
      <c r="T81" s="233" t="n">
        <v>5103.259765625</v>
      </c>
      <c r="U81" s="233" t="n">
        <v>5103.259765625</v>
      </c>
      <c r="V81" s="233" t="n">
        <v>5103.259765625</v>
      </c>
      <c r="W81" s="233" t="n">
        <v>5103.259765625</v>
      </c>
      <c r="X81" s="233" t="n">
        <v>5103.259765625</v>
      </c>
      <c r="Y81" s="233" t="n">
        <v>5103.259765625</v>
      </c>
      <c r="Z81" s="233" t="n">
        <v>5103.259765625</v>
      </c>
      <c r="AA81" s="231" t="n">
        <v>5314.2900390625</v>
      </c>
      <c r="AB81" s="203" t="n">
        <v>5544.1201171875</v>
      </c>
      <c r="AC81" s="203" t="n">
        <v>5544.1201171875</v>
      </c>
      <c r="AD81" s="203" t="n">
        <v>5544.1201171875</v>
      </c>
      <c r="AE81" s="203" t="n">
        <v>5544.1201171875</v>
      </c>
      <c r="AF81" s="203" t="n">
        <v>5544.1201171875</v>
      </c>
      <c r="AG81" s="203" t="n">
        <v>5544.1201171875</v>
      </c>
      <c r="AH81" s="203" t="n">
        <v>5544.1201171875</v>
      </c>
      <c r="AI81" s="203" t="n">
        <v>5544.1201171875</v>
      </c>
      <c r="AJ81" s="203" t="n">
        <v>5734.27978515625</v>
      </c>
      <c r="AK81" s="203" t="n">
        <v>5818.06982421875</v>
      </c>
      <c r="AL81" s="203" t="n">
        <v>5818.06982421875</v>
      </c>
      <c r="AM81" s="203" t="n">
        <v>6053.68017578125</v>
      </c>
      <c r="AN81" s="203" t="n">
        <v>6199.77978515625</v>
      </c>
      <c r="AO81" s="203" t="n">
        <v>6199.77978515625</v>
      </c>
      <c r="AP81" s="203" t="n">
        <v>6199.77978515625</v>
      </c>
      <c r="AQ81" s="203" t="n">
        <v>6199.77978515625</v>
      </c>
      <c r="AR81" s="203" t="n">
        <v>6337.22021484375</v>
      </c>
      <c r="AS81" s="203" t="n">
        <v>6431.419921875</v>
      </c>
      <c r="AT81" s="203" t="n">
        <v>6577.2001953125</v>
      </c>
      <c r="AU81" s="203" t="n">
        <v>6577.2001953125</v>
      </c>
      <c r="AV81" s="201" t="n">
        <v>6577.2001953125</v>
      </c>
      <c r="AW81" s="184" t="n">
        <v>6577.2001953125</v>
      </c>
      <c r="AX81" s="184" t="n">
        <v>6577.2001953125</v>
      </c>
      <c r="AY81" s="184" t="n"/>
    </row>
    <row r="82" ht="44" customHeight="1">
      <c r="A82" s="303" t="n"/>
      <c r="B82" s="201" t="inlineStr">
        <is>
          <t>current price STOXX50</t>
        </is>
      </c>
      <c r="C82" s="233" t="n">
        <v>4163.4501953125</v>
      </c>
      <c r="D82" s="233" t="n">
        <v>4238.3798828125</v>
      </c>
      <c r="E82" s="233" t="n">
        <v>4315.0498046875</v>
      </c>
      <c r="F82" s="233" t="n">
        <v>4359.31005859375</v>
      </c>
      <c r="G82" s="233" t="n">
        <v>4218.0400390625</v>
      </c>
      <c r="H82" s="233" t="n">
        <v>4399.08984375</v>
      </c>
      <c r="I82" s="233" t="n">
        <v>4471.31005859375</v>
      </c>
      <c r="J82" s="233" t="n">
        <v>4297.10986328125</v>
      </c>
      <c r="K82" s="233" t="n">
        <v>4174.66015625</v>
      </c>
      <c r="L82" s="233" t="n">
        <v>4061.1201171875</v>
      </c>
      <c r="M82" s="233" t="n">
        <v>4382.47021484375</v>
      </c>
      <c r="N82" s="233" t="n">
        <v>4521.64990234375</v>
      </c>
      <c r="O82" s="233" t="n">
        <v>4648.39990234375</v>
      </c>
      <c r="P82" s="233" t="n">
        <v>4877.77001953125</v>
      </c>
      <c r="Q82" s="233" t="n">
        <v>5083.419921875</v>
      </c>
      <c r="R82" s="233" t="n">
        <v>4921.22021484375</v>
      </c>
      <c r="S82" s="233" t="n">
        <v>4983.669921875</v>
      </c>
      <c r="T82" s="233" t="n">
        <v>4894.02001953125</v>
      </c>
      <c r="U82" s="233" t="n">
        <v>4872.93994140625</v>
      </c>
      <c r="V82" s="233" t="n">
        <v>4957.97998046875</v>
      </c>
      <c r="W82" s="233" t="n">
        <v>5000.4501953125</v>
      </c>
      <c r="X82" s="233" t="n">
        <v>4827.6298828125</v>
      </c>
      <c r="Y82" s="233" t="n">
        <v>4804.39990234375</v>
      </c>
      <c r="Z82" s="233" t="n">
        <v>4895.97998046875</v>
      </c>
      <c r="AA82" s="231" t="n">
        <v>5286.8701171875</v>
      </c>
      <c r="AB82" s="203" t="n">
        <v>5463.5400390625</v>
      </c>
      <c r="AC82" s="203" t="n">
        <v>5248.39013671875</v>
      </c>
      <c r="AD82" s="203" t="n">
        <v>5160.22021484375</v>
      </c>
      <c r="AE82" s="203" t="n">
        <v>5366.58984375</v>
      </c>
      <c r="AF82" s="203" t="n">
        <v>5303.240234375</v>
      </c>
      <c r="AG82" s="203" t="n">
        <v>5319.919921875</v>
      </c>
      <c r="AH82" s="203" t="n">
        <v>5351.72998046875</v>
      </c>
      <c r="AI82" s="203" t="n">
        <v>5529.9599609375</v>
      </c>
      <c r="AJ82" s="203" t="n">
        <v>5662.0400390625</v>
      </c>
      <c r="AK82" s="203" t="n">
        <v>5668.169921875</v>
      </c>
      <c r="AL82" s="203" t="n">
        <v>5791.41015625</v>
      </c>
      <c r="AM82" s="203" t="n">
        <v>5947.81005859375</v>
      </c>
      <c r="AN82" s="203" t="n">
        <v>6138.41015625</v>
      </c>
      <c r="AO82" s="203" t="n">
        <v>5569.72998046875</v>
      </c>
      <c r="AP82" s="203" t="n">
        <v>5881.509765625</v>
      </c>
      <c r="AQ82" s="203" t="n">
        <v>6050.5400390625</v>
      </c>
      <c r="AR82" s="203" t="n">
        <v>6328.08984375</v>
      </c>
      <c r="AS82" s="203" t="n">
        <v>6358.009765625</v>
      </c>
      <c r="AT82" s="203" t="n">
        <v>6420.16015625</v>
      </c>
      <c r="AU82" s="203" t="n">
        <v>6302.81982421875</v>
      </c>
      <c r="AV82" s="201" t="n">
        <v>6302.81982421875</v>
      </c>
      <c r="AW82" s="184" t="n">
        <v>6302.81982421875</v>
      </c>
      <c r="AX82" s="184" t="n">
        <v>6302.81982421875</v>
      </c>
      <c r="AY82" s="184" t="n"/>
    </row>
    <row r="83" ht="44" customHeight="1">
      <c r="A83" s="303" t="n"/>
      <c r="B83" s="201" t="inlineStr">
        <is>
          <t>original index % change</t>
        </is>
      </c>
      <c r="C83" s="230">
        <f>+(C82-C81)/C81</f>
        <v/>
      </c>
      <c r="D83" s="230">
        <f>+(D82-D81)/D81</f>
        <v/>
      </c>
      <c r="E83" s="230">
        <f>+(E82-E81)/E81</f>
        <v/>
      </c>
      <c r="F83" s="230">
        <f>+(F82-F81)/F81</f>
        <v/>
      </c>
      <c r="G83" s="230">
        <f>+(G82-G81)/G81</f>
        <v/>
      </c>
      <c r="H83" s="230">
        <f>+(H82-H81)/H81</f>
        <v/>
      </c>
      <c r="I83" s="230">
        <f>+(I82-I81)/I81</f>
        <v/>
      </c>
      <c r="J83" s="230">
        <f>+(J82-J81)/J81</f>
        <v/>
      </c>
      <c r="K83" s="230">
        <f>+(K82-K81)/K81</f>
        <v/>
      </c>
      <c r="L83" s="230">
        <f>+(L82-L81)/L81</f>
        <v/>
      </c>
      <c r="M83" s="230">
        <f>+(M82-M81)/M81</f>
        <v/>
      </c>
      <c r="N83" s="230">
        <f>+(N82-N81)/N81</f>
        <v/>
      </c>
      <c r="O83" s="230">
        <f>+(O82-O81)/O81</f>
        <v/>
      </c>
      <c r="P83" s="230">
        <f>+(P82-P81)/P81</f>
        <v/>
      </c>
      <c r="Q83" s="230">
        <f>+(Q82-Q81)/Q81</f>
        <v/>
      </c>
      <c r="R83" s="230">
        <f>+(R82-R81)/R81</f>
        <v/>
      </c>
      <c r="S83" s="230">
        <f>+(S82-S81)/S81</f>
        <v/>
      </c>
      <c r="T83" s="230">
        <f>+(T82-T81)/T81</f>
        <v/>
      </c>
      <c r="U83" s="230">
        <f>+(U82-U81)/U81</f>
        <v/>
      </c>
      <c r="V83" s="230">
        <f>+(V82-V81)/V81</f>
        <v/>
      </c>
      <c r="W83" s="230">
        <f>+(W82-W81)/W81</f>
        <v/>
      </c>
      <c r="X83" s="230">
        <f>+(X82-X81)/X81</f>
        <v/>
      </c>
      <c r="Y83" s="230">
        <f>+(Y82-Y81)/Y81</f>
        <v/>
      </c>
      <c r="Z83" s="230">
        <f>+(Z82-Z81)/Z81</f>
        <v/>
      </c>
      <c r="AA83" s="230">
        <f>+(AA82-AA81)/AA81</f>
        <v/>
      </c>
      <c r="AB83" s="205">
        <f>+(AB82-AB81)/AB81</f>
        <v/>
      </c>
      <c r="AC83" s="205">
        <f>+(AC82-AC81)/AC81</f>
        <v/>
      </c>
      <c r="AD83" s="205">
        <f>+(AD82-AD81)/AD81</f>
        <v/>
      </c>
      <c r="AE83" s="205">
        <f>+(AE82-AE81)/AE81</f>
        <v/>
      </c>
      <c r="AF83" s="205">
        <f>+(AF82-AF81)/AF81</f>
        <v/>
      </c>
      <c r="AG83" s="205">
        <f>+(AG82-AG81)/AG81</f>
        <v/>
      </c>
      <c r="AH83" s="205">
        <f>+(AH82-AH81)/AH81</f>
        <v/>
      </c>
      <c r="AI83" s="205">
        <f>+(AI82-AI81)/AI81</f>
        <v/>
      </c>
      <c r="AJ83" s="205">
        <f>+(AJ82-AJ81)/AJ81</f>
        <v/>
      </c>
      <c r="AK83" s="205">
        <f>+(AK82-AK81)/AK81</f>
        <v/>
      </c>
      <c r="AL83" s="205">
        <f>+(AL82-AL81)/AL81</f>
        <v/>
      </c>
      <c r="AM83" s="205">
        <f>+(AM82-AM81)/AM81</f>
        <v/>
      </c>
      <c r="AN83" s="205">
        <f>+(AN82-AN81)/AN81</f>
        <v/>
      </c>
      <c r="AO83" s="205">
        <f>+(AO82-AO81)/AO81</f>
        <v/>
      </c>
      <c r="AP83" s="205">
        <f>+(AP82-AP81)/AP81</f>
        <v/>
      </c>
      <c r="AQ83" s="205">
        <f>+(AQ82-AQ81)/AQ81</f>
        <v/>
      </c>
      <c r="AR83" s="205">
        <f>+(AR82-AR81)/AR81</f>
        <v/>
      </c>
      <c r="AS83" s="205">
        <f>+(AS82-AS81)/AS81</f>
        <v/>
      </c>
      <c r="AT83" s="205">
        <f>+(AT82-AT81)/AT81</f>
        <v/>
      </c>
      <c r="AU83" s="205">
        <f>+(AU82-AU81)/AU81</f>
        <v/>
      </c>
      <c r="AV83" s="201">
        <f>+(AV82-AV81)/AV81</f>
        <v/>
      </c>
      <c r="AW83" s="184">
        <f>+(AW82-AW81)/AW81</f>
        <v/>
      </c>
      <c r="AX83" s="184">
        <f>+(AX82-AX81)/AX81</f>
        <v/>
      </c>
      <c r="AY83" s="184" t="n"/>
    </row>
    <row r="84" ht="22" customHeight="1">
      <c r="A84" s="303" t="n"/>
      <c r="B84" s="201" t="inlineStr">
        <is>
          <t>real % change</t>
        </is>
      </c>
      <c r="C84" s="230">
        <f>+C80-C83</f>
        <v/>
      </c>
      <c r="D84" s="230">
        <f>+D80-D83</f>
        <v/>
      </c>
      <c r="E84" s="230">
        <f>+E80-E83</f>
        <v/>
      </c>
      <c r="F84" s="230">
        <f>+F80-F83</f>
        <v/>
      </c>
      <c r="G84" s="230">
        <f>+G80-G83</f>
        <v/>
      </c>
      <c r="H84" s="230">
        <f>+H80-H83</f>
        <v/>
      </c>
      <c r="I84" s="230">
        <f>+I80-I83</f>
        <v/>
      </c>
      <c r="J84" s="230">
        <f>+J80-J83</f>
        <v/>
      </c>
      <c r="K84" s="230">
        <f>+K80-K83</f>
        <v/>
      </c>
      <c r="L84" s="230">
        <f>+L80-L83</f>
        <v/>
      </c>
      <c r="M84" s="230">
        <f>+M80-M83</f>
        <v/>
      </c>
      <c r="N84" s="230">
        <f>+N80-N83</f>
        <v/>
      </c>
      <c r="O84" s="230">
        <f>+O80-O83</f>
        <v/>
      </c>
      <c r="P84" s="230">
        <f>+P80-P83</f>
        <v/>
      </c>
      <c r="Q84" s="230">
        <f>+Q80-Q83</f>
        <v/>
      </c>
      <c r="R84" s="230">
        <f>+R80-R83</f>
        <v/>
      </c>
      <c r="S84" s="230">
        <f>+S80-S83</f>
        <v/>
      </c>
      <c r="T84" s="230">
        <f>+T80-T83</f>
        <v/>
      </c>
      <c r="U84" s="230">
        <f>+U80-U83</f>
        <v/>
      </c>
      <c r="V84" s="230">
        <f>+V80-V83</f>
        <v/>
      </c>
      <c r="W84" s="230">
        <f>+W80-W83</f>
        <v/>
      </c>
      <c r="X84" s="230">
        <f>+X80-X83</f>
        <v/>
      </c>
      <c r="Y84" s="230">
        <f>+Y80-Y83</f>
        <v/>
      </c>
      <c r="Z84" s="230">
        <f>+Z80-Z83</f>
        <v/>
      </c>
      <c r="AA84" s="230">
        <f>+AA80-AA83</f>
        <v/>
      </c>
      <c r="AB84" s="205">
        <f>+AB80-AB83</f>
        <v/>
      </c>
      <c r="AC84" s="205">
        <f>+AC80-AC83</f>
        <v/>
      </c>
      <c r="AD84" s="205">
        <f>+AD80-AD83</f>
        <v/>
      </c>
      <c r="AE84" s="205">
        <f>+AE80-AE83</f>
        <v/>
      </c>
      <c r="AF84" s="205">
        <f>+AF80-AF83</f>
        <v/>
      </c>
      <c r="AG84" s="205">
        <f>+AG80-AG83</f>
        <v/>
      </c>
      <c r="AH84" s="205">
        <f>+AH80-AH83</f>
        <v/>
      </c>
      <c r="AI84" s="205">
        <f>+AI80-AI83</f>
        <v/>
      </c>
      <c r="AJ84" s="205">
        <f>+AJ80-AJ83</f>
        <v/>
      </c>
      <c r="AK84" s="205">
        <f>+AK80-AK83</f>
        <v/>
      </c>
      <c r="AL84" s="205">
        <f>+AL80-AL83</f>
        <v/>
      </c>
      <c r="AM84" s="205">
        <f>+AM80-AM83</f>
        <v/>
      </c>
      <c r="AN84" s="205">
        <f>+AN80-AN83</f>
        <v/>
      </c>
      <c r="AO84" s="205">
        <f>+AO80-AO83</f>
        <v/>
      </c>
      <c r="AP84" s="205">
        <f>+AP80-AP83</f>
        <v/>
      </c>
      <c r="AQ84" s="205">
        <f>+AQ80-AQ83</f>
        <v/>
      </c>
      <c r="AR84" s="205">
        <f>+AR80-AR83</f>
        <v/>
      </c>
      <c r="AS84" s="205">
        <f>+AS80-AS83</f>
        <v/>
      </c>
      <c r="AT84" s="205">
        <f>+AT80-AT83</f>
        <v/>
      </c>
      <c r="AU84" s="205">
        <f>+AU80-AU83</f>
        <v/>
      </c>
      <c r="AV84" s="201">
        <f>+AV80-AV83</f>
        <v/>
      </c>
      <c r="AW84" s="184">
        <f>+AW80-AW83</f>
        <v/>
      </c>
      <c r="AX84" s="184">
        <f>+AX80-AX83</f>
        <v/>
      </c>
      <c r="AY84" s="184" t="n"/>
    </row>
    <row r="85" ht="22" customHeight="1">
      <c r="A85" s="304" t="n"/>
      <c r="B85" s="206" t="inlineStr">
        <is>
          <t>Rating</t>
        </is>
      </c>
      <c r="C85" s="232">
        <f>_xlfn.XLOOKUP(MIN(ABS($BJ$7:$BJ$29 - MEDIAN(MIN($BJ$7:$BJ$29), MAX($BJ$7:$BJ$29), C84))), ABS($BJ$7:$BJ$29 - MEDIAN(MIN($BJ$7:$BJ$29), MAX($BJ$7:$BJ$29), C84)), $BK$7:$BK$29, "Error", 0)</f>
        <v/>
      </c>
      <c r="D85" s="232">
        <f>_xlfn.XLOOKUP(MIN(ABS($BJ$7:$BJ$29 - MEDIAN(MIN($BJ$7:$BJ$29), MAX($BJ$7:$BJ$29), D84))), ABS($BJ$7:$BJ$29 - MEDIAN(MIN($BJ$7:$BJ$29), MAX($BJ$7:$BJ$29), D84)), $BK$7:$BK$29, "Error", 0)</f>
        <v/>
      </c>
      <c r="E85" s="232">
        <f>_xlfn.XLOOKUP(MIN(ABS($BJ$7:$BJ$29 - MEDIAN(MIN($BJ$7:$BJ$29), MAX($BJ$7:$BJ$29), E84))), ABS($BJ$7:$BJ$29 - MEDIAN(MIN($BJ$7:$BJ$29), MAX($BJ$7:$BJ$29), E84)), $BK$7:$BK$29, "Error", 0)</f>
        <v/>
      </c>
      <c r="F85" s="232">
        <f>_xlfn.XLOOKUP(MIN(ABS($BJ$7:$BJ$29 - MEDIAN(MIN($BJ$7:$BJ$29), MAX($BJ$7:$BJ$29), F84))), ABS($BJ$7:$BJ$29 - MEDIAN(MIN($BJ$7:$BJ$29), MAX($BJ$7:$BJ$29), F84)), $BK$7:$BK$29, "Error", 0)</f>
        <v/>
      </c>
      <c r="G85" s="232">
        <f>_xlfn.XLOOKUP(MIN(ABS($BJ$7:$BJ$29 - MEDIAN(MIN($BJ$7:$BJ$29), MAX($BJ$7:$BJ$29), G84))), ABS($BJ$7:$BJ$29 - MEDIAN(MIN($BJ$7:$BJ$29), MAX($BJ$7:$BJ$29), G84)), $BK$7:$BK$29, "Error", 0)</f>
        <v/>
      </c>
      <c r="H85" s="232">
        <f>_xlfn.XLOOKUP(MIN(ABS($BJ$7:$BJ$29 - MEDIAN(MIN($BJ$7:$BJ$29), MAX($BJ$7:$BJ$29), H84))), ABS($BJ$7:$BJ$29 - MEDIAN(MIN($BJ$7:$BJ$29), MAX($BJ$7:$BJ$29), H84)), $BK$7:$BK$29, "Error", 0)</f>
        <v/>
      </c>
      <c r="I85" s="232">
        <f>_xlfn.XLOOKUP(MIN(ABS($BJ$7:$BJ$29 - MEDIAN(MIN($BJ$7:$BJ$29), MAX($BJ$7:$BJ$29), I84))), ABS($BJ$7:$BJ$29 - MEDIAN(MIN($BJ$7:$BJ$29), MAX($BJ$7:$BJ$29), I84)), $BK$7:$BK$29, "Error", 0)</f>
        <v/>
      </c>
      <c r="J85" s="232">
        <f>_xlfn.XLOOKUP(MIN(ABS($BJ$7:$BJ$29 - MEDIAN(MIN($BJ$7:$BJ$29), MAX($BJ$7:$BJ$29), J84))), ABS($BJ$7:$BJ$29 - MEDIAN(MIN($BJ$7:$BJ$29), MAX($BJ$7:$BJ$29), J84)), $BK$7:$BK$29, "Error", 0)</f>
        <v/>
      </c>
      <c r="K85" s="232">
        <f>_xlfn.XLOOKUP(MIN(ABS($BJ$7:$BJ$29 - MEDIAN(MIN($BJ$7:$BJ$29), MAX($BJ$7:$BJ$29), K84))), ABS($BJ$7:$BJ$29 - MEDIAN(MIN($BJ$7:$BJ$29), MAX($BJ$7:$BJ$29), K84)), $BK$7:$BK$29, "Error", 0)</f>
        <v/>
      </c>
      <c r="L85" s="232">
        <f>_xlfn.XLOOKUP(MIN(ABS($BJ$7:$BJ$29 - MEDIAN(MIN($BJ$7:$BJ$29), MAX($BJ$7:$BJ$29), L84))), ABS($BJ$7:$BJ$29 - MEDIAN(MIN($BJ$7:$BJ$29), MAX($BJ$7:$BJ$29), L84)), $BK$7:$BK$29, "Error", 0)</f>
        <v/>
      </c>
      <c r="M85" s="232">
        <f>_xlfn.XLOOKUP(MIN(ABS($BJ$7:$BJ$29 - MEDIAN(MIN($BJ$7:$BJ$29), MAX($BJ$7:$BJ$29), M84))), ABS($BJ$7:$BJ$29 - MEDIAN(MIN($BJ$7:$BJ$29), MAX($BJ$7:$BJ$29), M84)), $BK$7:$BK$29, "Error", 0)</f>
        <v/>
      </c>
      <c r="N85" s="232">
        <f>_xlfn.XLOOKUP(MIN(ABS($BJ$7:$BJ$29 - MEDIAN(MIN($BJ$7:$BJ$29), MAX($BJ$7:$BJ$29), N84))), ABS($BJ$7:$BJ$29 - MEDIAN(MIN($BJ$7:$BJ$29), MAX($BJ$7:$BJ$29), N84)), $BK$7:$BK$29, "Error", 0)</f>
        <v/>
      </c>
      <c r="O85" s="232">
        <f>_xlfn.XLOOKUP(MIN(ABS($BJ$7:$BJ$29 - MEDIAN(MIN($BJ$7:$BJ$29), MAX($BJ$7:$BJ$29), O84))), ABS($BJ$7:$BJ$29 - MEDIAN(MIN($BJ$7:$BJ$29), MAX($BJ$7:$BJ$29), O84)), $BK$7:$BK$29, "Error", 0)</f>
        <v/>
      </c>
      <c r="P85" s="232">
        <f>_xlfn.XLOOKUP(MIN(ABS($BJ$7:$BJ$29 - MEDIAN(MIN($BJ$7:$BJ$29), MAX($BJ$7:$BJ$29), P84))), ABS($BJ$7:$BJ$29 - MEDIAN(MIN($BJ$7:$BJ$29), MAX($BJ$7:$BJ$29), P84)), $BK$7:$BK$29, "Error", 0)</f>
        <v/>
      </c>
      <c r="Q85" s="232">
        <f>_xlfn.XLOOKUP(MIN(ABS($BJ$7:$BJ$29 - MEDIAN(MIN($BJ$7:$BJ$29), MAX($BJ$7:$BJ$29), Q84))), ABS($BJ$7:$BJ$29 - MEDIAN(MIN($BJ$7:$BJ$29), MAX($BJ$7:$BJ$29), Q84)), $BK$7:$BK$29, "Error", 0)</f>
        <v/>
      </c>
      <c r="R85" s="232">
        <f>_xlfn.XLOOKUP(MIN(ABS($BJ$7:$BJ$29 - MEDIAN(MIN($BJ$7:$BJ$29), MAX($BJ$7:$BJ$29), R84))), ABS($BJ$7:$BJ$29 - MEDIAN(MIN($BJ$7:$BJ$29), MAX($BJ$7:$BJ$29), R84)), $BK$7:$BK$29, "Error", 0)</f>
        <v/>
      </c>
      <c r="S85" s="232">
        <f>_xlfn.XLOOKUP(MIN(ABS($BJ$7:$BJ$29 - MEDIAN(MIN($BJ$7:$BJ$29), MAX($BJ$7:$BJ$29), S84))), ABS($BJ$7:$BJ$29 - MEDIAN(MIN($BJ$7:$BJ$29), MAX($BJ$7:$BJ$29), S84)), $BK$7:$BK$29, "Error", 0)</f>
        <v/>
      </c>
      <c r="T85" s="232">
        <f>_xlfn.XLOOKUP(MIN(ABS($BJ$7:$BJ$29 - MEDIAN(MIN($BJ$7:$BJ$29), MAX($BJ$7:$BJ$29), T84))), ABS($BJ$7:$BJ$29 - MEDIAN(MIN($BJ$7:$BJ$29), MAX($BJ$7:$BJ$29), T84)), $BK$7:$BK$29, "Error", 0)</f>
        <v/>
      </c>
      <c r="U85" s="232">
        <f>_xlfn.XLOOKUP(MIN(ABS($BJ$7:$BJ$29 - MEDIAN(MIN($BJ$7:$BJ$29), MAX($BJ$7:$BJ$29), U84))), ABS($BJ$7:$BJ$29 - MEDIAN(MIN($BJ$7:$BJ$29), MAX($BJ$7:$BJ$29), U84)), $BK$7:$BK$29, "Error", 0)</f>
        <v/>
      </c>
      <c r="V85" s="232">
        <f>_xlfn.XLOOKUP(MIN(ABS($BJ$7:$BJ$29 - MEDIAN(MIN($BJ$7:$BJ$29), MAX($BJ$7:$BJ$29), V84))), ABS($BJ$7:$BJ$29 - MEDIAN(MIN($BJ$7:$BJ$29), MAX($BJ$7:$BJ$29), V84)), $BK$7:$BK$29, "Error", 0)</f>
        <v/>
      </c>
      <c r="W85" s="232">
        <f>_xlfn.XLOOKUP(MIN(ABS($BJ$7:$BJ$29 - MEDIAN(MIN($BJ$7:$BJ$29), MAX($BJ$7:$BJ$29), W84))), ABS($BJ$7:$BJ$29 - MEDIAN(MIN($BJ$7:$BJ$29), MAX($BJ$7:$BJ$29), W84)), $BK$7:$BK$29, "Error", 0)</f>
        <v/>
      </c>
      <c r="X85" s="232">
        <f>_xlfn.XLOOKUP(MIN(ABS($BJ$7:$BJ$29 - MEDIAN(MIN($BJ$7:$BJ$29), MAX($BJ$7:$BJ$29), X84))), ABS($BJ$7:$BJ$29 - MEDIAN(MIN($BJ$7:$BJ$29), MAX($BJ$7:$BJ$29), X84)), $BK$7:$BK$29, "Error", 0)</f>
        <v/>
      </c>
      <c r="Y85" s="232">
        <f>_xlfn.XLOOKUP(MIN(ABS($BJ$7:$BJ$29 - MEDIAN(MIN($BJ$7:$BJ$29), MAX($BJ$7:$BJ$29), Y84))), ABS($BJ$7:$BJ$29 - MEDIAN(MIN($BJ$7:$BJ$29), MAX($BJ$7:$BJ$29), Y84)), $BK$7:$BK$29, "Error", 0)</f>
        <v/>
      </c>
      <c r="Z85" s="232">
        <f>_xlfn.XLOOKUP(MIN(ABS($BJ$7:$BJ$29 - MEDIAN(MIN($BJ$7:$BJ$29), MAX($BJ$7:$BJ$29), Z84))), ABS($BJ$7:$BJ$29 - MEDIAN(MIN($BJ$7:$BJ$29), MAX($BJ$7:$BJ$29), Z84)), $BK$7:$BK$29, "Error", 0)</f>
        <v/>
      </c>
      <c r="AA85" s="232">
        <f>_xlfn.XLOOKUP(MIN(ABS($BJ$7:$BJ$29 - MEDIAN(MIN($BJ$7:$BJ$29), MAX($BJ$7:$BJ$29), AA84))), ABS($BJ$7:$BJ$29 - MEDIAN(MIN($BJ$7:$BJ$29), MAX($BJ$7:$BJ$29), AA84)), $BK$7:$BK$29, "Error", 0)</f>
        <v/>
      </c>
      <c r="AB85" s="171">
        <f>_xlfn.XLOOKUP(MIN(ABS($BJ$7:$BJ$29 - MEDIAN(MIN($BJ$7:$BJ$29), MAX($BJ$7:$BJ$29), AB84))), ABS($BJ$7:$BJ$29 - MEDIAN(MIN($BJ$7:$BJ$29), MAX($BJ$7:$BJ$29), AB84)), $BK$7:$BK$29, "Error", 0)</f>
        <v/>
      </c>
      <c r="AC85" s="171">
        <f>_xlfn.XLOOKUP(MIN(ABS($BJ$7:$BJ$29 - MEDIAN(MIN($BJ$7:$BJ$29), MAX($BJ$7:$BJ$29), AC84))), ABS($BJ$7:$BJ$29 - MEDIAN(MIN($BJ$7:$BJ$29), MAX($BJ$7:$BJ$29), AC84)), $BK$7:$BK$29, "Error", 0)</f>
        <v/>
      </c>
      <c r="AD85" s="171">
        <f>_xlfn.XLOOKUP(MIN(ABS($BJ$7:$BJ$29 - MEDIAN(MIN($BJ$7:$BJ$29), MAX($BJ$7:$BJ$29), AD84))), ABS($BJ$7:$BJ$29 - MEDIAN(MIN($BJ$7:$BJ$29), MAX($BJ$7:$BJ$29), AD84)), $BK$7:$BK$29, "Error", 0)</f>
        <v/>
      </c>
      <c r="AE85" s="171">
        <f>_xlfn.XLOOKUP(MIN(ABS($BJ$7:$BJ$29 - MEDIAN(MIN($BJ$7:$BJ$29), MAX($BJ$7:$BJ$29), AE84))), ABS($BJ$7:$BJ$29 - MEDIAN(MIN($BJ$7:$BJ$29), MAX($BJ$7:$BJ$29), AE84)), $BK$7:$BK$29, "Error", 0)</f>
        <v/>
      </c>
      <c r="AF85" s="171">
        <f>_xlfn.XLOOKUP(MIN(ABS($BJ$7:$BJ$29 - MEDIAN(MIN($BJ$7:$BJ$29), MAX($BJ$7:$BJ$29), AF84))), ABS($BJ$7:$BJ$29 - MEDIAN(MIN($BJ$7:$BJ$29), MAX($BJ$7:$BJ$29), AF84)), $BK$7:$BK$29, "Error", 0)</f>
        <v/>
      </c>
      <c r="AG85" s="171">
        <f>_xlfn.XLOOKUP(MIN(ABS($BJ$7:$BJ$29 - MEDIAN(MIN($BJ$7:$BJ$29), MAX($BJ$7:$BJ$29), AG84))), ABS($BJ$7:$BJ$29 - MEDIAN(MIN($BJ$7:$BJ$29), MAX($BJ$7:$BJ$29), AG84)), $BK$7:$BK$29, "Error", 0)</f>
        <v/>
      </c>
      <c r="AH85" s="171">
        <f>_xlfn.XLOOKUP(MIN(ABS($BJ$7:$BJ$29 - MEDIAN(MIN($BJ$7:$BJ$29), MAX($BJ$7:$BJ$29), AH84))), ABS($BJ$7:$BJ$29 - MEDIAN(MIN($BJ$7:$BJ$29), MAX($BJ$7:$BJ$29), AH84)), $BK$7:$BK$29, "Error", 0)</f>
        <v/>
      </c>
      <c r="AI85" s="171">
        <f>_xlfn.XLOOKUP(MIN(ABS($BJ$7:$BJ$29 - MEDIAN(MIN($BJ$7:$BJ$29), MAX($BJ$7:$BJ$29), AI84))), ABS($BJ$7:$BJ$29 - MEDIAN(MIN($BJ$7:$BJ$29), MAX($BJ$7:$BJ$29), AI84)), $BK$7:$BK$29, "Error", 0)</f>
        <v/>
      </c>
      <c r="AJ85" s="171">
        <f>_xlfn.XLOOKUP(MIN(ABS($BJ$7:$BJ$29 - MEDIAN(MIN($BJ$7:$BJ$29), MAX($BJ$7:$BJ$29), AJ84))), ABS($BJ$7:$BJ$29 - MEDIAN(MIN($BJ$7:$BJ$29), MAX($BJ$7:$BJ$29), AJ84)), $BK$7:$BK$29, "Error", 0)</f>
        <v/>
      </c>
      <c r="AK85" s="171">
        <f>_xlfn.XLOOKUP(MIN(ABS($BJ$7:$BJ$29 - MEDIAN(MIN($BJ$7:$BJ$29), MAX($BJ$7:$BJ$29), AK84))), ABS($BJ$7:$BJ$29 - MEDIAN(MIN($BJ$7:$BJ$29), MAX($BJ$7:$BJ$29), AK84)), $BK$7:$BK$29, "Error", 0)</f>
        <v/>
      </c>
      <c r="AL85" s="171">
        <f>_xlfn.XLOOKUP(MIN(ABS($BJ$7:$BJ$29 - MEDIAN(MIN($BJ$7:$BJ$29), MAX($BJ$7:$BJ$29), AL84))), ABS($BJ$7:$BJ$29 - MEDIAN(MIN($BJ$7:$BJ$29), MAX($BJ$7:$BJ$29), AL84)), $BK$7:$BK$29, "Error", 0)</f>
        <v/>
      </c>
      <c r="AM85" s="171">
        <f>_xlfn.XLOOKUP(MIN(ABS($BJ$7:$BJ$29 - MEDIAN(MIN($BJ$7:$BJ$29), MAX($BJ$7:$BJ$29), AM84))), ABS($BJ$7:$BJ$29 - MEDIAN(MIN($BJ$7:$BJ$29), MAX($BJ$7:$BJ$29), AM84)), $BK$7:$BK$29, "Error", 0)</f>
        <v/>
      </c>
      <c r="AN85" s="171">
        <f>_xlfn.XLOOKUP(MIN(ABS($BJ$7:$BJ$29 - MEDIAN(MIN($BJ$7:$BJ$29), MAX($BJ$7:$BJ$29), AN84))), ABS($BJ$7:$BJ$29 - MEDIAN(MIN($BJ$7:$BJ$29), MAX($BJ$7:$BJ$29), AN84)), $BK$7:$BK$29, "Error", 0)</f>
        <v/>
      </c>
      <c r="AO85" s="171">
        <f>_xlfn.XLOOKUP(MIN(ABS($BJ$7:$BJ$29 - MEDIAN(MIN($BJ$7:$BJ$29), MAX($BJ$7:$BJ$29), AO84))), ABS($BJ$7:$BJ$29 - MEDIAN(MIN($BJ$7:$BJ$29), MAX($BJ$7:$BJ$29), AO84)), $BK$7:$BK$29, "Error", 0)</f>
        <v/>
      </c>
      <c r="AP85" s="171">
        <f>_xlfn.XLOOKUP(MIN(ABS($BJ$7:$BJ$29 - MEDIAN(MIN($BJ$7:$BJ$29), MAX($BJ$7:$BJ$29), AP84))), ABS($BJ$7:$BJ$29 - MEDIAN(MIN($BJ$7:$BJ$29), MAX($BJ$7:$BJ$29), AP84)), $BK$7:$BK$29, "Error", 0)</f>
        <v/>
      </c>
      <c r="AQ85" s="171">
        <f>_xlfn.XLOOKUP(MIN(ABS($BJ$7:$BJ$29 - MEDIAN(MIN($BJ$7:$BJ$29), MAX($BJ$7:$BJ$29), AQ84))), ABS($BJ$7:$BJ$29 - MEDIAN(MIN($BJ$7:$BJ$29), MAX($BJ$7:$BJ$29), AQ84)), $BK$7:$BK$29, "Error", 0)</f>
        <v/>
      </c>
      <c r="AR85" s="171">
        <f>_xlfn.XLOOKUP(MIN(ABS($BJ$7:$BJ$29 - MEDIAN(MIN($BJ$7:$BJ$29), MAX($BJ$7:$BJ$29), AR84))), ABS($BJ$7:$BJ$29 - MEDIAN(MIN($BJ$7:$BJ$29), MAX($BJ$7:$BJ$29), AR84)), $BK$7:$BK$29, "Error", 0)</f>
        <v/>
      </c>
      <c r="AS85" s="171">
        <f>_xlfn.XLOOKUP(MIN(ABS($BJ$7:$BJ$29 - MEDIAN(MIN($BJ$7:$BJ$29), MAX($BJ$7:$BJ$29), AS84))), ABS($BJ$7:$BJ$29 - MEDIAN(MIN($BJ$7:$BJ$29), MAX($BJ$7:$BJ$29), AS84)), $BK$7:$BK$29, "Error", 0)</f>
        <v/>
      </c>
      <c r="AT85" s="171">
        <f>_xlfn.XLOOKUP(MIN(ABS($BJ$7:$BJ$29 - MEDIAN(MIN($BJ$7:$BJ$29), MAX($BJ$7:$BJ$29), AT84))), ABS($BJ$7:$BJ$29 - MEDIAN(MIN($BJ$7:$BJ$29), MAX($BJ$7:$BJ$29), AT84)), $BK$7:$BK$29, "Error", 0)</f>
        <v/>
      </c>
      <c r="AU85" s="171">
        <f>_xlfn.XLOOKUP(MIN(ABS($BJ$7:$BJ$29 - MEDIAN(MIN($BJ$7:$BJ$29), MAX($BJ$7:$BJ$29), AU84))), ABS($BJ$7:$BJ$29 - MEDIAN(MIN($BJ$7:$BJ$29), MAX($BJ$7:$BJ$29), AU84)), $BK$7:$BK$29, "Error", 0)</f>
        <v/>
      </c>
      <c r="AV85" s="206">
        <f>_xlfn.XLOOKUP(MIN(ABS($BJ$7:$BJ$29 - MEDIAN(MIN($BJ$7:$BJ$29), MAX($BJ$7:$BJ$29), AV84))), ABS($BJ$7:$BJ$29 - MEDIAN(MIN($BJ$7:$BJ$29), MAX($BJ$7:$BJ$29), AV84)), $BK$7:$BK$29, "Error", 0)</f>
        <v/>
      </c>
      <c r="AW85" s="184">
        <f>_xlfn.XLOOKUP(MIN(ABS($BJ$7:$BJ$29 - MEDIAN(MIN($BJ$7:$BJ$29), MAX($BJ$7:$BJ$29), AW84))), ABS($BJ$7:$BJ$29 - MEDIAN(MIN($BJ$7:$BJ$29), MAX($BJ$7:$BJ$29), AW84)), $BK$7:$BK$29, "Error", 0)</f>
        <v/>
      </c>
      <c r="AX85" s="184">
        <f>_xlfn.XLOOKUP(MIN(ABS($BJ$7:$BJ$29 - MEDIAN(MIN($BJ$7:$BJ$29), MAX($BJ$7:$BJ$29), AX84))), ABS($BJ$7:$BJ$29 - MEDIAN(MIN($BJ$7:$BJ$29), MAX($BJ$7:$BJ$29), AX84)), $BK$7:$BK$29, "Error", 0)</f>
        <v/>
      </c>
      <c r="AY85" s="184" t="n"/>
    </row>
    <row r="86" ht="44" customHeight="1">
      <c r="A86" s="305" t="inlineStr">
        <is>
          <t>GBP USD</t>
        </is>
      </c>
      <c r="B86" s="200" t="inlineStr">
        <is>
          <t>All time High (CL)</t>
        </is>
      </c>
      <c r="C86" s="233" t="n">
        <v>14057.84156846325</v>
      </c>
      <c r="D86" s="233" t="n">
        <v>14057.84156846325</v>
      </c>
      <c r="E86" s="233" t="n">
        <v>14057.84156846325</v>
      </c>
      <c r="F86" s="233" t="n">
        <v>14057.84156846325</v>
      </c>
      <c r="G86" s="233" t="n">
        <v>14057.84156846325</v>
      </c>
      <c r="H86" s="233" t="n">
        <v>14057.84156846325</v>
      </c>
      <c r="I86" s="233" t="n">
        <v>14057.84156846325</v>
      </c>
      <c r="J86" s="233" t="n">
        <v>14057.84156846325</v>
      </c>
      <c r="K86" s="233" t="n">
        <v>14057.84156846325</v>
      </c>
      <c r="L86" s="233" t="n">
        <v>14057.84156846325</v>
      </c>
      <c r="M86" s="233" t="n">
        <v>14057.84156846325</v>
      </c>
      <c r="N86" s="233" t="n">
        <v>14057.84156846325</v>
      </c>
      <c r="O86" s="233" t="n">
        <v>14057.84156846325</v>
      </c>
      <c r="P86" s="233" t="n">
        <v>14057.84156846325</v>
      </c>
      <c r="Q86" s="233" t="n">
        <v>14057.84156846325</v>
      </c>
      <c r="R86" s="233" t="n">
        <v>14057.84156846325</v>
      </c>
      <c r="S86" s="233" t="n">
        <v>14057.84156846325</v>
      </c>
      <c r="T86" s="233" t="n">
        <v>14057.84156846325</v>
      </c>
      <c r="U86" s="233" t="n">
        <v>14057.84156846325</v>
      </c>
      <c r="V86" s="233" t="n">
        <v>14057.84156846325</v>
      </c>
      <c r="W86" s="233" t="n">
        <v>14057.84156846325</v>
      </c>
      <c r="X86" s="233" t="n">
        <v>14057.84156846325</v>
      </c>
      <c r="Y86" s="233" t="n">
        <v>14057.84156846325</v>
      </c>
      <c r="Z86" s="233" t="n">
        <v>14057.84156846325</v>
      </c>
      <c r="AA86" s="204" t="n">
        <v>14057.84156846325</v>
      </c>
      <c r="AB86" s="204" t="n">
        <v>14057.84156846325</v>
      </c>
      <c r="AC86" s="204" t="n">
        <v>14057.84156846325</v>
      </c>
      <c r="AD86" s="204" t="n">
        <v>14057.84156846325</v>
      </c>
      <c r="AE86" s="204" t="n">
        <v>14057.84156846325</v>
      </c>
      <c r="AF86" s="204" t="n">
        <v>14057.84156846325</v>
      </c>
      <c r="AG86" s="204" t="n">
        <v>14057.84156846325</v>
      </c>
      <c r="AH86" s="204" t="n">
        <v>14057.84156846325</v>
      </c>
      <c r="AI86" s="204" t="n">
        <v>14057.84156846325</v>
      </c>
      <c r="AJ86" s="204" t="n">
        <v>14057.84156846325</v>
      </c>
      <c r="AK86" s="204" t="n">
        <v>14057.84156846325</v>
      </c>
      <c r="AL86" s="204" t="n">
        <v>14057.84156846325</v>
      </c>
      <c r="AM86" s="204" t="n">
        <v>14231.29683809937</v>
      </c>
      <c r="AN86" s="204" t="n">
        <v>15048.60166668054</v>
      </c>
      <c r="AO86" s="204" t="n">
        <v>15048.60166668054</v>
      </c>
      <c r="AP86" s="204" t="n">
        <v>15048.60166668054</v>
      </c>
      <c r="AQ86" s="204" t="n">
        <v>15048.60166668054</v>
      </c>
      <c r="AR86" s="204" t="n">
        <v>15048.60166668054</v>
      </c>
      <c r="AS86" s="204" t="n">
        <v>15048.60166668054</v>
      </c>
      <c r="AT86" s="204" t="n">
        <v>15048.60166668054</v>
      </c>
      <c r="AU86" s="204" t="n">
        <v>15048.60166668054</v>
      </c>
      <c r="AV86" s="200" t="n">
        <v>15048.60166668054</v>
      </c>
      <c r="AW86" s="184" t="n">
        <v>15048.60166668054</v>
      </c>
      <c r="AX86" s="184" t="n">
        <v>15048.60166668054</v>
      </c>
      <c r="AY86" s="184" t="n"/>
    </row>
    <row r="87" ht="22" customHeight="1">
      <c r="A87" s="303" t="n"/>
      <c r="B87" s="201" t="inlineStr">
        <is>
          <t>current price</t>
        </is>
      </c>
      <c r="C87" s="233" t="n">
        <v>9600.855169810704</v>
      </c>
      <c r="D87" s="233" t="n">
        <v>9500.048266343307</v>
      </c>
      <c r="E87" s="233" t="n">
        <v>9453.597434703261</v>
      </c>
      <c r="F87" s="233" t="n">
        <v>9898.071917489346</v>
      </c>
      <c r="G87" s="233" t="n">
        <v>9242.006904647453</v>
      </c>
      <c r="H87" s="233" t="n">
        <v>9500.713420629501</v>
      </c>
      <c r="I87" s="233" t="n">
        <v>9896.782271170989</v>
      </c>
      <c r="J87" s="233" t="n">
        <v>9456.431078666472</v>
      </c>
      <c r="K87" s="233" t="n">
        <v>9284.160610803287</v>
      </c>
      <c r="L87" s="233" t="n">
        <v>8907.394990782253</v>
      </c>
      <c r="M87" s="233" t="n">
        <v>9463.640374877723</v>
      </c>
      <c r="N87" s="233" t="n">
        <v>9852.867185817333</v>
      </c>
      <c r="O87" s="233" t="n">
        <v>9687.437189843215</v>
      </c>
      <c r="P87" s="233" t="n">
        <v>9661.896914243698</v>
      </c>
      <c r="Q87" s="233" t="n">
        <v>10041.74499435467</v>
      </c>
      <c r="R87" s="233" t="n">
        <v>10228.83958227636</v>
      </c>
      <c r="S87" s="233" t="n">
        <v>10534.93294917396</v>
      </c>
      <c r="T87" s="233" t="n">
        <v>10327.58456027362</v>
      </c>
      <c r="U87" s="233" t="n">
        <v>10741.97756958008</v>
      </c>
      <c r="V87" s="233" t="n">
        <v>10998.46999070211</v>
      </c>
      <c r="W87" s="233" t="n">
        <v>11023.82249689102</v>
      </c>
      <c r="X87" s="233" t="n">
        <v>10510.34847735747</v>
      </c>
      <c r="Y87" s="233" t="n">
        <v>10552.21729382582</v>
      </c>
      <c r="Z87" s="233" t="n">
        <v>10256.37839210033</v>
      </c>
      <c r="AA87" s="204" t="n">
        <v>10776.49427938461</v>
      </c>
      <c r="AB87" s="204" t="n">
        <v>11099.25387942838</v>
      </c>
      <c r="AC87" s="204" t="n">
        <v>11104.67088892357</v>
      </c>
      <c r="AD87" s="204" t="n">
        <v>11392.33654325595</v>
      </c>
      <c r="AE87" s="204" t="n">
        <v>11810.29106378066</v>
      </c>
      <c r="AF87" s="204" t="n">
        <v>12019.81191897392</v>
      </c>
      <c r="AG87" s="204" t="n">
        <v>12107.97040985373</v>
      </c>
      <c r="AH87" s="204" t="n">
        <v>12205.32151715597</v>
      </c>
      <c r="AI87" s="204" t="n">
        <v>12564.36533278436</v>
      </c>
      <c r="AJ87" s="204" t="n">
        <v>12787.09875878238</v>
      </c>
      <c r="AK87" s="204" t="n">
        <v>12882.58075618744</v>
      </c>
      <c r="AL87" s="204" t="n">
        <v>13374.81296998635</v>
      </c>
      <c r="AM87" s="204" t="n">
        <v>14000.05749338865</v>
      </c>
      <c r="AN87" s="204" t="n">
        <v>14719.98410936841</v>
      </c>
      <c r="AO87" s="204" t="n">
        <v>13405.30047047138</v>
      </c>
      <c r="AP87" s="204" t="n">
        <v>13999.54445648531</v>
      </c>
      <c r="AQ87" s="204" t="n">
        <v>14004.67915039009</v>
      </c>
      <c r="AR87" s="204" t="n">
        <v>13912.84075198579</v>
      </c>
      <c r="AS87" s="204" t="n">
        <v>14629.48639998655</v>
      </c>
      <c r="AT87" s="204" t="n">
        <v>14656.54809973703</v>
      </c>
      <c r="AU87" s="204" t="n">
        <v>14174.90545710921</v>
      </c>
      <c r="AV87" s="201" t="n">
        <v>14174.90545710921</v>
      </c>
      <c r="AW87" s="184" t="n">
        <v>14174.90545710921</v>
      </c>
      <c r="AX87" s="184" t="n">
        <v>14174.90545710921</v>
      </c>
      <c r="AY87" s="184" t="n"/>
    </row>
    <row r="88" ht="22" customHeight="1">
      <c r="A88" s="303" t="n"/>
      <c r="B88" s="201" t="inlineStr">
        <is>
          <t>% CHANGE</t>
        </is>
      </c>
      <c r="C88" s="230">
        <f>+(C87-C86)/C86</f>
        <v/>
      </c>
      <c r="D88" s="230">
        <f>+(D87-D86)/D86</f>
        <v/>
      </c>
      <c r="E88" s="230">
        <f>+(E87-E86)/E86</f>
        <v/>
      </c>
      <c r="F88" s="230">
        <f>+(F87-F86)/F86</f>
        <v/>
      </c>
      <c r="G88" s="230">
        <f>+(G87-G86)/G86</f>
        <v/>
      </c>
      <c r="H88" s="230">
        <f>+(H87-H86)/H86</f>
        <v/>
      </c>
      <c r="I88" s="230">
        <f>+(I87-I86)/I86</f>
        <v/>
      </c>
      <c r="J88" s="230">
        <f>+(J87-J86)/J86</f>
        <v/>
      </c>
      <c r="K88" s="230">
        <f>+(K87-K86)/K86</f>
        <v/>
      </c>
      <c r="L88" s="230">
        <f>+(L87-L86)/L86</f>
        <v/>
      </c>
      <c r="M88" s="230">
        <f>+(M87-M86)/M86</f>
        <v/>
      </c>
      <c r="N88" s="230">
        <f>+(N87-N86)/N86</f>
        <v/>
      </c>
      <c r="O88" s="230">
        <f>+(O87-O86)/O86</f>
        <v/>
      </c>
      <c r="P88" s="230">
        <f>+(P87-P86)/P86</f>
        <v/>
      </c>
      <c r="Q88" s="230">
        <f>+(Q87-Q86)/Q86</f>
        <v/>
      </c>
      <c r="R88" s="230">
        <f>+(R87-R86)/R86</f>
        <v/>
      </c>
      <c r="S88" s="230">
        <f>+(S87-S86)/S86</f>
        <v/>
      </c>
      <c r="T88" s="230">
        <f>+(T87-T86)/T86</f>
        <v/>
      </c>
      <c r="U88" s="230">
        <f>+(U87-U86)/U86</f>
        <v/>
      </c>
      <c r="V88" s="230">
        <f>+(V87-V86)/V86</f>
        <v/>
      </c>
      <c r="W88" s="230">
        <f>+(W87-W86)/W86</f>
        <v/>
      </c>
      <c r="X88" s="230">
        <f>+(X87-X86)/X86</f>
        <v/>
      </c>
      <c r="Y88" s="230">
        <f>+(Y87-Y86)/Y86</f>
        <v/>
      </c>
      <c r="Z88" s="230">
        <f>+(Z87-Z86)/Z86</f>
        <v/>
      </c>
      <c r="AA88" s="230">
        <f>+(AA87-AA86)/AA86</f>
        <v/>
      </c>
      <c r="AB88" s="205">
        <f>+(AB87-AB86)/AB86</f>
        <v/>
      </c>
      <c r="AC88" s="205">
        <f>+(AC87-AC86)/AC86</f>
        <v/>
      </c>
      <c r="AD88" s="205">
        <f>+(AD87-AD86)/AD86</f>
        <v/>
      </c>
      <c r="AE88" s="205">
        <f>+(AE87-AE86)/AE86</f>
        <v/>
      </c>
      <c r="AF88" s="205">
        <f>+(AF87-AF86)/AF86</f>
        <v/>
      </c>
      <c r="AG88" s="205">
        <f>+(AG87-AG86)/AG86</f>
        <v/>
      </c>
      <c r="AH88" s="205">
        <f>+(AH87-AH86)/AH86</f>
        <v/>
      </c>
      <c r="AI88" s="205">
        <f>+(AI87-AI86)/AI86</f>
        <v/>
      </c>
      <c r="AJ88" s="205">
        <f>+(AJ87-AJ86)/AJ86</f>
        <v/>
      </c>
      <c r="AK88" s="205">
        <f>+(AK87-AK86)/AK86</f>
        <v/>
      </c>
      <c r="AL88" s="205">
        <f>+(AL87-AL86)/AL86</f>
        <v/>
      </c>
      <c r="AM88" s="205">
        <f>+(AM87-AM86)/AM86</f>
        <v/>
      </c>
      <c r="AN88" s="205">
        <f>+(AN87-AN86)/AN86</f>
        <v/>
      </c>
      <c r="AO88" s="205">
        <f>+(AO87-AO86)/AO86</f>
        <v/>
      </c>
      <c r="AP88" s="205">
        <f>+(AP87-AP86)/AP86</f>
        <v/>
      </c>
      <c r="AQ88" s="205">
        <f>+(AQ87-AQ86)/AQ86</f>
        <v/>
      </c>
      <c r="AR88" s="205">
        <f>+(AR87-AR86)/AR86</f>
        <v/>
      </c>
      <c r="AS88" s="205">
        <f>+(AS87-AS86)/AS86</f>
        <v/>
      </c>
      <c r="AT88" s="205">
        <f>+(AT87-AT86)/AT86</f>
        <v/>
      </c>
      <c r="AU88" s="205">
        <f>+(AU87-AU86)/AU86</f>
        <v/>
      </c>
      <c r="AV88" s="201">
        <f>+(AV87-AV86)/AV86</f>
        <v/>
      </c>
      <c r="AW88" s="184">
        <f>+(AW87-AW86)/AW86</f>
        <v/>
      </c>
      <c r="AX88" s="184">
        <f>+(AX87-AX86)/AX86</f>
        <v/>
      </c>
      <c r="AY88" s="184" t="n"/>
    </row>
    <row r="89" ht="44" customHeight="1">
      <c r="A89" s="303" t="n"/>
      <c r="B89" s="201" t="inlineStr">
        <is>
          <t>All time High TSE UK</t>
        </is>
      </c>
      <c r="C89" s="233" t="n">
        <v>7903.5</v>
      </c>
      <c r="D89" s="233" t="n">
        <v>8047.10009765625</v>
      </c>
      <c r="E89" s="233" t="n">
        <v>8047.10009765625</v>
      </c>
      <c r="F89" s="233" t="n">
        <v>8047.10009765625</v>
      </c>
      <c r="G89" s="233" t="n">
        <v>8047.10009765625</v>
      </c>
      <c r="H89" s="233" t="n">
        <v>8047.10009765625</v>
      </c>
      <c r="I89" s="233" t="n">
        <v>8047.10009765625</v>
      </c>
      <c r="J89" s="233" t="n">
        <v>8047.10009765625</v>
      </c>
      <c r="K89" s="233" t="n">
        <v>8047.10009765625</v>
      </c>
      <c r="L89" s="233" t="n">
        <v>8047.10009765625</v>
      </c>
      <c r="M89" s="233" t="n">
        <v>8047.10009765625</v>
      </c>
      <c r="N89" s="233" t="n">
        <v>8047.10009765625</v>
      </c>
      <c r="O89" s="233" t="n">
        <v>8047.10009765625</v>
      </c>
      <c r="P89" s="233" t="n">
        <v>8047.10009765625</v>
      </c>
      <c r="Q89" s="233" t="n">
        <v>8047.10009765625</v>
      </c>
      <c r="R89" s="233" t="n">
        <v>8200</v>
      </c>
      <c r="S89" s="233" t="n">
        <v>8474.400390625</v>
      </c>
      <c r="T89" s="233" t="n">
        <v>8474.400390625</v>
      </c>
      <c r="U89" s="233" t="n">
        <v>8474.400390625</v>
      </c>
      <c r="V89" s="233" t="n">
        <v>8474.400390625</v>
      </c>
      <c r="W89" s="233" t="n">
        <v>8474.400390625</v>
      </c>
      <c r="X89" s="233" t="n">
        <v>8474.400390625</v>
      </c>
      <c r="Y89" s="233" t="n">
        <v>8474.400390625</v>
      </c>
      <c r="Z89" s="233" t="n">
        <v>8474.400390625</v>
      </c>
      <c r="AA89" s="231" t="n">
        <v>8692.7998046875</v>
      </c>
      <c r="AB89" s="203" t="n">
        <v>8820.900390625</v>
      </c>
      <c r="AC89" s="203" t="n">
        <v>8820.900390625</v>
      </c>
      <c r="AD89" s="203" t="n">
        <v>8820.900390625</v>
      </c>
      <c r="AE89" s="203" t="n">
        <v>8824</v>
      </c>
      <c r="AF89" s="203" t="n">
        <v>8824</v>
      </c>
      <c r="AG89" s="203" t="n">
        <v>9190.7001953125</v>
      </c>
      <c r="AH89" s="203" t="n">
        <v>9357.5</v>
      </c>
      <c r="AI89" s="203" t="n">
        <v>9363.599609375</v>
      </c>
      <c r="AJ89" s="203" t="n">
        <v>9787.599609375</v>
      </c>
      <c r="AK89" s="203" t="n">
        <v>9930.099609375</v>
      </c>
      <c r="AL89" s="203" t="n">
        <v>9954.2998046875</v>
      </c>
      <c r="AM89" s="203" t="n">
        <v>10277.7001953125</v>
      </c>
      <c r="AN89" s="203" t="n">
        <v>10934.900390625</v>
      </c>
      <c r="AO89" s="203" t="n">
        <v>10934.900390625</v>
      </c>
      <c r="AP89" s="203" t="n">
        <v>10934.900390625</v>
      </c>
      <c r="AQ89" s="203" t="n">
        <v>10934.900390625</v>
      </c>
      <c r="AR89" s="203" t="n">
        <v>10934.900390625</v>
      </c>
      <c r="AS89" s="203" t="n">
        <v>10989.5</v>
      </c>
      <c r="AT89" s="203" t="n">
        <v>10989.5</v>
      </c>
      <c r="AU89" s="203" t="n">
        <v>10989.5</v>
      </c>
      <c r="AV89" s="201" t="n">
        <v>10989.5</v>
      </c>
      <c r="AW89" s="184" t="n">
        <v>10989.5</v>
      </c>
      <c r="AX89" s="184" t="n">
        <v>10989.5</v>
      </c>
      <c r="AY89" s="184" t="n"/>
    </row>
    <row r="90" ht="44" customHeight="1">
      <c r="A90" s="303" t="n"/>
      <c r="B90" s="201" t="inlineStr">
        <is>
          <t>current price TSE UK</t>
        </is>
      </c>
      <c r="C90" s="233" t="n">
        <v>7771.7001953125</v>
      </c>
      <c r="D90" s="233" t="n">
        <v>7876.2998046875</v>
      </c>
      <c r="E90" s="233" t="n">
        <v>7631.7001953125</v>
      </c>
      <c r="F90" s="233" t="n">
        <v>7870.60009765625</v>
      </c>
      <c r="G90" s="233" t="n">
        <v>7446.10009765625</v>
      </c>
      <c r="H90" s="233" t="n">
        <v>7531.5</v>
      </c>
      <c r="I90" s="233" t="n">
        <v>7699.39990234375</v>
      </c>
      <c r="J90" s="233" t="n">
        <v>7439.10009765625</v>
      </c>
      <c r="K90" s="233" t="n">
        <v>7608.10009765625</v>
      </c>
      <c r="L90" s="233" t="n">
        <v>7321.7001953125</v>
      </c>
      <c r="M90" s="233" t="n">
        <v>7453.7998046875</v>
      </c>
      <c r="N90" s="233" t="n">
        <v>7733.2001953125</v>
      </c>
      <c r="O90" s="233" t="n">
        <v>7630.60009765625</v>
      </c>
      <c r="P90" s="233" t="n">
        <v>7630</v>
      </c>
      <c r="Q90" s="233" t="n">
        <v>7952.60009765625</v>
      </c>
      <c r="R90" s="233" t="n">
        <v>8144.10009765625</v>
      </c>
      <c r="S90" s="233" t="n">
        <v>8275.400390625</v>
      </c>
      <c r="T90" s="233" t="n">
        <v>8164.10009765625</v>
      </c>
      <c r="U90" s="233" t="n">
        <v>8368</v>
      </c>
      <c r="V90" s="233" t="n">
        <v>8376.599609375</v>
      </c>
      <c r="W90" s="233" t="n">
        <v>8237</v>
      </c>
      <c r="X90" s="233" t="n">
        <v>8110.10009765625</v>
      </c>
      <c r="Y90" s="233" t="n">
        <v>8287.2998046875</v>
      </c>
      <c r="Z90" s="233" t="n">
        <v>8173</v>
      </c>
      <c r="AA90" s="231" t="n">
        <v>8674</v>
      </c>
      <c r="AB90" s="203" t="n">
        <v>8809.7001953125</v>
      </c>
      <c r="AC90" s="203" t="n">
        <v>8582.7998046875</v>
      </c>
      <c r="AD90" s="203" t="n">
        <v>8494.900390625</v>
      </c>
      <c r="AE90" s="203" t="n">
        <v>8772.400390625</v>
      </c>
      <c r="AF90" s="203" t="n">
        <v>8761</v>
      </c>
      <c r="AG90" s="203" t="n">
        <v>9132.7998046875</v>
      </c>
      <c r="AH90" s="203" t="n">
        <v>9187.2998046875</v>
      </c>
      <c r="AI90" s="203" t="n">
        <v>9350.400390625</v>
      </c>
      <c r="AJ90" s="203" t="n">
        <v>9717.2998046875</v>
      </c>
      <c r="AK90" s="203" t="n">
        <v>9720.5</v>
      </c>
      <c r="AL90" s="203" t="n">
        <v>9931.400390625</v>
      </c>
      <c r="AM90" s="203" t="n">
        <v>10223.5</v>
      </c>
      <c r="AN90" s="203" t="n">
        <v>10910.599609375</v>
      </c>
      <c r="AO90" s="203" t="n">
        <v>10176.5</v>
      </c>
      <c r="AP90" s="203" t="n">
        <v>10378.7998046875</v>
      </c>
      <c r="AQ90" s="203" t="n">
        <v>10409.2998046875</v>
      </c>
      <c r="AR90" s="203" t="n">
        <v>10497.099609375</v>
      </c>
      <c r="AS90" s="203" t="n">
        <v>10868.099609375</v>
      </c>
      <c r="AT90" s="203" t="n">
        <v>10824.2998046875</v>
      </c>
      <c r="AU90" s="203" t="n">
        <v>10695.25</v>
      </c>
      <c r="AV90" s="201" t="n">
        <v>10695.25</v>
      </c>
      <c r="AW90" s="184" t="n">
        <v>10695.25</v>
      </c>
      <c r="AX90" s="184" t="n">
        <v>10695.25</v>
      </c>
      <c r="AY90" s="184" t="n"/>
    </row>
    <row r="91" ht="44" customHeight="1">
      <c r="A91" s="303" t="n"/>
      <c r="B91" s="201" t="inlineStr">
        <is>
          <t>original index % change</t>
        </is>
      </c>
      <c r="C91" s="230">
        <f>+(C90-C89)/C89</f>
        <v/>
      </c>
      <c r="D91" s="230">
        <f>+(D90-D89)/D89</f>
        <v/>
      </c>
      <c r="E91" s="230">
        <f>+(E90-E89)/E89</f>
        <v/>
      </c>
      <c r="F91" s="230">
        <f>+(F90-F89)/F89</f>
        <v/>
      </c>
      <c r="G91" s="230">
        <f>+(G90-G89)/G89</f>
        <v/>
      </c>
      <c r="H91" s="230">
        <f>+(H90-H89)/H89</f>
        <v/>
      </c>
      <c r="I91" s="230">
        <f>+(I90-I89)/I89</f>
        <v/>
      </c>
      <c r="J91" s="230">
        <f>+(J90-J89)/J89</f>
        <v/>
      </c>
      <c r="K91" s="230">
        <f>+(K90-K89)/K89</f>
        <v/>
      </c>
      <c r="L91" s="230">
        <f>+(L90-L89)/L89</f>
        <v/>
      </c>
      <c r="M91" s="230">
        <f>+(M90-M89)/M89</f>
        <v/>
      </c>
      <c r="N91" s="230">
        <f>+(N90-N89)/N89</f>
        <v/>
      </c>
      <c r="O91" s="230">
        <f>+(O90-O89)/O89</f>
        <v/>
      </c>
      <c r="P91" s="230">
        <f>+(P90-P89)/P89</f>
        <v/>
      </c>
      <c r="Q91" s="230">
        <f>+(Q90-Q89)/Q89</f>
        <v/>
      </c>
      <c r="R91" s="230">
        <f>+(R90-R89)/R89</f>
        <v/>
      </c>
      <c r="S91" s="230">
        <f>+(S90-S89)/S89</f>
        <v/>
      </c>
      <c r="T91" s="230">
        <f>+(T90-T89)/T89</f>
        <v/>
      </c>
      <c r="U91" s="230">
        <f>+(U90-U89)/U89</f>
        <v/>
      </c>
      <c r="V91" s="230">
        <f>+(V90-V89)/V89</f>
        <v/>
      </c>
      <c r="W91" s="230">
        <f>+(W90-W89)/W89</f>
        <v/>
      </c>
      <c r="X91" s="230">
        <f>+(X90-X89)/X89</f>
        <v/>
      </c>
      <c r="Y91" s="230">
        <f>+(Y90-Y89)/Y89</f>
        <v/>
      </c>
      <c r="Z91" s="230">
        <f>+(Z90-Z89)/Z89</f>
        <v/>
      </c>
      <c r="AA91" s="230">
        <f>+(AA90-AA89)/AA89</f>
        <v/>
      </c>
      <c r="AB91" s="205">
        <f>+(AB90-AB89)/AB89</f>
        <v/>
      </c>
      <c r="AC91" s="205">
        <f>+(AC90-AC89)/AC89</f>
        <v/>
      </c>
      <c r="AD91" s="205">
        <f>+(AD90-AD89)/AD89</f>
        <v/>
      </c>
      <c r="AE91" s="205">
        <f>+(AE90-AE89)/AE89</f>
        <v/>
      </c>
      <c r="AF91" s="205">
        <f>+(AF90-AF89)/AF89</f>
        <v/>
      </c>
      <c r="AG91" s="205">
        <f>+(AG90-AG89)/AG89</f>
        <v/>
      </c>
      <c r="AH91" s="205">
        <f>+(AH90-AH89)/AH89</f>
        <v/>
      </c>
      <c r="AI91" s="205">
        <f>+(AI90-AI89)/AI89</f>
        <v/>
      </c>
      <c r="AJ91" s="205">
        <f>+(AJ90-AJ89)/AJ89</f>
        <v/>
      </c>
      <c r="AK91" s="205">
        <f>+(AK90-AK89)/AK89</f>
        <v/>
      </c>
      <c r="AL91" s="205">
        <f>+(AL90-AL89)/AL89</f>
        <v/>
      </c>
      <c r="AM91" s="205">
        <f>+(AM90-AM89)/AM89</f>
        <v/>
      </c>
      <c r="AN91" s="205">
        <f>+(AN90-AN89)/AN89</f>
        <v/>
      </c>
      <c r="AO91" s="205">
        <f>+(AO90-AO89)/AO89</f>
        <v/>
      </c>
      <c r="AP91" s="205">
        <f>+(AP90-AP89)/AP89</f>
        <v/>
      </c>
      <c r="AQ91" s="205">
        <f>+(AQ90-AQ89)/AQ89</f>
        <v/>
      </c>
      <c r="AR91" s="205">
        <f>+(AR90-AR89)/AR89</f>
        <v/>
      </c>
      <c r="AS91" s="205">
        <f>+(AS90-AS89)/AS89</f>
        <v/>
      </c>
      <c r="AT91" s="205">
        <f>+(AT90-AT89)/AT89</f>
        <v/>
      </c>
      <c r="AU91" s="205">
        <f>+(AU90-AU89)/AU89</f>
        <v/>
      </c>
      <c r="AV91" s="201">
        <f>+(AV90-AV89)/AV89</f>
        <v/>
      </c>
      <c r="AW91" s="184">
        <f>+(AW90-AW89)/AW89</f>
        <v/>
      </c>
      <c r="AX91" s="184">
        <f>+(AX90-AX89)/AX89</f>
        <v/>
      </c>
      <c r="AY91" s="184" t="n"/>
    </row>
    <row r="92" ht="22" customHeight="1">
      <c r="A92" s="303" t="n"/>
      <c r="B92" s="201" t="inlineStr">
        <is>
          <t>real % change</t>
        </is>
      </c>
      <c r="C92" s="230">
        <f>+C88-C91</f>
        <v/>
      </c>
      <c r="D92" s="230">
        <f>+D88-D91</f>
        <v/>
      </c>
      <c r="E92" s="230">
        <f>+E88-E91</f>
        <v/>
      </c>
      <c r="F92" s="230">
        <f>+F88-F91</f>
        <v/>
      </c>
      <c r="G92" s="230">
        <f>+G88-G91</f>
        <v/>
      </c>
      <c r="H92" s="230">
        <f>+H88-H91</f>
        <v/>
      </c>
      <c r="I92" s="230">
        <f>+I88-I91</f>
        <v/>
      </c>
      <c r="J92" s="230">
        <f>+J88-J91</f>
        <v/>
      </c>
      <c r="K92" s="230">
        <f>+K88-K91</f>
        <v/>
      </c>
      <c r="L92" s="230">
        <f>+L88-L91</f>
        <v/>
      </c>
      <c r="M92" s="230">
        <f>+M88-M91</f>
        <v/>
      </c>
      <c r="N92" s="230">
        <f>+N88-N91</f>
        <v/>
      </c>
      <c r="O92" s="230">
        <f>+O88-O91</f>
        <v/>
      </c>
      <c r="P92" s="230">
        <f>+P88-P91</f>
        <v/>
      </c>
      <c r="Q92" s="230">
        <f>+Q88-Q91</f>
        <v/>
      </c>
      <c r="R92" s="230">
        <f>+R88-R91</f>
        <v/>
      </c>
      <c r="S92" s="230">
        <f>+S88-S91</f>
        <v/>
      </c>
      <c r="T92" s="230">
        <f>+T88-T91</f>
        <v/>
      </c>
      <c r="U92" s="230">
        <f>+U88-U91</f>
        <v/>
      </c>
      <c r="V92" s="230">
        <f>+V88-V91</f>
        <v/>
      </c>
      <c r="W92" s="230">
        <f>+W88-W91</f>
        <v/>
      </c>
      <c r="X92" s="230">
        <f>+X88-X91</f>
        <v/>
      </c>
      <c r="Y92" s="230">
        <f>+Y88-Y91</f>
        <v/>
      </c>
      <c r="Z92" s="230">
        <f>+Z88-Z91</f>
        <v/>
      </c>
      <c r="AA92" s="230">
        <f>+AA88-AA91</f>
        <v/>
      </c>
      <c r="AB92" s="205">
        <f>+AB88-AB91</f>
        <v/>
      </c>
      <c r="AC92" s="205">
        <f>+AC88-AC91</f>
        <v/>
      </c>
      <c r="AD92" s="205">
        <f>+AD88-AD91</f>
        <v/>
      </c>
      <c r="AE92" s="205">
        <f>+AE88-AE91</f>
        <v/>
      </c>
      <c r="AF92" s="205">
        <f>+AF88-AF91</f>
        <v/>
      </c>
      <c r="AG92" s="205">
        <f>+AG88-AG91</f>
        <v/>
      </c>
      <c r="AH92" s="205">
        <f>+AH88-AH91</f>
        <v/>
      </c>
      <c r="AI92" s="205">
        <f>+AI88-AI91</f>
        <v/>
      </c>
      <c r="AJ92" s="205">
        <f>+AJ88-AJ91</f>
        <v/>
      </c>
      <c r="AK92" s="205">
        <f>+AK88-AK91</f>
        <v/>
      </c>
      <c r="AL92" s="205">
        <f>+AL88-AL91</f>
        <v/>
      </c>
      <c r="AM92" s="205">
        <f>+AM88-AM91</f>
        <v/>
      </c>
      <c r="AN92" s="205">
        <f>+AN88-AN91</f>
        <v/>
      </c>
      <c r="AO92" s="205">
        <f>+AO88-AO91</f>
        <v/>
      </c>
      <c r="AP92" s="205">
        <f>+AP88-AP91</f>
        <v/>
      </c>
      <c r="AQ92" s="205">
        <f>+AQ88-AQ91</f>
        <v/>
      </c>
      <c r="AR92" s="205">
        <f>+AR88-AR91</f>
        <v/>
      </c>
      <c r="AS92" s="205">
        <f>+AS88-AS91</f>
        <v/>
      </c>
      <c r="AT92" s="205">
        <f>+AT88-AT91</f>
        <v/>
      </c>
      <c r="AU92" s="205">
        <f>+AU88-AU91</f>
        <v/>
      </c>
      <c r="AV92" s="201">
        <f>+AV88-AV91</f>
        <v/>
      </c>
      <c r="AW92" s="184">
        <f>+AW88-AW91</f>
        <v/>
      </c>
      <c r="AX92" s="184">
        <f>+AX88-AX91</f>
        <v/>
      </c>
      <c r="AY92" s="184" t="n"/>
    </row>
    <row r="93" ht="22" customHeight="1">
      <c r="A93" s="304" t="n"/>
      <c r="B93" s="206" t="inlineStr">
        <is>
          <t>Rating</t>
        </is>
      </c>
      <c r="C93" s="232">
        <f>_xlfn.XLOOKUP(MIN(ABS($BJ$7:$BJ$29 - MEDIAN(MIN($BJ$7:$BJ$29), MAX($BJ$7:$BJ$29), C92))), ABS($BJ$7:$BJ$29 - MEDIAN(MIN($BJ$7:$BJ$29), MAX($BJ$7:$BJ$29), C92)), $BK$7:$BK$29, "Error", 0)</f>
        <v/>
      </c>
      <c r="D93" s="232">
        <f>_xlfn.XLOOKUP(MIN(ABS($BJ$7:$BJ$29 - MEDIAN(MIN($BJ$7:$BJ$29), MAX($BJ$7:$BJ$29), D92))), ABS($BJ$7:$BJ$29 - MEDIAN(MIN($BJ$7:$BJ$29), MAX($BJ$7:$BJ$29), D92)), $BK$7:$BK$29, "Error", 0)</f>
        <v/>
      </c>
      <c r="E93" s="232">
        <f>_xlfn.XLOOKUP(MIN(ABS($BJ$7:$BJ$29 - MEDIAN(MIN($BJ$7:$BJ$29), MAX($BJ$7:$BJ$29), E92))), ABS($BJ$7:$BJ$29 - MEDIAN(MIN($BJ$7:$BJ$29), MAX($BJ$7:$BJ$29), E92)), $BK$7:$BK$29, "Error", 0)</f>
        <v/>
      </c>
      <c r="F93" s="232">
        <f>_xlfn.XLOOKUP(MIN(ABS($BJ$7:$BJ$29 - MEDIAN(MIN($BJ$7:$BJ$29), MAX($BJ$7:$BJ$29), F92))), ABS($BJ$7:$BJ$29 - MEDIAN(MIN($BJ$7:$BJ$29), MAX($BJ$7:$BJ$29), F92)), $BK$7:$BK$29, "Error", 0)</f>
        <v/>
      </c>
      <c r="G93" s="232">
        <f>_xlfn.XLOOKUP(MIN(ABS($BJ$7:$BJ$29 - MEDIAN(MIN($BJ$7:$BJ$29), MAX($BJ$7:$BJ$29), G92))), ABS($BJ$7:$BJ$29 - MEDIAN(MIN($BJ$7:$BJ$29), MAX($BJ$7:$BJ$29), G92)), $BK$7:$BK$29, "Error", 0)</f>
        <v/>
      </c>
      <c r="H93" s="232">
        <f>_xlfn.XLOOKUP(MIN(ABS($BJ$7:$BJ$29 - MEDIAN(MIN($BJ$7:$BJ$29), MAX($BJ$7:$BJ$29), H92))), ABS($BJ$7:$BJ$29 - MEDIAN(MIN($BJ$7:$BJ$29), MAX($BJ$7:$BJ$29), H92)), $BK$7:$BK$29, "Error", 0)</f>
        <v/>
      </c>
      <c r="I93" s="232">
        <f>_xlfn.XLOOKUP(MIN(ABS($BJ$7:$BJ$29 - MEDIAN(MIN($BJ$7:$BJ$29), MAX($BJ$7:$BJ$29), I92))), ABS($BJ$7:$BJ$29 - MEDIAN(MIN($BJ$7:$BJ$29), MAX($BJ$7:$BJ$29), I92)), $BK$7:$BK$29, "Error", 0)</f>
        <v/>
      </c>
      <c r="J93" s="232">
        <f>_xlfn.XLOOKUP(MIN(ABS($BJ$7:$BJ$29 - MEDIAN(MIN($BJ$7:$BJ$29), MAX($BJ$7:$BJ$29), J92))), ABS($BJ$7:$BJ$29 - MEDIAN(MIN($BJ$7:$BJ$29), MAX($BJ$7:$BJ$29), J92)), $BK$7:$BK$29, "Error", 0)</f>
        <v/>
      </c>
      <c r="K93" s="232">
        <f>_xlfn.XLOOKUP(MIN(ABS($BJ$7:$BJ$29 - MEDIAN(MIN($BJ$7:$BJ$29), MAX($BJ$7:$BJ$29), K92))), ABS($BJ$7:$BJ$29 - MEDIAN(MIN($BJ$7:$BJ$29), MAX($BJ$7:$BJ$29), K92)), $BK$7:$BK$29, "Error", 0)</f>
        <v/>
      </c>
      <c r="L93" s="232">
        <f>_xlfn.XLOOKUP(MIN(ABS($BJ$7:$BJ$29 - MEDIAN(MIN($BJ$7:$BJ$29), MAX($BJ$7:$BJ$29), L92))), ABS($BJ$7:$BJ$29 - MEDIAN(MIN($BJ$7:$BJ$29), MAX($BJ$7:$BJ$29), L92)), $BK$7:$BK$29, "Error", 0)</f>
        <v/>
      </c>
      <c r="M93" s="232">
        <f>_xlfn.XLOOKUP(MIN(ABS($BJ$7:$BJ$29 - MEDIAN(MIN($BJ$7:$BJ$29), MAX($BJ$7:$BJ$29), M92))), ABS($BJ$7:$BJ$29 - MEDIAN(MIN($BJ$7:$BJ$29), MAX($BJ$7:$BJ$29), M92)), $BK$7:$BK$29, "Error", 0)</f>
        <v/>
      </c>
      <c r="N93" s="232">
        <f>_xlfn.XLOOKUP(MIN(ABS($BJ$7:$BJ$29 - MEDIAN(MIN($BJ$7:$BJ$29), MAX($BJ$7:$BJ$29), N92))), ABS($BJ$7:$BJ$29 - MEDIAN(MIN($BJ$7:$BJ$29), MAX($BJ$7:$BJ$29), N92)), $BK$7:$BK$29, "Error", 0)</f>
        <v/>
      </c>
      <c r="O93" s="232">
        <f>_xlfn.XLOOKUP(MIN(ABS($BJ$7:$BJ$29 - MEDIAN(MIN($BJ$7:$BJ$29), MAX($BJ$7:$BJ$29), O92))), ABS($BJ$7:$BJ$29 - MEDIAN(MIN($BJ$7:$BJ$29), MAX($BJ$7:$BJ$29), O92)), $BK$7:$BK$29, "Error", 0)</f>
        <v/>
      </c>
      <c r="P93" s="232">
        <f>_xlfn.XLOOKUP(MIN(ABS($BJ$7:$BJ$29 - MEDIAN(MIN($BJ$7:$BJ$29), MAX($BJ$7:$BJ$29), P92))), ABS($BJ$7:$BJ$29 - MEDIAN(MIN($BJ$7:$BJ$29), MAX($BJ$7:$BJ$29), P92)), $BK$7:$BK$29, "Error", 0)</f>
        <v/>
      </c>
      <c r="Q93" s="232">
        <f>_xlfn.XLOOKUP(MIN(ABS($BJ$7:$BJ$29 - MEDIAN(MIN($BJ$7:$BJ$29), MAX($BJ$7:$BJ$29), Q92))), ABS($BJ$7:$BJ$29 - MEDIAN(MIN($BJ$7:$BJ$29), MAX($BJ$7:$BJ$29), Q92)), $BK$7:$BK$29, "Error", 0)</f>
        <v/>
      </c>
      <c r="R93" s="232">
        <f>_xlfn.XLOOKUP(MIN(ABS($BJ$7:$BJ$29 - MEDIAN(MIN($BJ$7:$BJ$29), MAX($BJ$7:$BJ$29), R92))), ABS($BJ$7:$BJ$29 - MEDIAN(MIN($BJ$7:$BJ$29), MAX($BJ$7:$BJ$29), R92)), $BK$7:$BK$29, "Error", 0)</f>
        <v/>
      </c>
      <c r="S93" s="232">
        <f>_xlfn.XLOOKUP(MIN(ABS($BJ$7:$BJ$29 - MEDIAN(MIN($BJ$7:$BJ$29), MAX($BJ$7:$BJ$29), S92))), ABS($BJ$7:$BJ$29 - MEDIAN(MIN($BJ$7:$BJ$29), MAX($BJ$7:$BJ$29), S92)), $BK$7:$BK$29, "Error", 0)</f>
        <v/>
      </c>
      <c r="T93" s="232">
        <f>_xlfn.XLOOKUP(MIN(ABS($BJ$7:$BJ$29 - MEDIAN(MIN($BJ$7:$BJ$29), MAX($BJ$7:$BJ$29), T92))), ABS($BJ$7:$BJ$29 - MEDIAN(MIN($BJ$7:$BJ$29), MAX($BJ$7:$BJ$29), T92)), $BK$7:$BK$29, "Error", 0)</f>
        <v/>
      </c>
      <c r="U93" s="232">
        <f>_xlfn.XLOOKUP(MIN(ABS($BJ$7:$BJ$29 - MEDIAN(MIN($BJ$7:$BJ$29), MAX($BJ$7:$BJ$29), U92))), ABS($BJ$7:$BJ$29 - MEDIAN(MIN($BJ$7:$BJ$29), MAX($BJ$7:$BJ$29), U92)), $BK$7:$BK$29, "Error", 0)</f>
        <v/>
      </c>
      <c r="V93" s="232">
        <f>_xlfn.XLOOKUP(MIN(ABS($BJ$7:$BJ$29 - MEDIAN(MIN($BJ$7:$BJ$29), MAX($BJ$7:$BJ$29), V92))), ABS($BJ$7:$BJ$29 - MEDIAN(MIN($BJ$7:$BJ$29), MAX($BJ$7:$BJ$29), V92)), $BK$7:$BK$29, "Error", 0)</f>
        <v/>
      </c>
      <c r="W93" s="232">
        <f>_xlfn.XLOOKUP(MIN(ABS($BJ$7:$BJ$29 - MEDIAN(MIN($BJ$7:$BJ$29), MAX($BJ$7:$BJ$29), W92))), ABS($BJ$7:$BJ$29 - MEDIAN(MIN($BJ$7:$BJ$29), MAX($BJ$7:$BJ$29), W92)), $BK$7:$BK$29, "Error", 0)</f>
        <v/>
      </c>
      <c r="X93" s="232">
        <f>_xlfn.XLOOKUP(MIN(ABS($BJ$7:$BJ$29 - MEDIAN(MIN($BJ$7:$BJ$29), MAX($BJ$7:$BJ$29), X92))), ABS($BJ$7:$BJ$29 - MEDIAN(MIN($BJ$7:$BJ$29), MAX($BJ$7:$BJ$29), X92)), $BK$7:$BK$29, "Error", 0)</f>
        <v/>
      </c>
      <c r="Y93" s="232">
        <f>_xlfn.XLOOKUP(MIN(ABS($BJ$7:$BJ$29 - MEDIAN(MIN($BJ$7:$BJ$29), MAX($BJ$7:$BJ$29), Y92))), ABS($BJ$7:$BJ$29 - MEDIAN(MIN($BJ$7:$BJ$29), MAX($BJ$7:$BJ$29), Y92)), $BK$7:$BK$29, "Error", 0)</f>
        <v/>
      </c>
      <c r="Z93" s="232">
        <f>_xlfn.XLOOKUP(MIN(ABS($BJ$7:$BJ$29 - MEDIAN(MIN($BJ$7:$BJ$29), MAX($BJ$7:$BJ$29), Z92))), ABS($BJ$7:$BJ$29 - MEDIAN(MIN($BJ$7:$BJ$29), MAX($BJ$7:$BJ$29), Z92)), $BK$7:$BK$29, "Error", 0)</f>
        <v/>
      </c>
      <c r="AA93" s="232">
        <f>_xlfn.XLOOKUP(MIN(ABS($BJ$7:$BJ$29 - MEDIAN(MIN($BJ$7:$BJ$29), MAX($BJ$7:$BJ$29), AA92))), ABS($BJ$7:$BJ$29 - MEDIAN(MIN($BJ$7:$BJ$29), MAX($BJ$7:$BJ$29), AA92)), $BK$7:$BK$29, "Error", 0)</f>
        <v/>
      </c>
      <c r="AB93" s="171">
        <f>_xlfn.XLOOKUP(MIN(ABS($BJ$7:$BJ$29 - MEDIAN(MIN($BJ$7:$BJ$29), MAX($BJ$7:$BJ$29), AB92))), ABS($BJ$7:$BJ$29 - MEDIAN(MIN($BJ$7:$BJ$29), MAX($BJ$7:$BJ$29), AB92)), $BK$7:$BK$29, "Error", 0)</f>
        <v/>
      </c>
      <c r="AC93" s="171">
        <f>_xlfn.XLOOKUP(MIN(ABS($BJ$7:$BJ$29 - MEDIAN(MIN($BJ$7:$BJ$29), MAX($BJ$7:$BJ$29), AC92))), ABS($BJ$7:$BJ$29 - MEDIAN(MIN($BJ$7:$BJ$29), MAX($BJ$7:$BJ$29), AC92)), $BK$7:$BK$29, "Error", 0)</f>
        <v/>
      </c>
      <c r="AD93" s="171">
        <f>_xlfn.XLOOKUP(MIN(ABS($BJ$7:$BJ$29 - MEDIAN(MIN($BJ$7:$BJ$29), MAX($BJ$7:$BJ$29), AD92))), ABS($BJ$7:$BJ$29 - MEDIAN(MIN($BJ$7:$BJ$29), MAX($BJ$7:$BJ$29), AD92)), $BK$7:$BK$29, "Error", 0)</f>
        <v/>
      </c>
      <c r="AE93" s="171">
        <f>_xlfn.XLOOKUP(MIN(ABS($BJ$7:$BJ$29 - MEDIAN(MIN($BJ$7:$BJ$29), MAX($BJ$7:$BJ$29), AE92))), ABS($BJ$7:$BJ$29 - MEDIAN(MIN($BJ$7:$BJ$29), MAX($BJ$7:$BJ$29), AE92)), $BK$7:$BK$29, "Error", 0)</f>
        <v/>
      </c>
      <c r="AF93" s="171">
        <f>_xlfn.XLOOKUP(MIN(ABS($BJ$7:$BJ$29 - MEDIAN(MIN($BJ$7:$BJ$29), MAX($BJ$7:$BJ$29), AF92))), ABS($BJ$7:$BJ$29 - MEDIAN(MIN($BJ$7:$BJ$29), MAX($BJ$7:$BJ$29), AF92)), $BK$7:$BK$29, "Error", 0)</f>
        <v/>
      </c>
      <c r="AG93" s="171">
        <f>_xlfn.XLOOKUP(MIN(ABS($BJ$7:$BJ$29 - MEDIAN(MIN($BJ$7:$BJ$29), MAX($BJ$7:$BJ$29), AG92))), ABS($BJ$7:$BJ$29 - MEDIAN(MIN($BJ$7:$BJ$29), MAX($BJ$7:$BJ$29), AG92)), $BK$7:$BK$29, "Error", 0)</f>
        <v/>
      </c>
      <c r="AH93" s="171">
        <f>_xlfn.XLOOKUP(MIN(ABS($BJ$7:$BJ$29 - MEDIAN(MIN($BJ$7:$BJ$29), MAX($BJ$7:$BJ$29), AH92))), ABS($BJ$7:$BJ$29 - MEDIAN(MIN($BJ$7:$BJ$29), MAX($BJ$7:$BJ$29), AH92)), $BK$7:$BK$29, "Error", 0)</f>
        <v/>
      </c>
      <c r="AI93" s="171">
        <f>_xlfn.XLOOKUP(MIN(ABS($BJ$7:$BJ$29 - MEDIAN(MIN($BJ$7:$BJ$29), MAX($BJ$7:$BJ$29), AI92))), ABS($BJ$7:$BJ$29 - MEDIAN(MIN($BJ$7:$BJ$29), MAX($BJ$7:$BJ$29), AI92)), $BK$7:$BK$29, "Error", 0)</f>
        <v/>
      </c>
      <c r="AJ93" s="171">
        <f>_xlfn.XLOOKUP(MIN(ABS($BJ$7:$BJ$29 - MEDIAN(MIN($BJ$7:$BJ$29), MAX($BJ$7:$BJ$29), AJ92))), ABS($BJ$7:$BJ$29 - MEDIAN(MIN($BJ$7:$BJ$29), MAX($BJ$7:$BJ$29), AJ92)), $BK$7:$BK$29, "Error", 0)</f>
        <v/>
      </c>
      <c r="AK93" s="171">
        <f>_xlfn.XLOOKUP(MIN(ABS($BJ$7:$BJ$29 - MEDIAN(MIN($BJ$7:$BJ$29), MAX($BJ$7:$BJ$29), AK92))), ABS($BJ$7:$BJ$29 - MEDIAN(MIN($BJ$7:$BJ$29), MAX($BJ$7:$BJ$29), AK92)), $BK$7:$BK$29, "Error", 0)</f>
        <v/>
      </c>
      <c r="AL93" s="171">
        <f>_xlfn.XLOOKUP(MIN(ABS($BJ$7:$BJ$29 - MEDIAN(MIN($BJ$7:$BJ$29), MAX($BJ$7:$BJ$29), AL92))), ABS($BJ$7:$BJ$29 - MEDIAN(MIN($BJ$7:$BJ$29), MAX($BJ$7:$BJ$29), AL92)), $BK$7:$BK$29, "Error", 0)</f>
        <v/>
      </c>
      <c r="AM93" s="171">
        <f>_xlfn.XLOOKUP(MIN(ABS($BJ$7:$BJ$29 - MEDIAN(MIN($BJ$7:$BJ$29), MAX($BJ$7:$BJ$29), AM92))), ABS($BJ$7:$BJ$29 - MEDIAN(MIN($BJ$7:$BJ$29), MAX($BJ$7:$BJ$29), AM92)), $BK$7:$BK$29, "Error", 0)</f>
        <v/>
      </c>
      <c r="AN93" s="171">
        <f>_xlfn.XLOOKUP(MIN(ABS($BJ$7:$BJ$29 - MEDIAN(MIN($BJ$7:$BJ$29), MAX($BJ$7:$BJ$29), AN92))), ABS($BJ$7:$BJ$29 - MEDIAN(MIN($BJ$7:$BJ$29), MAX($BJ$7:$BJ$29), AN92)), $BK$7:$BK$29, "Error", 0)</f>
        <v/>
      </c>
      <c r="AO93" s="171">
        <f>_xlfn.XLOOKUP(MIN(ABS($BJ$7:$BJ$29 - MEDIAN(MIN($BJ$7:$BJ$29), MAX($BJ$7:$BJ$29), AO92))), ABS($BJ$7:$BJ$29 - MEDIAN(MIN($BJ$7:$BJ$29), MAX($BJ$7:$BJ$29), AO92)), $BK$7:$BK$29, "Error", 0)</f>
        <v/>
      </c>
      <c r="AP93" s="171">
        <f>_xlfn.XLOOKUP(MIN(ABS($BJ$7:$BJ$29 - MEDIAN(MIN($BJ$7:$BJ$29), MAX($BJ$7:$BJ$29), AP92))), ABS($BJ$7:$BJ$29 - MEDIAN(MIN($BJ$7:$BJ$29), MAX($BJ$7:$BJ$29), AP92)), $BK$7:$BK$29, "Error", 0)</f>
        <v/>
      </c>
      <c r="AQ93" s="171">
        <f>_xlfn.XLOOKUP(MIN(ABS($BJ$7:$BJ$29 - MEDIAN(MIN($BJ$7:$BJ$29), MAX($BJ$7:$BJ$29), AQ92))), ABS($BJ$7:$BJ$29 - MEDIAN(MIN($BJ$7:$BJ$29), MAX($BJ$7:$BJ$29), AQ92)), $BK$7:$BK$29, "Error", 0)</f>
        <v/>
      </c>
      <c r="AR93" s="171">
        <f>_xlfn.XLOOKUP(MIN(ABS($BJ$7:$BJ$29 - MEDIAN(MIN($BJ$7:$BJ$29), MAX($BJ$7:$BJ$29), AR92))), ABS($BJ$7:$BJ$29 - MEDIAN(MIN($BJ$7:$BJ$29), MAX($BJ$7:$BJ$29), AR92)), $BK$7:$BK$29, "Error", 0)</f>
        <v/>
      </c>
      <c r="AS93" s="171">
        <f>_xlfn.XLOOKUP(MIN(ABS($BJ$7:$BJ$29 - MEDIAN(MIN($BJ$7:$BJ$29), MAX($BJ$7:$BJ$29), AS92))), ABS($BJ$7:$BJ$29 - MEDIAN(MIN($BJ$7:$BJ$29), MAX($BJ$7:$BJ$29), AS92)), $BK$7:$BK$29, "Error", 0)</f>
        <v/>
      </c>
      <c r="AT93" s="171">
        <f>_xlfn.XLOOKUP(MIN(ABS($BJ$7:$BJ$29 - MEDIAN(MIN($BJ$7:$BJ$29), MAX($BJ$7:$BJ$29), AT92))), ABS($BJ$7:$BJ$29 - MEDIAN(MIN($BJ$7:$BJ$29), MAX($BJ$7:$BJ$29), AT92)), $BK$7:$BK$29, "Error", 0)</f>
        <v/>
      </c>
      <c r="AU93" s="171">
        <f>_xlfn.XLOOKUP(MIN(ABS($BJ$7:$BJ$29 - MEDIAN(MIN($BJ$7:$BJ$29), MAX($BJ$7:$BJ$29), AU92))), ABS($BJ$7:$BJ$29 - MEDIAN(MIN($BJ$7:$BJ$29), MAX($BJ$7:$BJ$29), AU92)), $BK$7:$BK$29, "Error", 0)</f>
        <v/>
      </c>
      <c r="AV93" s="206">
        <f>_xlfn.XLOOKUP(MIN(ABS($BJ$7:$BJ$29 - MEDIAN(MIN($BJ$7:$BJ$29), MAX($BJ$7:$BJ$29), AV92))), ABS($BJ$7:$BJ$29 - MEDIAN(MIN($BJ$7:$BJ$29), MAX($BJ$7:$BJ$29), AV92)), $BK$7:$BK$29, "Error", 0)</f>
        <v/>
      </c>
      <c r="AW93" s="184">
        <f>_xlfn.XLOOKUP(MIN(ABS($BJ$7:$BJ$29 - MEDIAN(MIN($BJ$7:$BJ$29), MAX($BJ$7:$BJ$29), AW92))), ABS($BJ$7:$BJ$29 - MEDIAN(MIN($BJ$7:$BJ$29), MAX($BJ$7:$BJ$29), AW92)), $BK$7:$BK$29, "Error", 0)</f>
        <v/>
      </c>
      <c r="AX93" s="184">
        <f>_xlfn.XLOOKUP(MIN(ABS($BJ$7:$BJ$29 - MEDIAN(MIN($BJ$7:$BJ$29), MAX($BJ$7:$BJ$29), AX92))), ABS($BJ$7:$BJ$29 - MEDIAN(MIN($BJ$7:$BJ$29), MAX($BJ$7:$BJ$29), AX92)), $BK$7:$BK$29, "Error", 0)</f>
        <v/>
      </c>
      <c r="AY93" s="184" t="n"/>
    </row>
    <row r="94" ht="44" customHeight="1">
      <c r="A94" s="305" t="inlineStr">
        <is>
          <t>GBP JPY</t>
        </is>
      </c>
      <c r="B94" s="200" t="inlineStr">
        <is>
          <t>All time High (CL)</t>
        </is>
      </c>
      <c r="C94" s="233" t="n">
        <v>2121670.464351073</v>
      </c>
      <c r="D94" s="233" t="n">
        <v>2121670.464351073</v>
      </c>
      <c r="E94" s="233" t="n">
        <v>2121670.464351073</v>
      </c>
      <c r="F94" s="233" t="n">
        <v>2121670.464351073</v>
      </c>
      <c r="G94" s="233" t="n">
        <v>2121670.464351073</v>
      </c>
      <c r="H94" s="233" t="n">
        <v>2121670.464351073</v>
      </c>
      <c r="I94" s="233" t="n">
        <v>2121670.464351073</v>
      </c>
      <c r="J94" s="233" t="n">
        <v>2121670.464351073</v>
      </c>
      <c r="K94" s="233" t="n">
        <v>2121670.464351073</v>
      </c>
      <c r="L94" s="233" t="n">
        <v>2121670.464351073</v>
      </c>
      <c r="M94" s="233" t="n">
        <v>2121670.464351073</v>
      </c>
      <c r="N94" s="233" t="n">
        <v>2121670.464351073</v>
      </c>
      <c r="O94" s="233" t="n">
        <v>2121670.464351073</v>
      </c>
      <c r="P94" s="233" t="n">
        <v>2121670.464351073</v>
      </c>
      <c r="Q94" s="233" t="n">
        <v>2121670.464351073</v>
      </c>
      <c r="R94" s="233" t="n">
        <v>2121670.464351073</v>
      </c>
      <c r="S94" s="233" t="n">
        <v>2121670.464351073</v>
      </c>
      <c r="T94" s="233" t="n">
        <v>2121670.464351073</v>
      </c>
      <c r="U94" s="233" t="n">
        <v>2121670.464351073</v>
      </c>
      <c r="V94" s="233" t="n">
        <v>2121670.464351073</v>
      </c>
      <c r="W94" s="233" t="n">
        <v>2121670.464351073</v>
      </c>
      <c r="X94" s="233" t="n">
        <v>2121670.464351073</v>
      </c>
      <c r="Y94" s="233" t="n">
        <v>2121670.464351073</v>
      </c>
      <c r="Z94" s="233" t="n">
        <v>2121670.464351073</v>
      </c>
      <c r="AA94" s="204" t="n">
        <v>2121670.464351073</v>
      </c>
      <c r="AB94" s="204" t="n">
        <v>2121670.464351073</v>
      </c>
      <c r="AC94" s="204" t="n">
        <v>2121670.464351073</v>
      </c>
      <c r="AD94" s="204" t="n">
        <v>2121670.464351073</v>
      </c>
      <c r="AE94" s="204" t="n">
        <v>2121670.464351073</v>
      </c>
      <c r="AF94" s="204" t="n">
        <v>2121670.464351073</v>
      </c>
      <c r="AG94" s="204" t="n">
        <v>2121670.464351073</v>
      </c>
      <c r="AH94" s="204" t="n">
        <v>2121670.464351073</v>
      </c>
      <c r="AI94" s="204" t="n">
        <v>2121670.464351073</v>
      </c>
      <c r="AJ94" s="204" t="n">
        <v>2121670.464351073</v>
      </c>
      <c r="AK94" s="204" t="n">
        <v>2121670.464351073</v>
      </c>
      <c r="AL94" s="204" t="n">
        <v>2121670.464351073</v>
      </c>
      <c r="AM94" s="204" t="n">
        <v>2208009.790463075</v>
      </c>
      <c r="AN94" s="204" t="n">
        <v>2350905.140514672</v>
      </c>
      <c r="AO94" s="204" t="n">
        <v>2350905.140514672</v>
      </c>
      <c r="AP94" s="204" t="n">
        <v>2350905.140514672</v>
      </c>
      <c r="AQ94" s="204" t="n">
        <v>2350905.140514672</v>
      </c>
      <c r="AR94" s="204" t="n">
        <v>2350905.140514672</v>
      </c>
      <c r="AS94" s="204" t="n">
        <v>2412371.15309906</v>
      </c>
      <c r="AT94" s="204" t="n">
        <v>2412371.15309906</v>
      </c>
      <c r="AU94" s="204" t="n">
        <v>2412371.15309906</v>
      </c>
      <c r="AV94" s="200" t="n">
        <v>2412371.15309906</v>
      </c>
      <c r="AW94" s="184" t="n">
        <v>2412371.15309906</v>
      </c>
      <c r="AX94" s="184" t="n">
        <v>2412371.15309906</v>
      </c>
      <c r="AY94" s="184" t="n"/>
    </row>
    <row r="95" ht="22" customHeight="1">
      <c r="A95" s="303" t="n"/>
      <c r="B95" s="201" t="inlineStr">
        <is>
          <t>current price</t>
        </is>
      </c>
      <c r="C95" s="233" t="n">
        <v>1252176.297520995</v>
      </c>
      <c r="D95" s="233" t="n">
        <v>1294714.012234852</v>
      </c>
      <c r="E95" s="233" t="n">
        <v>1258925.315456972</v>
      </c>
      <c r="F95" s="233" t="n">
        <v>1354405.905568525</v>
      </c>
      <c r="G95" s="233" t="n">
        <v>1291838.830864698</v>
      </c>
      <c r="H95" s="233" t="n">
        <v>1375477.881774902</v>
      </c>
      <c r="I95" s="233" t="n">
        <v>1392952.389464281</v>
      </c>
      <c r="J95" s="233" t="n">
        <v>1381396.255350366</v>
      </c>
      <c r="K95" s="233" t="n">
        <v>1385402.68499928</v>
      </c>
      <c r="L95" s="233" t="n">
        <v>1328031.914350927</v>
      </c>
      <c r="M95" s="233" t="n">
        <v>1391318.792266309</v>
      </c>
      <c r="N95" s="233" t="n">
        <v>1387272.112234712</v>
      </c>
      <c r="O95" s="233" t="n">
        <v>1427524.995616235</v>
      </c>
      <c r="P95" s="233" t="n">
        <v>1454804.518432617</v>
      </c>
      <c r="Q95" s="233" t="n">
        <v>1518611.094066314</v>
      </c>
      <c r="R95" s="233" t="n">
        <v>1598833.38729912</v>
      </c>
      <c r="S95" s="233" t="n">
        <v>1653309.10506472</v>
      </c>
      <c r="T95" s="233" t="n">
        <v>1661239.524041422</v>
      </c>
      <c r="U95" s="233" t="n">
        <v>1639876.970214844</v>
      </c>
      <c r="V95" s="233" t="n">
        <v>1607629.312687248</v>
      </c>
      <c r="W95" s="233" t="n">
        <v>1573950.609664917</v>
      </c>
      <c r="X95" s="233" t="n">
        <v>1610057.572387084</v>
      </c>
      <c r="Y95" s="233" t="n">
        <v>1579777.400326282</v>
      </c>
      <c r="Z95" s="233" t="n">
        <v>1610072.769134521</v>
      </c>
      <c r="AA95" s="204" t="n">
        <v>1660420.476470947</v>
      </c>
      <c r="AB95" s="204" t="n">
        <v>1664918.806509912</v>
      </c>
      <c r="AC95" s="204" t="n">
        <v>1661329.665148437</v>
      </c>
      <c r="AD95" s="204" t="n">
        <v>1621039.341116637</v>
      </c>
      <c r="AE95" s="204" t="n">
        <v>1700279.959726423</v>
      </c>
      <c r="AF95" s="204" t="n">
        <v>1736754.352722168</v>
      </c>
      <c r="AG95" s="204" t="n">
        <v>1806632.129332423</v>
      </c>
      <c r="AH95" s="204" t="n">
        <v>1821553.91543977</v>
      </c>
      <c r="AI95" s="204" t="n">
        <v>1866769.999861717</v>
      </c>
      <c r="AJ95" s="204" t="n">
        <v>1967840.692243725</v>
      </c>
      <c r="AK95" s="204" t="n">
        <v>2009123.64251709</v>
      </c>
      <c r="AL95" s="204" t="n">
        <v>2091652.242331177</v>
      </c>
      <c r="AM95" s="204" t="n">
        <v>2165108.481796265</v>
      </c>
      <c r="AN95" s="204" t="n">
        <v>2294117.220205933</v>
      </c>
      <c r="AO95" s="204" t="n">
        <v>2142611.173866272</v>
      </c>
      <c r="AP95" s="204" t="n">
        <v>2242391.515785158</v>
      </c>
      <c r="AQ95" s="204" t="n">
        <v>2231398.186810568</v>
      </c>
      <c r="AR95" s="204" t="n">
        <v>2252604.12082091</v>
      </c>
      <c r="AS95" s="204" t="n">
        <v>2343249.239151537</v>
      </c>
      <c r="AT95" s="204" t="n">
        <v>2346686.593981713</v>
      </c>
      <c r="AU95" s="204" t="n">
        <v>2228729.612499237</v>
      </c>
      <c r="AV95" s="201" t="n">
        <v>2228729.612499237</v>
      </c>
      <c r="AW95" s="184" t="n">
        <v>2228729.612499237</v>
      </c>
      <c r="AX95" s="184" t="n">
        <v>2228729.612499237</v>
      </c>
      <c r="AY95" s="184" t="n"/>
    </row>
    <row r="96" ht="22" customHeight="1">
      <c r="A96" s="303" t="n"/>
      <c r="B96" s="201" t="inlineStr">
        <is>
          <t>% CHANGE</t>
        </is>
      </c>
      <c r="C96" s="230">
        <f>+(C95-C94)/C94</f>
        <v/>
      </c>
      <c r="D96" s="230">
        <f>+(D95-D94)/D94</f>
        <v/>
      </c>
      <c r="E96" s="230">
        <f>+(E95-E94)/E94</f>
        <v/>
      </c>
      <c r="F96" s="230">
        <f>+(F95-F94)/F94</f>
        <v/>
      </c>
      <c r="G96" s="230">
        <f>+(G95-G94)/G94</f>
        <v/>
      </c>
      <c r="H96" s="230">
        <f>+(H95-H94)/H94</f>
        <v/>
      </c>
      <c r="I96" s="230">
        <f>+(I95-I94)/I94</f>
        <v/>
      </c>
      <c r="J96" s="230">
        <f>+(J95-J94)/J94</f>
        <v/>
      </c>
      <c r="K96" s="230">
        <f>+(K95-K94)/K94</f>
        <v/>
      </c>
      <c r="L96" s="230">
        <f>+(L95-L94)/L94</f>
        <v/>
      </c>
      <c r="M96" s="230">
        <f>+(M95-M94)/M94</f>
        <v/>
      </c>
      <c r="N96" s="230">
        <f>+(N95-N94)/N94</f>
        <v/>
      </c>
      <c r="O96" s="230">
        <f>+(O95-O94)/O94</f>
        <v/>
      </c>
      <c r="P96" s="230">
        <f>+(P95-P94)/P94</f>
        <v/>
      </c>
      <c r="Q96" s="230">
        <f>+(Q95-Q94)/Q94</f>
        <v/>
      </c>
      <c r="R96" s="230">
        <f>+(R95-R94)/R94</f>
        <v/>
      </c>
      <c r="S96" s="230">
        <f>+(S95-S94)/S94</f>
        <v/>
      </c>
      <c r="T96" s="230">
        <f>+(T95-T94)/T94</f>
        <v/>
      </c>
      <c r="U96" s="230">
        <f>+(U95-U94)/U94</f>
        <v/>
      </c>
      <c r="V96" s="230">
        <f>+(V95-V94)/V94</f>
        <v/>
      </c>
      <c r="W96" s="230">
        <f>+(W95-W94)/W94</f>
        <v/>
      </c>
      <c r="X96" s="230">
        <f>+(X95-X94)/X94</f>
        <v/>
      </c>
      <c r="Y96" s="230">
        <f>+(Y95-Y94)/Y94</f>
        <v/>
      </c>
      <c r="Z96" s="230">
        <f>+(Z95-Z94)/Z94</f>
        <v/>
      </c>
      <c r="AA96" s="230">
        <f>+(AA95-AA94)/AA94</f>
        <v/>
      </c>
      <c r="AB96" s="205">
        <f>+(AB95-AB94)/AB94</f>
        <v/>
      </c>
      <c r="AC96" s="205">
        <f>+(AC95-AC94)/AC94</f>
        <v/>
      </c>
      <c r="AD96" s="205">
        <f>+(AD95-AD94)/AD94</f>
        <v/>
      </c>
      <c r="AE96" s="205">
        <f>+(AE95-AE94)/AE94</f>
        <v/>
      </c>
      <c r="AF96" s="205">
        <f>+(AF95-AF94)/AF94</f>
        <v/>
      </c>
      <c r="AG96" s="205">
        <f>+(AG95-AG94)/AG94</f>
        <v/>
      </c>
      <c r="AH96" s="205">
        <f>+(AH95-AH94)/AH94</f>
        <v/>
      </c>
      <c r="AI96" s="205">
        <f>+(AI95-AI94)/AI94</f>
        <v/>
      </c>
      <c r="AJ96" s="205">
        <f>+(AJ95-AJ94)/AJ94</f>
        <v/>
      </c>
      <c r="AK96" s="205">
        <f>+(AK95-AK94)/AK94</f>
        <v/>
      </c>
      <c r="AL96" s="205">
        <f>+(AL95-AL94)/AL94</f>
        <v/>
      </c>
      <c r="AM96" s="205">
        <f>+(AM95-AM94)/AM94</f>
        <v/>
      </c>
      <c r="AN96" s="205">
        <f>+(AN95-AN94)/AN94</f>
        <v/>
      </c>
      <c r="AO96" s="205">
        <f>+(AO95-AO94)/AO94</f>
        <v/>
      </c>
      <c r="AP96" s="205">
        <f>+(AP95-AP94)/AP94</f>
        <v/>
      </c>
      <c r="AQ96" s="205">
        <f>+(AQ95-AQ94)/AQ94</f>
        <v/>
      </c>
      <c r="AR96" s="205">
        <f>+(AR95-AR94)/AR94</f>
        <v/>
      </c>
      <c r="AS96" s="205">
        <f>+(AS95-AS94)/AS94</f>
        <v/>
      </c>
      <c r="AT96" s="205">
        <f>+(AT95-AT94)/AT94</f>
        <v/>
      </c>
      <c r="AU96" s="205">
        <f>+(AU95-AU94)/AU94</f>
        <v/>
      </c>
      <c r="AV96" s="201">
        <f>+(AV95-AV94)/AV94</f>
        <v/>
      </c>
      <c r="AW96" s="184">
        <f>+(AW95-AW94)/AW94</f>
        <v/>
      </c>
      <c r="AX96" s="184">
        <f>+(AX95-AX94)/AX94</f>
        <v/>
      </c>
      <c r="AY96" s="184" t="n"/>
    </row>
    <row r="97" ht="44" customHeight="1">
      <c r="A97" s="303" t="n"/>
      <c r="B97" s="201" t="inlineStr">
        <is>
          <t>All time High TSE UK</t>
        </is>
      </c>
      <c r="C97" s="233" t="n">
        <v>7903.5</v>
      </c>
      <c r="D97" s="233" t="n">
        <v>8047.10009765625</v>
      </c>
      <c r="E97" s="233" t="n">
        <v>8047.10009765625</v>
      </c>
      <c r="F97" s="233" t="n">
        <v>8047.10009765625</v>
      </c>
      <c r="G97" s="233" t="n">
        <v>8047.10009765625</v>
      </c>
      <c r="H97" s="233" t="n">
        <v>8047.10009765625</v>
      </c>
      <c r="I97" s="233" t="n">
        <v>8047.10009765625</v>
      </c>
      <c r="J97" s="233" t="n">
        <v>8047.10009765625</v>
      </c>
      <c r="K97" s="233" t="n">
        <v>8047.10009765625</v>
      </c>
      <c r="L97" s="233" t="n">
        <v>8047.10009765625</v>
      </c>
      <c r="M97" s="233" t="n">
        <v>8047.10009765625</v>
      </c>
      <c r="N97" s="233" t="n">
        <v>8047.10009765625</v>
      </c>
      <c r="O97" s="233" t="n">
        <v>8047.10009765625</v>
      </c>
      <c r="P97" s="233" t="n">
        <v>8047.10009765625</v>
      </c>
      <c r="Q97" s="233" t="n">
        <v>8047.10009765625</v>
      </c>
      <c r="R97" s="233" t="n">
        <v>8200</v>
      </c>
      <c r="S97" s="233" t="n">
        <v>8474.400390625</v>
      </c>
      <c r="T97" s="233" t="n">
        <v>8474.400390625</v>
      </c>
      <c r="U97" s="233" t="n">
        <v>8474.400390625</v>
      </c>
      <c r="V97" s="233" t="n">
        <v>8474.400390625</v>
      </c>
      <c r="W97" s="233" t="n">
        <v>8474.400390625</v>
      </c>
      <c r="X97" s="233" t="n">
        <v>8474.400390625</v>
      </c>
      <c r="Y97" s="233" t="n">
        <v>8474.400390625</v>
      </c>
      <c r="Z97" s="233" t="n">
        <v>8474.400390625</v>
      </c>
      <c r="AA97" s="231" t="n">
        <v>8692.7998046875</v>
      </c>
      <c r="AB97" s="203" t="n">
        <v>8820.900390625</v>
      </c>
      <c r="AC97" s="203" t="n">
        <v>8820.900390625</v>
      </c>
      <c r="AD97" s="203" t="n">
        <v>8820.900390625</v>
      </c>
      <c r="AE97" s="203" t="n">
        <v>8824</v>
      </c>
      <c r="AF97" s="203" t="n">
        <v>8824</v>
      </c>
      <c r="AG97" s="203" t="n">
        <v>9190.7001953125</v>
      </c>
      <c r="AH97" s="203" t="n">
        <v>9357.5</v>
      </c>
      <c r="AI97" s="203" t="n">
        <v>9363.599609375</v>
      </c>
      <c r="AJ97" s="203" t="n">
        <v>9787.599609375</v>
      </c>
      <c r="AK97" s="203" t="n">
        <v>9930.099609375</v>
      </c>
      <c r="AL97" s="203" t="n">
        <v>9954.2998046875</v>
      </c>
      <c r="AM97" s="203" t="n">
        <v>10277.7001953125</v>
      </c>
      <c r="AN97" s="203" t="n">
        <v>10934.900390625</v>
      </c>
      <c r="AO97" s="203" t="n">
        <v>10934.900390625</v>
      </c>
      <c r="AP97" s="203" t="n">
        <v>10934.900390625</v>
      </c>
      <c r="AQ97" s="203" t="n">
        <v>10934.900390625</v>
      </c>
      <c r="AR97" s="203" t="n">
        <v>10934.900390625</v>
      </c>
      <c r="AS97" s="203" t="n">
        <v>10989.5</v>
      </c>
      <c r="AT97" s="203" t="n">
        <v>10989.5</v>
      </c>
      <c r="AU97" s="203" t="n">
        <v>10989.5</v>
      </c>
      <c r="AV97" s="201" t="n">
        <v>10989.5</v>
      </c>
      <c r="AW97" s="184" t="n">
        <v>10989.5</v>
      </c>
      <c r="AX97" s="184" t="n">
        <v>10989.5</v>
      </c>
      <c r="AY97" s="184" t="n"/>
    </row>
    <row r="98" ht="44" customHeight="1">
      <c r="A98" s="303" t="n"/>
      <c r="B98" s="201" t="inlineStr">
        <is>
          <t>current price TSE UK</t>
        </is>
      </c>
      <c r="C98" s="233" t="n">
        <v>7771.7001953125</v>
      </c>
      <c r="D98" s="233" t="n">
        <v>7876.2998046875</v>
      </c>
      <c r="E98" s="233" t="n">
        <v>7631.7001953125</v>
      </c>
      <c r="F98" s="233" t="n">
        <v>7870.60009765625</v>
      </c>
      <c r="G98" s="233" t="n">
        <v>7446.10009765625</v>
      </c>
      <c r="H98" s="233" t="n">
        <v>7531.5</v>
      </c>
      <c r="I98" s="233" t="n">
        <v>7699.39990234375</v>
      </c>
      <c r="J98" s="233" t="n">
        <v>7439.10009765625</v>
      </c>
      <c r="K98" s="233" t="n">
        <v>7608.10009765625</v>
      </c>
      <c r="L98" s="233" t="n">
        <v>7321.7001953125</v>
      </c>
      <c r="M98" s="233" t="n">
        <v>7453.7998046875</v>
      </c>
      <c r="N98" s="233" t="n">
        <v>7733.2001953125</v>
      </c>
      <c r="O98" s="233" t="n">
        <v>7630.60009765625</v>
      </c>
      <c r="P98" s="233" t="n">
        <v>7630</v>
      </c>
      <c r="Q98" s="233" t="n">
        <v>7952.60009765625</v>
      </c>
      <c r="R98" s="233" t="n">
        <v>8144.10009765625</v>
      </c>
      <c r="S98" s="233" t="n">
        <v>8275.400390625</v>
      </c>
      <c r="T98" s="233" t="n">
        <v>8164.10009765625</v>
      </c>
      <c r="U98" s="233" t="n">
        <v>8368</v>
      </c>
      <c r="V98" s="233" t="n">
        <v>8376.599609375</v>
      </c>
      <c r="W98" s="233" t="n">
        <v>8237</v>
      </c>
      <c r="X98" s="233" t="n">
        <v>8110.10009765625</v>
      </c>
      <c r="Y98" s="233" t="n">
        <v>8287.2998046875</v>
      </c>
      <c r="Z98" s="233" t="n">
        <v>8173</v>
      </c>
      <c r="AA98" s="231" t="n">
        <v>8674</v>
      </c>
      <c r="AB98" s="203" t="n">
        <v>8809.7001953125</v>
      </c>
      <c r="AC98" s="203" t="n">
        <v>8582.7998046875</v>
      </c>
      <c r="AD98" s="203" t="n">
        <v>8494.900390625</v>
      </c>
      <c r="AE98" s="203" t="n">
        <v>8772.400390625</v>
      </c>
      <c r="AF98" s="203" t="n">
        <v>8761</v>
      </c>
      <c r="AG98" s="203" t="n">
        <v>9132.7998046875</v>
      </c>
      <c r="AH98" s="203" t="n">
        <v>9187.2998046875</v>
      </c>
      <c r="AI98" s="203" t="n">
        <v>9350.400390625</v>
      </c>
      <c r="AJ98" s="203" t="n">
        <v>9717.2998046875</v>
      </c>
      <c r="AK98" s="203" t="n">
        <v>9720.5</v>
      </c>
      <c r="AL98" s="203" t="n">
        <v>9931.400390625</v>
      </c>
      <c r="AM98" s="203" t="n">
        <v>10223.5</v>
      </c>
      <c r="AN98" s="203" t="n">
        <v>10910.599609375</v>
      </c>
      <c r="AO98" s="203" t="n">
        <v>10176.5</v>
      </c>
      <c r="AP98" s="203" t="n">
        <v>10378.7998046875</v>
      </c>
      <c r="AQ98" s="203" t="n">
        <v>10409.2998046875</v>
      </c>
      <c r="AR98" s="203" t="n">
        <v>10497.099609375</v>
      </c>
      <c r="AS98" s="203" t="n">
        <v>10868.099609375</v>
      </c>
      <c r="AT98" s="203" t="n">
        <v>10824.2998046875</v>
      </c>
      <c r="AU98" s="203" t="n">
        <v>10695.25</v>
      </c>
      <c r="AV98" s="201" t="n">
        <v>10695.25</v>
      </c>
      <c r="AW98" s="184" t="n">
        <v>10695.25</v>
      </c>
      <c r="AX98" s="184" t="n">
        <v>10695.25</v>
      </c>
      <c r="AY98" s="184" t="n"/>
    </row>
    <row r="99" ht="44" customHeight="1">
      <c r="A99" s="303" t="n"/>
      <c r="B99" s="201" t="inlineStr">
        <is>
          <t>original index % change</t>
        </is>
      </c>
      <c r="C99" s="230">
        <f>+(C98-C97)/C97</f>
        <v/>
      </c>
      <c r="D99" s="230">
        <f>+(D98-D97)/D97</f>
        <v/>
      </c>
      <c r="E99" s="230">
        <f>+(E98-E97)/E97</f>
        <v/>
      </c>
      <c r="F99" s="230">
        <f>+(F98-F97)/F97</f>
        <v/>
      </c>
      <c r="G99" s="230">
        <f>+(G98-G97)/G97</f>
        <v/>
      </c>
      <c r="H99" s="230">
        <f>+(H98-H97)/H97</f>
        <v/>
      </c>
      <c r="I99" s="230">
        <f>+(I98-I97)/I97</f>
        <v/>
      </c>
      <c r="J99" s="230">
        <f>+(J98-J97)/J97</f>
        <v/>
      </c>
      <c r="K99" s="230">
        <f>+(K98-K97)/K97</f>
        <v/>
      </c>
      <c r="L99" s="230">
        <f>+(L98-L97)/L97</f>
        <v/>
      </c>
      <c r="M99" s="230">
        <f>+(M98-M97)/M97</f>
        <v/>
      </c>
      <c r="N99" s="230">
        <f>+(N98-N97)/N97</f>
        <v/>
      </c>
      <c r="O99" s="230">
        <f>+(O98-O97)/O97</f>
        <v/>
      </c>
      <c r="P99" s="230">
        <f>+(P98-P97)/P97</f>
        <v/>
      </c>
      <c r="Q99" s="230">
        <f>+(Q98-Q97)/Q97</f>
        <v/>
      </c>
      <c r="R99" s="230">
        <f>+(R98-R97)/R97</f>
        <v/>
      </c>
      <c r="S99" s="230">
        <f>+(S98-S97)/S97</f>
        <v/>
      </c>
      <c r="T99" s="230">
        <f>+(T98-T97)/T97</f>
        <v/>
      </c>
      <c r="U99" s="230">
        <f>+(U98-U97)/U97</f>
        <v/>
      </c>
      <c r="V99" s="230">
        <f>+(V98-V97)/V97</f>
        <v/>
      </c>
      <c r="W99" s="230">
        <f>+(W98-W97)/W97</f>
        <v/>
      </c>
      <c r="X99" s="230">
        <f>+(X98-X97)/X97</f>
        <v/>
      </c>
      <c r="Y99" s="230">
        <f>+(Y98-Y97)/Y97</f>
        <v/>
      </c>
      <c r="Z99" s="230">
        <f>+(Z98-Z97)/Z97</f>
        <v/>
      </c>
      <c r="AA99" s="230">
        <f>+(AA98-AA97)/AA97</f>
        <v/>
      </c>
      <c r="AB99" s="205">
        <f>+(AB98-AB97)/AB97</f>
        <v/>
      </c>
      <c r="AC99" s="205">
        <f>+(AC98-AC97)/AC97</f>
        <v/>
      </c>
      <c r="AD99" s="205">
        <f>+(AD98-AD97)/AD97</f>
        <v/>
      </c>
      <c r="AE99" s="205">
        <f>+(AE98-AE97)/AE97</f>
        <v/>
      </c>
      <c r="AF99" s="205">
        <f>+(AF98-AF97)/AF97</f>
        <v/>
      </c>
      <c r="AG99" s="205">
        <f>+(AG98-AG97)/AG97</f>
        <v/>
      </c>
      <c r="AH99" s="205">
        <f>+(AH98-AH97)/AH97</f>
        <v/>
      </c>
      <c r="AI99" s="205">
        <f>+(AI98-AI97)/AI97</f>
        <v/>
      </c>
      <c r="AJ99" s="205">
        <f>+(AJ98-AJ97)/AJ97</f>
        <v/>
      </c>
      <c r="AK99" s="205">
        <f>+(AK98-AK97)/AK97</f>
        <v/>
      </c>
      <c r="AL99" s="205">
        <f>+(AL98-AL97)/AL97</f>
        <v/>
      </c>
      <c r="AM99" s="205">
        <f>+(AM98-AM97)/AM97</f>
        <v/>
      </c>
      <c r="AN99" s="205">
        <f>+(AN98-AN97)/AN97</f>
        <v/>
      </c>
      <c r="AO99" s="205">
        <f>+(AO98-AO97)/AO97</f>
        <v/>
      </c>
      <c r="AP99" s="205">
        <f>+(AP98-AP97)/AP97</f>
        <v/>
      </c>
      <c r="AQ99" s="205">
        <f>+(AQ98-AQ97)/AQ97</f>
        <v/>
      </c>
      <c r="AR99" s="205">
        <f>+(AR98-AR97)/AR97</f>
        <v/>
      </c>
      <c r="AS99" s="205">
        <f>+(AS98-AS97)/AS97</f>
        <v/>
      </c>
      <c r="AT99" s="205">
        <f>+(AT98-AT97)/AT97</f>
        <v/>
      </c>
      <c r="AU99" s="205">
        <f>+(AU98-AU97)/AU97</f>
        <v/>
      </c>
      <c r="AV99" s="201">
        <f>+(AV98-AV97)/AV97</f>
        <v/>
      </c>
      <c r="AW99" s="184">
        <f>+(AW98-AW97)/AW97</f>
        <v/>
      </c>
      <c r="AX99" s="184">
        <f>+(AX98-AX97)/AX97</f>
        <v/>
      </c>
      <c r="AY99" s="184" t="n"/>
    </row>
    <row r="100" ht="22" customHeight="1">
      <c r="A100" s="303" t="n"/>
      <c r="B100" s="201" t="inlineStr">
        <is>
          <t>real % change</t>
        </is>
      </c>
      <c r="C100" s="230">
        <f>+C96-C99</f>
        <v/>
      </c>
      <c r="D100" s="230">
        <f>+D96-D99</f>
        <v/>
      </c>
      <c r="E100" s="230">
        <f>+E96-E99</f>
        <v/>
      </c>
      <c r="F100" s="230">
        <f>+F96-F99</f>
        <v/>
      </c>
      <c r="G100" s="230">
        <f>+G96-G99</f>
        <v/>
      </c>
      <c r="H100" s="230">
        <f>+H96-H99</f>
        <v/>
      </c>
      <c r="I100" s="230">
        <f>+I96-I99</f>
        <v/>
      </c>
      <c r="J100" s="230">
        <f>+J96-J99</f>
        <v/>
      </c>
      <c r="K100" s="230">
        <f>+K96-K99</f>
        <v/>
      </c>
      <c r="L100" s="230">
        <f>+L96-L99</f>
        <v/>
      </c>
      <c r="M100" s="230">
        <f>+M96-M99</f>
        <v/>
      </c>
      <c r="N100" s="230">
        <f>+N96-N99</f>
        <v/>
      </c>
      <c r="O100" s="230">
        <f>+O96-O99</f>
        <v/>
      </c>
      <c r="P100" s="230">
        <f>+P96-P99</f>
        <v/>
      </c>
      <c r="Q100" s="230">
        <f>+Q96-Q99</f>
        <v/>
      </c>
      <c r="R100" s="230">
        <f>+R96-R99</f>
        <v/>
      </c>
      <c r="S100" s="230">
        <f>+S96-S99</f>
        <v/>
      </c>
      <c r="T100" s="230">
        <f>+T96-T99</f>
        <v/>
      </c>
      <c r="U100" s="230">
        <f>+U96-U99</f>
        <v/>
      </c>
      <c r="V100" s="230">
        <f>+V96-V99</f>
        <v/>
      </c>
      <c r="W100" s="230">
        <f>+W96-W99</f>
        <v/>
      </c>
      <c r="X100" s="230">
        <f>+X96-X99</f>
        <v/>
      </c>
      <c r="Y100" s="230">
        <f>+Y96-Y99</f>
        <v/>
      </c>
      <c r="Z100" s="230">
        <f>+Z96-Z99</f>
        <v/>
      </c>
      <c r="AA100" s="230">
        <f>+AA96-AA99</f>
        <v/>
      </c>
      <c r="AB100" s="205">
        <f>+AB96-AB99</f>
        <v/>
      </c>
      <c r="AC100" s="205">
        <f>+AC96-AC99</f>
        <v/>
      </c>
      <c r="AD100" s="205">
        <f>+AD96-AD99</f>
        <v/>
      </c>
      <c r="AE100" s="205">
        <f>+AE96-AE99</f>
        <v/>
      </c>
      <c r="AF100" s="205">
        <f>+AF96-AF99</f>
        <v/>
      </c>
      <c r="AG100" s="205">
        <f>+AG96-AG99</f>
        <v/>
      </c>
      <c r="AH100" s="205">
        <f>+AH96-AH99</f>
        <v/>
      </c>
      <c r="AI100" s="205">
        <f>+AI96-AI99</f>
        <v/>
      </c>
      <c r="AJ100" s="205">
        <f>+AJ96-AJ99</f>
        <v/>
      </c>
      <c r="AK100" s="205">
        <f>+AK96-AK99</f>
        <v/>
      </c>
      <c r="AL100" s="205">
        <f>+AL96-AL99</f>
        <v/>
      </c>
      <c r="AM100" s="205">
        <f>+AM96-AM99</f>
        <v/>
      </c>
      <c r="AN100" s="205">
        <f>+AN96-AN99</f>
        <v/>
      </c>
      <c r="AO100" s="205">
        <f>+AO96-AO99</f>
        <v/>
      </c>
      <c r="AP100" s="205">
        <f>+AP96-AP99</f>
        <v/>
      </c>
      <c r="AQ100" s="205">
        <f>+AQ96-AQ99</f>
        <v/>
      </c>
      <c r="AR100" s="205">
        <f>+AR96-AR99</f>
        <v/>
      </c>
      <c r="AS100" s="205">
        <f>+AS96-AS99</f>
        <v/>
      </c>
      <c r="AT100" s="205">
        <f>+AT96-AT99</f>
        <v/>
      </c>
      <c r="AU100" s="205">
        <f>+AU96-AU99</f>
        <v/>
      </c>
      <c r="AV100" s="201">
        <f>+AV96-AV99</f>
        <v/>
      </c>
      <c r="AW100" s="184">
        <f>+AW96-AW99</f>
        <v/>
      </c>
      <c r="AX100" s="184">
        <f>+AX96-AX99</f>
        <v/>
      </c>
      <c r="AY100" s="184" t="n"/>
    </row>
    <row r="101" ht="22" customHeight="1">
      <c r="A101" s="304" t="n"/>
      <c r="B101" s="206" t="inlineStr">
        <is>
          <t>Rating</t>
        </is>
      </c>
      <c r="C101" s="232">
        <f>_xlfn.XLOOKUP(MIN(ABS($BJ$7:$BJ$29 - MEDIAN(MIN($BJ$7:$BJ$29), MAX($BJ$7:$BJ$29), C100))), ABS($BJ$7:$BJ$29 - MEDIAN(MIN($BJ$7:$BJ$29), MAX($BJ$7:$BJ$29), C100)), $BK$7:$BK$29, "Error", 0)</f>
        <v/>
      </c>
      <c r="D101" s="232">
        <f>_xlfn.XLOOKUP(MIN(ABS($BJ$7:$BJ$29 - MEDIAN(MIN($BJ$7:$BJ$29), MAX($BJ$7:$BJ$29), D100))), ABS($BJ$7:$BJ$29 - MEDIAN(MIN($BJ$7:$BJ$29), MAX($BJ$7:$BJ$29), D100)), $BK$7:$BK$29, "Error", 0)</f>
        <v/>
      </c>
      <c r="E101" s="232">
        <f>_xlfn.XLOOKUP(MIN(ABS($BJ$7:$BJ$29 - MEDIAN(MIN($BJ$7:$BJ$29), MAX($BJ$7:$BJ$29), E100))), ABS($BJ$7:$BJ$29 - MEDIAN(MIN($BJ$7:$BJ$29), MAX($BJ$7:$BJ$29), E100)), $BK$7:$BK$29, "Error", 0)</f>
        <v/>
      </c>
      <c r="F101" s="232">
        <f>_xlfn.XLOOKUP(MIN(ABS($BJ$7:$BJ$29 - MEDIAN(MIN($BJ$7:$BJ$29), MAX($BJ$7:$BJ$29), F100))), ABS($BJ$7:$BJ$29 - MEDIAN(MIN($BJ$7:$BJ$29), MAX($BJ$7:$BJ$29), F100)), $BK$7:$BK$29, "Error", 0)</f>
        <v/>
      </c>
      <c r="G101" s="232">
        <f>_xlfn.XLOOKUP(MIN(ABS($BJ$7:$BJ$29 - MEDIAN(MIN($BJ$7:$BJ$29), MAX($BJ$7:$BJ$29), G100))), ABS($BJ$7:$BJ$29 - MEDIAN(MIN($BJ$7:$BJ$29), MAX($BJ$7:$BJ$29), G100)), $BK$7:$BK$29, "Error", 0)</f>
        <v/>
      </c>
      <c r="H101" s="232">
        <f>_xlfn.XLOOKUP(MIN(ABS($BJ$7:$BJ$29 - MEDIAN(MIN($BJ$7:$BJ$29), MAX($BJ$7:$BJ$29), H100))), ABS($BJ$7:$BJ$29 - MEDIAN(MIN($BJ$7:$BJ$29), MAX($BJ$7:$BJ$29), H100)), $BK$7:$BK$29, "Error", 0)</f>
        <v/>
      </c>
      <c r="I101" s="232">
        <f>_xlfn.XLOOKUP(MIN(ABS($BJ$7:$BJ$29 - MEDIAN(MIN($BJ$7:$BJ$29), MAX($BJ$7:$BJ$29), I100))), ABS($BJ$7:$BJ$29 - MEDIAN(MIN($BJ$7:$BJ$29), MAX($BJ$7:$BJ$29), I100)), $BK$7:$BK$29, "Error", 0)</f>
        <v/>
      </c>
      <c r="J101" s="232">
        <f>_xlfn.XLOOKUP(MIN(ABS($BJ$7:$BJ$29 - MEDIAN(MIN($BJ$7:$BJ$29), MAX($BJ$7:$BJ$29), J100))), ABS($BJ$7:$BJ$29 - MEDIAN(MIN($BJ$7:$BJ$29), MAX($BJ$7:$BJ$29), J100)), $BK$7:$BK$29, "Error", 0)</f>
        <v/>
      </c>
      <c r="K101" s="232">
        <f>_xlfn.XLOOKUP(MIN(ABS($BJ$7:$BJ$29 - MEDIAN(MIN($BJ$7:$BJ$29), MAX($BJ$7:$BJ$29), K100))), ABS($BJ$7:$BJ$29 - MEDIAN(MIN($BJ$7:$BJ$29), MAX($BJ$7:$BJ$29), K100)), $BK$7:$BK$29, "Error", 0)</f>
        <v/>
      </c>
      <c r="L101" s="232">
        <f>_xlfn.XLOOKUP(MIN(ABS($BJ$7:$BJ$29 - MEDIAN(MIN($BJ$7:$BJ$29), MAX($BJ$7:$BJ$29), L100))), ABS($BJ$7:$BJ$29 - MEDIAN(MIN($BJ$7:$BJ$29), MAX($BJ$7:$BJ$29), L100)), $BK$7:$BK$29, "Error", 0)</f>
        <v/>
      </c>
      <c r="M101" s="232">
        <f>_xlfn.XLOOKUP(MIN(ABS($BJ$7:$BJ$29 - MEDIAN(MIN($BJ$7:$BJ$29), MAX($BJ$7:$BJ$29), M100))), ABS($BJ$7:$BJ$29 - MEDIAN(MIN($BJ$7:$BJ$29), MAX($BJ$7:$BJ$29), M100)), $BK$7:$BK$29, "Error", 0)</f>
        <v/>
      </c>
      <c r="N101" s="232">
        <f>_xlfn.XLOOKUP(MIN(ABS($BJ$7:$BJ$29 - MEDIAN(MIN($BJ$7:$BJ$29), MAX($BJ$7:$BJ$29), N100))), ABS($BJ$7:$BJ$29 - MEDIAN(MIN($BJ$7:$BJ$29), MAX($BJ$7:$BJ$29), N100)), $BK$7:$BK$29, "Error", 0)</f>
        <v/>
      </c>
      <c r="O101" s="232">
        <f>_xlfn.XLOOKUP(MIN(ABS($BJ$7:$BJ$29 - MEDIAN(MIN($BJ$7:$BJ$29), MAX($BJ$7:$BJ$29), O100))), ABS($BJ$7:$BJ$29 - MEDIAN(MIN($BJ$7:$BJ$29), MAX($BJ$7:$BJ$29), O100)), $BK$7:$BK$29, "Error", 0)</f>
        <v/>
      </c>
      <c r="P101" s="232">
        <f>_xlfn.XLOOKUP(MIN(ABS($BJ$7:$BJ$29 - MEDIAN(MIN($BJ$7:$BJ$29), MAX($BJ$7:$BJ$29), P100))), ABS($BJ$7:$BJ$29 - MEDIAN(MIN($BJ$7:$BJ$29), MAX($BJ$7:$BJ$29), P100)), $BK$7:$BK$29, "Error", 0)</f>
        <v/>
      </c>
      <c r="Q101" s="232">
        <f>_xlfn.XLOOKUP(MIN(ABS($BJ$7:$BJ$29 - MEDIAN(MIN($BJ$7:$BJ$29), MAX($BJ$7:$BJ$29), Q100))), ABS($BJ$7:$BJ$29 - MEDIAN(MIN($BJ$7:$BJ$29), MAX($BJ$7:$BJ$29), Q100)), $BK$7:$BK$29, "Error", 0)</f>
        <v/>
      </c>
      <c r="R101" s="232">
        <f>_xlfn.XLOOKUP(MIN(ABS($BJ$7:$BJ$29 - MEDIAN(MIN($BJ$7:$BJ$29), MAX($BJ$7:$BJ$29), R100))), ABS($BJ$7:$BJ$29 - MEDIAN(MIN($BJ$7:$BJ$29), MAX($BJ$7:$BJ$29), R100)), $BK$7:$BK$29, "Error", 0)</f>
        <v/>
      </c>
      <c r="S101" s="232">
        <f>_xlfn.XLOOKUP(MIN(ABS($BJ$7:$BJ$29 - MEDIAN(MIN($BJ$7:$BJ$29), MAX($BJ$7:$BJ$29), S100))), ABS($BJ$7:$BJ$29 - MEDIAN(MIN($BJ$7:$BJ$29), MAX($BJ$7:$BJ$29), S100)), $BK$7:$BK$29, "Error", 0)</f>
        <v/>
      </c>
      <c r="T101" s="232">
        <f>_xlfn.XLOOKUP(MIN(ABS($BJ$7:$BJ$29 - MEDIAN(MIN($BJ$7:$BJ$29), MAX($BJ$7:$BJ$29), T100))), ABS($BJ$7:$BJ$29 - MEDIAN(MIN($BJ$7:$BJ$29), MAX($BJ$7:$BJ$29), T100)), $BK$7:$BK$29, "Error", 0)</f>
        <v/>
      </c>
      <c r="U101" s="232">
        <f>_xlfn.XLOOKUP(MIN(ABS($BJ$7:$BJ$29 - MEDIAN(MIN($BJ$7:$BJ$29), MAX($BJ$7:$BJ$29), U100))), ABS($BJ$7:$BJ$29 - MEDIAN(MIN($BJ$7:$BJ$29), MAX($BJ$7:$BJ$29), U100)), $BK$7:$BK$29, "Error", 0)</f>
        <v/>
      </c>
      <c r="V101" s="232">
        <f>_xlfn.XLOOKUP(MIN(ABS($BJ$7:$BJ$29 - MEDIAN(MIN($BJ$7:$BJ$29), MAX($BJ$7:$BJ$29), V100))), ABS($BJ$7:$BJ$29 - MEDIAN(MIN($BJ$7:$BJ$29), MAX($BJ$7:$BJ$29), V100)), $BK$7:$BK$29, "Error", 0)</f>
        <v/>
      </c>
      <c r="W101" s="232">
        <f>_xlfn.XLOOKUP(MIN(ABS($BJ$7:$BJ$29 - MEDIAN(MIN($BJ$7:$BJ$29), MAX($BJ$7:$BJ$29), W100))), ABS($BJ$7:$BJ$29 - MEDIAN(MIN($BJ$7:$BJ$29), MAX($BJ$7:$BJ$29), W100)), $BK$7:$BK$29, "Error", 0)</f>
        <v/>
      </c>
      <c r="X101" s="232">
        <f>_xlfn.XLOOKUP(MIN(ABS($BJ$7:$BJ$29 - MEDIAN(MIN($BJ$7:$BJ$29), MAX($BJ$7:$BJ$29), X100))), ABS($BJ$7:$BJ$29 - MEDIAN(MIN($BJ$7:$BJ$29), MAX($BJ$7:$BJ$29), X100)), $BK$7:$BK$29, "Error", 0)</f>
        <v/>
      </c>
      <c r="Y101" s="232">
        <f>_xlfn.XLOOKUP(MIN(ABS($BJ$7:$BJ$29 - MEDIAN(MIN($BJ$7:$BJ$29), MAX($BJ$7:$BJ$29), Y100))), ABS($BJ$7:$BJ$29 - MEDIAN(MIN($BJ$7:$BJ$29), MAX($BJ$7:$BJ$29), Y100)), $BK$7:$BK$29, "Error", 0)</f>
        <v/>
      </c>
      <c r="Z101" s="232">
        <f>_xlfn.XLOOKUP(MIN(ABS($BJ$7:$BJ$29 - MEDIAN(MIN($BJ$7:$BJ$29), MAX($BJ$7:$BJ$29), Z100))), ABS($BJ$7:$BJ$29 - MEDIAN(MIN($BJ$7:$BJ$29), MAX($BJ$7:$BJ$29), Z100)), $BK$7:$BK$29, "Error", 0)</f>
        <v/>
      </c>
      <c r="AA101" s="232">
        <f>_xlfn.XLOOKUP(MIN(ABS($BJ$7:$BJ$29 - MEDIAN(MIN($BJ$7:$BJ$29), MAX($BJ$7:$BJ$29), AA100))), ABS($BJ$7:$BJ$29 - MEDIAN(MIN($BJ$7:$BJ$29), MAX($BJ$7:$BJ$29), AA100)), $BK$7:$BK$29, "Error", 0)</f>
        <v/>
      </c>
      <c r="AB101" s="171">
        <f>_xlfn.XLOOKUP(MIN(ABS($BJ$7:$BJ$29 - MEDIAN(MIN($BJ$7:$BJ$29), MAX($BJ$7:$BJ$29), AB100))), ABS($BJ$7:$BJ$29 - MEDIAN(MIN($BJ$7:$BJ$29), MAX($BJ$7:$BJ$29), AB100)), $BK$7:$BK$29, "Error", 0)</f>
        <v/>
      </c>
      <c r="AC101" s="171">
        <f>_xlfn.XLOOKUP(MIN(ABS($BJ$7:$BJ$29 - MEDIAN(MIN($BJ$7:$BJ$29), MAX($BJ$7:$BJ$29), AC100))), ABS($BJ$7:$BJ$29 - MEDIAN(MIN($BJ$7:$BJ$29), MAX($BJ$7:$BJ$29), AC100)), $BK$7:$BK$29, "Error", 0)</f>
        <v/>
      </c>
      <c r="AD101" s="171">
        <f>_xlfn.XLOOKUP(MIN(ABS($BJ$7:$BJ$29 - MEDIAN(MIN($BJ$7:$BJ$29), MAX($BJ$7:$BJ$29), AD100))), ABS($BJ$7:$BJ$29 - MEDIAN(MIN($BJ$7:$BJ$29), MAX($BJ$7:$BJ$29), AD100)), $BK$7:$BK$29, "Error", 0)</f>
        <v/>
      </c>
      <c r="AE101" s="171">
        <f>_xlfn.XLOOKUP(MIN(ABS($BJ$7:$BJ$29 - MEDIAN(MIN($BJ$7:$BJ$29), MAX($BJ$7:$BJ$29), AE100))), ABS($BJ$7:$BJ$29 - MEDIAN(MIN($BJ$7:$BJ$29), MAX($BJ$7:$BJ$29), AE100)), $BK$7:$BK$29, "Error", 0)</f>
        <v/>
      </c>
      <c r="AF101" s="171">
        <f>_xlfn.XLOOKUP(MIN(ABS($BJ$7:$BJ$29 - MEDIAN(MIN($BJ$7:$BJ$29), MAX($BJ$7:$BJ$29), AF100))), ABS($BJ$7:$BJ$29 - MEDIAN(MIN($BJ$7:$BJ$29), MAX($BJ$7:$BJ$29), AF100)), $BK$7:$BK$29, "Error", 0)</f>
        <v/>
      </c>
      <c r="AG101" s="171">
        <f>_xlfn.XLOOKUP(MIN(ABS($BJ$7:$BJ$29 - MEDIAN(MIN($BJ$7:$BJ$29), MAX($BJ$7:$BJ$29), AG100))), ABS($BJ$7:$BJ$29 - MEDIAN(MIN($BJ$7:$BJ$29), MAX($BJ$7:$BJ$29), AG100)), $BK$7:$BK$29, "Error", 0)</f>
        <v/>
      </c>
      <c r="AH101" s="171">
        <f>_xlfn.XLOOKUP(MIN(ABS($BJ$7:$BJ$29 - MEDIAN(MIN($BJ$7:$BJ$29), MAX($BJ$7:$BJ$29), AH100))), ABS($BJ$7:$BJ$29 - MEDIAN(MIN($BJ$7:$BJ$29), MAX($BJ$7:$BJ$29), AH100)), $BK$7:$BK$29, "Error", 0)</f>
        <v/>
      </c>
      <c r="AI101" s="171">
        <f>_xlfn.XLOOKUP(MIN(ABS($BJ$7:$BJ$29 - MEDIAN(MIN($BJ$7:$BJ$29), MAX($BJ$7:$BJ$29), AI100))), ABS($BJ$7:$BJ$29 - MEDIAN(MIN($BJ$7:$BJ$29), MAX($BJ$7:$BJ$29), AI100)), $BK$7:$BK$29, "Error", 0)</f>
        <v/>
      </c>
      <c r="AJ101" s="171">
        <f>_xlfn.XLOOKUP(MIN(ABS($BJ$7:$BJ$29 - MEDIAN(MIN($BJ$7:$BJ$29), MAX($BJ$7:$BJ$29), AJ100))), ABS($BJ$7:$BJ$29 - MEDIAN(MIN($BJ$7:$BJ$29), MAX($BJ$7:$BJ$29), AJ100)), $BK$7:$BK$29, "Error", 0)</f>
        <v/>
      </c>
      <c r="AK101" s="171">
        <f>_xlfn.XLOOKUP(MIN(ABS($BJ$7:$BJ$29 - MEDIAN(MIN($BJ$7:$BJ$29), MAX($BJ$7:$BJ$29), AK100))), ABS($BJ$7:$BJ$29 - MEDIAN(MIN($BJ$7:$BJ$29), MAX($BJ$7:$BJ$29), AK100)), $BK$7:$BK$29, "Error", 0)</f>
        <v/>
      </c>
      <c r="AL101" s="171">
        <f>_xlfn.XLOOKUP(MIN(ABS($BJ$7:$BJ$29 - MEDIAN(MIN($BJ$7:$BJ$29), MAX($BJ$7:$BJ$29), AL100))), ABS($BJ$7:$BJ$29 - MEDIAN(MIN($BJ$7:$BJ$29), MAX($BJ$7:$BJ$29), AL100)), $BK$7:$BK$29, "Error", 0)</f>
        <v/>
      </c>
      <c r="AM101" s="171">
        <f>_xlfn.XLOOKUP(MIN(ABS($BJ$7:$BJ$29 - MEDIAN(MIN($BJ$7:$BJ$29), MAX($BJ$7:$BJ$29), AM100))), ABS($BJ$7:$BJ$29 - MEDIAN(MIN($BJ$7:$BJ$29), MAX($BJ$7:$BJ$29), AM100)), $BK$7:$BK$29, "Error", 0)</f>
        <v/>
      </c>
      <c r="AN101" s="171">
        <f>_xlfn.XLOOKUP(MIN(ABS($BJ$7:$BJ$29 - MEDIAN(MIN($BJ$7:$BJ$29), MAX($BJ$7:$BJ$29), AN100))), ABS($BJ$7:$BJ$29 - MEDIAN(MIN($BJ$7:$BJ$29), MAX($BJ$7:$BJ$29), AN100)), $BK$7:$BK$29, "Error", 0)</f>
        <v/>
      </c>
      <c r="AO101" s="171">
        <f>_xlfn.XLOOKUP(MIN(ABS($BJ$7:$BJ$29 - MEDIAN(MIN($BJ$7:$BJ$29), MAX($BJ$7:$BJ$29), AO100))), ABS($BJ$7:$BJ$29 - MEDIAN(MIN($BJ$7:$BJ$29), MAX($BJ$7:$BJ$29), AO100)), $BK$7:$BK$29, "Error", 0)</f>
        <v/>
      </c>
      <c r="AP101" s="171">
        <f>_xlfn.XLOOKUP(MIN(ABS($BJ$7:$BJ$29 - MEDIAN(MIN($BJ$7:$BJ$29), MAX($BJ$7:$BJ$29), AP100))), ABS($BJ$7:$BJ$29 - MEDIAN(MIN($BJ$7:$BJ$29), MAX($BJ$7:$BJ$29), AP100)), $BK$7:$BK$29, "Error", 0)</f>
        <v/>
      </c>
      <c r="AQ101" s="171">
        <f>_xlfn.XLOOKUP(MIN(ABS($BJ$7:$BJ$29 - MEDIAN(MIN($BJ$7:$BJ$29), MAX($BJ$7:$BJ$29), AQ100))), ABS($BJ$7:$BJ$29 - MEDIAN(MIN($BJ$7:$BJ$29), MAX($BJ$7:$BJ$29), AQ100)), $BK$7:$BK$29, "Error", 0)</f>
        <v/>
      </c>
      <c r="AR101" s="171">
        <f>_xlfn.XLOOKUP(MIN(ABS($BJ$7:$BJ$29 - MEDIAN(MIN($BJ$7:$BJ$29), MAX($BJ$7:$BJ$29), AR100))), ABS($BJ$7:$BJ$29 - MEDIAN(MIN($BJ$7:$BJ$29), MAX($BJ$7:$BJ$29), AR100)), $BK$7:$BK$29, "Error", 0)</f>
        <v/>
      </c>
      <c r="AS101" s="171">
        <f>_xlfn.XLOOKUP(MIN(ABS($BJ$7:$BJ$29 - MEDIAN(MIN($BJ$7:$BJ$29), MAX($BJ$7:$BJ$29), AS100))), ABS($BJ$7:$BJ$29 - MEDIAN(MIN($BJ$7:$BJ$29), MAX($BJ$7:$BJ$29), AS100)), $BK$7:$BK$29, "Error", 0)</f>
        <v/>
      </c>
      <c r="AT101" s="171">
        <f>_xlfn.XLOOKUP(MIN(ABS($BJ$7:$BJ$29 - MEDIAN(MIN($BJ$7:$BJ$29), MAX($BJ$7:$BJ$29), AT100))), ABS($BJ$7:$BJ$29 - MEDIAN(MIN($BJ$7:$BJ$29), MAX($BJ$7:$BJ$29), AT100)), $BK$7:$BK$29, "Error", 0)</f>
        <v/>
      </c>
      <c r="AU101" s="171">
        <f>_xlfn.XLOOKUP(MIN(ABS($BJ$7:$BJ$29 - MEDIAN(MIN($BJ$7:$BJ$29), MAX($BJ$7:$BJ$29), AU100))), ABS($BJ$7:$BJ$29 - MEDIAN(MIN($BJ$7:$BJ$29), MAX($BJ$7:$BJ$29), AU100)), $BK$7:$BK$29, "Error", 0)</f>
        <v/>
      </c>
      <c r="AV101" s="206">
        <f>_xlfn.XLOOKUP(MIN(ABS($BJ$7:$BJ$29 - MEDIAN(MIN($BJ$7:$BJ$29), MAX($BJ$7:$BJ$29), AV100))), ABS($BJ$7:$BJ$29 - MEDIAN(MIN($BJ$7:$BJ$29), MAX($BJ$7:$BJ$29), AV100)), $BK$7:$BK$29, "Error", 0)</f>
        <v/>
      </c>
      <c r="AW101" s="184">
        <f>_xlfn.XLOOKUP(MIN(ABS($BJ$7:$BJ$29 - MEDIAN(MIN($BJ$7:$BJ$29), MAX($BJ$7:$BJ$29), AW100))), ABS($BJ$7:$BJ$29 - MEDIAN(MIN($BJ$7:$BJ$29), MAX($BJ$7:$BJ$29), AW100)), $BK$7:$BK$29, "Error", 0)</f>
        <v/>
      </c>
      <c r="AX101" s="184">
        <f>_xlfn.XLOOKUP(MIN(ABS($BJ$7:$BJ$29 - MEDIAN(MIN($BJ$7:$BJ$29), MAX($BJ$7:$BJ$29), AX100))), ABS($BJ$7:$BJ$29 - MEDIAN(MIN($BJ$7:$BJ$29), MAX($BJ$7:$BJ$29), AX100)), $BK$7:$BK$29, "Error", 0)</f>
        <v/>
      </c>
      <c r="AY101" s="184" t="n"/>
    </row>
    <row r="102" ht="44" customHeight="1">
      <c r="A102" s="305" t="inlineStr">
        <is>
          <t>GBP CHF</t>
        </is>
      </c>
      <c r="B102" s="200" t="inlineStr">
        <is>
          <t>All time High (CL)</t>
        </is>
      </c>
      <c r="C102" s="233" t="n">
        <v>16709.87200084468</v>
      </c>
      <c r="D102" s="233" t="n">
        <v>16709.87200084468</v>
      </c>
      <c r="E102" s="233" t="n">
        <v>16709.87200084468</v>
      </c>
      <c r="F102" s="233" t="n">
        <v>16709.87200084468</v>
      </c>
      <c r="G102" s="233" t="n">
        <v>16709.87200084468</v>
      </c>
      <c r="H102" s="233" t="n">
        <v>16709.87200084468</v>
      </c>
      <c r="I102" s="233" t="n">
        <v>16709.87200084468</v>
      </c>
      <c r="J102" s="233" t="n">
        <v>16709.87200084468</v>
      </c>
      <c r="K102" s="233" t="n">
        <v>16709.87200084468</v>
      </c>
      <c r="L102" s="233" t="n">
        <v>16709.87200084468</v>
      </c>
      <c r="M102" s="233" t="n">
        <v>16709.87200084468</v>
      </c>
      <c r="N102" s="233" t="n">
        <v>16709.87200084468</v>
      </c>
      <c r="O102" s="233" t="n">
        <v>16709.87200084468</v>
      </c>
      <c r="P102" s="233" t="n">
        <v>16709.87200084468</v>
      </c>
      <c r="Q102" s="233" t="n">
        <v>16709.87200084468</v>
      </c>
      <c r="R102" s="233" t="n">
        <v>16709.87200084468</v>
      </c>
      <c r="S102" s="233" t="n">
        <v>16709.87200084468</v>
      </c>
      <c r="T102" s="233" t="n">
        <v>16709.87200084468</v>
      </c>
      <c r="U102" s="233" t="n">
        <v>16709.87200084468</v>
      </c>
      <c r="V102" s="233" t="n">
        <v>16709.87200084468</v>
      </c>
      <c r="W102" s="233" t="n">
        <v>16709.87200084468</v>
      </c>
      <c r="X102" s="233" t="n">
        <v>16709.87200084468</v>
      </c>
      <c r="Y102" s="233" t="n">
        <v>16709.87200084468</v>
      </c>
      <c r="Z102" s="233" t="n">
        <v>16709.87200084468</v>
      </c>
      <c r="AA102" s="204" t="n">
        <v>16709.87200084468</v>
      </c>
      <c r="AB102" s="204" t="n">
        <v>16709.87200084468</v>
      </c>
      <c r="AC102" s="204" t="n">
        <v>16709.87200084468</v>
      </c>
      <c r="AD102" s="204" t="n">
        <v>16709.87200084468</v>
      </c>
      <c r="AE102" s="204" t="n">
        <v>16709.87200084468</v>
      </c>
      <c r="AF102" s="204" t="n">
        <v>16709.87200084468</v>
      </c>
      <c r="AG102" s="204" t="n">
        <v>16709.87200084468</v>
      </c>
      <c r="AH102" s="204" t="n">
        <v>16709.87200084468</v>
      </c>
      <c r="AI102" s="204" t="n">
        <v>16709.87200084468</v>
      </c>
      <c r="AJ102" s="204" t="n">
        <v>16709.87200084468</v>
      </c>
      <c r="AK102" s="204" t="n">
        <v>16709.87200084468</v>
      </c>
      <c r="AL102" s="204" t="n">
        <v>16709.87200084468</v>
      </c>
      <c r="AM102" s="204" t="n">
        <v>16709.87200084468</v>
      </c>
      <c r="AN102" s="204" t="n">
        <v>16709.87200084468</v>
      </c>
      <c r="AO102" s="204" t="n">
        <v>16709.87200084468</v>
      </c>
      <c r="AP102" s="204" t="n">
        <v>16709.87200084468</v>
      </c>
      <c r="AQ102" s="204" t="n">
        <v>16709.87200084468</v>
      </c>
      <c r="AR102" s="204" t="n">
        <v>16709.87200084468</v>
      </c>
      <c r="AS102" s="204" t="n">
        <v>16709.87200084468</v>
      </c>
      <c r="AT102" s="204" t="n">
        <v>16709.87200084468</v>
      </c>
      <c r="AU102" s="204" t="n">
        <v>16709.87200084468</v>
      </c>
      <c r="AV102" s="200" t="n">
        <v>16709.87200084468</v>
      </c>
      <c r="AW102" s="184" t="n">
        <v>16709.87200084468</v>
      </c>
      <c r="AX102" s="184" t="n">
        <v>16709.87200084468</v>
      </c>
      <c r="AY102" s="184" t="n"/>
    </row>
    <row r="103" ht="22" customHeight="1">
      <c r="A103" s="303" t="n"/>
      <c r="B103" s="201" t="inlineStr">
        <is>
          <t>current price</t>
        </is>
      </c>
      <c r="C103" s="233" t="n">
        <v>8880.099824281759</v>
      </c>
      <c r="D103" s="233" t="n">
        <v>8886.514147133683</v>
      </c>
      <c r="E103" s="233" t="n">
        <v>8633.51386918698</v>
      </c>
      <c r="F103" s="233" t="n">
        <v>8849.702904428064</v>
      </c>
      <c r="G103" s="233" t="n">
        <v>8373.214391779737</v>
      </c>
      <c r="H103" s="233" t="n">
        <v>8541.775520324707</v>
      </c>
      <c r="I103" s="233" t="n">
        <v>8607.852227227995</v>
      </c>
      <c r="J103" s="233" t="n">
        <v>8303.151734334242</v>
      </c>
      <c r="K103" s="233" t="n">
        <v>8493.682975143776</v>
      </c>
      <c r="L103" s="233" t="n">
        <v>8034.760984833702</v>
      </c>
      <c r="M103" s="233" t="n">
        <v>8261.791608261759</v>
      </c>
      <c r="N103" s="233" t="n">
        <v>8282.257254305645</v>
      </c>
      <c r="O103" s="233" t="n">
        <v>8347.723549316928</v>
      </c>
      <c r="P103" s="233" t="n">
        <v>8488.069931268692</v>
      </c>
      <c r="Q103" s="233" t="n">
        <v>9055.625797942048</v>
      </c>
      <c r="R103" s="233" t="n">
        <v>9315.140304755303</v>
      </c>
      <c r="S103" s="233" t="n">
        <v>9515.137763583334</v>
      </c>
      <c r="T103" s="233" t="n">
        <v>9328.301257421728</v>
      </c>
      <c r="U103" s="233" t="n">
        <v>9474.667593002319</v>
      </c>
      <c r="V103" s="233" t="n">
        <v>9344.096640578471</v>
      </c>
      <c r="W103" s="233" t="n">
        <v>9272.638320446014</v>
      </c>
      <c r="X103" s="233" t="n">
        <v>9105.127973593189</v>
      </c>
      <c r="Y103" s="233" t="n">
        <v>9295.035724910558</v>
      </c>
      <c r="Z103" s="233" t="n">
        <v>9262.869670033455</v>
      </c>
      <c r="AA103" s="204" t="n">
        <v>9800.31915974617</v>
      </c>
      <c r="AB103" s="204" t="n">
        <v>9987.733660648693</v>
      </c>
      <c r="AC103" s="204" t="n">
        <v>9780.787098993314</v>
      </c>
      <c r="AD103" s="204" t="n">
        <v>9380.154122683452</v>
      </c>
      <c r="AE103" s="204" t="n">
        <v>9703.415278550005</v>
      </c>
      <c r="AF103" s="204" t="n">
        <v>9593.996038079262</v>
      </c>
      <c r="AG103" s="204" t="n">
        <v>9845.52353593579</v>
      </c>
      <c r="AH103" s="204" t="n">
        <v>9931.103921408067</v>
      </c>
      <c r="AI103" s="204" t="n">
        <v>10017.08421669435</v>
      </c>
      <c r="AJ103" s="204" t="n">
        <v>10249.0308788832</v>
      </c>
      <c r="AK103" s="204" t="n">
        <v>10336.77999293804</v>
      </c>
      <c r="AL103" s="204" t="n">
        <v>10589.05817229627</v>
      </c>
      <c r="AM103" s="204" t="n">
        <v>10811.35129874945</v>
      </c>
      <c r="AN103" s="204" t="n">
        <v>11380.40942963376</v>
      </c>
      <c r="AO103" s="204" t="n">
        <v>10720.53570979834</v>
      </c>
      <c r="AP103" s="204" t="n">
        <v>11065.87653784011</v>
      </c>
      <c r="AQ103" s="204" t="n">
        <v>10934.96981212625</v>
      </c>
      <c r="AR103" s="204" t="n">
        <v>11233.99564957246</v>
      </c>
      <c r="AS103" s="204" t="n">
        <v>11786.4535392297</v>
      </c>
      <c r="AT103" s="204" t="n">
        <v>11853.90669505065</v>
      </c>
      <c r="AU103" s="204" t="n">
        <v>11736.96681553125</v>
      </c>
      <c r="AV103" s="201" t="n">
        <v>11736.96681553125</v>
      </c>
      <c r="AW103" s="184" t="n">
        <v>11736.96681553125</v>
      </c>
      <c r="AX103" s="184" t="n">
        <v>11736.96681553125</v>
      </c>
      <c r="AY103" s="184" t="n"/>
    </row>
    <row r="104" ht="22" customHeight="1">
      <c r="A104" s="303" t="n"/>
      <c r="B104" s="201" t="inlineStr">
        <is>
          <t>% CHANGE</t>
        </is>
      </c>
      <c r="C104" s="230">
        <f>+(C103-C102)/C102</f>
        <v/>
      </c>
      <c r="D104" s="230">
        <f>+(D103-D102)/D102</f>
        <v/>
      </c>
      <c r="E104" s="230">
        <f>+(E103-E102)/E102</f>
        <v/>
      </c>
      <c r="F104" s="230">
        <f>+(F103-F102)/F102</f>
        <v/>
      </c>
      <c r="G104" s="230">
        <f>+(G103-G102)/G102</f>
        <v/>
      </c>
      <c r="H104" s="230">
        <f>+(H103-H102)/H102</f>
        <v/>
      </c>
      <c r="I104" s="230">
        <f>+(I103-I102)/I102</f>
        <v/>
      </c>
      <c r="J104" s="230">
        <f>+(J103-J102)/J102</f>
        <v/>
      </c>
      <c r="K104" s="230">
        <f>+(K103-K102)/K102</f>
        <v/>
      </c>
      <c r="L104" s="230">
        <f>+(L103-L102)/L102</f>
        <v/>
      </c>
      <c r="M104" s="230">
        <f>+(M103-M102)/M102</f>
        <v/>
      </c>
      <c r="N104" s="230">
        <f>+(N103-N102)/N102</f>
        <v/>
      </c>
      <c r="O104" s="230">
        <f>+(O103-O102)/O102</f>
        <v/>
      </c>
      <c r="P104" s="230">
        <f>+(P103-P102)/P102</f>
        <v/>
      </c>
      <c r="Q104" s="230">
        <f>+(Q103-Q102)/Q102</f>
        <v/>
      </c>
      <c r="R104" s="230">
        <f>+(R103-R102)/R102</f>
        <v/>
      </c>
      <c r="S104" s="230">
        <f>+(S103-S102)/S102</f>
        <v/>
      </c>
      <c r="T104" s="230">
        <f>+(T103-T102)/T102</f>
        <v/>
      </c>
      <c r="U104" s="230">
        <f>+(U103-U102)/U102</f>
        <v/>
      </c>
      <c r="V104" s="230">
        <f>+(V103-V102)/V102</f>
        <v/>
      </c>
      <c r="W104" s="230">
        <f>+(W103-W102)/W102</f>
        <v/>
      </c>
      <c r="X104" s="230">
        <f>+(X103-X102)/X102</f>
        <v/>
      </c>
      <c r="Y104" s="230">
        <f>+(Y103-Y102)/Y102</f>
        <v/>
      </c>
      <c r="Z104" s="230">
        <f>+(Z103-Z102)/Z102</f>
        <v/>
      </c>
      <c r="AA104" s="230">
        <f>+(AA103-AA102)/AA102</f>
        <v/>
      </c>
      <c r="AB104" s="205">
        <f>+(AB103-AB102)/AB102</f>
        <v/>
      </c>
      <c r="AC104" s="205">
        <f>+(AC103-AC102)/AC102</f>
        <v/>
      </c>
      <c r="AD104" s="205">
        <f>+(AD103-AD102)/AD102</f>
        <v/>
      </c>
      <c r="AE104" s="205">
        <f>+(AE103-AE102)/AE102</f>
        <v/>
      </c>
      <c r="AF104" s="205">
        <f>+(AF103-AF102)/AF102</f>
        <v/>
      </c>
      <c r="AG104" s="205">
        <f>+(AG103-AG102)/AG102</f>
        <v/>
      </c>
      <c r="AH104" s="205">
        <f>+(AH103-AH102)/AH102</f>
        <v/>
      </c>
      <c r="AI104" s="205">
        <f>+(AI103-AI102)/AI102</f>
        <v/>
      </c>
      <c r="AJ104" s="205">
        <f>+(AJ103-AJ102)/AJ102</f>
        <v/>
      </c>
      <c r="AK104" s="205">
        <f>+(AK103-AK102)/AK102</f>
        <v/>
      </c>
      <c r="AL104" s="205">
        <f>+(AL103-AL102)/AL102</f>
        <v/>
      </c>
      <c r="AM104" s="205">
        <f>+(AM103-AM102)/AM102</f>
        <v/>
      </c>
      <c r="AN104" s="205">
        <f>+(AN103-AN102)/AN102</f>
        <v/>
      </c>
      <c r="AO104" s="205">
        <f>+(AO103-AO102)/AO102</f>
        <v/>
      </c>
      <c r="AP104" s="205">
        <f>+(AP103-AP102)/AP102</f>
        <v/>
      </c>
      <c r="AQ104" s="205">
        <f>+(AQ103-AQ102)/AQ102</f>
        <v/>
      </c>
      <c r="AR104" s="205">
        <f>+(AR103-AR102)/AR102</f>
        <v/>
      </c>
      <c r="AS104" s="205">
        <f>+(AS103-AS102)/AS102</f>
        <v/>
      </c>
      <c r="AT104" s="205">
        <f>+(AT103-AT102)/AT102</f>
        <v/>
      </c>
      <c r="AU104" s="205">
        <f>+(AU103-AU102)/AU102</f>
        <v/>
      </c>
      <c r="AV104" s="201">
        <f>+(AV103-AV102)/AV102</f>
        <v/>
      </c>
      <c r="AW104" s="184">
        <f>+(AW103-AW102)/AW102</f>
        <v/>
      </c>
      <c r="AX104" s="184">
        <f>+(AX103-AX102)/AX102</f>
        <v/>
      </c>
      <c r="AY104" s="184" t="n"/>
    </row>
    <row r="105" ht="44" customHeight="1">
      <c r="A105" s="303" t="n"/>
      <c r="B105" s="201" t="inlineStr">
        <is>
          <t>All time High TSE UK</t>
        </is>
      </c>
      <c r="C105" s="233" t="n">
        <v>7903.5</v>
      </c>
      <c r="D105" s="233" t="n">
        <v>8047.10009765625</v>
      </c>
      <c r="E105" s="233" t="n">
        <v>8047.10009765625</v>
      </c>
      <c r="F105" s="233" t="n">
        <v>8047.10009765625</v>
      </c>
      <c r="G105" s="233" t="n">
        <v>8047.10009765625</v>
      </c>
      <c r="H105" s="233" t="n">
        <v>8047.10009765625</v>
      </c>
      <c r="I105" s="233" t="n">
        <v>8047.10009765625</v>
      </c>
      <c r="J105" s="233" t="n">
        <v>8047.10009765625</v>
      </c>
      <c r="K105" s="233" t="n">
        <v>8047.10009765625</v>
      </c>
      <c r="L105" s="233" t="n">
        <v>8047.10009765625</v>
      </c>
      <c r="M105" s="233" t="n">
        <v>8047.10009765625</v>
      </c>
      <c r="N105" s="233" t="n">
        <v>8047.10009765625</v>
      </c>
      <c r="O105" s="233" t="n">
        <v>8047.10009765625</v>
      </c>
      <c r="P105" s="233" t="n">
        <v>8047.10009765625</v>
      </c>
      <c r="Q105" s="233" t="n">
        <v>8047.10009765625</v>
      </c>
      <c r="R105" s="233" t="n">
        <v>8200</v>
      </c>
      <c r="S105" s="233" t="n">
        <v>8474.400390625</v>
      </c>
      <c r="T105" s="233" t="n">
        <v>8474.400390625</v>
      </c>
      <c r="U105" s="233" t="n">
        <v>8474.400390625</v>
      </c>
      <c r="V105" s="233" t="n">
        <v>8474.400390625</v>
      </c>
      <c r="W105" s="233" t="n">
        <v>8474.400390625</v>
      </c>
      <c r="X105" s="233" t="n">
        <v>8474.400390625</v>
      </c>
      <c r="Y105" s="233" t="n">
        <v>8474.400390625</v>
      </c>
      <c r="Z105" s="233" t="n">
        <v>8474.400390625</v>
      </c>
      <c r="AA105" s="231" t="n">
        <v>8692.7998046875</v>
      </c>
      <c r="AB105" s="203" t="n">
        <v>8820.900390625</v>
      </c>
      <c r="AC105" s="203" t="n">
        <v>8820.900390625</v>
      </c>
      <c r="AD105" s="203" t="n">
        <v>8820.900390625</v>
      </c>
      <c r="AE105" s="203" t="n">
        <v>8824</v>
      </c>
      <c r="AF105" s="203" t="n">
        <v>8824</v>
      </c>
      <c r="AG105" s="203" t="n">
        <v>9190.7001953125</v>
      </c>
      <c r="AH105" s="203" t="n">
        <v>9357.5</v>
      </c>
      <c r="AI105" s="203" t="n">
        <v>9363.599609375</v>
      </c>
      <c r="AJ105" s="203" t="n">
        <v>9787.599609375</v>
      </c>
      <c r="AK105" s="203" t="n">
        <v>9930.099609375</v>
      </c>
      <c r="AL105" s="203" t="n">
        <v>9954.2998046875</v>
      </c>
      <c r="AM105" s="203" t="n">
        <v>10277.7001953125</v>
      </c>
      <c r="AN105" s="203" t="n">
        <v>10934.900390625</v>
      </c>
      <c r="AO105" s="203" t="n">
        <v>10934.900390625</v>
      </c>
      <c r="AP105" s="203" t="n">
        <v>10934.900390625</v>
      </c>
      <c r="AQ105" s="203" t="n">
        <v>10934.900390625</v>
      </c>
      <c r="AR105" s="203" t="n">
        <v>10934.900390625</v>
      </c>
      <c r="AS105" s="203" t="n">
        <v>10989.5</v>
      </c>
      <c r="AT105" s="203" t="n">
        <v>10989.5</v>
      </c>
      <c r="AU105" s="203" t="n">
        <v>10989.5</v>
      </c>
      <c r="AV105" s="201" t="n">
        <v>10989.5</v>
      </c>
      <c r="AW105" s="184" t="n">
        <v>10989.5</v>
      </c>
      <c r="AX105" s="184" t="n">
        <v>10989.5</v>
      </c>
      <c r="AY105" s="184" t="n"/>
    </row>
    <row r="106" ht="44" customHeight="1">
      <c r="A106" s="303" t="n"/>
      <c r="B106" s="201" t="inlineStr">
        <is>
          <t>current price TSE UK</t>
        </is>
      </c>
      <c r="C106" s="233" t="n">
        <v>7771.7001953125</v>
      </c>
      <c r="D106" s="233" t="n">
        <v>7876.2998046875</v>
      </c>
      <c r="E106" s="233" t="n">
        <v>7631.7001953125</v>
      </c>
      <c r="F106" s="233" t="n">
        <v>7870.60009765625</v>
      </c>
      <c r="G106" s="233" t="n">
        <v>7446.10009765625</v>
      </c>
      <c r="H106" s="233" t="n">
        <v>7531.5</v>
      </c>
      <c r="I106" s="233" t="n">
        <v>7699.39990234375</v>
      </c>
      <c r="J106" s="233" t="n">
        <v>7439.10009765625</v>
      </c>
      <c r="K106" s="233" t="n">
        <v>7608.10009765625</v>
      </c>
      <c r="L106" s="233" t="n">
        <v>7321.7001953125</v>
      </c>
      <c r="M106" s="233" t="n">
        <v>7453.7998046875</v>
      </c>
      <c r="N106" s="233" t="n">
        <v>7733.2001953125</v>
      </c>
      <c r="O106" s="233" t="n">
        <v>7630.60009765625</v>
      </c>
      <c r="P106" s="233" t="n">
        <v>7630</v>
      </c>
      <c r="Q106" s="233" t="n">
        <v>7952.60009765625</v>
      </c>
      <c r="R106" s="233" t="n">
        <v>8144.10009765625</v>
      </c>
      <c r="S106" s="233" t="n">
        <v>8275.400390625</v>
      </c>
      <c r="T106" s="233" t="n">
        <v>8164.10009765625</v>
      </c>
      <c r="U106" s="233" t="n">
        <v>8368</v>
      </c>
      <c r="V106" s="233" t="n">
        <v>8376.599609375</v>
      </c>
      <c r="W106" s="233" t="n">
        <v>8237</v>
      </c>
      <c r="X106" s="233" t="n">
        <v>8110.10009765625</v>
      </c>
      <c r="Y106" s="233" t="n">
        <v>8287.2998046875</v>
      </c>
      <c r="Z106" s="233" t="n">
        <v>8173</v>
      </c>
      <c r="AA106" s="231" t="n">
        <v>8674</v>
      </c>
      <c r="AB106" s="203" t="n">
        <v>8809.7001953125</v>
      </c>
      <c r="AC106" s="203" t="n">
        <v>8582.7998046875</v>
      </c>
      <c r="AD106" s="203" t="n">
        <v>8494.900390625</v>
      </c>
      <c r="AE106" s="203" t="n">
        <v>8772.400390625</v>
      </c>
      <c r="AF106" s="203" t="n">
        <v>8761</v>
      </c>
      <c r="AG106" s="203" t="n">
        <v>9132.7998046875</v>
      </c>
      <c r="AH106" s="203" t="n">
        <v>9187.2998046875</v>
      </c>
      <c r="AI106" s="203" t="n">
        <v>9350.400390625</v>
      </c>
      <c r="AJ106" s="203" t="n">
        <v>9717.2998046875</v>
      </c>
      <c r="AK106" s="203" t="n">
        <v>9720.5</v>
      </c>
      <c r="AL106" s="203" t="n">
        <v>9931.400390625</v>
      </c>
      <c r="AM106" s="203" t="n">
        <v>10223.5</v>
      </c>
      <c r="AN106" s="203" t="n">
        <v>10910.599609375</v>
      </c>
      <c r="AO106" s="203" t="n">
        <v>10176.5</v>
      </c>
      <c r="AP106" s="203" t="n">
        <v>10378.7998046875</v>
      </c>
      <c r="AQ106" s="203" t="n">
        <v>10409.2998046875</v>
      </c>
      <c r="AR106" s="203" t="n">
        <v>10497.099609375</v>
      </c>
      <c r="AS106" s="203" t="n">
        <v>10868.099609375</v>
      </c>
      <c r="AT106" s="203" t="n">
        <v>10824.2998046875</v>
      </c>
      <c r="AU106" s="203" t="n">
        <v>10695.25</v>
      </c>
      <c r="AV106" s="201" t="n">
        <v>10695.25</v>
      </c>
      <c r="AW106" s="184" t="n">
        <v>10695.25</v>
      </c>
      <c r="AX106" s="184" t="n">
        <v>10695.25</v>
      </c>
      <c r="AY106" s="184" t="n"/>
    </row>
    <row r="107" ht="44" customHeight="1">
      <c r="A107" s="303" t="n"/>
      <c r="B107" s="201" t="inlineStr">
        <is>
          <t>original index % change</t>
        </is>
      </c>
      <c r="C107" s="230">
        <f>+(C106-C105)/C105</f>
        <v/>
      </c>
      <c r="D107" s="230">
        <f>+(D106-D105)/D105</f>
        <v/>
      </c>
      <c r="E107" s="230">
        <f>+(E106-E105)/E105</f>
        <v/>
      </c>
      <c r="F107" s="230">
        <f>+(F106-F105)/F105</f>
        <v/>
      </c>
      <c r="G107" s="230">
        <f>+(G106-G105)/G105</f>
        <v/>
      </c>
      <c r="H107" s="230">
        <f>+(H106-H105)/H105</f>
        <v/>
      </c>
      <c r="I107" s="230">
        <f>+(I106-I105)/I105</f>
        <v/>
      </c>
      <c r="J107" s="230">
        <f>+(J106-J105)/J105</f>
        <v/>
      </c>
      <c r="K107" s="230">
        <f>+(K106-K105)/K105</f>
        <v/>
      </c>
      <c r="L107" s="230">
        <f>+(L106-L105)/L105</f>
        <v/>
      </c>
      <c r="M107" s="230">
        <f>+(M106-M105)/M105</f>
        <v/>
      </c>
      <c r="N107" s="230">
        <f>+(N106-N105)/N105</f>
        <v/>
      </c>
      <c r="O107" s="230">
        <f>+(O106-O105)/O105</f>
        <v/>
      </c>
      <c r="P107" s="230">
        <f>+(P106-P105)/P105</f>
        <v/>
      </c>
      <c r="Q107" s="230">
        <f>+(Q106-Q105)/Q105</f>
        <v/>
      </c>
      <c r="R107" s="230">
        <f>+(R106-R105)/R105</f>
        <v/>
      </c>
      <c r="S107" s="230">
        <f>+(S106-S105)/S105</f>
        <v/>
      </c>
      <c r="T107" s="230">
        <f>+(T106-T105)/T105</f>
        <v/>
      </c>
      <c r="U107" s="230">
        <f>+(U106-U105)/U105</f>
        <v/>
      </c>
      <c r="V107" s="230">
        <f>+(V106-V105)/V105</f>
        <v/>
      </c>
      <c r="W107" s="230">
        <f>+(W106-W105)/W105</f>
        <v/>
      </c>
      <c r="X107" s="230">
        <f>+(X106-X105)/X105</f>
        <v/>
      </c>
      <c r="Y107" s="230">
        <f>+(Y106-Y105)/Y105</f>
        <v/>
      </c>
      <c r="Z107" s="230">
        <f>+(Z106-Z105)/Z105</f>
        <v/>
      </c>
      <c r="AA107" s="230">
        <f>+(AA106-AA105)/AA105</f>
        <v/>
      </c>
      <c r="AB107" s="205">
        <f>+(AB106-AB105)/AB105</f>
        <v/>
      </c>
      <c r="AC107" s="205">
        <f>+(AC106-AC105)/AC105</f>
        <v/>
      </c>
      <c r="AD107" s="205">
        <f>+(AD106-AD105)/AD105</f>
        <v/>
      </c>
      <c r="AE107" s="205">
        <f>+(AE106-AE105)/AE105</f>
        <v/>
      </c>
      <c r="AF107" s="205">
        <f>+(AF106-AF105)/AF105</f>
        <v/>
      </c>
      <c r="AG107" s="205">
        <f>+(AG106-AG105)/AG105</f>
        <v/>
      </c>
      <c r="AH107" s="205">
        <f>+(AH106-AH105)/AH105</f>
        <v/>
      </c>
      <c r="AI107" s="205">
        <f>+(AI106-AI105)/AI105</f>
        <v/>
      </c>
      <c r="AJ107" s="205">
        <f>+(AJ106-AJ105)/AJ105</f>
        <v/>
      </c>
      <c r="AK107" s="205">
        <f>+(AK106-AK105)/AK105</f>
        <v/>
      </c>
      <c r="AL107" s="205">
        <f>+(AL106-AL105)/AL105</f>
        <v/>
      </c>
      <c r="AM107" s="205">
        <f>+(AM106-AM105)/AM105</f>
        <v/>
      </c>
      <c r="AN107" s="205">
        <f>+(AN106-AN105)/AN105</f>
        <v/>
      </c>
      <c r="AO107" s="205">
        <f>+(AO106-AO105)/AO105</f>
        <v/>
      </c>
      <c r="AP107" s="205">
        <f>+(AP106-AP105)/AP105</f>
        <v/>
      </c>
      <c r="AQ107" s="205">
        <f>+(AQ106-AQ105)/AQ105</f>
        <v/>
      </c>
      <c r="AR107" s="205">
        <f>+(AR106-AR105)/AR105</f>
        <v/>
      </c>
      <c r="AS107" s="205">
        <f>+(AS106-AS105)/AS105</f>
        <v/>
      </c>
      <c r="AT107" s="205">
        <f>+(AT106-AT105)/AT105</f>
        <v/>
      </c>
      <c r="AU107" s="205">
        <f>+(AU106-AU105)/AU105</f>
        <v/>
      </c>
      <c r="AV107" s="201">
        <f>+(AV106-AV105)/AV105</f>
        <v/>
      </c>
      <c r="AW107" s="184">
        <f>+(AW106-AW105)/AW105</f>
        <v/>
      </c>
      <c r="AX107" s="184">
        <f>+(AX106-AX105)/AX105</f>
        <v/>
      </c>
      <c r="AY107" s="184" t="n"/>
    </row>
    <row r="108" ht="22" customHeight="1">
      <c r="A108" s="303" t="n"/>
      <c r="B108" s="201" t="inlineStr">
        <is>
          <t>real % change</t>
        </is>
      </c>
      <c r="C108" s="230">
        <f>+C104-C107</f>
        <v/>
      </c>
      <c r="D108" s="230">
        <f>+D104-D107</f>
        <v/>
      </c>
      <c r="E108" s="230">
        <f>+E104-E107</f>
        <v/>
      </c>
      <c r="F108" s="230">
        <f>+F104-F107</f>
        <v/>
      </c>
      <c r="G108" s="230">
        <f>+G104-G107</f>
        <v/>
      </c>
      <c r="H108" s="230">
        <f>+H104-H107</f>
        <v/>
      </c>
      <c r="I108" s="230">
        <f>+I104-I107</f>
        <v/>
      </c>
      <c r="J108" s="230">
        <f>+J104-J107</f>
        <v/>
      </c>
      <c r="K108" s="230">
        <f>+K104-K107</f>
        <v/>
      </c>
      <c r="L108" s="230">
        <f>+L104-L107</f>
        <v/>
      </c>
      <c r="M108" s="230">
        <f>+M104-M107</f>
        <v/>
      </c>
      <c r="N108" s="230">
        <f>+N104-N107</f>
        <v/>
      </c>
      <c r="O108" s="230">
        <f>+O104-O107</f>
        <v/>
      </c>
      <c r="P108" s="230">
        <f>+P104-P107</f>
        <v/>
      </c>
      <c r="Q108" s="230">
        <f>+Q104-Q107</f>
        <v/>
      </c>
      <c r="R108" s="230">
        <f>+R104-R107</f>
        <v/>
      </c>
      <c r="S108" s="230">
        <f>+S104-S107</f>
        <v/>
      </c>
      <c r="T108" s="230">
        <f>+T104-T107</f>
        <v/>
      </c>
      <c r="U108" s="230">
        <f>+U104-U107</f>
        <v/>
      </c>
      <c r="V108" s="230">
        <f>+V104-V107</f>
        <v/>
      </c>
      <c r="W108" s="230">
        <f>+W104-W107</f>
        <v/>
      </c>
      <c r="X108" s="230">
        <f>+X104-X107</f>
        <v/>
      </c>
      <c r="Y108" s="230">
        <f>+Y104-Y107</f>
        <v/>
      </c>
      <c r="Z108" s="230">
        <f>+Z104-Z107</f>
        <v/>
      </c>
      <c r="AA108" s="230">
        <f>+AA104-AA107</f>
        <v/>
      </c>
      <c r="AB108" s="205">
        <f>+AB104-AB107</f>
        <v/>
      </c>
      <c r="AC108" s="205">
        <f>+AC104-AC107</f>
        <v/>
      </c>
      <c r="AD108" s="205">
        <f>+AD104-AD107</f>
        <v/>
      </c>
      <c r="AE108" s="205">
        <f>+AE104-AE107</f>
        <v/>
      </c>
      <c r="AF108" s="205">
        <f>+AF104-AF107</f>
        <v/>
      </c>
      <c r="AG108" s="205">
        <f>+AG104-AG107</f>
        <v/>
      </c>
      <c r="AH108" s="205">
        <f>+AH104-AH107</f>
        <v/>
      </c>
      <c r="AI108" s="205">
        <f>+AI104-AI107</f>
        <v/>
      </c>
      <c r="AJ108" s="205">
        <f>+AJ104-AJ107</f>
        <v/>
      </c>
      <c r="AK108" s="205">
        <f>+AK104-AK107</f>
        <v/>
      </c>
      <c r="AL108" s="205">
        <f>+AL104-AL107</f>
        <v/>
      </c>
      <c r="AM108" s="205">
        <f>+AM104-AM107</f>
        <v/>
      </c>
      <c r="AN108" s="205">
        <f>+AN104-AN107</f>
        <v/>
      </c>
      <c r="AO108" s="205">
        <f>+AO104-AO107</f>
        <v/>
      </c>
      <c r="AP108" s="205">
        <f>+AP104-AP107</f>
        <v/>
      </c>
      <c r="AQ108" s="205">
        <f>+AQ104-AQ107</f>
        <v/>
      </c>
      <c r="AR108" s="205">
        <f>+AR104-AR107</f>
        <v/>
      </c>
      <c r="AS108" s="205">
        <f>+AS104-AS107</f>
        <v/>
      </c>
      <c r="AT108" s="205">
        <f>+AT104-AT107</f>
        <v/>
      </c>
      <c r="AU108" s="205">
        <f>+AU104-AU107</f>
        <v/>
      </c>
      <c r="AV108" s="201">
        <f>+AV104-AV107</f>
        <v/>
      </c>
      <c r="AW108" s="184">
        <f>+AW104-AW107</f>
        <v/>
      </c>
      <c r="AX108" s="184">
        <f>+AX104-AX107</f>
        <v/>
      </c>
      <c r="AY108" s="184" t="n"/>
    </row>
    <row r="109" ht="22" customHeight="1">
      <c r="A109" s="304" t="n"/>
      <c r="B109" s="206" t="inlineStr">
        <is>
          <t>Rating</t>
        </is>
      </c>
      <c r="C109" s="232">
        <f>_xlfn.XLOOKUP(MIN(ABS($BJ$7:$BJ$29 - MEDIAN(MIN($BJ$7:$BJ$29), MAX($BJ$7:$BJ$29), C108))), ABS($BJ$7:$BJ$29 - MEDIAN(MIN($BJ$7:$BJ$29), MAX($BJ$7:$BJ$29), C108)), $BK$7:$BK$29, "Error", 0)</f>
        <v/>
      </c>
      <c r="D109" s="232">
        <f>_xlfn.XLOOKUP(MIN(ABS($BJ$7:$BJ$29 - MEDIAN(MIN($BJ$7:$BJ$29), MAX($BJ$7:$BJ$29), D108))), ABS($BJ$7:$BJ$29 - MEDIAN(MIN($BJ$7:$BJ$29), MAX($BJ$7:$BJ$29), D108)), $BK$7:$BK$29, "Error", 0)</f>
        <v/>
      </c>
      <c r="E109" s="232">
        <f>_xlfn.XLOOKUP(MIN(ABS($BJ$7:$BJ$29 - MEDIAN(MIN($BJ$7:$BJ$29), MAX($BJ$7:$BJ$29), E108))), ABS($BJ$7:$BJ$29 - MEDIAN(MIN($BJ$7:$BJ$29), MAX($BJ$7:$BJ$29), E108)), $BK$7:$BK$29, "Error", 0)</f>
        <v/>
      </c>
      <c r="F109" s="232">
        <f>_xlfn.XLOOKUP(MIN(ABS($BJ$7:$BJ$29 - MEDIAN(MIN($BJ$7:$BJ$29), MAX($BJ$7:$BJ$29), F108))), ABS($BJ$7:$BJ$29 - MEDIAN(MIN($BJ$7:$BJ$29), MAX($BJ$7:$BJ$29), F108)), $BK$7:$BK$29, "Error", 0)</f>
        <v/>
      </c>
      <c r="G109" s="232">
        <f>_xlfn.XLOOKUP(MIN(ABS($BJ$7:$BJ$29 - MEDIAN(MIN($BJ$7:$BJ$29), MAX($BJ$7:$BJ$29), G108))), ABS($BJ$7:$BJ$29 - MEDIAN(MIN($BJ$7:$BJ$29), MAX($BJ$7:$BJ$29), G108)), $BK$7:$BK$29, "Error", 0)</f>
        <v/>
      </c>
      <c r="H109" s="232">
        <f>_xlfn.XLOOKUP(MIN(ABS($BJ$7:$BJ$29 - MEDIAN(MIN($BJ$7:$BJ$29), MAX($BJ$7:$BJ$29), H108))), ABS($BJ$7:$BJ$29 - MEDIAN(MIN($BJ$7:$BJ$29), MAX($BJ$7:$BJ$29), H108)), $BK$7:$BK$29, "Error", 0)</f>
        <v/>
      </c>
      <c r="I109" s="232">
        <f>_xlfn.XLOOKUP(MIN(ABS($BJ$7:$BJ$29 - MEDIAN(MIN($BJ$7:$BJ$29), MAX($BJ$7:$BJ$29), I108))), ABS($BJ$7:$BJ$29 - MEDIAN(MIN($BJ$7:$BJ$29), MAX($BJ$7:$BJ$29), I108)), $BK$7:$BK$29, "Error", 0)</f>
        <v/>
      </c>
      <c r="J109" s="232">
        <f>_xlfn.XLOOKUP(MIN(ABS($BJ$7:$BJ$29 - MEDIAN(MIN($BJ$7:$BJ$29), MAX($BJ$7:$BJ$29), J108))), ABS($BJ$7:$BJ$29 - MEDIAN(MIN($BJ$7:$BJ$29), MAX($BJ$7:$BJ$29), J108)), $BK$7:$BK$29, "Error", 0)</f>
        <v/>
      </c>
      <c r="K109" s="232">
        <f>_xlfn.XLOOKUP(MIN(ABS($BJ$7:$BJ$29 - MEDIAN(MIN($BJ$7:$BJ$29), MAX($BJ$7:$BJ$29), K108))), ABS($BJ$7:$BJ$29 - MEDIAN(MIN($BJ$7:$BJ$29), MAX($BJ$7:$BJ$29), K108)), $BK$7:$BK$29, "Error", 0)</f>
        <v/>
      </c>
      <c r="L109" s="232">
        <f>_xlfn.XLOOKUP(MIN(ABS($BJ$7:$BJ$29 - MEDIAN(MIN($BJ$7:$BJ$29), MAX($BJ$7:$BJ$29), L108))), ABS($BJ$7:$BJ$29 - MEDIAN(MIN($BJ$7:$BJ$29), MAX($BJ$7:$BJ$29), L108)), $BK$7:$BK$29, "Error", 0)</f>
        <v/>
      </c>
      <c r="M109" s="232">
        <f>_xlfn.XLOOKUP(MIN(ABS($BJ$7:$BJ$29 - MEDIAN(MIN($BJ$7:$BJ$29), MAX($BJ$7:$BJ$29), M108))), ABS($BJ$7:$BJ$29 - MEDIAN(MIN($BJ$7:$BJ$29), MAX($BJ$7:$BJ$29), M108)), $BK$7:$BK$29, "Error", 0)</f>
        <v/>
      </c>
      <c r="N109" s="232">
        <f>_xlfn.XLOOKUP(MIN(ABS($BJ$7:$BJ$29 - MEDIAN(MIN($BJ$7:$BJ$29), MAX($BJ$7:$BJ$29), N108))), ABS($BJ$7:$BJ$29 - MEDIAN(MIN($BJ$7:$BJ$29), MAX($BJ$7:$BJ$29), N108)), $BK$7:$BK$29, "Error", 0)</f>
        <v/>
      </c>
      <c r="O109" s="232">
        <f>_xlfn.XLOOKUP(MIN(ABS($BJ$7:$BJ$29 - MEDIAN(MIN($BJ$7:$BJ$29), MAX($BJ$7:$BJ$29), O108))), ABS($BJ$7:$BJ$29 - MEDIAN(MIN($BJ$7:$BJ$29), MAX($BJ$7:$BJ$29), O108)), $BK$7:$BK$29, "Error", 0)</f>
        <v/>
      </c>
      <c r="P109" s="232">
        <f>_xlfn.XLOOKUP(MIN(ABS($BJ$7:$BJ$29 - MEDIAN(MIN($BJ$7:$BJ$29), MAX($BJ$7:$BJ$29), P108))), ABS($BJ$7:$BJ$29 - MEDIAN(MIN($BJ$7:$BJ$29), MAX($BJ$7:$BJ$29), P108)), $BK$7:$BK$29, "Error", 0)</f>
        <v/>
      </c>
      <c r="Q109" s="232">
        <f>_xlfn.XLOOKUP(MIN(ABS($BJ$7:$BJ$29 - MEDIAN(MIN($BJ$7:$BJ$29), MAX($BJ$7:$BJ$29), Q108))), ABS($BJ$7:$BJ$29 - MEDIAN(MIN($BJ$7:$BJ$29), MAX($BJ$7:$BJ$29), Q108)), $BK$7:$BK$29, "Error", 0)</f>
        <v/>
      </c>
      <c r="R109" s="232">
        <f>_xlfn.XLOOKUP(MIN(ABS($BJ$7:$BJ$29 - MEDIAN(MIN($BJ$7:$BJ$29), MAX($BJ$7:$BJ$29), R108))), ABS($BJ$7:$BJ$29 - MEDIAN(MIN($BJ$7:$BJ$29), MAX($BJ$7:$BJ$29), R108)), $BK$7:$BK$29, "Error", 0)</f>
        <v/>
      </c>
      <c r="S109" s="232">
        <f>_xlfn.XLOOKUP(MIN(ABS($BJ$7:$BJ$29 - MEDIAN(MIN($BJ$7:$BJ$29), MAX($BJ$7:$BJ$29), S108))), ABS($BJ$7:$BJ$29 - MEDIAN(MIN($BJ$7:$BJ$29), MAX($BJ$7:$BJ$29), S108)), $BK$7:$BK$29, "Error", 0)</f>
        <v/>
      </c>
      <c r="T109" s="232">
        <f>_xlfn.XLOOKUP(MIN(ABS($BJ$7:$BJ$29 - MEDIAN(MIN($BJ$7:$BJ$29), MAX($BJ$7:$BJ$29), T108))), ABS($BJ$7:$BJ$29 - MEDIAN(MIN($BJ$7:$BJ$29), MAX($BJ$7:$BJ$29), T108)), $BK$7:$BK$29, "Error", 0)</f>
        <v/>
      </c>
      <c r="U109" s="232">
        <f>_xlfn.XLOOKUP(MIN(ABS($BJ$7:$BJ$29 - MEDIAN(MIN($BJ$7:$BJ$29), MAX($BJ$7:$BJ$29), U108))), ABS($BJ$7:$BJ$29 - MEDIAN(MIN($BJ$7:$BJ$29), MAX($BJ$7:$BJ$29), U108)), $BK$7:$BK$29, "Error", 0)</f>
        <v/>
      </c>
      <c r="V109" s="232">
        <f>_xlfn.XLOOKUP(MIN(ABS($BJ$7:$BJ$29 - MEDIAN(MIN($BJ$7:$BJ$29), MAX($BJ$7:$BJ$29), V108))), ABS($BJ$7:$BJ$29 - MEDIAN(MIN($BJ$7:$BJ$29), MAX($BJ$7:$BJ$29), V108)), $BK$7:$BK$29, "Error", 0)</f>
        <v/>
      </c>
      <c r="W109" s="232">
        <f>_xlfn.XLOOKUP(MIN(ABS($BJ$7:$BJ$29 - MEDIAN(MIN($BJ$7:$BJ$29), MAX($BJ$7:$BJ$29), W108))), ABS($BJ$7:$BJ$29 - MEDIAN(MIN($BJ$7:$BJ$29), MAX($BJ$7:$BJ$29), W108)), $BK$7:$BK$29, "Error", 0)</f>
        <v/>
      </c>
      <c r="X109" s="232">
        <f>_xlfn.XLOOKUP(MIN(ABS($BJ$7:$BJ$29 - MEDIAN(MIN($BJ$7:$BJ$29), MAX($BJ$7:$BJ$29), X108))), ABS($BJ$7:$BJ$29 - MEDIAN(MIN($BJ$7:$BJ$29), MAX($BJ$7:$BJ$29), X108)), $BK$7:$BK$29, "Error", 0)</f>
        <v/>
      </c>
      <c r="Y109" s="232">
        <f>_xlfn.XLOOKUP(MIN(ABS($BJ$7:$BJ$29 - MEDIAN(MIN($BJ$7:$BJ$29), MAX($BJ$7:$BJ$29), Y108))), ABS($BJ$7:$BJ$29 - MEDIAN(MIN($BJ$7:$BJ$29), MAX($BJ$7:$BJ$29), Y108)), $BK$7:$BK$29, "Error", 0)</f>
        <v/>
      </c>
      <c r="Z109" s="232">
        <f>_xlfn.XLOOKUP(MIN(ABS($BJ$7:$BJ$29 - MEDIAN(MIN($BJ$7:$BJ$29), MAX($BJ$7:$BJ$29), Z108))), ABS($BJ$7:$BJ$29 - MEDIAN(MIN($BJ$7:$BJ$29), MAX($BJ$7:$BJ$29), Z108)), $BK$7:$BK$29, "Error", 0)</f>
        <v/>
      </c>
      <c r="AA109" s="232">
        <f>_xlfn.XLOOKUP(MIN(ABS($BJ$7:$BJ$29 - MEDIAN(MIN($BJ$7:$BJ$29), MAX($BJ$7:$BJ$29), AA108))), ABS($BJ$7:$BJ$29 - MEDIAN(MIN($BJ$7:$BJ$29), MAX($BJ$7:$BJ$29), AA108)), $BK$7:$BK$29, "Error", 0)</f>
        <v/>
      </c>
      <c r="AB109" s="171">
        <f>_xlfn.XLOOKUP(MIN(ABS($BJ$7:$BJ$29 - MEDIAN(MIN($BJ$7:$BJ$29), MAX($BJ$7:$BJ$29), AB108))), ABS($BJ$7:$BJ$29 - MEDIAN(MIN($BJ$7:$BJ$29), MAX($BJ$7:$BJ$29), AB108)), $BK$7:$BK$29, "Error", 0)</f>
        <v/>
      </c>
      <c r="AC109" s="171">
        <f>_xlfn.XLOOKUP(MIN(ABS($BJ$7:$BJ$29 - MEDIAN(MIN($BJ$7:$BJ$29), MAX($BJ$7:$BJ$29), AC108))), ABS($BJ$7:$BJ$29 - MEDIAN(MIN($BJ$7:$BJ$29), MAX($BJ$7:$BJ$29), AC108)), $BK$7:$BK$29, "Error", 0)</f>
        <v/>
      </c>
      <c r="AD109" s="171">
        <f>_xlfn.XLOOKUP(MIN(ABS($BJ$7:$BJ$29 - MEDIAN(MIN($BJ$7:$BJ$29), MAX($BJ$7:$BJ$29), AD108))), ABS($BJ$7:$BJ$29 - MEDIAN(MIN($BJ$7:$BJ$29), MAX($BJ$7:$BJ$29), AD108)), $BK$7:$BK$29, "Error", 0)</f>
        <v/>
      </c>
      <c r="AE109" s="171">
        <f>_xlfn.XLOOKUP(MIN(ABS($BJ$7:$BJ$29 - MEDIAN(MIN($BJ$7:$BJ$29), MAX($BJ$7:$BJ$29), AE108))), ABS($BJ$7:$BJ$29 - MEDIAN(MIN($BJ$7:$BJ$29), MAX($BJ$7:$BJ$29), AE108)), $BK$7:$BK$29, "Error", 0)</f>
        <v/>
      </c>
      <c r="AF109" s="171">
        <f>_xlfn.XLOOKUP(MIN(ABS($BJ$7:$BJ$29 - MEDIAN(MIN($BJ$7:$BJ$29), MAX($BJ$7:$BJ$29), AF108))), ABS($BJ$7:$BJ$29 - MEDIAN(MIN($BJ$7:$BJ$29), MAX($BJ$7:$BJ$29), AF108)), $BK$7:$BK$29, "Error", 0)</f>
        <v/>
      </c>
      <c r="AG109" s="171">
        <f>_xlfn.XLOOKUP(MIN(ABS($BJ$7:$BJ$29 - MEDIAN(MIN($BJ$7:$BJ$29), MAX($BJ$7:$BJ$29), AG108))), ABS($BJ$7:$BJ$29 - MEDIAN(MIN($BJ$7:$BJ$29), MAX($BJ$7:$BJ$29), AG108)), $BK$7:$BK$29, "Error", 0)</f>
        <v/>
      </c>
      <c r="AH109" s="171">
        <f>_xlfn.XLOOKUP(MIN(ABS($BJ$7:$BJ$29 - MEDIAN(MIN($BJ$7:$BJ$29), MAX($BJ$7:$BJ$29), AH108))), ABS($BJ$7:$BJ$29 - MEDIAN(MIN($BJ$7:$BJ$29), MAX($BJ$7:$BJ$29), AH108)), $BK$7:$BK$29, "Error", 0)</f>
        <v/>
      </c>
      <c r="AI109" s="171">
        <f>_xlfn.XLOOKUP(MIN(ABS($BJ$7:$BJ$29 - MEDIAN(MIN($BJ$7:$BJ$29), MAX($BJ$7:$BJ$29), AI108))), ABS($BJ$7:$BJ$29 - MEDIAN(MIN($BJ$7:$BJ$29), MAX($BJ$7:$BJ$29), AI108)), $BK$7:$BK$29, "Error", 0)</f>
        <v/>
      </c>
      <c r="AJ109" s="171">
        <f>_xlfn.XLOOKUP(MIN(ABS($BJ$7:$BJ$29 - MEDIAN(MIN($BJ$7:$BJ$29), MAX($BJ$7:$BJ$29), AJ108))), ABS($BJ$7:$BJ$29 - MEDIAN(MIN($BJ$7:$BJ$29), MAX($BJ$7:$BJ$29), AJ108)), $BK$7:$BK$29, "Error", 0)</f>
        <v/>
      </c>
      <c r="AK109" s="171">
        <f>_xlfn.XLOOKUP(MIN(ABS($BJ$7:$BJ$29 - MEDIAN(MIN($BJ$7:$BJ$29), MAX($BJ$7:$BJ$29), AK108))), ABS($BJ$7:$BJ$29 - MEDIAN(MIN($BJ$7:$BJ$29), MAX($BJ$7:$BJ$29), AK108)), $BK$7:$BK$29, "Error", 0)</f>
        <v/>
      </c>
      <c r="AL109" s="171">
        <f>_xlfn.XLOOKUP(MIN(ABS($BJ$7:$BJ$29 - MEDIAN(MIN($BJ$7:$BJ$29), MAX($BJ$7:$BJ$29), AL108))), ABS($BJ$7:$BJ$29 - MEDIAN(MIN($BJ$7:$BJ$29), MAX($BJ$7:$BJ$29), AL108)), $BK$7:$BK$29, "Error", 0)</f>
        <v/>
      </c>
      <c r="AM109" s="171">
        <f>_xlfn.XLOOKUP(MIN(ABS($BJ$7:$BJ$29 - MEDIAN(MIN($BJ$7:$BJ$29), MAX($BJ$7:$BJ$29), AM108))), ABS($BJ$7:$BJ$29 - MEDIAN(MIN($BJ$7:$BJ$29), MAX($BJ$7:$BJ$29), AM108)), $BK$7:$BK$29, "Error", 0)</f>
        <v/>
      </c>
      <c r="AN109" s="171">
        <f>_xlfn.XLOOKUP(MIN(ABS($BJ$7:$BJ$29 - MEDIAN(MIN($BJ$7:$BJ$29), MAX($BJ$7:$BJ$29), AN108))), ABS($BJ$7:$BJ$29 - MEDIAN(MIN($BJ$7:$BJ$29), MAX($BJ$7:$BJ$29), AN108)), $BK$7:$BK$29, "Error", 0)</f>
        <v/>
      </c>
      <c r="AO109" s="171">
        <f>_xlfn.XLOOKUP(MIN(ABS($BJ$7:$BJ$29 - MEDIAN(MIN($BJ$7:$BJ$29), MAX($BJ$7:$BJ$29), AO108))), ABS($BJ$7:$BJ$29 - MEDIAN(MIN($BJ$7:$BJ$29), MAX($BJ$7:$BJ$29), AO108)), $BK$7:$BK$29, "Error", 0)</f>
        <v/>
      </c>
      <c r="AP109" s="171">
        <f>_xlfn.XLOOKUP(MIN(ABS($BJ$7:$BJ$29 - MEDIAN(MIN($BJ$7:$BJ$29), MAX($BJ$7:$BJ$29), AP108))), ABS($BJ$7:$BJ$29 - MEDIAN(MIN($BJ$7:$BJ$29), MAX($BJ$7:$BJ$29), AP108)), $BK$7:$BK$29, "Error", 0)</f>
        <v/>
      </c>
      <c r="AQ109" s="171">
        <f>_xlfn.XLOOKUP(MIN(ABS($BJ$7:$BJ$29 - MEDIAN(MIN($BJ$7:$BJ$29), MAX($BJ$7:$BJ$29), AQ108))), ABS($BJ$7:$BJ$29 - MEDIAN(MIN($BJ$7:$BJ$29), MAX($BJ$7:$BJ$29), AQ108)), $BK$7:$BK$29, "Error", 0)</f>
        <v/>
      </c>
      <c r="AR109" s="171">
        <f>_xlfn.XLOOKUP(MIN(ABS($BJ$7:$BJ$29 - MEDIAN(MIN($BJ$7:$BJ$29), MAX($BJ$7:$BJ$29), AR108))), ABS($BJ$7:$BJ$29 - MEDIAN(MIN($BJ$7:$BJ$29), MAX($BJ$7:$BJ$29), AR108)), $BK$7:$BK$29, "Error", 0)</f>
        <v/>
      </c>
      <c r="AS109" s="171">
        <f>_xlfn.XLOOKUP(MIN(ABS($BJ$7:$BJ$29 - MEDIAN(MIN($BJ$7:$BJ$29), MAX($BJ$7:$BJ$29), AS108))), ABS($BJ$7:$BJ$29 - MEDIAN(MIN($BJ$7:$BJ$29), MAX($BJ$7:$BJ$29), AS108)), $BK$7:$BK$29, "Error", 0)</f>
        <v/>
      </c>
      <c r="AT109" s="171">
        <f>_xlfn.XLOOKUP(MIN(ABS($BJ$7:$BJ$29 - MEDIAN(MIN($BJ$7:$BJ$29), MAX($BJ$7:$BJ$29), AT108))), ABS($BJ$7:$BJ$29 - MEDIAN(MIN($BJ$7:$BJ$29), MAX($BJ$7:$BJ$29), AT108)), $BK$7:$BK$29, "Error", 0)</f>
        <v/>
      </c>
      <c r="AU109" s="171">
        <f>_xlfn.XLOOKUP(MIN(ABS($BJ$7:$BJ$29 - MEDIAN(MIN($BJ$7:$BJ$29), MAX($BJ$7:$BJ$29), AU108))), ABS($BJ$7:$BJ$29 - MEDIAN(MIN($BJ$7:$BJ$29), MAX($BJ$7:$BJ$29), AU108)), $BK$7:$BK$29, "Error", 0)</f>
        <v/>
      </c>
      <c r="AV109" s="206">
        <f>_xlfn.XLOOKUP(MIN(ABS($BJ$7:$BJ$29 - MEDIAN(MIN($BJ$7:$BJ$29), MAX($BJ$7:$BJ$29), AV108))), ABS($BJ$7:$BJ$29 - MEDIAN(MIN($BJ$7:$BJ$29), MAX($BJ$7:$BJ$29), AV108)), $BK$7:$BK$29, "Error", 0)</f>
        <v/>
      </c>
      <c r="AW109" s="184">
        <f>_xlfn.XLOOKUP(MIN(ABS($BJ$7:$BJ$29 - MEDIAN(MIN($BJ$7:$BJ$29), MAX($BJ$7:$BJ$29), AW108))), ABS($BJ$7:$BJ$29 - MEDIAN(MIN($BJ$7:$BJ$29), MAX($BJ$7:$BJ$29), AW108)), $BK$7:$BK$29, "Error", 0)</f>
        <v/>
      </c>
      <c r="AX109" s="184">
        <f>_xlfn.XLOOKUP(MIN(ABS($BJ$7:$BJ$29 - MEDIAN(MIN($BJ$7:$BJ$29), MAX($BJ$7:$BJ$29), AX108))), ABS($BJ$7:$BJ$29 - MEDIAN(MIN($BJ$7:$BJ$29), MAX($BJ$7:$BJ$29), AX108)), $BK$7:$BK$29, "Error", 0)</f>
        <v/>
      </c>
      <c r="AY109" s="184" t="n"/>
    </row>
    <row r="110" ht="44" customHeight="1">
      <c r="A110" s="305" t="inlineStr">
        <is>
          <t>GBP CAD</t>
        </is>
      </c>
      <c r="B110" s="200" t="inlineStr">
        <is>
          <t>All time High (CL)</t>
        </is>
      </c>
      <c r="C110" s="233" t="n">
        <v>14924.86263181607</v>
      </c>
      <c r="D110" s="233" t="n">
        <v>14924.86263181607</v>
      </c>
      <c r="E110" s="233" t="n">
        <v>14924.86263181607</v>
      </c>
      <c r="F110" s="233" t="n">
        <v>14924.86263181607</v>
      </c>
      <c r="G110" s="233" t="n">
        <v>14924.86263181607</v>
      </c>
      <c r="H110" s="233" t="n">
        <v>14924.86263181607</v>
      </c>
      <c r="I110" s="233" t="n">
        <v>14924.86263181607</v>
      </c>
      <c r="J110" s="233" t="n">
        <v>14924.86263181607</v>
      </c>
      <c r="K110" s="233" t="n">
        <v>14924.86263181607</v>
      </c>
      <c r="L110" s="233" t="n">
        <v>14924.86263181607</v>
      </c>
      <c r="M110" s="233" t="n">
        <v>14924.86263181607</v>
      </c>
      <c r="N110" s="233" t="n">
        <v>14924.86263181607</v>
      </c>
      <c r="O110" s="233" t="n">
        <v>14924.86263181607</v>
      </c>
      <c r="P110" s="233" t="n">
        <v>14924.86263181607</v>
      </c>
      <c r="Q110" s="233" t="n">
        <v>14924.86263181607</v>
      </c>
      <c r="R110" s="233" t="n">
        <v>14924.86263181607</v>
      </c>
      <c r="S110" s="233" t="n">
        <v>14924.86263181607</v>
      </c>
      <c r="T110" s="233" t="n">
        <v>14924.86263181607</v>
      </c>
      <c r="U110" s="233" t="n">
        <v>14994.83027246967</v>
      </c>
      <c r="V110" s="233" t="n">
        <v>14994.83027246967</v>
      </c>
      <c r="W110" s="233" t="n">
        <v>15206.15134894848</v>
      </c>
      <c r="X110" s="233" t="n">
        <v>15206.15134894848</v>
      </c>
      <c r="Y110" s="233" t="n">
        <v>15206.15134894848</v>
      </c>
      <c r="Z110" s="233" t="n">
        <v>15206.15134894848</v>
      </c>
      <c r="AA110" s="204" t="n">
        <v>15681.28978171642</v>
      </c>
      <c r="AB110" s="204" t="n">
        <v>16078.91319308477</v>
      </c>
      <c r="AC110" s="204" t="n">
        <v>16078.91319308477</v>
      </c>
      <c r="AD110" s="204" t="n">
        <v>16078.91319308477</v>
      </c>
      <c r="AE110" s="204" t="n">
        <v>16493.55564308167</v>
      </c>
      <c r="AF110" s="204" t="n">
        <v>16764.19961254299</v>
      </c>
      <c r="AG110" s="204" t="n">
        <v>17246.53307654744</v>
      </c>
      <c r="AH110" s="204" t="n">
        <v>17544.43236976862</v>
      </c>
      <c r="AI110" s="204" t="n">
        <v>17627.25692903111</v>
      </c>
      <c r="AJ110" s="204" t="n">
        <v>18512.95059705153</v>
      </c>
      <c r="AK110" s="204" t="n">
        <v>18512.95059705153</v>
      </c>
      <c r="AL110" s="204" t="n">
        <v>18583.68197880639</v>
      </c>
      <c r="AM110" s="204" t="n">
        <v>19327.42062897014</v>
      </c>
      <c r="AN110" s="204" t="n">
        <v>20492.44081105641</v>
      </c>
      <c r="AO110" s="204" t="n">
        <v>20492.44081105641</v>
      </c>
      <c r="AP110" s="204" t="n">
        <v>20492.44081105641</v>
      </c>
      <c r="AQ110" s="204" t="n">
        <v>20492.44081105641</v>
      </c>
      <c r="AR110" s="204" t="n">
        <v>20492.44081105641</v>
      </c>
      <c r="AS110" s="204" t="n">
        <v>20924.6674374938</v>
      </c>
      <c r="AT110" s="204" t="n">
        <v>20924.6674374938</v>
      </c>
      <c r="AU110" s="204" t="n">
        <v>20924.6674374938</v>
      </c>
      <c r="AV110" s="200" t="n">
        <v>20924.6674374938</v>
      </c>
      <c r="AW110" s="184" t="n">
        <v>20924.6674374938</v>
      </c>
      <c r="AX110" s="184" t="n">
        <v>20924.6674374938</v>
      </c>
      <c r="AY110" s="184" t="n"/>
    </row>
    <row r="111" ht="22" customHeight="1">
      <c r="A111" s="303" t="n"/>
      <c r="B111" s="201" t="inlineStr">
        <is>
          <t>current price</t>
        </is>
      </c>
      <c r="C111" s="233" t="n">
        <v>12843.3564860567</v>
      </c>
      <c r="D111" s="233" t="n">
        <v>12893.10909147514</v>
      </c>
      <c r="E111" s="233" t="n">
        <v>12780.88490367471</v>
      </c>
      <c r="F111" s="233" t="n">
        <v>13330.19109397574</v>
      </c>
      <c r="G111" s="233" t="n">
        <v>12567.1553048974</v>
      </c>
      <c r="H111" s="233" t="n">
        <v>12587.39635366201</v>
      </c>
      <c r="I111" s="233" t="n">
        <v>13113.31030363694</v>
      </c>
      <c r="J111" s="233" t="n">
        <v>12798.37661186076</v>
      </c>
      <c r="K111" s="233" t="n">
        <v>12583.03695902525</v>
      </c>
      <c r="L111" s="233" t="n">
        <v>12316.41797892854</v>
      </c>
      <c r="M111" s="233" t="n">
        <v>12859.59351646504</v>
      </c>
      <c r="N111" s="233" t="n">
        <v>13005.23244869267</v>
      </c>
      <c r="O111" s="233" t="n">
        <v>12980.71940204786</v>
      </c>
      <c r="P111" s="233" t="n">
        <v>13114.82562661171</v>
      </c>
      <c r="Q111" s="233" t="n">
        <v>13540.92362123192</v>
      </c>
      <c r="R111" s="233" t="n">
        <v>13978.61518134869</v>
      </c>
      <c r="S111" s="233" t="n">
        <v>14413.67864615517</v>
      </c>
      <c r="T111" s="233" t="n">
        <v>14111.04270896036</v>
      </c>
      <c r="U111" s="233" t="n">
        <v>14877.46703720093</v>
      </c>
      <c r="V111" s="233" t="n">
        <v>14808.99036633316</v>
      </c>
      <c r="W111" s="233" t="n">
        <v>14891.09551298618</v>
      </c>
      <c r="X111" s="233" t="n">
        <v>14616.10328074341</v>
      </c>
      <c r="Y111" s="233" t="n">
        <v>14762.6725335262</v>
      </c>
      <c r="Z111" s="233" t="n">
        <v>14716.63061368465</v>
      </c>
      <c r="AA111" s="204" t="n">
        <v>15616.49604654312</v>
      </c>
      <c r="AB111" s="204" t="n">
        <v>16030.13035272749</v>
      </c>
      <c r="AC111" s="204" t="n">
        <v>15889.16539912974</v>
      </c>
      <c r="AD111" s="204" t="n">
        <v>15751.15928691742</v>
      </c>
      <c r="AE111" s="204" t="n">
        <v>16213.93125883024</v>
      </c>
      <c r="AF111" s="204" t="n">
        <v>16443.43280005455</v>
      </c>
      <c r="AG111" s="204" t="n">
        <v>16737.86523500341</v>
      </c>
      <c r="AH111" s="204" t="n">
        <v>17017.91076614172</v>
      </c>
      <c r="AI111" s="204" t="n">
        <v>17482.81771339942</v>
      </c>
      <c r="AJ111" s="204" t="n">
        <v>17876.81898632669</v>
      </c>
      <c r="AK111" s="204" t="n">
        <v>17972.58201593161</v>
      </c>
      <c r="AL111" s="204" t="n">
        <v>18312.70773326838</v>
      </c>
      <c r="AM111" s="204" t="n">
        <v>19048.98773741722</v>
      </c>
      <c r="AN111" s="204" t="n">
        <v>20129.07460460649</v>
      </c>
      <c r="AO111" s="204" t="n">
        <v>18670.51872199774</v>
      </c>
      <c r="AP111" s="204" t="n">
        <v>19133.31762800331</v>
      </c>
      <c r="AQ111" s="204" t="n">
        <v>19305.91955938248</v>
      </c>
      <c r="AR111" s="204" t="n">
        <v>19768.34747868357</v>
      </c>
      <c r="AS111" s="204" t="n">
        <v>20495.1711154792</v>
      </c>
      <c r="AT111" s="204" t="n">
        <v>20368.30085328699</v>
      </c>
      <c r="AU111" s="204" t="n">
        <v>20044.93030741811</v>
      </c>
      <c r="AV111" s="201" t="n">
        <v>20044.93030741811</v>
      </c>
      <c r="AW111" s="184" t="n">
        <v>20044.93030741811</v>
      </c>
      <c r="AX111" s="184" t="n">
        <v>20044.93030741811</v>
      </c>
      <c r="AY111" s="184" t="n"/>
    </row>
    <row r="112" ht="22" customHeight="1">
      <c r="A112" s="303" t="n"/>
      <c r="B112" s="201" t="inlineStr">
        <is>
          <t>% CHANGE</t>
        </is>
      </c>
      <c r="C112" s="230">
        <f>+(C111-C110)/C110</f>
        <v/>
      </c>
      <c r="D112" s="230">
        <f>+(D111-D110)/D110</f>
        <v/>
      </c>
      <c r="E112" s="230">
        <f>+(E111-E110)/E110</f>
        <v/>
      </c>
      <c r="F112" s="230">
        <f>+(F111-F110)/F110</f>
        <v/>
      </c>
      <c r="G112" s="230">
        <f>+(G111-G110)/G110</f>
        <v/>
      </c>
      <c r="H112" s="230">
        <f>+(H111-H110)/H110</f>
        <v/>
      </c>
      <c r="I112" s="230">
        <f>+(I111-I110)/I110</f>
        <v/>
      </c>
      <c r="J112" s="230">
        <f>+(J111-J110)/J110</f>
        <v/>
      </c>
      <c r="K112" s="230">
        <f>+(K111-K110)/K110</f>
        <v/>
      </c>
      <c r="L112" s="230">
        <f>+(L111-L110)/L110</f>
        <v/>
      </c>
      <c r="M112" s="230">
        <f>+(M111-M110)/M110</f>
        <v/>
      </c>
      <c r="N112" s="230">
        <f>+(N111-N110)/N110</f>
        <v/>
      </c>
      <c r="O112" s="230">
        <f>+(O111-O110)/O110</f>
        <v/>
      </c>
      <c r="P112" s="230">
        <f>+(P111-P110)/P110</f>
        <v/>
      </c>
      <c r="Q112" s="230">
        <f>+(Q111-Q110)/Q110</f>
        <v/>
      </c>
      <c r="R112" s="230">
        <f>+(R111-R110)/R110</f>
        <v/>
      </c>
      <c r="S112" s="230">
        <f>+(S111-S110)/S110</f>
        <v/>
      </c>
      <c r="T112" s="230">
        <f>+(T111-T110)/T110</f>
        <v/>
      </c>
      <c r="U112" s="230">
        <f>+(U111-U110)/U110</f>
        <v/>
      </c>
      <c r="V112" s="230">
        <f>+(V111-V110)/V110</f>
        <v/>
      </c>
      <c r="W112" s="230">
        <f>+(W111-W110)/W110</f>
        <v/>
      </c>
      <c r="X112" s="230">
        <f>+(X111-X110)/X110</f>
        <v/>
      </c>
      <c r="Y112" s="230">
        <f>+(Y111-Y110)/Y110</f>
        <v/>
      </c>
      <c r="Z112" s="230">
        <f>+(Z111-Z110)/Z110</f>
        <v/>
      </c>
      <c r="AA112" s="230">
        <f>+(AA111-AA110)/AA110</f>
        <v/>
      </c>
      <c r="AB112" s="205">
        <f>+(AB111-AB110)/AB110</f>
        <v/>
      </c>
      <c r="AC112" s="205">
        <f>+(AC111-AC110)/AC110</f>
        <v/>
      </c>
      <c r="AD112" s="205">
        <f>+(AD111-AD110)/AD110</f>
        <v/>
      </c>
      <c r="AE112" s="205">
        <f>+(AE111-AE110)/AE110</f>
        <v/>
      </c>
      <c r="AF112" s="205">
        <f>+(AF111-AF110)/AF110</f>
        <v/>
      </c>
      <c r="AG112" s="205">
        <f>+(AG111-AG110)/AG110</f>
        <v/>
      </c>
      <c r="AH112" s="205">
        <f>+(AH111-AH110)/AH110</f>
        <v/>
      </c>
      <c r="AI112" s="205">
        <f>+(AI111-AI110)/AI110</f>
        <v/>
      </c>
      <c r="AJ112" s="205">
        <f>+(AJ111-AJ110)/AJ110</f>
        <v/>
      </c>
      <c r="AK112" s="205">
        <f>+(AK111-AK110)/AK110</f>
        <v/>
      </c>
      <c r="AL112" s="205">
        <f>+(AL111-AL110)/AL110</f>
        <v/>
      </c>
      <c r="AM112" s="205">
        <f>+(AM111-AM110)/AM110</f>
        <v/>
      </c>
      <c r="AN112" s="205">
        <f>+(AN111-AN110)/AN110</f>
        <v/>
      </c>
      <c r="AO112" s="205">
        <f>+(AO111-AO110)/AO110</f>
        <v/>
      </c>
      <c r="AP112" s="205">
        <f>+(AP111-AP110)/AP110</f>
        <v/>
      </c>
      <c r="AQ112" s="205">
        <f>+(AQ111-AQ110)/AQ110</f>
        <v/>
      </c>
      <c r="AR112" s="205">
        <f>+(AR111-AR110)/AR110</f>
        <v/>
      </c>
      <c r="AS112" s="205">
        <f>+(AS111-AS110)/AS110</f>
        <v/>
      </c>
      <c r="AT112" s="205">
        <f>+(AT111-AT110)/AT110</f>
        <v/>
      </c>
      <c r="AU112" s="205">
        <f>+(AU111-AU110)/AU110</f>
        <v/>
      </c>
      <c r="AV112" s="201">
        <f>+(AV111-AV110)/AV110</f>
        <v/>
      </c>
      <c r="AW112" s="184">
        <f>+(AW111-AW110)/AW110</f>
        <v/>
      </c>
      <c r="AX112" s="184">
        <f>+(AX111-AX110)/AX110</f>
        <v/>
      </c>
      <c r="AY112" s="184" t="n"/>
    </row>
    <row r="113" ht="44" customHeight="1">
      <c r="A113" s="303" t="n"/>
      <c r="B113" s="201" t="inlineStr">
        <is>
          <t>All time High TSE UK</t>
        </is>
      </c>
      <c r="C113" s="233" t="n">
        <v>7903.5</v>
      </c>
      <c r="D113" s="233" t="n">
        <v>8047.10009765625</v>
      </c>
      <c r="E113" s="233" t="n">
        <v>8047.10009765625</v>
      </c>
      <c r="F113" s="233" t="n">
        <v>8047.10009765625</v>
      </c>
      <c r="G113" s="233" t="n">
        <v>8047.10009765625</v>
      </c>
      <c r="H113" s="233" t="n">
        <v>8047.10009765625</v>
      </c>
      <c r="I113" s="233" t="n">
        <v>8047.10009765625</v>
      </c>
      <c r="J113" s="233" t="n">
        <v>8047.10009765625</v>
      </c>
      <c r="K113" s="233" t="n">
        <v>8047.10009765625</v>
      </c>
      <c r="L113" s="233" t="n">
        <v>8047.10009765625</v>
      </c>
      <c r="M113" s="233" t="n">
        <v>8047.10009765625</v>
      </c>
      <c r="N113" s="233" t="n">
        <v>8047.10009765625</v>
      </c>
      <c r="O113" s="233" t="n">
        <v>8047.10009765625</v>
      </c>
      <c r="P113" s="233" t="n">
        <v>8047.10009765625</v>
      </c>
      <c r="Q113" s="233" t="n">
        <v>8047.10009765625</v>
      </c>
      <c r="R113" s="233" t="n">
        <v>8200</v>
      </c>
      <c r="S113" s="233" t="n">
        <v>8474.400390625</v>
      </c>
      <c r="T113" s="233" t="n">
        <v>8474.400390625</v>
      </c>
      <c r="U113" s="233" t="n">
        <v>8474.400390625</v>
      </c>
      <c r="V113" s="233" t="n">
        <v>8474.400390625</v>
      </c>
      <c r="W113" s="233" t="n">
        <v>8474.400390625</v>
      </c>
      <c r="X113" s="233" t="n">
        <v>8474.400390625</v>
      </c>
      <c r="Y113" s="233" t="n">
        <v>8474.400390625</v>
      </c>
      <c r="Z113" s="233" t="n">
        <v>8474.400390625</v>
      </c>
      <c r="AA113" s="231" t="n">
        <v>8692.7998046875</v>
      </c>
      <c r="AB113" s="203" t="n">
        <v>8820.900390625</v>
      </c>
      <c r="AC113" s="203" t="n">
        <v>8820.900390625</v>
      </c>
      <c r="AD113" s="203" t="n">
        <v>8820.900390625</v>
      </c>
      <c r="AE113" s="203" t="n">
        <v>8824</v>
      </c>
      <c r="AF113" s="203" t="n">
        <v>8824</v>
      </c>
      <c r="AG113" s="203" t="n">
        <v>9190.7001953125</v>
      </c>
      <c r="AH113" s="203" t="n">
        <v>9357.5</v>
      </c>
      <c r="AI113" s="203" t="n">
        <v>9363.599609375</v>
      </c>
      <c r="AJ113" s="203" t="n">
        <v>9787.599609375</v>
      </c>
      <c r="AK113" s="203" t="n">
        <v>9930.099609375</v>
      </c>
      <c r="AL113" s="203" t="n">
        <v>9954.2998046875</v>
      </c>
      <c r="AM113" s="203" t="n">
        <v>10277.7001953125</v>
      </c>
      <c r="AN113" s="203" t="n">
        <v>10934.900390625</v>
      </c>
      <c r="AO113" s="203" t="n">
        <v>10934.900390625</v>
      </c>
      <c r="AP113" s="203" t="n">
        <v>10934.900390625</v>
      </c>
      <c r="AQ113" s="203" t="n">
        <v>10934.900390625</v>
      </c>
      <c r="AR113" s="203" t="n">
        <v>10934.900390625</v>
      </c>
      <c r="AS113" s="203" t="n">
        <v>10989.5</v>
      </c>
      <c r="AT113" s="203" t="n">
        <v>10989.5</v>
      </c>
      <c r="AU113" s="203" t="n">
        <v>10989.5</v>
      </c>
      <c r="AV113" s="201" t="n">
        <v>10989.5</v>
      </c>
      <c r="AW113" s="184" t="n">
        <v>10989.5</v>
      </c>
      <c r="AX113" s="184" t="n">
        <v>10989.5</v>
      </c>
      <c r="AY113" s="184" t="n"/>
    </row>
    <row r="114" ht="44" customHeight="1">
      <c r="A114" s="303" t="n"/>
      <c r="B114" s="201" t="inlineStr">
        <is>
          <t>current price TSE UK</t>
        </is>
      </c>
      <c r="C114" s="233" t="n">
        <v>7771.7001953125</v>
      </c>
      <c r="D114" s="233" t="n">
        <v>7876.2998046875</v>
      </c>
      <c r="E114" s="233" t="n">
        <v>7631.7001953125</v>
      </c>
      <c r="F114" s="233" t="n">
        <v>7870.60009765625</v>
      </c>
      <c r="G114" s="233" t="n">
        <v>7446.10009765625</v>
      </c>
      <c r="H114" s="233" t="n">
        <v>7531.5</v>
      </c>
      <c r="I114" s="233" t="n">
        <v>7699.39990234375</v>
      </c>
      <c r="J114" s="233" t="n">
        <v>7439.10009765625</v>
      </c>
      <c r="K114" s="233" t="n">
        <v>7608.10009765625</v>
      </c>
      <c r="L114" s="233" t="n">
        <v>7321.7001953125</v>
      </c>
      <c r="M114" s="233" t="n">
        <v>7453.7998046875</v>
      </c>
      <c r="N114" s="233" t="n">
        <v>7733.2001953125</v>
      </c>
      <c r="O114" s="233" t="n">
        <v>7630.60009765625</v>
      </c>
      <c r="P114" s="233" t="n">
        <v>7630</v>
      </c>
      <c r="Q114" s="233" t="n">
        <v>7952.60009765625</v>
      </c>
      <c r="R114" s="233" t="n">
        <v>8144.10009765625</v>
      </c>
      <c r="S114" s="233" t="n">
        <v>8275.400390625</v>
      </c>
      <c r="T114" s="233" t="n">
        <v>8164.10009765625</v>
      </c>
      <c r="U114" s="233" t="n">
        <v>8368</v>
      </c>
      <c r="V114" s="233" t="n">
        <v>8376.599609375</v>
      </c>
      <c r="W114" s="233" t="n">
        <v>8237</v>
      </c>
      <c r="X114" s="233" t="n">
        <v>8110.10009765625</v>
      </c>
      <c r="Y114" s="233" t="n">
        <v>8287.2998046875</v>
      </c>
      <c r="Z114" s="233" t="n">
        <v>8173</v>
      </c>
      <c r="AA114" s="231" t="n">
        <v>8674</v>
      </c>
      <c r="AB114" s="203" t="n">
        <v>8809.7001953125</v>
      </c>
      <c r="AC114" s="203" t="n">
        <v>8582.7998046875</v>
      </c>
      <c r="AD114" s="203" t="n">
        <v>8494.900390625</v>
      </c>
      <c r="AE114" s="203" t="n">
        <v>8772.400390625</v>
      </c>
      <c r="AF114" s="203" t="n">
        <v>8761</v>
      </c>
      <c r="AG114" s="203" t="n">
        <v>9132.7998046875</v>
      </c>
      <c r="AH114" s="203" t="n">
        <v>9187.2998046875</v>
      </c>
      <c r="AI114" s="203" t="n">
        <v>9350.400390625</v>
      </c>
      <c r="AJ114" s="203" t="n">
        <v>9717.2998046875</v>
      </c>
      <c r="AK114" s="203" t="n">
        <v>9720.5</v>
      </c>
      <c r="AL114" s="203" t="n">
        <v>9931.400390625</v>
      </c>
      <c r="AM114" s="203" t="n">
        <v>10223.5</v>
      </c>
      <c r="AN114" s="203" t="n">
        <v>10910.599609375</v>
      </c>
      <c r="AO114" s="203" t="n">
        <v>10176.5</v>
      </c>
      <c r="AP114" s="203" t="n">
        <v>10378.7998046875</v>
      </c>
      <c r="AQ114" s="203" t="n">
        <v>10409.2998046875</v>
      </c>
      <c r="AR114" s="203" t="n">
        <v>10497.099609375</v>
      </c>
      <c r="AS114" s="203" t="n">
        <v>10868.099609375</v>
      </c>
      <c r="AT114" s="203" t="n">
        <v>10824.2998046875</v>
      </c>
      <c r="AU114" s="203" t="n">
        <v>10695.25</v>
      </c>
      <c r="AV114" s="201" t="n">
        <v>10695.25</v>
      </c>
      <c r="AW114" s="184" t="n">
        <v>10695.25</v>
      </c>
      <c r="AX114" s="184" t="n">
        <v>10695.25</v>
      </c>
      <c r="AY114" s="184" t="n"/>
    </row>
    <row r="115" ht="44" customHeight="1">
      <c r="A115" s="303" t="n"/>
      <c r="B115" s="201" t="inlineStr">
        <is>
          <t>original index % change</t>
        </is>
      </c>
      <c r="C115" s="230">
        <f>+(C114-C113)/C113</f>
        <v/>
      </c>
      <c r="D115" s="230">
        <f>+(D114-D113)/D113</f>
        <v/>
      </c>
      <c r="E115" s="230">
        <f>+(E114-E113)/E113</f>
        <v/>
      </c>
      <c r="F115" s="230">
        <f>+(F114-F113)/F113</f>
        <v/>
      </c>
      <c r="G115" s="230">
        <f>+(G114-G113)/G113</f>
        <v/>
      </c>
      <c r="H115" s="230">
        <f>+(H114-H113)/H113</f>
        <v/>
      </c>
      <c r="I115" s="230">
        <f>+(I114-I113)/I113</f>
        <v/>
      </c>
      <c r="J115" s="230">
        <f>+(J114-J113)/J113</f>
        <v/>
      </c>
      <c r="K115" s="230">
        <f>+(K114-K113)/K113</f>
        <v/>
      </c>
      <c r="L115" s="230">
        <f>+(L114-L113)/L113</f>
        <v/>
      </c>
      <c r="M115" s="230">
        <f>+(M114-M113)/M113</f>
        <v/>
      </c>
      <c r="N115" s="230">
        <f>+(N114-N113)/N113</f>
        <v/>
      </c>
      <c r="O115" s="230">
        <f>+(O114-O113)/O113</f>
        <v/>
      </c>
      <c r="P115" s="230">
        <f>+(P114-P113)/P113</f>
        <v/>
      </c>
      <c r="Q115" s="230">
        <f>+(Q114-Q113)/Q113</f>
        <v/>
      </c>
      <c r="R115" s="230">
        <f>+(R114-R113)/R113</f>
        <v/>
      </c>
      <c r="S115" s="230">
        <f>+(S114-S113)/S113</f>
        <v/>
      </c>
      <c r="T115" s="230">
        <f>+(T114-T113)/T113</f>
        <v/>
      </c>
      <c r="U115" s="230">
        <f>+(U114-U113)/U113</f>
        <v/>
      </c>
      <c r="V115" s="230">
        <f>+(V114-V113)/V113</f>
        <v/>
      </c>
      <c r="W115" s="230">
        <f>+(W114-W113)/W113</f>
        <v/>
      </c>
      <c r="X115" s="230">
        <f>+(X114-X113)/X113</f>
        <v/>
      </c>
      <c r="Y115" s="230">
        <f>+(Y114-Y113)/Y113</f>
        <v/>
      </c>
      <c r="Z115" s="230">
        <f>+(Z114-Z113)/Z113</f>
        <v/>
      </c>
      <c r="AA115" s="230">
        <f>+(AA114-AA113)/AA113</f>
        <v/>
      </c>
      <c r="AB115" s="205">
        <f>+(AB114-AB113)/AB113</f>
        <v/>
      </c>
      <c r="AC115" s="205">
        <f>+(AC114-AC113)/AC113</f>
        <v/>
      </c>
      <c r="AD115" s="205">
        <f>+(AD114-AD113)/AD113</f>
        <v/>
      </c>
      <c r="AE115" s="205">
        <f>+(AE114-AE113)/AE113</f>
        <v/>
      </c>
      <c r="AF115" s="205">
        <f>+(AF114-AF113)/AF113</f>
        <v/>
      </c>
      <c r="AG115" s="205">
        <f>+(AG114-AG113)/AG113</f>
        <v/>
      </c>
      <c r="AH115" s="205">
        <f>+(AH114-AH113)/AH113</f>
        <v/>
      </c>
      <c r="AI115" s="205">
        <f>+(AI114-AI113)/AI113</f>
        <v/>
      </c>
      <c r="AJ115" s="205">
        <f>+(AJ114-AJ113)/AJ113</f>
        <v/>
      </c>
      <c r="AK115" s="205">
        <f>+(AK114-AK113)/AK113</f>
        <v/>
      </c>
      <c r="AL115" s="205">
        <f>+(AL114-AL113)/AL113</f>
        <v/>
      </c>
      <c r="AM115" s="205">
        <f>+(AM114-AM113)/AM113</f>
        <v/>
      </c>
      <c r="AN115" s="205">
        <f>+(AN114-AN113)/AN113</f>
        <v/>
      </c>
      <c r="AO115" s="205">
        <f>+(AO114-AO113)/AO113</f>
        <v/>
      </c>
      <c r="AP115" s="205">
        <f>+(AP114-AP113)/AP113</f>
        <v/>
      </c>
      <c r="AQ115" s="205">
        <f>+(AQ114-AQ113)/AQ113</f>
        <v/>
      </c>
      <c r="AR115" s="205">
        <f>+(AR114-AR113)/AR113</f>
        <v/>
      </c>
      <c r="AS115" s="205">
        <f>+(AS114-AS113)/AS113</f>
        <v/>
      </c>
      <c r="AT115" s="205">
        <f>+(AT114-AT113)/AT113</f>
        <v/>
      </c>
      <c r="AU115" s="205">
        <f>+(AU114-AU113)/AU113</f>
        <v/>
      </c>
      <c r="AV115" s="201">
        <f>+(AV114-AV113)/AV113</f>
        <v/>
      </c>
      <c r="AW115" s="184">
        <f>+(AW114-AW113)/AW113</f>
        <v/>
      </c>
      <c r="AX115" s="184">
        <f>+(AX114-AX113)/AX113</f>
        <v/>
      </c>
      <c r="AY115" s="184" t="n"/>
    </row>
    <row r="116" ht="22" customHeight="1">
      <c r="A116" s="303" t="n"/>
      <c r="B116" s="201" t="inlineStr">
        <is>
          <t>real % change</t>
        </is>
      </c>
      <c r="C116" s="230">
        <f>+C112-C115</f>
        <v/>
      </c>
      <c r="D116" s="230">
        <f>+D112-D115</f>
        <v/>
      </c>
      <c r="E116" s="230">
        <f>+E112-E115</f>
        <v/>
      </c>
      <c r="F116" s="230">
        <f>+F112-F115</f>
        <v/>
      </c>
      <c r="G116" s="230">
        <f>+G112-G115</f>
        <v/>
      </c>
      <c r="H116" s="230">
        <f>+H112-H115</f>
        <v/>
      </c>
      <c r="I116" s="230">
        <f>+I112-I115</f>
        <v/>
      </c>
      <c r="J116" s="230">
        <f>+J112-J115</f>
        <v/>
      </c>
      <c r="K116" s="230">
        <f>+K112-K115</f>
        <v/>
      </c>
      <c r="L116" s="230">
        <f>+L112-L115</f>
        <v/>
      </c>
      <c r="M116" s="230">
        <f>+M112-M115</f>
        <v/>
      </c>
      <c r="N116" s="230">
        <f>+N112-N115</f>
        <v/>
      </c>
      <c r="O116" s="230">
        <f>+O112-O115</f>
        <v/>
      </c>
      <c r="P116" s="230">
        <f>+P112-P115</f>
        <v/>
      </c>
      <c r="Q116" s="230">
        <f>+Q112-Q115</f>
        <v/>
      </c>
      <c r="R116" s="230">
        <f>+R112-R115</f>
        <v/>
      </c>
      <c r="S116" s="230">
        <f>+S112-S115</f>
        <v/>
      </c>
      <c r="T116" s="230">
        <f>+T112-T115</f>
        <v/>
      </c>
      <c r="U116" s="230">
        <f>+U112-U115</f>
        <v/>
      </c>
      <c r="V116" s="230">
        <f>+V112-V115</f>
        <v/>
      </c>
      <c r="W116" s="230">
        <f>+W112-W115</f>
        <v/>
      </c>
      <c r="X116" s="230">
        <f>+X112-X115</f>
        <v/>
      </c>
      <c r="Y116" s="230">
        <f>+Y112-Y115</f>
        <v/>
      </c>
      <c r="Z116" s="230">
        <f>+Z112-Z115</f>
        <v/>
      </c>
      <c r="AA116" s="230">
        <f>+AA112-AA115</f>
        <v/>
      </c>
      <c r="AB116" s="205">
        <f>+AB112-AB115</f>
        <v/>
      </c>
      <c r="AC116" s="205">
        <f>+AC112-AC115</f>
        <v/>
      </c>
      <c r="AD116" s="205">
        <f>+AD112-AD115</f>
        <v/>
      </c>
      <c r="AE116" s="205">
        <f>+AE112-AE115</f>
        <v/>
      </c>
      <c r="AF116" s="205">
        <f>+AF112-AF115</f>
        <v/>
      </c>
      <c r="AG116" s="205">
        <f>+AG112-AG115</f>
        <v/>
      </c>
      <c r="AH116" s="205">
        <f>+AH112-AH115</f>
        <v/>
      </c>
      <c r="AI116" s="205">
        <f>+AI112-AI115</f>
        <v/>
      </c>
      <c r="AJ116" s="205">
        <f>+AJ112-AJ115</f>
        <v/>
      </c>
      <c r="AK116" s="205">
        <f>+AK112-AK115</f>
        <v/>
      </c>
      <c r="AL116" s="205">
        <f>+AL112-AL115</f>
        <v/>
      </c>
      <c r="AM116" s="205">
        <f>+AM112-AM115</f>
        <v/>
      </c>
      <c r="AN116" s="205">
        <f>+AN112-AN115</f>
        <v/>
      </c>
      <c r="AO116" s="205">
        <f>+AO112-AO115</f>
        <v/>
      </c>
      <c r="AP116" s="205">
        <f>+AP112-AP115</f>
        <v/>
      </c>
      <c r="AQ116" s="205">
        <f>+AQ112-AQ115</f>
        <v/>
      </c>
      <c r="AR116" s="205">
        <f>+AR112-AR115</f>
        <v/>
      </c>
      <c r="AS116" s="205">
        <f>+AS112-AS115</f>
        <v/>
      </c>
      <c r="AT116" s="205">
        <f>+AT112-AT115</f>
        <v/>
      </c>
      <c r="AU116" s="205">
        <f>+AU112-AU115</f>
        <v/>
      </c>
      <c r="AV116" s="201">
        <f>+AV112-AV115</f>
        <v/>
      </c>
      <c r="AW116" s="184">
        <f>+AW112-AW115</f>
        <v/>
      </c>
      <c r="AX116" s="184">
        <f>+AX112-AX115</f>
        <v/>
      </c>
      <c r="AY116" s="184" t="n"/>
    </row>
    <row r="117" ht="22" customHeight="1">
      <c r="A117" s="304" t="n"/>
      <c r="B117" s="206" t="inlineStr">
        <is>
          <t>Rating</t>
        </is>
      </c>
      <c r="C117" s="232">
        <f>_xlfn.XLOOKUP(MIN(ABS($BJ$7:$BJ$29 - MEDIAN(MIN($BJ$7:$BJ$29), MAX($BJ$7:$BJ$29), C116))), ABS($BJ$7:$BJ$29 - MEDIAN(MIN($BJ$7:$BJ$29), MAX($BJ$7:$BJ$29), C116)), $BK$7:$BK$29, "Error", 0)</f>
        <v/>
      </c>
      <c r="D117" s="232">
        <f>_xlfn.XLOOKUP(MIN(ABS($BJ$7:$BJ$29 - MEDIAN(MIN($BJ$7:$BJ$29), MAX($BJ$7:$BJ$29), D116))), ABS($BJ$7:$BJ$29 - MEDIAN(MIN($BJ$7:$BJ$29), MAX($BJ$7:$BJ$29), D116)), $BK$7:$BK$29, "Error", 0)</f>
        <v/>
      </c>
      <c r="E117" s="232">
        <f>_xlfn.XLOOKUP(MIN(ABS($BJ$7:$BJ$29 - MEDIAN(MIN($BJ$7:$BJ$29), MAX($BJ$7:$BJ$29), E116))), ABS($BJ$7:$BJ$29 - MEDIAN(MIN($BJ$7:$BJ$29), MAX($BJ$7:$BJ$29), E116)), $BK$7:$BK$29, "Error", 0)</f>
        <v/>
      </c>
      <c r="F117" s="232">
        <f>_xlfn.XLOOKUP(MIN(ABS($BJ$7:$BJ$29 - MEDIAN(MIN($BJ$7:$BJ$29), MAX($BJ$7:$BJ$29), F116))), ABS($BJ$7:$BJ$29 - MEDIAN(MIN($BJ$7:$BJ$29), MAX($BJ$7:$BJ$29), F116)), $BK$7:$BK$29, "Error", 0)</f>
        <v/>
      </c>
      <c r="G117" s="232">
        <f>_xlfn.XLOOKUP(MIN(ABS($BJ$7:$BJ$29 - MEDIAN(MIN($BJ$7:$BJ$29), MAX($BJ$7:$BJ$29), G116))), ABS($BJ$7:$BJ$29 - MEDIAN(MIN($BJ$7:$BJ$29), MAX($BJ$7:$BJ$29), G116)), $BK$7:$BK$29, "Error", 0)</f>
        <v/>
      </c>
      <c r="H117" s="232">
        <f>_xlfn.XLOOKUP(MIN(ABS($BJ$7:$BJ$29 - MEDIAN(MIN($BJ$7:$BJ$29), MAX($BJ$7:$BJ$29), H116))), ABS($BJ$7:$BJ$29 - MEDIAN(MIN($BJ$7:$BJ$29), MAX($BJ$7:$BJ$29), H116)), $BK$7:$BK$29, "Error", 0)</f>
        <v/>
      </c>
      <c r="I117" s="232">
        <f>_xlfn.XLOOKUP(MIN(ABS($BJ$7:$BJ$29 - MEDIAN(MIN($BJ$7:$BJ$29), MAX($BJ$7:$BJ$29), I116))), ABS($BJ$7:$BJ$29 - MEDIAN(MIN($BJ$7:$BJ$29), MAX($BJ$7:$BJ$29), I116)), $BK$7:$BK$29, "Error", 0)</f>
        <v/>
      </c>
      <c r="J117" s="232">
        <f>_xlfn.XLOOKUP(MIN(ABS($BJ$7:$BJ$29 - MEDIAN(MIN($BJ$7:$BJ$29), MAX($BJ$7:$BJ$29), J116))), ABS($BJ$7:$BJ$29 - MEDIAN(MIN($BJ$7:$BJ$29), MAX($BJ$7:$BJ$29), J116)), $BK$7:$BK$29, "Error", 0)</f>
        <v/>
      </c>
      <c r="K117" s="232">
        <f>_xlfn.XLOOKUP(MIN(ABS($BJ$7:$BJ$29 - MEDIAN(MIN($BJ$7:$BJ$29), MAX($BJ$7:$BJ$29), K116))), ABS($BJ$7:$BJ$29 - MEDIAN(MIN($BJ$7:$BJ$29), MAX($BJ$7:$BJ$29), K116)), $BK$7:$BK$29, "Error", 0)</f>
        <v/>
      </c>
      <c r="L117" s="232">
        <f>_xlfn.XLOOKUP(MIN(ABS($BJ$7:$BJ$29 - MEDIAN(MIN($BJ$7:$BJ$29), MAX($BJ$7:$BJ$29), L116))), ABS($BJ$7:$BJ$29 - MEDIAN(MIN($BJ$7:$BJ$29), MAX($BJ$7:$BJ$29), L116)), $BK$7:$BK$29, "Error", 0)</f>
        <v/>
      </c>
      <c r="M117" s="232">
        <f>_xlfn.XLOOKUP(MIN(ABS($BJ$7:$BJ$29 - MEDIAN(MIN($BJ$7:$BJ$29), MAX($BJ$7:$BJ$29), M116))), ABS($BJ$7:$BJ$29 - MEDIAN(MIN($BJ$7:$BJ$29), MAX($BJ$7:$BJ$29), M116)), $BK$7:$BK$29, "Error", 0)</f>
        <v/>
      </c>
      <c r="N117" s="232">
        <f>_xlfn.XLOOKUP(MIN(ABS($BJ$7:$BJ$29 - MEDIAN(MIN($BJ$7:$BJ$29), MAX($BJ$7:$BJ$29), N116))), ABS($BJ$7:$BJ$29 - MEDIAN(MIN($BJ$7:$BJ$29), MAX($BJ$7:$BJ$29), N116)), $BK$7:$BK$29, "Error", 0)</f>
        <v/>
      </c>
      <c r="O117" s="232">
        <f>_xlfn.XLOOKUP(MIN(ABS($BJ$7:$BJ$29 - MEDIAN(MIN($BJ$7:$BJ$29), MAX($BJ$7:$BJ$29), O116))), ABS($BJ$7:$BJ$29 - MEDIAN(MIN($BJ$7:$BJ$29), MAX($BJ$7:$BJ$29), O116)), $BK$7:$BK$29, "Error", 0)</f>
        <v/>
      </c>
      <c r="P117" s="232">
        <f>_xlfn.XLOOKUP(MIN(ABS($BJ$7:$BJ$29 - MEDIAN(MIN($BJ$7:$BJ$29), MAX($BJ$7:$BJ$29), P116))), ABS($BJ$7:$BJ$29 - MEDIAN(MIN($BJ$7:$BJ$29), MAX($BJ$7:$BJ$29), P116)), $BK$7:$BK$29, "Error", 0)</f>
        <v/>
      </c>
      <c r="Q117" s="232">
        <f>_xlfn.XLOOKUP(MIN(ABS($BJ$7:$BJ$29 - MEDIAN(MIN($BJ$7:$BJ$29), MAX($BJ$7:$BJ$29), Q116))), ABS($BJ$7:$BJ$29 - MEDIAN(MIN($BJ$7:$BJ$29), MAX($BJ$7:$BJ$29), Q116)), $BK$7:$BK$29, "Error", 0)</f>
        <v/>
      </c>
      <c r="R117" s="232">
        <f>_xlfn.XLOOKUP(MIN(ABS($BJ$7:$BJ$29 - MEDIAN(MIN($BJ$7:$BJ$29), MAX($BJ$7:$BJ$29), R116))), ABS($BJ$7:$BJ$29 - MEDIAN(MIN($BJ$7:$BJ$29), MAX($BJ$7:$BJ$29), R116)), $BK$7:$BK$29, "Error", 0)</f>
        <v/>
      </c>
      <c r="S117" s="232">
        <f>_xlfn.XLOOKUP(MIN(ABS($BJ$7:$BJ$29 - MEDIAN(MIN($BJ$7:$BJ$29), MAX($BJ$7:$BJ$29), S116))), ABS($BJ$7:$BJ$29 - MEDIAN(MIN($BJ$7:$BJ$29), MAX($BJ$7:$BJ$29), S116)), $BK$7:$BK$29, "Error", 0)</f>
        <v/>
      </c>
      <c r="T117" s="232">
        <f>_xlfn.XLOOKUP(MIN(ABS($BJ$7:$BJ$29 - MEDIAN(MIN($BJ$7:$BJ$29), MAX($BJ$7:$BJ$29), T116))), ABS($BJ$7:$BJ$29 - MEDIAN(MIN($BJ$7:$BJ$29), MAX($BJ$7:$BJ$29), T116)), $BK$7:$BK$29, "Error", 0)</f>
        <v/>
      </c>
      <c r="U117" s="232">
        <f>_xlfn.XLOOKUP(MIN(ABS($BJ$7:$BJ$29 - MEDIAN(MIN($BJ$7:$BJ$29), MAX($BJ$7:$BJ$29), U116))), ABS($BJ$7:$BJ$29 - MEDIAN(MIN($BJ$7:$BJ$29), MAX($BJ$7:$BJ$29), U116)), $BK$7:$BK$29, "Error", 0)</f>
        <v/>
      </c>
      <c r="V117" s="232">
        <f>_xlfn.XLOOKUP(MIN(ABS($BJ$7:$BJ$29 - MEDIAN(MIN($BJ$7:$BJ$29), MAX($BJ$7:$BJ$29), V116))), ABS($BJ$7:$BJ$29 - MEDIAN(MIN($BJ$7:$BJ$29), MAX($BJ$7:$BJ$29), V116)), $BK$7:$BK$29, "Error", 0)</f>
        <v/>
      </c>
      <c r="W117" s="232">
        <f>_xlfn.XLOOKUP(MIN(ABS($BJ$7:$BJ$29 - MEDIAN(MIN($BJ$7:$BJ$29), MAX($BJ$7:$BJ$29), W116))), ABS($BJ$7:$BJ$29 - MEDIAN(MIN($BJ$7:$BJ$29), MAX($BJ$7:$BJ$29), W116)), $BK$7:$BK$29, "Error", 0)</f>
        <v/>
      </c>
      <c r="X117" s="232">
        <f>_xlfn.XLOOKUP(MIN(ABS($BJ$7:$BJ$29 - MEDIAN(MIN($BJ$7:$BJ$29), MAX($BJ$7:$BJ$29), X116))), ABS($BJ$7:$BJ$29 - MEDIAN(MIN($BJ$7:$BJ$29), MAX($BJ$7:$BJ$29), X116)), $BK$7:$BK$29, "Error", 0)</f>
        <v/>
      </c>
      <c r="Y117" s="232">
        <f>_xlfn.XLOOKUP(MIN(ABS($BJ$7:$BJ$29 - MEDIAN(MIN($BJ$7:$BJ$29), MAX($BJ$7:$BJ$29), Y116))), ABS($BJ$7:$BJ$29 - MEDIAN(MIN($BJ$7:$BJ$29), MAX($BJ$7:$BJ$29), Y116)), $BK$7:$BK$29, "Error", 0)</f>
        <v/>
      </c>
      <c r="Z117" s="232">
        <f>_xlfn.XLOOKUP(MIN(ABS($BJ$7:$BJ$29 - MEDIAN(MIN($BJ$7:$BJ$29), MAX($BJ$7:$BJ$29), Z116))), ABS($BJ$7:$BJ$29 - MEDIAN(MIN($BJ$7:$BJ$29), MAX($BJ$7:$BJ$29), Z116)), $BK$7:$BK$29, "Error", 0)</f>
        <v/>
      </c>
      <c r="AA117" s="232">
        <f>_xlfn.XLOOKUP(MIN(ABS($BJ$7:$BJ$29 - MEDIAN(MIN($BJ$7:$BJ$29), MAX($BJ$7:$BJ$29), AA116))), ABS($BJ$7:$BJ$29 - MEDIAN(MIN($BJ$7:$BJ$29), MAX($BJ$7:$BJ$29), AA116)), $BK$7:$BK$29, "Error", 0)</f>
        <v/>
      </c>
      <c r="AB117" s="171">
        <f>_xlfn.XLOOKUP(MIN(ABS($BJ$7:$BJ$29 - MEDIAN(MIN($BJ$7:$BJ$29), MAX($BJ$7:$BJ$29), AB116))), ABS($BJ$7:$BJ$29 - MEDIAN(MIN($BJ$7:$BJ$29), MAX($BJ$7:$BJ$29), AB116)), $BK$7:$BK$29, "Error", 0)</f>
        <v/>
      </c>
      <c r="AC117" s="171">
        <f>_xlfn.XLOOKUP(MIN(ABS($BJ$7:$BJ$29 - MEDIAN(MIN($BJ$7:$BJ$29), MAX($BJ$7:$BJ$29), AC116))), ABS($BJ$7:$BJ$29 - MEDIAN(MIN($BJ$7:$BJ$29), MAX($BJ$7:$BJ$29), AC116)), $BK$7:$BK$29, "Error", 0)</f>
        <v/>
      </c>
      <c r="AD117" s="171">
        <f>_xlfn.XLOOKUP(MIN(ABS($BJ$7:$BJ$29 - MEDIAN(MIN($BJ$7:$BJ$29), MAX($BJ$7:$BJ$29), AD116))), ABS($BJ$7:$BJ$29 - MEDIAN(MIN($BJ$7:$BJ$29), MAX($BJ$7:$BJ$29), AD116)), $BK$7:$BK$29, "Error", 0)</f>
        <v/>
      </c>
      <c r="AE117" s="171">
        <f>_xlfn.XLOOKUP(MIN(ABS($BJ$7:$BJ$29 - MEDIAN(MIN($BJ$7:$BJ$29), MAX($BJ$7:$BJ$29), AE116))), ABS($BJ$7:$BJ$29 - MEDIAN(MIN($BJ$7:$BJ$29), MAX($BJ$7:$BJ$29), AE116)), $BK$7:$BK$29, "Error", 0)</f>
        <v/>
      </c>
      <c r="AF117" s="171">
        <f>_xlfn.XLOOKUP(MIN(ABS($BJ$7:$BJ$29 - MEDIAN(MIN($BJ$7:$BJ$29), MAX($BJ$7:$BJ$29), AF116))), ABS($BJ$7:$BJ$29 - MEDIAN(MIN($BJ$7:$BJ$29), MAX($BJ$7:$BJ$29), AF116)), $BK$7:$BK$29, "Error", 0)</f>
        <v/>
      </c>
      <c r="AG117" s="171">
        <f>_xlfn.XLOOKUP(MIN(ABS($BJ$7:$BJ$29 - MEDIAN(MIN($BJ$7:$BJ$29), MAX($BJ$7:$BJ$29), AG116))), ABS($BJ$7:$BJ$29 - MEDIAN(MIN($BJ$7:$BJ$29), MAX($BJ$7:$BJ$29), AG116)), $BK$7:$BK$29, "Error", 0)</f>
        <v/>
      </c>
      <c r="AH117" s="171">
        <f>_xlfn.XLOOKUP(MIN(ABS($BJ$7:$BJ$29 - MEDIAN(MIN($BJ$7:$BJ$29), MAX($BJ$7:$BJ$29), AH116))), ABS($BJ$7:$BJ$29 - MEDIAN(MIN($BJ$7:$BJ$29), MAX($BJ$7:$BJ$29), AH116)), $BK$7:$BK$29, "Error", 0)</f>
        <v/>
      </c>
      <c r="AI117" s="171">
        <f>_xlfn.XLOOKUP(MIN(ABS($BJ$7:$BJ$29 - MEDIAN(MIN($BJ$7:$BJ$29), MAX($BJ$7:$BJ$29), AI116))), ABS($BJ$7:$BJ$29 - MEDIAN(MIN($BJ$7:$BJ$29), MAX($BJ$7:$BJ$29), AI116)), $BK$7:$BK$29, "Error", 0)</f>
        <v/>
      </c>
      <c r="AJ117" s="171">
        <f>_xlfn.XLOOKUP(MIN(ABS($BJ$7:$BJ$29 - MEDIAN(MIN($BJ$7:$BJ$29), MAX($BJ$7:$BJ$29), AJ116))), ABS($BJ$7:$BJ$29 - MEDIAN(MIN($BJ$7:$BJ$29), MAX($BJ$7:$BJ$29), AJ116)), $BK$7:$BK$29, "Error", 0)</f>
        <v/>
      </c>
      <c r="AK117" s="171">
        <f>_xlfn.XLOOKUP(MIN(ABS($BJ$7:$BJ$29 - MEDIAN(MIN($BJ$7:$BJ$29), MAX($BJ$7:$BJ$29), AK116))), ABS($BJ$7:$BJ$29 - MEDIAN(MIN($BJ$7:$BJ$29), MAX($BJ$7:$BJ$29), AK116)), $BK$7:$BK$29, "Error", 0)</f>
        <v/>
      </c>
      <c r="AL117" s="171">
        <f>_xlfn.XLOOKUP(MIN(ABS($BJ$7:$BJ$29 - MEDIAN(MIN($BJ$7:$BJ$29), MAX($BJ$7:$BJ$29), AL116))), ABS($BJ$7:$BJ$29 - MEDIAN(MIN($BJ$7:$BJ$29), MAX($BJ$7:$BJ$29), AL116)), $BK$7:$BK$29, "Error", 0)</f>
        <v/>
      </c>
      <c r="AM117" s="171">
        <f>_xlfn.XLOOKUP(MIN(ABS($BJ$7:$BJ$29 - MEDIAN(MIN($BJ$7:$BJ$29), MAX($BJ$7:$BJ$29), AM116))), ABS($BJ$7:$BJ$29 - MEDIAN(MIN($BJ$7:$BJ$29), MAX($BJ$7:$BJ$29), AM116)), $BK$7:$BK$29, "Error", 0)</f>
        <v/>
      </c>
      <c r="AN117" s="171">
        <f>_xlfn.XLOOKUP(MIN(ABS($BJ$7:$BJ$29 - MEDIAN(MIN($BJ$7:$BJ$29), MAX($BJ$7:$BJ$29), AN116))), ABS($BJ$7:$BJ$29 - MEDIAN(MIN($BJ$7:$BJ$29), MAX($BJ$7:$BJ$29), AN116)), $BK$7:$BK$29, "Error", 0)</f>
        <v/>
      </c>
      <c r="AO117" s="171">
        <f>_xlfn.XLOOKUP(MIN(ABS($BJ$7:$BJ$29 - MEDIAN(MIN($BJ$7:$BJ$29), MAX($BJ$7:$BJ$29), AO116))), ABS($BJ$7:$BJ$29 - MEDIAN(MIN($BJ$7:$BJ$29), MAX($BJ$7:$BJ$29), AO116)), $BK$7:$BK$29, "Error", 0)</f>
        <v/>
      </c>
      <c r="AP117" s="171">
        <f>_xlfn.XLOOKUP(MIN(ABS($BJ$7:$BJ$29 - MEDIAN(MIN($BJ$7:$BJ$29), MAX($BJ$7:$BJ$29), AP116))), ABS($BJ$7:$BJ$29 - MEDIAN(MIN($BJ$7:$BJ$29), MAX($BJ$7:$BJ$29), AP116)), $BK$7:$BK$29, "Error", 0)</f>
        <v/>
      </c>
      <c r="AQ117" s="171">
        <f>_xlfn.XLOOKUP(MIN(ABS($BJ$7:$BJ$29 - MEDIAN(MIN($BJ$7:$BJ$29), MAX($BJ$7:$BJ$29), AQ116))), ABS($BJ$7:$BJ$29 - MEDIAN(MIN($BJ$7:$BJ$29), MAX($BJ$7:$BJ$29), AQ116)), $BK$7:$BK$29, "Error", 0)</f>
        <v/>
      </c>
      <c r="AR117" s="171">
        <f>_xlfn.XLOOKUP(MIN(ABS($BJ$7:$BJ$29 - MEDIAN(MIN($BJ$7:$BJ$29), MAX($BJ$7:$BJ$29), AR116))), ABS($BJ$7:$BJ$29 - MEDIAN(MIN($BJ$7:$BJ$29), MAX($BJ$7:$BJ$29), AR116)), $BK$7:$BK$29, "Error", 0)</f>
        <v/>
      </c>
      <c r="AS117" s="171">
        <f>_xlfn.XLOOKUP(MIN(ABS($BJ$7:$BJ$29 - MEDIAN(MIN($BJ$7:$BJ$29), MAX($BJ$7:$BJ$29), AS116))), ABS($BJ$7:$BJ$29 - MEDIAN(MIN($BJ$7:$BJ$29), MAX($BJ$7:$BJ$29), AS116)), $BK$7:$BK$29, "Error", 0)</f>
        <v/>
      </c>
      <c r="AT117" s="171">
        <f>_xlfn.XLOOKUP(MIN(ABS($BJ$7:$BJ$29 - MEDIAN(MIN($BJ$7:$BJ$29), MAX($BJ$7:$BJ$29), AT116))), ABS($BJ$7:$BJ$29 - MEDIAN(MIN($BJ$7:$BJ$29), MAX($BJ$7:$BJ$29), AT116)), $BK$7:$BK$29, "Error", 0)</f>
        <v/>
      </c>
      <c r="AU117" s="171">
        <f>_xlfn.XLOOKUP(MIN(ABS($BJ$7:$BJ$29 - MEDIAN(MIN($BJ$7:$BJ$29), MAX($BJ$7:$BJ$29), AU116))), ABS($BJ$7:$BJ$29 - MEDIAN(MIN($BJ$7:$BJ$29), MAX($BJ$7:$BJ$29), AU116)), $BK$7:$BK$29, "Error", 0)</f>
        <v/>
      </c>
      <c r="AV117" s="206">
        <f>_xlfn.XLOOKUP(MIN(ABS($BJ$7:$BJ$29 - MEDIAN(MIN($BJ$7:$BJ$29), MAX($BJ$7:$BJ$29), AV116))), ABS($BJ$7:$BJ$29 - MEDIAN(MIN($BJ$7:$BJ$29), MAX($BJ$7:$BJ$29), AV116)), $BK$7:$BK$29, "Error", 0)</f>
        <v/>
      </c>
      <c r="AW117" s="184">
        <f>_xlfn.XLOOKUP(MIN(ABS($BJ$7:$BJ$29 - MEDIAN(MIN($BJ$7:$BJ$29), MAX($BJ$7:$BJ$29), AW116))), ABS($BJ$7:$BJ$29 - MEDIAN(MIN($BJ$7:$BJ$29), MAX($BJ$7:$BJ$29), AW116)), $BK$7:$BK$29, "Error", 0)</f>
        <v/>
      </c>
      <c r="AX117" s="184">
        <f>_xlfn.XLOOKUP(MIN(ABS($BJ$7:$BJ$29 - MEDIAN(MIN($BJ$7:$BJ$29), MAX($BJ$7:$BJ$29), AX116))), ABS($BJ$7:$BJ$29 - MEDIAN(MIN($BJ$7:$BJ$29), MAX($BJ$7:$BJ$29), AX116)), $BK$7:$BK$29, "Error", 0)</f>
        <v/>
      </c>
      <c r="AY117" s="184" t="n"/>
    </row>
    <row r="118" ht="44" customHeight="1">
      <c r="A118" s="305" t="inlineStr">
        <is>
          <t>GBP AUD</t>
        </is>
      </c>
      <c r="B118" s="200" t="inlineStr">
        <is>
          <t>All time High (CL)</t>
        </is>
      </c>
      <c r="C118" s="233" t="n">
        <v>26080.07054746337</v>
      </c>
      <c r="D118" s="233" t="n">
        <v>26080.07054746337</v>
      </c>
      <c r="E118" s="233" t="n">
        <v>26080.07054746337</v>
      </c>
      <c r="F118" s="233" t="n">
        <v>26080.07054746337</v>
      </c>
      <c r="G118" s="233" t="n">
        <v>26080.07054746337</v>
      </c>
      <c r="H118" s="233" t="n">
        <v>26080.07054746337</v>
      </c>
      <c r="I118" s="233" t="n">
        <v>26080.07054746337</v>
      </c>
      <c r="J118" s="233" t="n">
        <v>26080.07054746337</v>
      </c>
      <c r="K118" s="233" t="n">
        <v>26080.07054746337</v>
      </c>
      <c r="L118" s="233" t="n">
        <v>26080.07054746337</v>
      </c>
      <c r="M118" s="233" t="n">
        <v>26080.07054746337</v>
      </c>
      <c r="N118" s="233" t="n">
        <v>26080.07054746337</v>
      </c>
      <c r="O118" s="233" t="n">
        <v>26080.07054746337</v>
      </c>
      <c r="P118" s="233" t="n">
        <v>26080.07054746337</v>
      </c>
      <c r="Q118" s="233" t="n">
        <v>26080.07054746337</v>
      </c>
      <c r="R118" s="233" t="n">
        <v>26080.07054746337</v>
      </c>
      <c r="S118" s="233" t="n">
        <v>26080.07054746337</v>
      </c>
      <c r="T118" s="233" t="n">
        <v>26080.07054746337</v>
      </c>
      <c r="U118" s="233" t="n">
        <v>26080.07054746337</v>
      </c>
      <c r="V118" s="233" t="n">
        <v>26080.07054746337</v>
      </c>
      <c r="W118" s="233" t="n">
        <v>26080.07054746337</v>
      </c>
      <c r="X118" s="233" t="n">
        <v>26080.07054746337</v>
      </c>
      <c r="Y118" s="233" t="n">
        <v>26080.07054746337</v>
      </c>
      <c r="Z118" s="233" t="n">
        <v>26080.07054746337</v>
      </c>
      <c r="AA118" s="204" t="n">
        <v>26080.07054746337</v>
      </c>
      <c r="AB118" s="204" t="n">
        <v>26080.07054746337</v>
      </c>
      <c r="AC118" s="204" t="n">
        <v>26080.07054746337</v>
      </c>
      <c r="AD118" s="204" t="n">
        <v>26080.07054746337</v>
      </c>
      <c r="AE118" s="204" t="n">
        <v>26080.07054746337</v>
      </c>
      <c r="AF118" s="204" t="n">
        <v>26080.07054746337</v>
      </c>
      <c r="AG118" s="204" t="n">
        <v>26080.07054746337</v>
      </c>
      <c r="AH118" s="204" t="n">
        <v>26080.07054746337</v>
      </c>
      <c r="AI118" s="204" t="n">
        <v>26080.07054746337</v>
      </c>
      <c r="AJ118" s="204" t="n">
        <v>26080.07054746337</v>
      </c>
      <c r="AK118" s="204" t="n">
        <v>26080.07054746337</v>
      </c>
      <c r="AL118" s="204" t="n">
        <v>26080.07054746337</v>
      </c>
      <c r="AM118" s="204" t="n">
        <v>26080.07054746337</v>
      </c>
      <c r="AN118" s="204" t="n">
        <v>26080.07054746337</v>
      </c>
      <c r="AO118" s="204" t="n">
        <v>26080.07054746337</v>
      </c>
      <c r="AP118" s="204" t="n">
        <v>26080.07054746337</v>
      </c>
      <c r="AQ118" s="204" t="n">
        <v>26080.07054746337</v>
      </c>
      <c r="AR118" s="204" t="n">
        <v>26080.07054746337</v>
      </c>
      <c r="AS118" s="204" t="n">
        <v>26080.07054746337</v>
      </c>
      <c r="AT118" s="204" t="n">
        <v>26080.07054746337</v>
      </c>
      <c r="AU118" s="204" t="n">
        <v>26080.07054746337</v>
      </c>
      <c r="AV118" s="200" t="n">
        <v>26080.07054746337</v>
      </c>
      <c r="AW118" s="184" t="n">
        <v>26080.07054746337</v>
      </c>
      <c r="AX118" s="184" t="n">
        <v>26080.07054746337</v>
      </c>
      <c r="AY118" s="184" t="n"/>
    </row>
    <row r="119" ht="22" customHeight="1">
      <c r="A119" s="303" t="n"/>
      <c r="B119" s="201" t="inlineStr">
        <is>
          <t>current price</t>
        </is>
      </c>
      <c r="C119" s="233" t="n">
        <v>13596.82231451629</v>
      </c>
      <c r="D119" s="233" t="n">
        <v>14089.67625043576</v>
      </c>
      <c r="E119" s="233" t="n">
        <v>14074.76280863513</v>
      </c>
      <c r="F119" s="233" t="n">
        <v>14866.09193021245</v>
      </c>
      <c r="G119" s="233" t="n">
        <v>14177.89595979621</v>
      </c>
      <c r="H119" s="233" t="n">
        <v>14351.34817886353</v>
      </c>
      <c r="I119" s="233" t="n">
        <v>14856.99335017765</v>
      </c>
      <c r="J119" s="233" t="n">
        <v>14594.9194344288</v>
      </c>
      <c r="K119" s="233" t="n">
        <v>14430.46594061807</v>
      </c>
      <c r="L119" s="233" t="n">
        <v>13987.0097125551</v>
      </c>
      <c r="M119" s="233" t="n">
        <v>14298.62440844264</v>
      </c>
      <c r="N119" s="233" t="n">
        <v>14273.18346991518</v>
      </c>
      <c r="O119" s="233" t="n">
        <v>14687.15013162751</v>
      </c>
      <c r="P119" s="233" t="n">
        <v>14872.93017625809</v>
      </c>
      <c r="Q119" s="233" t="n">
        <v>15388.68648810312</v>
      </c>
      <c r="R119" s="233" t="n">
        <v>15587.15642456809</v>
      </c>
      <c r="S119" s="233" t="n">
        <v>15886.86542748241</v>
      </c>
      <c r="T119" s="233" t="n">
        <v>15438.25612843054</v>
      </c>
      <c r="U119" s="233" t="n">
        <v>16420.94489097595</v>
      </c>
      <c r="V119" s="233" t="n">
        <v>16251.44052189356</v>
      </c>
      <c r="W119" s="233" t="n">
        <v>15927.06277894974</v>
      </c>
      <c r="X119" s="233" t="n">
        <v>15988.08909277373</v>
      </c>
      <c r="Y119" s="233" t="n">
        <v>16206.62689619639</v>
      </c>
      <c r="Z119" s="233" t="n">
        <v>16490.49806571007</v>
      </c>
      <c r="AA119" s="204" t="n">
        <v>17337.15725183487</v>
      </c>
      <c r="AB119" s="204" t="n">
        <v>17808.28061956493</v>
      </c>
      <c r="AC119" s="204" t="n">
        <v>17673.78771817568</v>
      </c>
      <c r="AD119" s="204" t="n">
        <v>17841.32952965098</v>
      </c>
      <c r="AE119" s="204" t="n">
        <v>18350.98534425953</v>
      </c>
      <c r="AF119" s="204" t="n">
        <v>18395.47147274017</v>
      </c>
      <c r="AG119" s="204" t="n">
        <v>18779.0461132871</v>
      </c>
      <c r="AH119" s="204" t="n">
        <v>18678.79021782312</v>
      </c>
      <c r="AI119" s="204" t="n">
        <v>19095.85443087155</v>
      </c>
      <c r="AJ119" s="204" t="n">
        <v>19492.31998618459</v>
      </c>
      <c r="AK119" s="204" t="n">
        <v>19668.36302673817</v>
      </c>
      <c r="AL119" s="204" t="n">
        <v>19970.25765908416</v>
      </c>
      <c r="AM119" s="204" t="n">
        <v>20094.07472318411</v>
      </c>
      <c r="AN119" s="204" t="n">
        <v>20723.92061476083</v>
      </c>
      <c r="AO119" s="204" t="n">
        <v>19581.21427726746</v>
      </c>
      <c r="AP119" s="204" t="n">
        <v>19638.66099021863</v>
      </c>
      <c r="AQ119" s="204" t="n">
        <v>19459.58210061863</v>
      </c>
      <c r="AR119" s="204" t="n">
        <v>20213.2155524008</v>
      </c>
      <c r="AS119" s="204" t="n">
        <v>20823.38777343254</v>
      </c>
      <c r="AT119" s="204" t="n">
        <v>20468.64289164566</v>
      </c>
      <c r="AU119" s="204" t="n">
        <v>20180.86667013168</v>
      </c>
      <c r="AV119" s="201" t="n">
        <v>20180.86667013168</v>
      </c>
      <c r="AW119" s="184" t="n">
        <v>20180.86667013168</v>
      </c>
      <c r="AX119" s="184" t="n">
        <v>20180.86667013168</v>
      </c>
      <c r="AY119" s="184" t="n"/>
    </row>
    <row r="120" ht="22" customHeight="1">
      <c r="A120" s="303" t="n"/>
      <c r="B120" s="201" t="inlineStr">
        <is>
          <t>% CHANGE</t>
        </is>
      </c>
      <c r="C120" s="230">
        <f>+(C119-C118)/C118</f>
        <v/>
      </c>
      <c r="D120" s="230">
        <f>+(D119-D118)/D118</f>
        <v/>
      </c>
      <c r="E120" s="230">
        <f>+(E119-E118)/E118</f>
        <v/>
      </c>
      <c r="F120" s="230">
        <f>+(F119-F118)/F118</f>
        <v/>
      </c>
      <c r="G120" s="230">
        <f>+(G119-G118)/G118</f>
        <v/>
      </c>
      <c r="H120" s="230">
        <f>+(H119-H118)/H118</f>
        <v/>
      </c>
      <c r="I120" s="230">
        <f>+(I119-I118)/I118</f>
        <v/>
      </c>
      <c r="J120" s="230">
        <f>+(J119-J118)/J118</f>
        <v/>
      </c>
      <c r="K120" s="230">
        <f>+(K119-K118)/K118</f>
        <v/>
      </c>
      <c r="L120" s="230">
        <f>+(L119-L118)/L118</f>
        <v/>
      </c>
      <c r="M120" s="230">
        <f>+(M119-M118)/M118</f>
        <v/>
      </c>
      <c r="N120" s="230">
        <f>+(N119-N118)/N118</f>
        <v/>
      </c>
      <c r="O120" s="230">
        <f>+(O119-O118)/O118</f>
        <v/>
      </c>
      <c r="P120" s="230">
        <f>+(P119-P118)/P118</f>
        <v/>
      </c>
      <c r="Q120" s="230">
        <f>+(Q119-Q118)/Q118</f>
        <v/>
      </c>
      <c r="R120" s="230">
        <f>+(R119-R118)/R118</f>
        <v/>
      </c>
      <c r="S120" s="230">
        <f>+(S119-S118)/S118</f>
        <v/>
      </c>
      <c r="T120" s="230">
        <f>+(T119-T118)/T118</f>
        <v/>
      </c>
      <c r="U120" s="230">
        <f>+(U119-U118)/U118</f>
        <v/>
      </c>
      <c r="V120" s="230">
        <f>+(V119-V118)/V118</f>
        <v/>
      </c>
      <c r="W120" s="230">
        <f>+(W119-W118)/W118</f>
        <v/>
      </c>
      <c r="X120" s="230">
        <f>+(X119-X118)/X118</f>
        <v/>
      </c>
      <c r="Y120" s="230">
        <f>+(Y119-Y118)/Y118</f>
        <v/>
      </c>
      <c r="Z120" s="230">
        <f>+(Z119-Z118)/Z118</f>
        <v/>
      </c>
      <c r="AA120" s="230">
        <f>+(AA119-AA118)/AA118</f>
        <v/>
      </c>
      <c r="AB120" s="205">
        <f>+(AB119-AB118)/AB118</f>
        <v/>
      </c>
      <c r="AC120" s="205">
        <f>+(AC119-AC118)/AC118</f>
        <v/>
      </c>
      <c r="AD120" s="205">
        <f>+(AD119-AD118)/AD118</f>
        <v/>
      </c>
      <c r="AE120" s="205">
        <f>+(AE119-AE118)/AE118</f>
        <v/>
      </c>
      <c r="AF120" s="205">
        <f>+(AF119-AF118)/AF118</f>
        <v/>
      </c>
      <c r="AG120" s="205">
        <f>+(AG119-AG118)/AG118</f>
        <v/>
      </c>
      <c r="AH120" s="205">
        <f>+(AH119-AH118)/AH118</f>
        <v/>
      </c>
      <c r="AI120" s="205">
        <f>+(AI119-AI118)/AI118</f>
        <v/>
      </c>
      <c r="AJ120" s="205">
        <f>+(AJ119-AJ118)/AJ118</f>
        <v/>
      </c>
      <c r="AK120" s="205">
        <f>+(AK119-AK118)/AK118</f>
        <v/>
      </c>
      <c r="AL120" s="205">
        <f>+(AL119-AL118)/AL118</f>
        <v/>
      </c>
      <c r="AM120" s="205">
        <f>+(AM119-AM118)/AM118</f>
        <v/>
      </c>
      <c r="AN120" s="205">
        <f>+(AN119-AN118)/AN118</f>
        <v/>
      </c>
      <c r="AO120" s="205">
        <f>+(AO119-AO118)/AO118</f>
        <v/>
      </c>
      <c r="AP120" s="205">
        <f>+(AP119-AP118)/AP118</f>
        <v/>
      </c>
      <c r="AQ120" s="205">
        <f>+(AQ119-AQ118)/AQ118</f>
        <v/>
      </c>
      <c r="AR120" s="205">
        <f>+(AR119-AR118)/AR118</f>
        <v/>
      </c>
      <c r="AS120" s="205">
        <f>+(AS119-AS118)/AS118</f>
        <v/>
      </c>
      <c r="AT120" s="205">
        <f>+(AT119-AT118)/AT118</f>
        <v/>
      </c>
      <c r="AU120" s="205">
        <f>+(AU119-AU118)/AU118</f>
        <v/>
      </c>
      <c r="AV120" s="201">
        <f>+(AV119-AV118)/AV118</f>
        <v/>
      </c>
      <c r="AW120" s="184">
        <f>+(AW119-AW118)/AW118</f>
        <v/>
      </c>
      <c r="AX120" s="184">
        <f>+(AX119-AX118)/AX118</f>
        <v/>
      </c>
      <c r="AY120" s="184" t="n"/>
    </row>
    <row r="121" ht="44" customHeight="1">
      <c r="A121" s="303" t="n"/>
      <c r="B121" s="201" t="inlineStr">
        <is>
          <t>All time High TSE UK</t>
        </is>
      </c>
      <c r="C121" s="233" t="n">
        <v>7903.5</v>
      </c>
      <c r="D121" s="233" t="n">
        <v>8047.10009765625</v>
      </c>
      <c r="E121" s="233" t="n">
        <v>8047.10009765625</v>
      </c>
      <c r="F121" s="233" t="n">
        <v>8047.10009765625</v>
      </c>
      <c r="G121" s="233" t="n">
        <v>8047.10009765625</v>
      </c>
      <c r="H121" s="233" t="n">
        <v>8047.10009765625</v>
      </c>
      <c r="I121" s="233" t="n">
        <v>8047.10009765625</v>
      </c>
      <c r="J121" s="233" t="n">
        <v>8047.10009765625</v>
      </c>
      <c r="K121" s="233" t="n">
        <v>8047.10009765625</v>
      </c>
      <c r="L121" s="233" t="n">
        <v>8047.10009765625</v>
      </c>
      <c r="M121" s="233" t="n">
        <v>8047.10009765625</v>
      </c>
      <c r="N121" s="233" t="n">
        <v>8047.10009765625</v>
      </c>
      <c r="O121" s="233" t="n">
        <v>8047.10009765625</v>
      </c>
      <c r="P121" s="233" t="n">
        <v>8047.10009765625</v>
      </c>
      <c r="Q121" s="233" t="n">
        <v>8047.10009765625</v>
      </c>
      <c r="R121" s="233" t="n">
        <v>8200</v>
      </c>
      <c r="S121" s="233" t="n">
        <v>8474.400390625</v>
      </c>
      <c r="T121" s="233" t="n">
        <v>8474.400390625</v>
      </c>
      <c r="U121" s="233" t="n">
        <v>8474.400390625</v>
      </c>
      <c r="V121" s="233" t="n">
        <v>8474.400390625</v>
      </c>
      <c r="W121" s="233" t="n">
        <v>8474.400390625</v>
      </c>
      <c r="X121" s="233" t="n">
        <v>8474.400390625</v>
      </c>
      <c r="Y121" s="233" t="n">
        <v>8474.400390625</v>
      </c>
      <c r="Z121" s="233" t="n">
        <v>8474.400390625</v>
      </c>
      <c r="AA121" s="231" t="n">
        <v>8692.7998046875</v>
      </c>
      <c r="AB121" s="203" t="n">
        <v>8820.900390625</v>
      </c>
      <c r="AC121" s="203" t="n">
        <v>8820.900390625</v>
      </c>
      <c r="AD121" s="203" t="n">
        <v>8820.900390625</v>
      </c>
      <c r="AE121" s="203" t="n">
        <v>8824</v>
      </c>
      <c r="AF121" s="203" t="n">
        <v>8824</v>
      </c>
      <c r="AG121" s="203" t="n">
        <v>9190.7001953125</v>
      </c>
      <c r="AH121" s="203" t="n">
        <v>9357.5</v>
      </c>
      <c r="AI121" s="203" t="n">
        <v>9363.599609375</v>
      </c>
      <c r="AJ121" s="203" t="n">
        <v>9787.599609375</v>
      </c>
      <c r="AK121" s="203" t="n">
        <v>9930.099609375</v>
      </c>
      <c r="AL121" s="203" t="n">
        <v>9954.2998046875</v>
      </c>
      <c r="AM121" s="203" t="n">
        <v>10277.7001953125</v>
      </c>
      <c r="AN121" s="203" t="n">
        <v>10934.900390625</v>
      </c>
      <c r="AO121" s="203" t="n">
        <v>10934.900390625</v>
      </c>
      <c r="AP121" s="203" t="n">
        <v>10934.900390625</v>
      </c>
      <c r="AQ121" s="203" t="n">
        <v>10934.900390625</v>
      </c>
      <c r="AR121" s="203" t="n">
        <v>10934.900390625</v>
      </c>
      <c r="AS121" s="203" t="n">
        <v>10989.5</v>
      </c>
      <c r="AT121" s="203" t="n">
        <v>10989.5</v>
      </c>
      <c r="AU121" s="203" t="n">
        <v>10989.5</v>
      </c>
      <c r="AV121" s="201" t="n">
        <v>10989.5</v>
      </c>
      <c r="AW121" s="184" t="n">
        <v>10989.5</v>
      </c>
      <c r="AX121" s="184" t="n">
        <v>10989.5</v>
      </c>
      <c r="AY121" s="184" t="n"/>
    </row>
    <row r="122" ht="44" customHeight="1">
      <c r="A122" s="303" t="n"/>
      <c r="B122" s="201" t="inlineStr">
        <is>
          <t>current price TSE UK</t>
        </is>
      </c>
      <c r="C122" s="233" t="n">
        <v>7771.7001953125</v>
      </c>
      <c r="D122" s="233" t="n">
        <v>7876.2998046875</v>
      </c>
      <c r="E122" s="233" t="n">
        <v>7631.7001953125</v>
      </c>
      <c r="F122" s="233" t="n">
        <v>7870.60009765625</v>
      </c>
      <c r="G122" s="233" t="n">
        <v>7446.10009765625</v>
      </c>
      <c r="H122" s="233" t="n">
        <v>7531.5</v>
      </c>
      <c r="I122" s="233" t="n">
        <v>7699.39990234375</v>
      </c>
      <c r="J122" s="233" t="n">
        <v>7439.10009765625</v>
      </c>
      <c r="K122" s="233" t="n">
        <v>7608.10009765625</v>
      </c>
      <c r="L122" s="233" t="n">
        <v>7321.7001953125</v>
      </c>
      <c r="M122" s="233" t="n">
        <v>7453.7998046875</v>
      </c>
      <c r="N122" s="233" t="n">
        <v>7733.2001953125</v>
      </c>
      <c r="O122" s="233" t="n">
        <v>7630.60009765625</v>
      </c>
      <c r="P122" s="233" t="n">
        <v>7630</v>
      </c>
      <c r="Q122" s="233" t="n">
        <v>7952.60009765625</v>
      </c>
      <c r="R122" s="233" t="n">
        <v>8144.10009765625</v>
      </c>
      <c r="S122" s="233" t="n">
        <v>8275.400390625</v>
      </c>
      <c r="T122" s="233" t="n">
        <v>8164.10009765625</v>
      </c>
      <c r="U122" s="233" t="n">
        <v>8368</v>
      </c>
      <c r="V122" s="233" t="n">
        <v>8376.599609375</v>
      </c>
      <c r="W122" s="233" t="n">
        <v>8237</v>
      </c>
      <c r="X122" s="233" t="n">
        <v>8110.10009765625</v>
      </c>
      <c r="Y122" s="233" t="n">
        <v>8287.2998046875</v>
      </c>
      <c r="Z122" s="233" t="n">
        <v>8173</v>
      </c>
      <c r="AA122" s="231" t="n">
        <v>8674</v>
      </c>
      <c r="AB122" s="203" t="n">
        <v>8809.7001953125</v>
      </c>
      <c r="AC122" s="203" t="n">
        <v>8582.7998046875</v>
      </c>
      <c r="AD122" s="203" t="n">
        <v>8494.900390625</v>
      </c>
      <c r="AE122" s="203" t="n">
        <v>8772.400390625</v>
      </c>
      <c r="AF122" s="203" t="n">
        <v>8761</v>
      </c>
      <c r="AG122" s="203" t="n">
        <v>9132.7998046875</v>
      </c>
      <c r="AH122" s="203" t="n">
        <v>9187.2998046875</v>
      </c>
      <c r="AI122" s="203" t="n">
        <v>9350.400390625</v>
      </c>
      <c r="AJ122" s="203" t="n">
        <v>9717.2998046875</v>
      </c>
      <c r="AK122" s="203" t="n">
        <v>9720.5</v>
      </c>
      <c r="AL122" s="203" t="n">
        <v>9931.400390625</v>
      </c>
      <c r="AM122" s="203" t="n">
        <v>10223.5</v>
      </c>
      <c r="AN122" s="203" t="n">
        <v>10910.599609375</v>
      </c>
      <c r="AO122" s="203" t="n">
        <v>10176.5</v>
      </c>
      <c r="AP122" s="203" t="n">
        <v>10378.7998046875</v>
      </c>
      <c r="AQ122" s="203" t="n">
        <v>10409.2998046875</v>
      </c>
      <c r="AR122" s="203" t="n">
        <v>10497.099609375</v>
      </c>
      <c r="AS122" s="203" t="n">
        <v>10868.099609375</v>
      </c>
      <c r="AT122" s="203" t="n">
        <v>10824.2998046875</v>
      </c>
      <c r="AU122" s="203" t="n">
        <v>10695.25</v>
      </c>
      <c r="AV122" s="201" t="n">
        <v>10695.25</v>
      </c>
      <c r="AW122" s="184" t="n">
        <v>10695.25</v>
      </c>
      <c r="AX122" s="184" t="n">
        <v>10695.25</v>
      </c>
      <c r="AY122" s="184" t="n"/>
    </row>
    <row r="123" ht="44" customHeight="1">
      <c r="A123" s="303" t="n"/>
      <c r="B123" s="201" t="inlineStr">
        <is>
          <t>original index % change</t>
        </is>
      </c>
      <c r="C123" s="230">
        <f>+(C122-C121)/C121</f>
        <v/>
      </c>
      <c r="D123" s="230">
        <f>+(D122-D121)/D121</f>
        <v/>
      </c>
      <c r="E123" s="230">
        <f>+(E122-E121)/E121</f>
        <v/>
      </c>
      <c r="F123" s="230">
        <f>+(F122-F121)/F121</f>
        <v/>
      </c>
      <c r="G123" s="230">
        <f>+(G122-G121)/G121</f>
        <v/>
      </c>
      <c r="H123" s="230">
        <f>+(H122-H121)/H121</f>
        <v/>
      </c>
      <c r="I123" s="230">
        <f>+(I122-I121)/I121</f>
        <v/>
      </c>
      <c r="J123" s="230">
        <f>+(J122-J121)/J121</f>
        <v/>
      </c>
      <c r="K123" s="230">
        <f>+(K122-K121)/K121</f>
        <v/>
      </c>
      <c r="L123" s="230">
        <f>+(L122-L121)/L121</f>
        <v/>
      </c>
      <c r="M123" s="230">
        <f>+(M122-M121)/M121</f>
        <v/>
      </c>
      <c r="N123" s="230">
        <f>+(N122-N121)/N121</f>
        <v/>
      </c>
      <c r="O123" s="230">
        <f>+(O122-O121)/O121</f>
        <v/>
      </c>
      <c r="P123" s="230">
        <f>+(P122-P121)/P121</f>
        <v/>
      </c>
      <c r="Q123" s="230">
        <f>+(Q122-Q121)/Q121</f>
        <v/>
      </c>
      <c r="R123" s="230">
        <f>+(R122-R121)/R121</f>
        <v/>
      </c>
      <c r="S123" s="230">
        <f>+(S122-S121)/S121</f>
        <v/>
      </c>
      <c r="T123" s="230">
        <f>+(T122-T121)/T121</f>
        <v/>
      </c>
      <c r="U123" s="230">
        <f>+(U122-U121)/U121</f>
        <v/>
      </c>
      <c r="V123" s="230">
        <f>+(V122-V121)/V121</f>
        <v/>
      </c>
      <c r="W123" s="230">
        <f>+(W122-W121)/W121</f>
        <v/>
      </c>
      <c r="X123" s="230">
        <f>+(X122-X121)/X121</f>
        <v/>
      </c>
      <c r="Y123" s="230">
        <f>+(Y122-Y121)/Y121</f>
        <v/>
      </c>
      <c r="Z123" s="230">
        <f>+(Z122-Z121)/Z121</f>
        <v/>
      </c>
      <c r="AA123" s="230">
        <f>+(AA122-AA121)/AA121</f>
        <v/>
      </c>
      <c r="AB123" s="205">
        <f>+(AB122-AB121)/AB121</f>
        <v/>
      </c>
      <c r="AC123" s="205">
        <f>+(AC122-AC121)/AC121</f>
        <v/>
      </c>
      <c r="AD123" s="205">
        <f>+(AD122-AD121)/AD121</f>
        <v/>
      </c>
      <c r="AE123" s="205">
        <f>+(AE122-AE121)/AE121</f>
        <v/>
      </c>
      <c r="AF123" s="205">
        <f>+(AF122-AF121)/AF121</f>
        <v/>
      </c>
      <c r="AG123" s="205">
        <f>+(AG122-AG121)/AG121</f>
        <v/>
      </c>
      <c r="AH123" s="205">
        <f>+(AH122-AH121)/AH121</f>
        <v/>
      </c>
      <c r="AI123" s="205">
        <f>+(AI122-AI121)/AI121</f>
        <v/>
      </c>
      <c r="AJ123" s="205">
        <f>+(AJ122-AJ121)/AJ121</f>
        <v/>
      </c>
      <c r="AK123" s="205">
        <f>+(AK122-AK121)/AK121</f>
        <v/>
      </c>
      <c r="AL123" s="205">
        <f>+(AL122-AL121)/AL121</f>
        <v/>
      </c>
      <c r="AM123" s="205">
        <f>+(AM122-AM121)/AM121</f>
        <v/>
      </c>
      <c r="AN123" s="205">
        <f>+(AN122-AN121)/AN121</f>
        <v/>
      </c>
      <c r="AO123" s="205">
        <f>+(AO122-AO121)/AO121</f>
        <v/>
      </c>
      <c r="AP123" s="205">
        <f>+(AP122-AP121)/AP121</f>
        <v/>
      </c>
      <c r="AQ123" s="205">
        <f>+(AQ122-AQ121)/AQ121</f>
        <v/>
      </c>
      <c r="AR123" s="205">
        <f>+(AR122-AR121)/AR121</f>
        <v/>
      </c>
      <c r="AS123" s="205">
        <f>+(AS122-AS121)/AS121</f>
        <v/>
      </c>
      <c r="AT123" s="205">
        <f>+(AT122-AT121)/AT121</f>
        <v/>
      </c>
      <c r="AU123" s="205">
        <f>+(AU122-AU121)/AU121</f>
        <v/>
      </c>
      <c r="AV123" s="201">
        <f>+(AV122-AV121)/AV121</f>
        <v/>
      </c>
      <c r="AW123" s="184">
        <f>+(AW122-AW121)/AW121</f>
        <v/>
      </c>
      <c r="AX123" s="184">
        <f>+(AX122-AX121)/AX121</f>
        <v/>
      </c>
      <c r="AY123" s="184" t="n"/>
    </row>
    <row r="124" ht="22" customHeight="1">
      <c r="A124" s="303" t="n"/>
      <c r="B124" s="201" t="inlineStr">
        <is>
          <t>real % change</t>
        </is>
      </c>
      <c r="C124" s="230">
        <f>+C120-C123</f>
        <v/>
      </c>
      <c r="D124" s="230">
        <f>+D120-D123</f>
        <v/>
      </c>
      <c r="E124" s="230">
        <f>+E120-E123</f>
        <v/>
      </c>
      <c r="F124" s="230">
        <f>+F120-F123</f>
        <v/>
      </c>
      <c r="G124" s="230">
        <f>+G120-G123</f>
        <v/>
      </c>
      <c r="H124" s="230">
        <f>+H120-H123</f>
        <v/>
      </c>
      <c r="I124" s="230">
        <f>+I120-I123</f>
        <v/>
      </c>
      <c r="J124" s="230">
        <f>+J120-J123</f>
        <v/>
      </c>
      <c r="K124" s="230">
        <f>+K120-K123</f>
        <v/>
      </c>
      <c r="L124" s="230">
        <f>+L120-L123</f>
        <v/>
      </c>
      <c r="M124" s="230">
        <f>+M120-M123</f>
        <v/>
      </c>
      <c r="N124" s="230">
        <f>+N120-N123</f>
        <v/>
      </c>
      <c r="O124" s="230">
        <f>+O120-O123</f>
        <v/>
      </c>
      <c r="P124" s="230">
        <f>+P120-P123</f>
        <v/>
      </c>
      <c r="Q124" s="230">
        <f>+Q120-Q123</f>
        <v/>
      </c>
      <c r="R124" s="230">
        <f>+R120-R123</f>
        <v/>
      </c>
      <c r="S124" s="230">
        <f>+S120-S123</f>
        <v/>
      </c>
      <c r="T124" s="230">
        <f>+T120-T123</f>
        <v/>
      </c>
      <c r="U124" s="230">
        <f>+U120-U123</f>
        <v/>
      </c>
      <c r="V124" s="230">
        <f>+V120-V123</f>
        <v/>
      </c>
      <c r="W124" s="230">
        <f>+W120-W123</f>
        <v/>
      </c>
      <c r="X124" s="230">
        <f>+X120-X123</f>
        <v/>
      </c>
      <c r="Y124" s="230">
        <f>+Y120-Y123</f>
        <v/>
      </c>
      <c r="Z124" s="230">
        <f>+Z120-Z123</f>
        <v/>
      </c>
      <c r="AA124" s="230">
        <f>+AA120-AA123</f>
        <v/>
      </c>
      <c r="AB124" s="205">
        <f>+AB120-AB123</f>
        <v/>
      </c>
      <c r="AC124" s="205">
        <f>+AC120-AC123</f>
        <v/>
      </c>
      <c r="AD124" s="205">
        <f>+AD120-AD123</f>
        <v/>
      </c>
      <c r="AE124" s="205">
        <f>+AE120-AE123</f>
        <v/>
      </c>
      <c r="AF124" s="205">
        <f>+AF120-AF123</f>
        <v/>
      </c>
      <c r="AG124" s="205">
        <f>+AG120-AG123</f>
        <v/>
      </c>
      <c r="AH124" s="205">
        <f>+AH120-AH123</f>
        <v/>
      </c>
      <c r="AI124" s="205">
        <f>+AI120-AI123</f>
        <v/>
      </c>
      <c r="AJ124" s="205">
        <f>+AJ120-AJ123</f>
        <v/>
      </c>
      <c r="AK124" s="205">
        <f>+AK120-AK123</f>
        <v/>
      </c>
      <c r="AL124" s="205">
        <f>+AL120-AL123</f>
        <v/>
      </c>
      <c r="AM124" s="205">
        <f>+AM120-AM123</f>
        <v/>
      </c>
      <c r="AN124" s="205">
        <f>+AN120-AN123</f>
        <v/>
      </c>
      <c r="AO124" s="205">
        <f>+AO120-AO123</f>
        <v/>
      </c>
      <c r="AP124" s="205">
        <f>+AP120-AP123</f>
        <v/>
      </c>
      <c r="AQ124" s="205">
        <f>+AQ120-AQ123</f>
        <v/>
      </c>
      <c r="AR124" s="205">
        <f>+AR120-AR123</f>
        <v/>
      </c>
      <c r="AS124" s="205">
        <f>+AS120-AS123</f>
        <v/>
      </c>
      <c r="AT124" s="205">
        <f>+AT120-AT123</f>
        <v/>
      </c>
      <c r="AU124" s="205">
        <f>+AU120-AU123</f>
        <v/>
      </c>
      <c r="AV124" s="201">
        <f>+AV120-AV123</f>
        <v/>
      </c>
      <c r="AW124" s="184">
        <f>+AW120-AW123</f>
        <v/>
      </c>
      <c r="AX124" s="184">
        <f>+AX120-AX123</f>
        <v/>
      </c>
      <c r="AY124" s="184" t="n"/>
    </row>
    <row r="125" ht="22" customHeight="1">
      <c r="A125" s="304" t="n"/>
      <c r="B125" s="206" t="inlineStr">
        <is>
          <t>Rating</t>
        </is>
      </c>
      <c r="C125" s="232">
        <f>_xlfn.XLOOKUP(MIN(ABS($BJ$7:$BJ$29 - MEDIAN(MIN($BJ$7:$BJ$29), MAX($BJ$7:$BJ$29), C124))), ABS($BJ$7:$BJ$29 - MEDIAN(MIN($BJ$7:$BJ$29), MAX($BJ$7:$BJ$29), C124)), $BK$7:$BK$29, "Error", 0)</f>
        <v/>
      </c>
      <c r="D125" s="232">
        <f>_xlfn.XLOOKUP(MIN(ABS($BJ$7:$BJ$29 - MEDIAN(MIN($BJ$7:$BJ$29), MAX($BJ$7:$BJ$29), D124))), ABS($BJ$7:$BJ$29 - MEDIAN(MIN($BJ$7:$BJ$29), MAX($BJ$7:$BJ$29), D124)), $BK$7:$BK$29, "Error", 0)</f>
        <v/>
      </c>
      <c r="E125" s="232">
        <f>_xlfn.XLOOKUP(MIN(ABS($BJ$7:$BJ$29 - MEDIAN(MIN($BJ$7:$BJ$29), MAX($BJ$7:$BJ$29), E124))), ABS($BJ$7:$BJ$29 - MEDIAN(MIN($BJ$7:$BJ$29), MAX($BJ$7:$BJ$29), E124)), $BK$7:$BK$29, "Error", 0)</f>
        <v/>
      </c>
      <c r="F125" s="232">
        <f>_xlfn.XLOOKUP(MIN(ABS($BJ$7:$BJ$29 - MEDIAN(MIN($BJ$7:$BJ$29), MAX($BJ$7:$BJ$29), F124))), ABS($BJ$7:$BJ$29 - MEDIAN(MIN($BJ$7:$BJ$29), MAX($BJ$7:$BJ$29), F124)), $BK$7:$BK$29, "Error", 0)</f>
        <v/>
      </c>
      <c r="G125" s="232">
        <f>_xlfn.XLOOKUP(MIN(ABS($BJ$7:$BJ$29 - MEDIAN(MIN($BJ$7:$BJ$29), MAX($BJ$7:$BJ$29), G124))), ABS($BJ$7:$BJ$29 - MEDIAN(MIN($BJ$7:$BJ$29), MAX($BJ$7:$BJ$29), G124)), $BK$7:$BK$29, "Error", 0)</f>
        <v/>
      </c>
      <c r="H125" s="232">
        <f>_xlfn.XLOOKUP(MIN(ABS($BJ$7:$BJ$29 - MEDIAN(MIN($BJ$7:$BJ$29), MAX($BJ$7:$BJ$29), H124))), ABS($BJ$7:$BJ$29 - MEDIAN(MIN($BJ$7:$BJ$29), MAX($BJ$7:$BJ$29), H124)), $BK$7:$BK$29, "Error", 0)</f>
        <v/>
      </c>
      <c r="I125" s="232">
        <f>_xlfn.XLOOKUP(MIN(ABS($BJ$7:$BJ$29 - MEDIAN(MIN($BJ$7:$BJ$29), MAX($BJ$7:$BJ$29), I124))), ABS($BJ$7:$BJ$29 - MEDIAN(MIN($BJ$7:$BJ$29), MAX($BJ$7:$BJ$29), I124)), $BK$7:$BK$29, "Error", 0)</f>
        <v/>
      </c>
      <c r="J125" s="232">
        <f>_xlfn.XLOOKUP(MIN(ABS($BJ$7:$BJ$29 - MEDIAN(MIN($BJ$7:$BJ$29), MAX($BJ$7:$BJ$29), J124))), ABS($BJ$7:$BJ$29 - MEDIAN(MIN($BJ$7:$BJ$29), MAX($BJ$7:$BJ$29), J124)), $BK$7:$BK$29, "Error", 0)</f>
        <v/>
      </c>
      <c r="K125" s="232">
        <f>_xlfn.XLOOKUP(MIN(ABS($BJ$7:$BJ$29 - MEDIAN(MIN($BJ$7:$BJ$29), MAX($BJ$7:$BJ$29), K124))), ABS($BJ$7:$BJ$29 - MEDIAN(MIN($BJ$7:$BJ$29), MAX($BJ$7:$BJ$29), K124)), $BK$7:$BK$29, "Error", 0)</f>
        <v/>
      </c>
      <c r="L125" s="232">
        <f>_xlfn.XLOOKUP(MIN(ABS($BJ$7:$BJ$29 - MEDIAN(MIN($BJ$7:$BJ$29), MAX($BJ$7:$BJ$29), L124))), ABS($BJ$7:$BJ$29 - MEDIAN(MIN($BJ$7:$BJ$29), MAX($BJ$7:$BJ$29), L124)), $BK$7:$BK$29, "Error", 0)</f>
        <v/>
      </c>
      <c r="M125" s="232">
        <f>_xlfn.XLOOKUP(MIN(ABS($BJ$7:$BJ$29 - MEDIAN(MIN($BJ$7:$BJ$29), MAX($BJ$7:$BJ$29), M124))), ABS($BJ$7:$BJ$29 - MEDIAN(MIN($BJ$7:$BJ$29), MAX($BJ$7:$BJ$29), M124)), $BK$7:$BK$29, "Error", 0)</f>
        <v/>
      </c>
      <c r="N125" s="232">
        <f>_xlfn.XLOOKUP(MIN(ABS($BJ$7:$BJ$29 - MEDIAN(MIN($BJ$7:$BJ$29), MAX($BJ$7:$BJ$29), N124))), ABS($BJ$7:$BJ$29 - MEDIAN(MIN($BJ$7:$BJ$29), MAX($BJ$7:$BJ$29), N124)), $BK$7:$BK$29, "Error", 0)</f>
        <v/>
      </c>
      <c r="O125" s="232">
        <f>_xlfn.XLOOKUP(MIN(ABS($BJ$7:$BJ$29 - MEDIAN(MIN($BJ$7:$BJ$29), MAX($BJ$7:$BJ$29), O124))), ABS($BJ$7:$BJ$29 - MEDIAN(MIN($BJ$7:$BJ$29), MAX($BJ$7:$BJ$29), O124)), $BK$7:$BK$29, "Error", 0)</f>
        <v/>
      </c>
      <c r="P125" s="232">
        <f>_xlfn.XLOOKUP(MIN(ABS($BJ$7:$BJ$29 - MEDIAN(MIN($BJ$7:$BJ$29), MAX($BJ$7:$BJ$29), P124))), ABS($BJ$7:$BJ$29 - MEDIAN(MIN($BJ$7:$BJ$29), MAX($BJ$7:$BJ$29), P124)), $BK$7:$BK$29, "Error", 0)</f>
        <v/>
      </c>
      <c r="Q125" s="232">
        <f>_xlfn.XLOOKUP(MIN(ABS($BJ$7:$BJ$29 - MEDIAN(MIN($BJ$7:$BJ$29), MAX($BJ$7:$BJ$29), Q124))), ABS($BJ$7:$BJ$29 - MEDIAN(MIN($BJ$7:$BJ$29), MAX($BJ$7:$BJ$29), Q124)), $BK$7:$BK$29, "Error", 0)</f>
        <v/>
      </c>
      <c r="R125" s="232">
        <f>_xlfn.XLOOKUP(MIN(ABS($BJ$7:$BJ$29 - MEDIAN(MIN($BJ$7:$BJ$29), MAX($BJ$7:$BJ$29), R124))), ABS($BJ$7:$BJ$29 - MEDIAN(MIN($BJ$7:$BJ$29), MAX($BJ$7:$BJ$29), R124)), $BK$7:$BK$29, "Error", 0)</f>
        <v/>
      </c>
      <c r="S125" s="232">
        <f>_xlfn.XLOOKUP(MIN(ABS($BJ$7:$BJ$29 - MEDIAN(MIN($BJ$7:$BJ$29), MAX($BJ$7:$BJ$29), S124))), ABS($BJ$7:$BJ$29 - MEDIAN(MIN($BJ$7:$BJ$29), MAX($BJ$7:$BJ$29), S124)), $BK$7:$BK$29, "Error", 0)</f>
        <v/>
      </c>
      <c r="T125" s="232">
        <f>_xlfn.XLOOKUP(MIN(ABS($BJ$7:$BJ$29 - MEDIAN(MIN($BJ$7:$BJ$29), MAX($BJ$7:$BJ$29), T124))), ABS($BJ$7:$BJ$29 - MEDIAN(MIN($BJ$7:$BJ$29), MAX($BJ$7:$BJ$29), T124)), $BK$7:$BK$29, "Error", 0)</f>
        <v/>
      </c>
      <c r="U125" s="232">
        <f>_xlfn.XLOOKUP(MIN(ABS($BJ$7:$BJ$29 - MEDIAN(MIN($BJ$7:$BJ$29), MAX($BJ$7:$BJ$29), U124))), ABS($BJ$7:$BJ$29 - MEDIAN(MIN($BJ$7:$BJ$29), MAX($BJ$7:$BJ$29), U124)), $BK$7:$BK$29, "Error", 0)</f>
        <v/>
      </c>
      <c r="V125" s="232">
        <f>_xlfn.XLOOKUP(MIN(ABS($BJ$7:$BJ$29 - MEDIAN(MIN($BJ$7:$BJ$29), MAX($BJ$7:$BJ$29), V124))), ABS($BJ$7:$BJ$29 - MEDIAN(MIN($BJ$7:$BJ$29), MAX($BJ$7:$BJ$29), V124)), $BK$7:$BK$29, "Error", 0)</f>
        <v/>
      </c>
      <c r="W125" s="232">
        <f>_xlfn.XLOOKUP(MIN(ABS($BJ$7:$BJ$29 - MEDIAN(MIN($BJ$7:$BJ$29), MAX($BJ$7:$BJ$29), W124))), ABS($BJ$7:$BJ$29 - MEDIAN(MIN($BJ$7:$BJ$29), MAX($BJ$7:$BJ$29), W124)), $BK$7:$BK$29, "Error", 0)</f>
        <v/>
      </c>
      <c r="X125" s="232">
        <f>_xlfn.XLOOKUP(MIN(ABS($BJ$7:$BJ$29 - MEDIAN(MIN($BJ$7:$BJ$29), MAX($BJ$7:$BJ$29), X124))), ABS($BJ$7:$BJ$29 - MEDIAN(MIN($BJ$7:$BJ$29), MAX($BJ$7:$BJ$29), X124)), $BK$7:$BK$29, "Error", 0)</f>
        <v/>
      </c>
      <c r="Y125" s="232">
        <f>_xlfn.XLOOKUP(MIN(ABS($BJ$7:$BJ$29 - MEDIAN(MIN($BJ$7:$BJ$29), MAX($BJ$7:$BJ$29), Y124))), ABS($BJ$7:$BJ$29 - MEDIAN(MIN($BJ$7:$BJ$29), MAX($BJ$7:$BJ$29), Y124)), $BK$7:$BK$29, "Error", 0)</f>
        <v/>
      </c>
      <c r="Z125" s="232">
        <f>_xlfn.XLOOKUP(MIN(ABS($BJ$7:$BJ$29 - MEDIAN(MIN($BJ$7:$BJ$29), MAX($BJ$7:$BJ$29), Z124))), ABS($BJ$7:$BJ$29 - MEDIAN(MIN($BJ$7:$BJ$29), MAX($BJ$7:$BJ$29), Z124)), $BK$7:$BK$29, "Error", 0)</f>
        <v/>
      </c>
      <c r="AA125" s="232">
        <f>_xlfn.XLOOKUP(MIN(ABS($BJ$7:$BJ$29 - MEDIAN(MIN($BJ$7:$BJ$29), MAX($BJ$7:$BJ$29), AA124))), ABS($BJ$7:$BJ$29 - MEDIAN(MIN($BJ$7:$BJ$29), MAX($BJ$7:$BJ$29), AA124)), $BK$7:$BK$29, "Error", 0)</f>
        <v/>
      </c>
      <c r="AB125" s="171">
        <f>_xlfn.XLOOKUP(MIN(ABS($BJ$7:$BJ$29 - MEDIAN(MIN($BJ$7:$BJ$29), MAX($BJ$7:$BJ$29), AB124))), ABS($BJ$7:$BJ$29 - MEDIAN(MIN($BJ$7:$BJ$29), MAX($BJ$7:$BJ$29), AB124)), $BK$7:$BK$29, "Error", 0)</f>
        <v/>
      </c>
      <c r="AC125" s="171">
        <f>_xlfn.XLOOKUP(MIN(ABS($BJ$7:$BJ$29 - MEDIAN(MIN($BJ$7:$BJ$29), MAX($BJ$7:$BJ$29), AC124))), ABS($BJ$7:$BJ$29 - MEDIAN(MIN($BJ$7:$BJ$29), MAX($BJ$7:$BJ$29), AC124)), $BK$7:$BK$29, "Error", 0)</f>
        <v/>
      </c>
      <c r="AD125" s="171">
        <f>_xlfn.XLOOKUP(MIN(ABS($BJ$7:$BJ$29 - MEDIAN(MIN($BJ$7:$BJ$29), MAX($BJ$7:$BJ$29), AD124))), ABS($BJ$7:$BJ$29 - MEDIAN(MIN($BJ$7:$BJ$29), MAX($BJ$7:$BJ$29), AD124)), $BK$7:$BK$29, "Error", 0)</f>
        <v/>
      </c>
      <c r="AE125" s="171">
        <f>_xlfn.XLOOKUP(MIN(ABS($BJ$7:$BJ$29 - MEDIAN(MIN($BJ$7:$BJ$29), MAX($BJ$7:$BJ$29), AE124))), ABS($BJ$7:$BJ$29 - MEDIAN(MIN($BJ$7:$BJ$29), MAX($BJ$7:$BJ$29), AE124)), $BK$7:$BK$29, "Error", 0)</f>
        <v/>
      </c>
      <c r="AF125" s="171">
        <f>_xlfn.XLOOKUP(MIN(ABS($BJ$7:$BJ$29 - MEDIAN(MIN($BJ$7:$BJ$29), MAX($BJ$7:$BJ$29), AF124))), ABS($BJ$7:$BJ$29 - MEDIAN(MIN($BJ$7:$BJ$29), MAX($BJ$7:$BJ$29), AF124)), $BK$7:$BK$29, "Error", 0)</f>
        <v/>
      </c>
      <c r="AG125" s="171">
        <f>_xlfn.XLOOKUP(MIN(ABS($BJ$7:$BJ$29 - MEDIAN(MIN($BJ$7:$BJ$29), MAX($BJ$7:$BJ$29), AG124))), ABS($BJ$7:$BJ$29 - MEDIAN(MIN($BJ$7:$BJ$29), MAX($BJ$7:$BJ$29), AG124)), $BK$7:$BK$29, "Error", 0)</f>
        <v/>
      </c>
      <c r="AH125" s="171">
        <f>_xlfn.XLOOKUP(MIN(ABS($BJ$7:$BJ$29 - MEDIAN(MIN($BJ$7:$BJ$29), MAX($BJ$7:$BJ$29), AH124))), ABS($BJ$7:$BJ$29 - MEDIAN(MIN($BJ$7:$BJ$29), MAX($BJ$7:$BJ$29), AH124)), $BK$7:$BK$29, "Error", 0)</f>
        <v/>
      </c>
      <c r="AI125" s="171">
        <f>_xlfn.XLOOKUP(MIN(ABS($BJ$7:$BJ$29 - MEDIAN(MIN($BJ$7:$BJ$29), MAX($BJ$7:$BJ$29), AI124))), ABS($BJ$7:$BJ$29 - MEDIAN(MIN($BJ$7:$BJ$29), MAX($BJ$7:$BJ$29), AI124)), $BK$7:$BK$29, "Error", 0)</f>
        <v/>
      </c>
      <c r="AJ125" s="171">
        <f>_xlfn.XLOOKUP(MIN(ABS($BJ$7:$BJ$29 - MEDIAN(MIN($BJ$7:$BJ$29), MAX($BJ$7:$BJ$29), AJ124))), ABS($BJ$7:$BJ$29 - MEDIAN(MIN($BJ$7:$BJ$29), MAX($BJ$7:$BJ$29), AJ124)), $BK$7:$BK$29, "Error", 0)</f>
        <v/>
      </c>
      <c r="AK125" s="171">
        <f>_xlfn.XLOOKUP(MIN(ABS($BJ$7:$BJ$29 - MEDIAN(MIN($BJ$7:$BJ$29), MAX($BJ$7:$BJ$29), AK124))), ABS($BJ$7:$BJ$29 - MEDIAN(MIN($BJ$7:$BJ$29), MAX($BJ$7:$BJ$29), AK124)), $BK$7:$BK$29, "Error", 0)</f>
        <v/>
      </c>
      <c r="AL125" s="171">
        <f>_xlfn.XLOOKUP(MIN(ABS($BJ$7:$BJ$29 - MEDIAN(MIN($BJ$7:$BJ$29), MAX($BJ$7:$BJ$29), AL124))), ABS($BJ$7:$BJ$29 - MEDIAN(MIN($BJ$7:$BJ$29), MAX($BJ$7:$BJ$29), AL124)), $BK$7:$BK$29, "Error", 0)</f>
        <v/>
      </c>
      <c r="AM125" s="171">
        <f>_xlfn.XLOOKUP(MIN(ABS($BJ$7:$BJ$29 - MEDIAN(MIN($BJ$7:$BJ$29), MAX($BJ$7:$BJ$29), AM124))), ABS($BJ$7:$BJ$29 - MEDIAN(MIN($BJ$7:$BJ$29), MAX($BJ$7:$BJ$29), AM124)), $BK$7:$BK$29, "Error", 0)</f>
        <v/>
      </c>
      <c r="AN125" s="171">
        <f>_xlfn.XLOOKUP(MIN(ABS($BJ$7:$BJ$29 - MEDIAN(MIN($BJ$7:$BJ$29), MAX($BJ$7:$BJ$29), AN124))), ABS($BJ$7:$BJ$29 - MEDIAN(MIN($BJ$7:$BJ$29), MAX($BJ$7:$BJ$29), AN124)), $BK$7:$BK$29, "Error", 0)</f>
        <v/>
      </c>
      <c r="AO125" s="171">
        <f>_xlfn.XLOOKUP(MIN(ABS($BJ$7:$BJ$29 - MEDIAN(MIN($BJ$7:$BJ$29), MAX($BJ$7:$BJ$29), AO124))), ABS($BJ$7:$BJ$29 - MEDIAN(MIN($BJ$7:$BJ$29), MAX($BJ$7:$BJ$29), AO124)), $BK$7:$BK$29, "Error", 0)</f>
        <v/>
      </c>
      <c r="AP125" s="171">
        <f>_xlfn.XLOOKUP(MIN(ABS($BJ$7:$BJ$29 - MEDIAN(MIN($BJ$7:$BJ$29), MAX($BJ$7:$BJ$29), AP124))), ABS($BJ$7:$BJ$29 - MEDIAN(MIN($BJ$7:$BJ$29), MAX($BJ$7:$BJ$29), AP124)), $BK$7:$BK$29, "Error", 0)</f>
        <v/>
      </c>
      <c r="AQ125" s="171">
        <f>_xlfn.XLOOKUP(MIN(ABS($BJ$7:$BJ$29 - MEDIAN(MIN($BJ$7:$BJ$29), MAX($BJ$7:$BJ$29), AQ124))), ABS($BJ$7:$BJ$29 - MEDIAN(MIN($BJ$7:$BJ$29), MAX($BJ$7:$BJ$29), AQ124)), $BK$7:$BK$29, "Error", 0)</f>
        <v/>
      </c>
      <c r="AR125" s="171">
        <f>_xlfn.XLOOKUP(MIN(ABS($BJ$7:$BJ$29 - MEDIAN(MIN($BJ$7:$BJ$29), MAX($BJ$7:$BJ$29), AR124))), ABS($BJ$7:$BJ$29 - MEDIAN(MIN($BJ$7:$BJ$29), MAX($BJ$7:$BJ$29), AR124)), $BK$7:$BK$29, "Error", 0)</f>
        <v/>
      </c>
      <c r="AS125" s="171">
        <f>_xlfn.XLOOKUP(MIN(ABS($BJ$7:$BJ$29 - MEDIAN(MIN($BJ$7:$BJ$29), MAX($BJ$7:$BJ$29), AS124))), ABS($BJ$7:$BJ$29 - MEDIAN(MIN($BJ$7:$BJ$29), MAX($BJ$7:$BJ$29), AS124)), $BK$7:$BK$29, "Error", 0)</f>
        <v/>
      </c>
      <c r="AT125" s="171">
        <f>_xlfn.XLOOKUP(MIN(ABS($BJ$7:$BJ$29 - MEDIAN(MIN($BJ$7:$BJ$29), MAX($BJ$7:$BJ$29), AT124))), ABS($BJ$7:$BJ$29 - MEDIAN(MIN($BJ$7:$BJ$29), MAX($BJ$7:$BJ$29), AT124)), $BK$7:$BK$29, "Error", 0)</f>
        <v/>
      </c>
      <c r="AU125" s="171">
        <f>_xlfn.XLOOKUP(MIN(ABS($BJ$7:$BJ$29 - MEDIAN(MIN($BJ$7:$BJ$29), MAX($BJ$7:$BJ$29), AU124))), ABS($BJ$7:$BJ$29 - MEDIAN(MIN($BJ$7:$BJ$29), MAX($BJ$7:$BJ$29), AU124)), $BK$7:$BK$29, "Error", 0)</f>
        <v/>
      </c>
      <c r="AV125" s="206">
        <f>_xlfn.XLOOKUP(MIN(ABS($BJ$7:$BJ$29 - MEDIAN(MIN($BJ$7:$BJ$29), MAX($BJ$7:$BJ$29), AV124))), ABS($BJ$7:$BJ$29 - MEDIAN(MIN($BJ$7:$BJ$29), MAX($BJ$7:$BJ$29), AV124)), $BK$7:$BK$29, "Error", 0)</f>
        <v/>
      </c>
      <c r="AW125" s="184">
        <f>_xlfn.XLOOKUP(MIN(ABS($BJ$7:$BJ$29 - MEDIAN(MIN($BJ$7:$BJ$29), MAX($BJ$7:$BJ$29), AW124))), ABS($BJ$7:$BJ$29 - MEDIAN(MIN($BJ$7:$BJ$29), MAX($BJ$7:$BJ$29), AW124)), $BK$7:$BK$29, "Error", 0)</f>
        <v/>
      </c>
      <c r="AX125" s="184">
        <f>_xlfn.XLOOKUP(MIN(ABS($BJ$7:$BJ$29 - MEDIAN(MIN($BJ$7:$BJ$29), MAX($BJ$7:$BJ$29), AX124))), ABS($BJ$7:$BJ$29 - MEDIAN(MIN($BJ$7:$BJ$29), MAX($BJ$7:$BJ$29), AX124)), $BK$7:$BK$29, "Error", 0)</f>
        <v/>
      </c>
      <c r="AY125" s="184" t="n"/>
    </row>
    <row r="126" ht="44" customHeight="1">
      <c r="A126" s="305" t="inlineStr">
        <is>
          <t>GBP NZD</t>
        </is>
      </c>
      <c r="B126" s="200" t="inlineStr">
        <is>
          <t>All time High (CL)</t>
        </is>
      </c>
      <c r="C126" s="233" t="n">
        <v>18941.50718726427</v>
      </c>
      <c r="D126" s="233" t="n">
        <v>18941.50718726427</v>
      </c>
      <c r="E126" s="233" t="n">
        <v>18941.50718726427</v>
      </c>
      <c r="F126" s="233" t="n">
        <v>18941.50718726427</v>
      </c>
      <c r="G126" s="233" t="n">
        <v>18941.50718726427</v>
      </c>
      <c r="H126" s="233" t="n">
        <v>18941.50718726427</v>
      </c>
      <c r="I126" s="233" t="n">
        <v>18941.50718726427</v>
      </c>
      <c r="J126" s="233" t="n">
        <v>18941.50718726427</v>
      </c>
      <c r="K126" s="233" t="n">
        <v>18941.50718726427</v>
      </c>
      <c r="L126" s="233" t="n">
        <v>18941.50718726427</v>
      </c>
      <c r="M126" s="233" t="n">
        <v>18941.50718726427</v>
      </c>
      <c r="N126" s="233" t="n">
        <v>18941.50718726427</v>
      </c>
      <c r="O126" s="233" t="n">
        <v>18941.50718726427</v>
      </c>
      <c r="P126" s="233" t="n">
        <v>18941.50718726427</v>
      </c>
      <c r="Q126" s="233" t="n">
        <v>18941.50718726427</v>
      </c>
      <c r="R126" s="233" t="n">
        <v>18941.50718726427</v>
      </c>
      <c r="S126" s="233" t="n">
        <v>18941.50718726427</v>
      </c>
      <c r="T126" s="233" t="n">
        <v>18941.50718726427</v>
      </c>
      <c r="U126" s="233" t="n">
        <v>18941.50718726427</v>
      </c>
      <c r="V126" s="233" t="n">
        <v>18941.50718726427</v>
      </c>
      <c r="W126" s="233" t="n">
        <v>18941.50718726427</v>
      </c>
      <c r="X126" s="233" t="n">
        <v>18941.50718726427</v>
      </c>
      <c r="Y126" s="233" t="n">
        <v>18941.50718726427</v>
      </c>
      <c r="Z126" s="233" t="n">
        <v>18957.19681736687</v>
      </c>
      <c r="AA126" s="204" t="n">
        <v>19440.66356428456</v>
      </c>
      <c r="AB126" s="204" t="n">
        <v>19855.93446875922</v>
      </c>
      <c r="AC126" s="204" t="n">
        <v>19855.93446875922</v>
      </c>
      <c r="AD126" s="204" t="n">
        <v>19855.93446875922</v>
      </c>
      <c r="AE126" s="204" t="n">
        <v>20091.36606788635</v>
      </c>
      <c r="AF126" s="204" t="n">
        <v>20240.58757636137</v>
      </c>
      <c r="AG126" s="204" t="n">
        <v>20882.74184521521</v>
      </c>
      <c r="AH126" s="204" t="n">
        <v>21717.25919485092</v>
      </c>
      <c r="AI126" s="204" t="n">
        <v>21772.52162598213</v>
      </c>
      <c r="AJ126" s="204" t="n">
        <v>23019.55451589357</v>
      </c>
      <c r="AK126" s="204" t="n">
        <v>23380.91489126813</v>
      </c>
      <c r="AL126" s="204" t="n">
        <v>23380.91489126813</v>
      </c>
      <c r="AM126" s="204" t="n">
        <v>24101.72183493734</v>
      </c>
      <c r="AN126" s="204" t="n">
        <v>24939.66496469127</v>
      </c>
      <c r="AO126" s="204" t="n">
        <v>24939.66496469127</v>
      </c>
      <c r="AP126" s="204" t="n">
        <v>24939.66496469127</v>
      </c>
      <c r="AQ126" s="204" t="n">
        <v>24939.66496469127</v>
      </c>
      <c r="AR126" s="204" t="n">
        <v>24939.66496469127</v>
      </c>
      <c r="AS126" s="204" t="n">
        <v>25862.68921196461</v>
      </c>
      <c r="AT126" s="204" t="n">
        <v>25862.68921196461</v>
      </c>
      <c r="AU126" s="204" t="n">
        <v>25862.68921196461</v>
      </c>
      <c r="AV126" s="200" t="n">
        <v>25862.68921196461</v>
      </c>
      <c r="AW126" s="184" t="n">
        <v>25862.68921196461</v>
      </c>
      <c r="AX126" s="184" t="n">
        <v>25862.68921196461</v>
      </c>
      <c r="AY126" s="184" t="n"/>
    </row>
    <row r="127" ht="22" customHeight="1">
      <c r="A127" s="303" t="n"/>
      <c r="B127" s="201" t="inlineStr">
        <is>
          <t>current price</t>
        </is>
      </c>
      <c r="C127" s="233" t="n">
        <v>14836.17597673007</v>
      </c>
      <c r="D127" s="233" t="n">
        <v>15410.29552942573</v>
      </c>
      <c r="E127" s="233" t="n">
        <v>15072.6080676961</v>
      </c>
      <c r="F127" s="233" t="n">
        <v>16009.03640678851</v>
      </c>
      <c r="G127" s="233" t="n">
        <v>15282.6731487225</v>
      </c>
      <c r="H127" s="233" t="n">
        <v>15659.11793482304</v>
      </c>
      <c r="I127" s="233" t="n">
        <v>16064.64315576025</v>
      </c>
      <c r="J127" s="233" t="n">
        <v>15883.9667044587</v>
      </c>
      <c r="K127" s="233" t="n">
        <v>15479.51679102809</v>
      </c>
      <c r="L127" s="233" t="n">
        <v>15247.44051708793</v>
      </c>
      <c r="M127" s="233" t="n">
        <v>15371.00255705602</v>
      </c>
      <c r="N127" s="233" t="n">
        <v>15569.25150482543</v>
      </c>
      <c r="O127" s="233" t="n">
        <v>15790.00029596931</v>
      </c>
      <c r="P127" s="233" t="n">
        <v>15845.14438390732</v>
      </c>
      <c r="Q127" s="233" t="n">
        <v>16820.54372633575</v>
      </c>
      <c r="R127" s="233" t="n">
        <v>17127.85741556401</v>
      </c>
      <c r="S127" s="233" t="n">
        <v>17221.68704643846</v>
      </c>
      <c r="T127" s="233" t="n">
        <v>16949.48911902204</v>
      </c>
      <c r="U127" s="233" t="n">
        <v>18199.56365966797</v>
      </c>
      <c r="V127" s="233" t="n">
        <v>17588.76538128126</v>
      </c>
      <c r="W127" s="233" t="n">
        <v>17353.71225357056</v>
      </c>
      <c r="X127" s="233" t="n">
        <v>17599.89043073205</v>
      </c>
      <c r="Y127" s="233" t="n">
        <v>18082.47457388556</v>
      </c>
      <c r="Z127" s="233" t="n">
        <v>18183.86223626137</v>
      </c>
      <c r="AA127" s="204" t="n">
        <v>19116.80110454559</v>
      </c>
      <c r="AB127" s="204" t="n">
        <v>19722.80436086468</v>
      </c>
      <c r="AC127" s="204" t="n">
        <v>19452.05832533003</v>
      </c>
      <c r="AD127" s="204" t="n">
        <v>19188.79164131079</v>
      </c>
      <c r="AE127" s="204" t="n">
        <v>19815.01042022742</v>
      </c>
      <c r="AF127" s="204" t="n">
        <v>19820.09815597534</v>
      </c>
      <c r="AG127" s="204" t="n">
        <v>20493.63657039357</v>
      </c>
      <c r="AH127" s="204" t="n">
        <v>21040.84596489905</v>
      </c>
      <c r="AI127" s="204" t="n">
        <v>21729.86347645754</v>
      </c>
      <c r="AJ127" s="204" t="n">
        <v>22255.91991719091</v>
      </c>
      <c r="AK127" s="204" t="n">
        <v>22422.17992770672</v>
      </c>
      <c r="AL127" s="204" t="n">
        <v>23092.49299144931</v>
      </c>
      <c r="AM127" s="204" t="n">
        <v>23240.06055879593</v>
      </c>
      <c r="AN127" s="204" t="n">
        <v>24612.67696538335</v>
      </c>
      <c r="AO127" s="204" t="n">
        <v>23438.51486599445</v>
      </c>
      <c r="AP127" s="204" t="n">
        <v>23967.65789781325</v>
      </c>
      <c r="AQ127" s="204" t="n">
        <v>23392.71427562716</v>
      </c>
      <c r="AR127" s="204" t="n">
        <v>24618.21910680737</v>
      </c>
      <c r="AS127" s="204" t="n">
        <v>24899.68563148845</v>
      </c>
      <c r="AT127" s="204" t="n">
        <v>24757.88018247718</v>
      </c>
      <c r="AU127" s="204" t="n">
        <v>25048.81107032299</v>
      </c>
      <c r="AV127" s="201" t="n">
        <v>25048.81107032299</v>
      </c>
      <c r="AW127" s="184" t="n">
        <v>25048.81107032299</v>
      </c>
      <c r="AX127" s="184" t="n">
        <v>25048.81107032299</v>
      </c>
      <c r="AY127" s="184" t="n"/>
    </row>
    <row r="128" ht="22" customHeight="1">
      <c r="A128" s="303" t="n"/>
      <c r="B128" s="201" t="inlineStr">
        <is>
          <t>% CHANGE</t>
        </is>
      </c>
      <c r="C128" s="230">
        <f>+(C127-C126)/C126</f>
        <v/>
      </c>
      <c r="D128" s="230">
        <f>+(D127-D126)/D126</f>
        <v/>
      </c>
      <c r="E128" s="230">
        <f>+(E127-E126)/E126</f>
        <v/>
      </c>
      <c r="F128" s="230">
        <f>+(F127-F126)/F126</f>
        <v/>
      </c>
      <c r="G128" s="230">
        <f>+(G127-G126)/G126</f>
        <v/>
      </c>
      <c r="H128" s="230">
        <f>+(H127-H126)/H126</f>
        <v/>
      </c>
      <c r="I128" s="230">
        <f>+(I127-I126)/I126</f>
        <v/>
      </c>
      <c r="J128" s="230">
        <f>+(J127-J126)/J126</f>
        <v/>
      </c>
      <c r="K128" s="230">
        <f>+(K127-K126)/K126</f>
        <v/>
      </c>
      <c r="L128" s="230">
        <f>+(L127-L126)/L126</f>
        <v/>
      </c>
      <c r="M128" s="230">
        <f>+(M127-M126)/M126</f>
        <v/>
      </c>
      <c r="N128" s="230">
        <f>+(N127-N126)/N126</f>
        <v/>
      </c>
      <c r="O128" s="230">
        <f>+(O127-O126)/O126</f>
        <v/>
      </c>
      <c r="P128" s="230">
        <f>+(P127-P126)/P126</f>
        <v/>
      </c>
      <c r="Q128" s="230">
        <f>+(Q127-Q126)/Q126</f>
        <v/>
      </c>
      <c r="R128" s="230">
        <f>+(R127-R126)/R126</f>
        <v/>
      </c>
      <c r="S128" s="230">
        <f>+(S127-S126)/S126</f>
        <v/>
      </c>
      <c r="T128" s="230">
        <f>+(T127-T126)/T126</f>
        <v/>
      </c>
      <c r="U128" s="230">
        <f>+(U127-U126)/U126</f>
        <v/>
      </c>
      <c r="V128" s="230">
        <f>+(V127-V126)/V126</f>
        <v/>
      </c>
      <c r="W128" s="230">
        <f>+(W127-W126)/W126</f>
        <v/>
      </c>
      <c r="X128" s="230">
        <f>+(X127-X126)/X126</f>
        <v/>
      </c>
      <c r="Y128" s="230">
        <f>+(Y127-Y126)/Y126</f>
        <v/>
      </c>
      <c r="Z128" s="230">
        <f>+(Z127-Z126)/Z126</f>
        <v/>
      </c>
      <c r="AA128" s="230">
        <f>+(AA127-AA126)/AA126</f>
        <v/>
      </c>
      <c r="AB128" s="205">
        <f>+(AB127-AB126)/AB126</f>
        <v/>
      </c>
      <c r="AC128" s="205">
        <f>+(AC127-AC126)/AC126</f>
        <v/>
      </c>
      <c r="AD128" s="205">
        <f>+(AD127-AD126)/AD126</f>
        <v/>
      </c>
      <c r="AE128" s="205">
        <f>+(AE127-AE126)/AE126</f>
        <v/>
      </c>
      <c r="AF128" s="205">
        <f>+(AF127-AF126)/AF126</f>
        <v/>
      </c>
      <c r="AG128" s="205">
        <f>+(AG127-AG126)/AG126</f>
        <v/>
      </c>
      <c r="AH128" s="205">
        <f>+(AH127-AH126)/AH126</f>
        <v/>
      </c>
      <c r="AI128" s="205">
        <f>+(AI127-AI126)/AI126</f>
        <v/>
      </c>
      <c r="AJ128" s="205">
        <f>+(AJ127-AJ126)/AJ126</f>
        <v/>
      </c>
      <c r="AK128" s="205">
        <f>+(AK127-AK126)/AK126</f>
        <v/>
      </c>
      <c r="AL128" s="205">
        <f>+(AL127-AL126)/AL126</f>
        <v/>
      </c>
      <c r="AM128" s="205">
        <f>+(AM127-AM126)/AM126</f>
        <v/>
      </c>
      <c r="AN128" s="205">
        <f>+(AN127-AN126)/AN126</f>
        <v/>
      </c>
      <c r="AO128" s="205">
        <f>+(AO127-AO126)/AO126</f>
        <v/>
      </c>
      <c r="AP128" s="205">
        <f>+(AP127-AP126)/AP126</f>
        <v/>
      </c>
      <c r="AQ128" s="205">
        <f>+(AQ127-AQ126)/AQ126</f>
        <v/>
      </c>
      <c r="AR128" s="205">
        <f>+(AR127-AR126)/AR126</f>
        <v/>
      </c>
      <c r="AS128" s="205">
        <f>+(AS127-AS126)/AS126</f>
        <v/>
      </c>
      <c r="AT128" s="205">
        <f>+(AT127-AT126)/AT126</f>
        <v/>
      </c>
      <c r="AU128" s="205">
        <f>+(AU127-AU126)/AU126</f>
        <v/>
      </c>
      <c r="AV128" s="201">
        <f>+(AV127-AV126)/AV126</f>
        <v/>
      </c>
      <c r="AW128" s="184">
        <f>+(AW127-AW126)/AW126</f>
        <v/>
      </c>
      <c r="AX128" s="184">
        <f>+(AX127-AX126)/AX126</f>
        <v/>
      </c>
      <c r="AY128" s="184" t="n"/>
    </row>
    <row r="129" ht="44" customHeight="1">
      <c r="A129" s="303" t="n"/>
      <c r="B129" s="201" t="inlineStr">
        <is>
          <t>All time High TSE UK</t>
        </is>
      </c>
      <c r="C129" s="233" t="n">
        <v>7903.5</v>
      </c>
      <c r="D129" s="233" t="n">
        <v>8047.10009765625</v>
      </c>
      <c r="E129" s="233" t="n">
        <v>8047.10009765625</v>
      </c>
      <c r="F129" s="233" t="n">
        <v>8047.10009765625</v>
      </c>
      <c r="G129" s="233" t="n">
        <v>8047.10009765625</v>
      </c>
      <c r="H129" s="233" t="n">
        <v>8047.10009765625</v>
      </c>
      <c r="I129" s="233" t="n">
        <v>8047.10009765625</v>
      </c>
      <c r="J129" s="233" t="n">
        <v>8047.10009765625</v>
      </c>
      <c r="K129" s="233" t="n">
        <v>8047.10009765625</v>
      </c>
      <c r="L129" s="233" t="n">
        <v>8047.10009765625</v>
      </c>
      <c r="M129" s="233" t="n">
        <v>8047.10009765625</v>
      </c>
      <c r="N129" s="233" t="n">
        <v>8047.10009765625</v>
      </c>
      <c r="O129" s="233" t="n">
        <v>8047.10009765625</v>
      </c>
      <c r="P129" s="233" t="n">
        <v>8047.10009765625</v>
      </c>
      <c r="Q129" s="233" t="n">
        <v>8047.10009765625</v>
      </c>
      <c r="R129" s="233" t="n">
        <v>8200</v>
      </c>
      <c r="S129" s="233" t="n">
        <v>8474.400390625</v>
      </c>
      <c r="T129" s="233" t="n">
        <v>8474.400390625</v>
      </c>
      <c r="U129" s="233" t="n">
        <v>8474.400390625</v>
      </c>
      <c r="V129" s="233" t="n">
        <v>8474.400390625</v>
      </c>
      <c r="W129" s="233" t="n">
        <v>8474.400390625</v>
      </c>
      <c r="X129" s="233" t="n">
        <v>8474.400390625</v>
      </c>
      <c r="Y129" s="233" t="n">
        <v>8474.400390625</v>
      </c>
      <c r="Z129" s="233" t="n">
        <v>8474.400390625</v>
      </c>
      <c r="AA129" s="231" t="n">
        <v>8692.7998046875</v>
      </c>
      <c r="AB129" s="203" t="n">
        <v>8820.900390625</v>
      </c>
      <c r="AC129" s="203" t="n">
        <v>8820.900390625</v>
      </c>
      <c r="AD129" s="203" t="n">
        <v>8820.900390625</v>
      </c>
      <c r="AE129" s="203" t="n">
        <v>8824</v>
      </c>
      <c r="AF129" s="203" t="n">
        <v>8824</v>
      </c>
      <c r="AG129" s="203" t="n">
        <v>9190.7001953125</v>
      </c>
      <c r="AH129" s="203" t="n">
        <v>9357.5</v>
      </c>
      <c r="AI129" s="203" t="n">
        <v>9363.599609375</v>
      </c>
      <c r="AJ129" s="203" t="n">
        <v>9787.599609375</v>
      </c>
      <c r="AK129" s="203" t="n">
        <v>9930.099609375</v>
      </c>
      <c r="AL129" s="203" t="n">
        <v>9954.2998046875</v>
      </c>
      <c r="AM129" s="203" t="n">
        <v>10277.7001953125</v>
      </c>
      <c r="AN129" s="203" t="n">
        <v>10934.900390625</v>
      </c>
      <c r="AO129" s="203" t="n">
        <v>10934.900390625</v>
      </c>
      <c r="AP129" s="203" t="n">
        <v>10934.900390625</v>
      </c>
      <c r="AQ129" s="203" t="n">
        <v>10934.900390625</v>
      </c>
      <c r="AR129" s="203" t="n">
        <v>10934.900390625</v>
      </c>
      <c r="AS129" s="203" t="n">
        <v>10989.5</v>
      </c>
      <c r="AT129" s="203" t="n">
        <v>10989.5</v>
      </c>
      <c r="AU129" s="203" t="n">
        <v>10989.5</v>
      </c>
      <c r="AV129" s="201" t="n">
        <v>10989.5</v>
      </c>
      <c r="AW129" s="184" t="n">
        <v>10989.5</v>
      </c>
      <c r="AX129" s="184" t="n">
        <v>10989.5</v>
      </c>
      <c r="AY129" s="184" t="n"/>
    </row>
    <row r="130" ht="44" customHeight="1">
      <c r="A130" s="303" t="n"/>
      <c r="B130" s="201" t="inlineStr">
        <is>
          <t>current price TSE UK</t>
        </is>
      </c>
      <c r="C130" s="233" t="n">
        <v>7771.7001953125</v>
      </c>
      <c r="D130" s="233" t="n">
        <v>7876.2998046875</v>
      </c>
      <c r="E130" s="233" t="n">
        <v>7631.7001953125</v>
      </c>
      <c r="F130" s="233" t="n">
        <v>7870.60009765625</v>
      </c>
      <c r="G130" s="233" t="n">
        <v>7446.10009765625</v>
      </c>
      <c r="H130" s="233" t="n">
        <v>7531.5</v>
      </c>
      <c r="I130" s="233" t="n">
        <v>7699.39990234375</v>
      </c>
      <c r="J130" s="233" t="n">
        <v>7439.10009765625</v>
      </c>
      <c r="K130" s="233" t="n">
        <v>7608.10009765625</v>
      </c>
      <c r="L130" s="233" t="n">
        <v>7321.7001953125</v>
      </c>
      <c r="M130" s="233" t="n">
        <v>7453.7998046875</v>
      </c>
      <c r="N130" s="233" t="n">
        <v>7733.2001953125</v>
      </c>
      <c r="O130" s="233" t="n">
        <v>7630.60009765625</v>
      </c>
      <c r="P130" s="233" t="n">
        <v>7630</v>
      </c>
      <c r="Q130" s="233" t="n">
        <v>7952.60009765625</v>
      </c>
      <c r="R130" s="233" t="n">
        <v>8144.10009765625</v>
      </c>
      <c r="S130" s="233" t="n">
        <v>8275.400390625</v>
      </c>
      <c r="T130" s="233" t="n">
        <v>8164.10009765625</v>
      </c>
      <c r="U130" s="233" t="n">
        <v>8368</v>
      </c>
      <c r="V130" s="233" t="n">
        <v>8376.599609375</v>
      </c>
      <c r="W130" s="233" t="n">
        <v>8237</v>
      </c>
      <c r="X130" s="233" t="n">
        <v>8110.10009765625</v>
      </c>
      <c r="Y130" s="233" t="n">
        <v>8287.2998046875</v>
      </c>
      <c r="Z130" s="233" t="n">
        <v>8173</v>
      </c>
      <c r="AA130" s="231" t="n">
        <v>8674</v>
      </c>
      <c r="AB130" s="203" t="n">
        <v>8809.7001953125</v>
      </c>
      <c r="AC130" s="203" t="n">
        <v>8582.7998046875</v>
      </c>
      <c r="AD130" s="203" t="n">
        <v>8494.900390625</v>
      </c>
      <c r="AE130" s="203" t="n">
        <v>8772.400390625</v>
      </c>
      <c r="AF130" s="203" t="n">
        <v>8761</v>
      </c>
      <c r="AG130" s="203" t="n">
        <v>9132.7998046875</v>
      </c>
      <c r="AH130" s="203" t="n">
        <v>9187.2998046875</v>
      </c>
      <c r="AI130" s="203" t="n">
        <v>9350.400390625</v>
      </c>
      <c r="AJ130" s="203" t="n">
        <v>9717.2998046875</v>
      </c>
      <c r="AK130" s="203" t="n">
        <v>9720.5</v>
      </c>
      <c r="AL130" s="203" t="n">
        <v>9931.400390625</v>
      </c>
      <c r="AM130" s="203" t="n">
        <v>10223.5</v>
      </c>
      <c r="AN130" s="203" t="n">
        <v>10910.599609375</v>
      </c>
      <c r="AO130" s="203" t="n">
        <v>10176.5</v>
      </c>
      <c r="AP130" s="203" t="n">
        <v>10378.7998046875</v>
      </c>
      <c r="AQ130" s="203" t="n">
        <v>10409.2998046875</v>
      </c>
      <c r="AR130" s="203" t="n">
        <v>10497.099609375</v>
      </c>
      <c r="AS130" s="203" t="n">
        <v>10868.099609375</v>
      </c>
      <c r="AT130" s="203" t="n">
        <v>10824.2998046875</v>
      </c>
      <c r="AU130" s="203" t="n">
        <v>10695.25</v>
      </c>
      <c r="AV130" s="201" t="n">
        <v>10695.25</v>
      </c>
      <c r="AW130" s="184" t="n">
        <v>10695.25</v>
      </c>
      <c r="AX130" s="184" t="n">
        <v>10695.25</v>
      </c>
      <c r="AY130" s="184" t="n"/>
    </row>
    <row r="131" ht="44" customHeight="1">
      <c r="A131" s="303" t="n"/>
      <c r="B131" s="201" t="inlineStr">
        <is>
          <t>original index % change</t>
        </is>
      </c>
      <c r="C131" s="230">
        <f>+(C130-C129)/C129</f>
        <v/>
      </c>
      <c r="D131" s="230">
        <f>+(D130-D129)/D129</f>
        <v/>
      </c>
      <c r="E131" s="230">
        <f>+(E130-E129)/E129</f>
        <v/>
      </c>
      <c r="F131" s="230">
        <f>+(F130-F129)/F129</f>
        <v/>
      </c>
      <c r="G131" s="230">
        <f>+(G130-G129)/G129</f>
        <v/>
      </c>
      <c r="H131" s="230">
        <f>+(H130-H129)/H129</f>
        <v/>
      </c>
      <c r="I131" s="230">
        <f>+(I130-I129)/I129</f>
        <v/>
      </c>
      <c r="J131" s="230">
        <f>+(J130-J129)/J129</f>
        <v/>
      </c>
      <c r="K131" s="230">
        <f>+(K130-K129)/K129</f>
        <v/>
      </c>
      <c r="L131" s="230">
        <f>+(L130-L129)/L129</f>
        <v/>
      </c>
      <c r="M131" s="230">
        <f>+(M130-M129)/M129</f>
        <v/>
      </c>
      <c r="N131" s="230">
        <f>+(N130-N129)/N129</f>
        <v/>
      </c>
      <c r="O131" s="230">
        <f>+(O130-O129)/O129</f>
        <v/>
      </c>
      <c r="P131" s="230">
        <f>+(P130-P129)/P129</f>
        <v/>
      </c>
      <c r="Q131" s="230">
        <f>+(Q130-Q129)/Q129</f>
        <v/>
      </c>
      <c r="R131" s="230">
        <f>+(R130-R129)/R129</f>
        <v/>
      </c>
      <c r="S131" s="230">
        <f>+(S130-S129)/S129</f>
        <v/>
      </c>
      <c r="T131" s="230">
        <f>+(T130-T129)/T129</f>
        <v/>
      </c>
      <c r="U131" s="230">
        <f>+(U130-U129)/U129</f>
        <v/>
      </c>
      <c r="V131" s="230">
        <f>+(V130-V129)/V129</f>
        <v/>
      </c>
      <c r="W131" s="230">
        <f>+(W130-W129)/W129</f>
        <v/>
      </c>
      <c r="X131" s="230">
        <f>+(X130-X129)/X129</f>
        <v/>
      </c>
      <c r="Y131" s="230">
        <f>+(Y130-Y129)/Y129</f>
        <v/>
      </c>
      <c r="Z131" s="230">
        <f>+(Z130-Z129)/Z129</f>
        <v/>
      </c>
      <c r="AA131" s="230">
        <f>+(AA130-AA129)/AA129</f>
        <v/>
      </c>
      <c r="AB131" s="205">
        <f>+(AB130-AB129)/AB129</f>
        <v/>
      </c>
      <c r="AC131" s="205">
        <f>+(AC130-AC129)/AC129</f>
        <v/>
      </c>
      <c r="AD131" s="205">
        <f>+(AD130-AD129)/AD129</f>
        <v/>
      </c>
      <c r="AE131" s="205">
        <f>+(AE130-AE129)/AE129</f>
        <v/>
      </c>
      <c r="AF131" s="205">
        <f>+(AF130-AF129)/AF129</f>
        <v/>
      </c>
      <c r="AG131" s="205">
        <f>+(AG130-AG129)/AG129</f>
        <v/>
      </c>
      <c r="AH131" s="205">
        <f>+(AH130-AH129)/AH129</f>
        <v/>
      </c>
      <c r="AI131" s="205">
        <f>+(AI130-AI129)/AI129</f>
        <v/>
      </c>
      <c r="AJ131" s="205">
        <f>+(AJ130-AJ129)/AJ129</f>
        <v/>
      </c>
      <c r="AK131" s="205">
        <f>+(AK130-AK129)/AK129</f>
        <v/>
      </c>
      <c r="AL131" s="205">
        <f>+(AL130-AL129)/AL129</f>
        <v/>
      </c>
      <c r="AM131" s="205">
        <f>+(AM130-AM129)/AM129</f>
        <v/>
      </c>
      <c r="AN131" s="205">
        <f>+(AN130-AN129)/AN129</f>
        <v/>
      </c>
      <c r="AO131" s="205">
        <f>+(AO130-AO129)/AO129</f>
        <v/>
      </c>
      <c r="AP131" s="205">
        <f>+(AP130-AP129)/AP129</f>
        <v/>
      </c>
      <c r="AQ131" s="205">
        <f>+(AQ130-AQ129)/AQ129</f>
        <v/>
      </c>
      <c r="AR131" s="205">
        <f>+(AR130-AR129)/AR129</f>
        <v/>
      </c>
      <c r="AS131" s="205">
        <f>+(AS130-AS129)/AS129</f>
        <v/>
      </c>
      <c r="AT131" s="205">
        <f>+(AT130-AT129)/AT129</f>
        <v/>
      </c>
      <c r="AU131" s="205">
        <f>+(AU130-AU129)/AU129</f>
        <v/>
      </c>
      <c r="AV131" s="201">
        <f>+(AV130-AV129)/AV129</f>
        <v/>
      </c>
      <c r="AW131" s="184">
        <f>+(AW130-AW129)/AW129</f>
        <v/>
      </c>
      <c r="AX131" s="184">
        <f>+(AX130-AX129)/AX129</f>
        <v/>
      </c>
      <c r="AY131" s="184" t="n"/>
    </row>
    <row r="132" ht="22" customHeight="1">
      <c r="A132" s="303" t="n"/>
      <c r="B132" s="201" t="inlineStr">
        <is>
          <t>real % change</t>
        </is>
      </c>
      <c r="C132" s="230">
        <f>+C128-C131</f>
        <v/>
      </c>
      <c r="D132" s="230">
        <f>+D128-D131</f>
        <v/>
      </c>
      <c r="E132" s="230">
        <f>+E128-E131</f>
        <v/>
      </c>
      <c r="F132" s="230">
        <f>+F128-F131</f>
        <v/>
      </c>
      <c r="G132" s="230">
        <f>+G128-G131</f>
        <v/>
      </c>
      <c r="H132" s="230">
        <f>+H128-H131</f>
        <v/>
      </c>
      <c r="I132" s="230">
        <f>+I128-I131</f>
        <v/>
      </c>
      <c r="J132" s="230">
        <f>+J128-J131</f>
        <v/>
      </c>
      <c r="K132" s="230">
        <f>+K128-K131</f>
        <v/>
      </c>
      <c r="L132" s="230">
        <f>+L128-L131</f>
        <v/>
      </c>
      <c r="M132" s="230">
        <f>+M128-M131</f>
        <v/>
      </c>
      <c r="N132" s="230">
        <f>+N128-N131</f>
        <v/>
      </c>
      <c r="O132" s="230">
        <f>+O128-O131</f>
        <v/>
      </c>
      <c r="P132" s="230">
        <f>+P128-P131</f>
        <v/>
      </c>
      <c r="Q132" s="230">
        <f>+Q128-Q131</f>
        <v/>
      </c>
      <c r="R132" s="230">
        <f>+R128-R131</f>
        <v/>
      </c>
      <c r="S132" s="230">
        <f>+S128-S131</f>
        <v/>
      </c>
      <c r="T132" s="230">
        <f>+T128-T131</f>
        <v/>
      </c>
      <c r="U132" s="230">
        <f>+U128-U131</f>
        <v/>
      </c>
      <c r="V132" s="230">
        <f>+V128-V131</f>
        <v/>
      </c>
      <c r="W132" s="230">
        <f>+W128-W131</f>
        <v/>
      </c>
      <c r="X132" s="230">
        <f>+X128-X131</f>
        <v/>
      </c>
      <c r="Y132" s="230">
        <f>+Y128-Y131</f>
        <v/>
      </c>
      <c r="Z132" s="230">
        <f>+Z128-Z131</f>
        <v/>
      </c>
      <c r="AA132" s="230">
        <f>+AA128-AA131</f>
        <v/>
      </c>
      <c r="AB132" s="205">
        <f>+AB128-AB131</f>
        <v/>
      </c>
      <c r="AC132" s="205">
        <f>+AC128-AC131</f>
        <v/>
      </c>
      <c r="AD132" s="205">
        <f>+AD128-AD131</f>
        <v/>
      </c>
      <c r="AE132" s="205">
        <f>+AE128-AE131</f>
        <v/>
      </c>
      <c r="AF132" s="205">
        <f>+AF128-AF131</f>
        <v/>
      </c>
      <c r="AG132" s="205">
        <f>+AG128-AG131</f>
        <v/>
      </c>
      <c r="AH132" s="205">
        <f>+AH128-AH131</f>
        <v/>
      </c>
      <c r="AI132" s="205">
        <f>+AI128-AI131</f>
        <v/>
      </c>
      <c r="AJ132" s="205">
        <f>+AJ128-AJ131</f>
        <v/>
      </c>
      <c r="AK132" s="205">
        <f>+AK128-AK131</f>
        <v/>
      </c>
      <c r="AL132" s="205">
        <f>+AL128-AL131</f>
        <v/>
      </c>
      <c r="AM132" s="205">
        <f>+AM128-AM131</f>
        <v/>
      </c>
      <c r="AN132" s="205">
        <f>+AN128-AN131</f>
        <v/>
      </c>
      <c r="AO132" s="205">
        <f>+AO128-AO131</f>
        <v/>
      </c>
      <c r="AP132" s="205">
        <f>+AP128-AP131</f>
        <v/>
      </c>
      <c r="AQ132" s="205">
        <f>+AQ128-AQ131</f>
        <v/>
      </c>
      <c r="AR132" s="205">
        <f>+AR128-AR131</f>
        <v/>
      </c>
      <c r="AS132" s="205">
        <f>+AS128-AS131</f>
        <v/>
      </c>
      <c r="AT132" s="205">
        <f>+AT128-AT131</f>
        <v/>
      </c>
      <c r="AU132" s="205">
        <f>+AU128-AU131</f>
        <v/>
      </c>
      <c r="AV132" s="201">
        <f>+AV128-AV131</f>
        <v/>
      </c>
      <c r="AW132" s="184">
        <f>+AW128-AW131</f>
        <v/>
      </c>
      <c r="AX132" s="184">
        <f>+AX128-AX131</f>
        <v/>
      </c>
      <c r="AY132" s="184" t="n"/>
    </row>
    <row r="133" ht="22" customHeight="1">
      <c r="A133" s="304" t="n"/>
      <c r="B133" s="206" t="inlineStr">
        <is>
          <t>Rating</t>
        </is>
      </c>
      <c r="C133" s="232">
        <f>_xlfn.XLOOKUP(MIN(ABS($BJ$7:$BJ$29 - MEDIAN(MIN($BJ$7:$BJ$29), MAX($BJ$7:$BJ$29), C132))), ABS($BJ$7:$BJ$29 - MEDIAN(MIN($BJ$7:$BJ$29), MAX($BJ$7:$BJ$29), C132)), $BK$7:$BK$29, "Error", 0)</f>
        <v/>
      </c>
      <c r="D133" s="232">
        <f>_xlfn.XLOOKUP(MIN(ABS($BJ$7:$BJ$29 - MEDIAN(MIN($BJ$7:$BJ$29), MAX($BJ$7:$BJ$29), D132))), ABS($BJ$7:$BJ$29 - MEDIAN(MIN($BJ$7:$BJ$29), MAX($BJ$7:$BJ$29), D132)), $BK$7:$BK$29, "Error", 0)</f>
        <v/>
      </c>
      <c r="E133" s="232">
        <f>_xlfn.XLOOKUP(MIN(ABS($BJ$7:$BJ$29 - MEDIAN(MIN($BJ$7:$BJ$29), MAX($BJ$7:$BJ$29), E132))), ABS($BJ$7:$BJ$29 - MEDIAN(MIN($BJ$7:$BJ$29), MAX($BJ$7:$BJ$29), E132)), $BK$7:$BK$29, "Error", 0)</f>
        <v/>
      </c>
      <c r="F133" s="232">
        <f>_xlfn.XLOOKUP(MIN(ABS($BJ$7:$BJ$29 - MEDIAN(MIN($BJ$7:$BJ$29), MAX($BJ$7:$BJ$29), F132))), ABS($BJ$7:$BJ$29 - MEDIAN(MIN($BJ$7:$BJ$29), MAX($BJ$7:$BJ$29), F132)), $BK$7:$BK$29, "Error", 0)</f>
        <v/>
      </c>
      <c r="G133" s="232">
        <f>_xlfn.XLOOKUP(MIN(ABS($BJ$7:$BJ$29 - MEDIAN(MIN($BJ$7:$BJ$29), MAX($BJ$7:$BJ$29), G132))), ABS($BJ$7:$BJ$29 - MEDIAN(MIN($BJ$7:$BJ$29), MAX($BJ$7:$BJ$29), G132)), $BK$7:$BK$29, "Error", 0)</f>
        <v/>
      </c>
      <c r="H133" s="232">
        <f>_xlfn.XLOOKUP(MIN(ABS($BJ$7:$BJ$29 - MEDIAN(MIN($BJ$7:$BJ$29), MAX($BJ$7:$BJ$29), H132))), ABS($BJ$7:$BJ$29 - MEDIAN(MIN($BJ$7:$BJ$29), MAX($BJ$7:$BJ$29), H132)), $BK$7:$BK$29, "Error", 0)</f>
        <v/>
      </c>
      <c r="I133" s="232">
        <f>_xlfn.XLOOKUP(MIN(ABS($BJ$7:$BJ$29 - MEDIAN(MIN($BJ$7:$BJ$29), MAX($BJ$7:$BJ$29), I132))), ABS($BJ$7:$BJ$29 - MEDIAN(MIN($BJ$7:$BJ$29), MAX($BJ$7:$BJ$29), I132)), $BK$7:$BK$29, "Error", 0)</f>
        <v/>
      </c>
      <c r="J133" s="232">
        <f>_xlfn.XLOOKUP(MIN(ABS($BJ$7:$BJ$29 - MEDIAN(MIN($BJ$7:$BJ$29), MAX($BJ$7:$BJ$29), J132))), ABS($BJ$7:$BJ$29 - MEDIAN(MIN($BJ$7:$BJ$29), MAX($BJ$7:$BJ$29), J132)), $BK$7:$BK$29, "Error", 0)</f>
        <v/>
      </c>
      <c r="K133" s="232">
        <f>_xlfn.XLOOKUP(MIN(ABS($BJ$7:$BJ$29 - MEDIAN(MIN($BJ$7:$BJ$29), MAX($BJ$7:$BJ$29), K132))), ABS($BJ$7:$BJ$29 - MEDIAN(MIN($BJ$7:$BJ$29), MAX($BJ$7:$BJ$29), K132)), $BK$7:$BK$29, "Error", 0)</f>
        <v/>
      </c>
      <c r="L133" s="232">
        <f>_xlfn.XLOOKUP(MIN(ABS($BJ$7:$BJ$29 - MEDIAN(MIN($BJ$7:$BJ$29), MAX($BJ$7:$BJ$29), L132))), ABS($BJ$7:$BJ$29 - MEDIAN(MIN($BJ$7:$BJ$29), MAX($BJ$7:$BJ$29), L132)), $BK$7:$BK$29, "Error", 0)</f>
        <v/>
      </c>
      <c r="M133" s="232">
        <f>_xlfn.XLOOKUP(MIN(ABS($BJ$7:$BJ$29 - MEDIAN(MIN($BJ$7:$BJ$29), MAX($BJ$7:$BJ$29), M132))), ABS($BJ$7:$BJ$29 - MEDIAN(MIN($BJ$7:$BJ$29), MAX($BJ$7:$BJ$29), M132)), $BK$7:$BK$29, "Error", 0)</f>
        <v/>
      </c>
      <c r="N133" s="232">
        <f>_xlfn.XLOOKUP(MIN(ABS($BJ$7:$BJ$29 - MEDIAN(MIN($BJ$7:$BJ$29), MAX($BJ$7:$BJ$29), N132))), ABS($BJ$7:$BJ$29 - MEDIAN(MIN($BJ$7:$BJ$29), MAX($BJ$7:$BJ$29), N132)), $BK$7:$BK$29, "Error", 0)</f>
        <v/>
      </c>
      <c r="O133" s="232">
        <f>_xlfn.XLOOKUP(MIN(ABS($BJ$7:$BJ$29 - MEDIAN(MIN($BJ$7:$BJ$29), MAX($BJ$7:$BJ$29), O132))), ABS($BJ$7:$BJ$29 - MEDIAN(MIN($BJ$7:$BJ$29), MAX($BJ$7:$BJ$29), O132)), $BK$7:$BK$29, "Error", 0)</f>
        <v/>
      </c>
      <c r="P133" s="232">
        <f>_xlfn.XLOOKUP(MIN(ABS($BJ$7:$BJ$29 - MEDIAN(MIN($BJ$7:$BJ$29), MAX($BJ$7:$BJ$29), P132))), ABS($BJ$7:$BJ$29 - MEDIAN(MIN($BJ$7:$BJ$29), MAX($BJ$7:$BJ$29), P132)), $BK$7:$BK$29, "Error", 0)</f>
        <v/>
      </c>
      <c r="Q133" s="232">
        <f>_xlfn.XLOOKUP(MIN(ABS($BJ$7:$BJ$29 - MEDIAN(MIN($BJ$7:$BJ$29), MAX($BJ$7:$BJ$29), Q132))), ABS($BJ$7:$BJ$29 - MEDIAN(MIN($BJ$7:$BJ$29), MAX($BJ$7:$BJ$29), Q132)), $BK$7:$BK$29, "Error", 0)</f>
        <v/>
      </c>
      <c r="R133" s="232">
        <f>_xlfn.XLOOKUP(MIN(ABS($BJ$7:$BJ$29 - MEDIAN(MIN($BJ$7:$BJ$29), MAX($BJ$7:$BJ$29), R132))), ABS($BJ$7:$BJ$29 - MEDIAN(MIN($BJ$7:$BJ$29), MAX($BJ$7:$BJ$29), R132)), $BK$7:$BK$29, "Error", 0)</f>
        <v/>
      </c>
      <c r="S133" s="232">
        <f>_xlfn.XLOOKUP(MIN(ABS($BJ$7:$BJ$29 - MEDIAN(MIN($BJ$7:$BJ$29), MAX($BJ$7:$BJ$29), S132))), ABS($BJ$7:$BJ$29 - MEDIAN(MIN($BJ$7:$BJ$29), MAX($BJ$7:$BJ$29), S132)), $BK$7:$BK$29, "Error", 0)</f>
        <v/>
      </c>
      <c r="T133" s="232">
        <f>_xlfn.XLOOKUP(MIN(ABS($BJ$7:$BJ$29 - MEDIAN(MIN($BJ$7:$BJ$29), MAX($BJ$7:$BJ$29), T132))), ABS($BJ$7:$BJ$29 - MEDIAN(MIN($BJ$7:$BJ$29), MAX($BJ$7:$BJ$29), T132)), $BK$7:$BK$29, "Error", 0)</f>
        <v/>
      </c>
      <c r="U133" s="232">
        <f>_xlfn.XLOOKUP(MIN(ABS($BJ$7:$BJ$29 - MEDIAN(MIN($BJ$7:$BJ$29), MAX($BJ$7:$BJ$29), U132))), ABS($BJ$7:$BJ$29 - MEDIAN(MIN($BJ$7:$BJ$29), MAX($BJ$7:$BJ$29), U132)), $BK$7:$BK$29, "Error", 0)</f>
        <v/>
      </c>
      <c r="V133" s="232">
        <f>_xlfn.XLOOKUP(MIN(ABS($BJ$7:$BJ$29 - MEDIAN(MIN($BJ$7:$BJ$29), MAX($BJ$7:$BJ$29), V132))), ABS($BJ$7:$BJ$29 - MEDIAN(MIN($BJ$7:$BJ$29), MAX($BJ$7:$BJ$29), V132)), $BK$7:$BK$29, "Error", 0)</f>
        <v/>
      </c>
      <c r="W133" s="232">
        <f>_xlfn.XLOOKUP(MIN(ABS($BJ$7:$BJ$29 - MEDIAN(MIN($BJ$7:$BJ$29), MAX($BJ$7:$BJ$29), W132))), ABS($BJ$7:$BJ$29 - MEDIAN(MIN($BJ$7:$BJ$29), MAX($BJ$7:$BJ$29), W132)), $BK$7:$BK$29, "Error", 0)</f>
        <v/>
      </c>
      <c r="X133" s="232">
        <f>_xlfn.XLOOKUP(MIN(ABS($BJ$7:$BJ$29 - MEDIAN(MIN($BJ$7:$BJ$29), MAX($BJ$7:$BJ$29), X132))), ABS($BJ$7:$BJ$29 - MEDIAN(MIN($BJ$7:$BJ$29), MAX($BJ$7:$BJ$29), X132)), $BK$7:$BK$29, "Error", 0)</f>
        <v/>
      </c>
      <c r="Y133" s="232">
        <f>_xlfn.XLOOKUP(MIN(ABS($BJ$7:$BJ$29 - MEDIAN(MIN($BJ$7:$BJ$29), MAX($BJ$7:$BJ$29), Y132))), ABS($BJ$7:$BJ$29 - MEDIAN(MIN($BJ$7:$BJ$29), MAX($BJ$7:$BJ$29), Y132)), $BK$7:$BK$29, "Error", 0)</f>
        <v/>
      </c>
      <c r="Z133" s="232">
        <f>_xlfn.XLOOKUP(MIN(ABS($BJ$7:$BJ$29 - MEDIAN(MIN($BJ$7:$BJ$29), MAX($BJ$7:$BJ$29), Z132))), ABS($BJ$7:$BJ$29 - MEDIAN(MIN($BJ$7:$BJ$29), MAX($BJ$7:$BJ$29), Z132)), $BK$7:$BK$29, "Error", 0)</f>
        <v/>
      </c>
      <c r="AA133" s="232">
        <f>_xlfn.XLOOKUP(MIN(ABS($BJ$7:$BJ$29 - MEDIAN(MIN($BJ$7:$BJ$29), MAX($BJ$7:$BJ$29), AA132))), ABS($BJ$7:$BJ$29 - MEDIAN(MIN($BJ$7:$BJ$29), MAX($BJ$7:$BJ$29), AA132)), $BK$7:$BK$29, "Error", 0)</f>
        <v/>
      </c>
      <c r="AB133" s="171">
        <f>_xlfn.XLOOKUP(MIN(ABS($BJ$7:$BJ$29 - MEDIAN(MIN($BJ$7:$BJ$29), MAX($BJ$7:$BJ$29), AB132))), ABS($BJ$7:$BJ$29 - MEDIAN(MIN($BJ$7:$BJ$29), MAX($BJ$7:$BJ$29), AB132)), $BK$7:$BK$29, "Error", 0)</f>
        <v/>
      </c>
      <c r="AC133" s="171">
        <f>_xlfn.XLOOKUP(MIN(ABS($BJ$7:$BJ$29 - MEDIAN(MIN($BJ$7:$BJ$29), MAX($BJ$7:$BJ$29), AC132))), ABS($BJ$7:$BJ$29 - MEDIAN(MIN($BJ$7:$BJ$29), MAX($BJ$7:$BJ$29), AC132)), $BK$7:$BK$29, "Error", 0)</f>
        <v/>
      </c>
      <c r="AD133" s="171">
        <f>_xlfn.XLOOKUP(MIN(ABS($BJ$7:$BJ$29 - MEDIAN(MIN($BJ$7:$BJ$29), MAX($BJ$7:$BJ$29), AD132))), ABS($BJ$7:$BJ$29 - MEDIAN(MIN($BJ$7:$BJ$29), MAX($BJ$7:$BJ$29), AD132)), $BK$7:$BK$29, "Error", 0)</f>
        <v/>
      </c>
      <c r="AE133" s="171">
        <f>_xlfn.XLOOKUP(MIN(ABS($BJ$7:$BJ$29 - MEDIAN(MIN($BJ$7:$BJ$29), MAX($BJ$7:$BJ$29), AE132))), ABS($BJ$7:$BJ$29 - MEDIAN(MIN($BJ$7:$BJ$29), MAX($BJ$7:$BJ$29), AE132)), $BK$7:$BK$29, "Error", 0)</f>
        <v/>
      </c>
      <c r="AF133" s="171">
        <f>_xlfn.XLOOKUP(MIN(ABS($BJ$7:$BJ$29 - MEDIAN(MIN($BJ$7:$BJ$29), MAX($BJ$7:$BJ$29), AF132))), ABS($BJ$7:$BJ$29 - MEDIAN(MIN($BJ$7:$BJ$29), MAX($BJ$7:$BJ$29), AF132)), $BK$7:$BK$29, "Error", 0)</f>
        <v/>
      </c>
      <c r="AG133" s="171">
        <f>_xlfn.XLOOKUP(MIN(ABS($BJ$7:$BJ$29 - MEDIAN(MIN($BJ$7:$BJ$29), MAX($BJ$7:$BJ$29), AG132))), ABS($BJ$7:$BJ$29 - MEDIAN(MIN($BJ$7:$BJ$29), MAX($BJ$7:$BJ$29), AG132)), $BK$7:$BK$29, "Error", 0)</f>
        <v/>
      </c>
      <c r="AH133" s="171">
        <f>_xlfn.XLOOKUP(MIN(ABS($BJ$7:$BJ$29 - MEDIAN(MIN($BJ$7:$BJ$29), MAX($BJ$7:$BJ$29), AH132))), ABS($BJ$7:$BJ$29 - MEDIAN(MIN($BJ$7:$BJ$29), MAX($BJ$7:$BJ$29), AH132)), $BK$7:$BK$29, "Error", 0)</f>
        <v/>
      </c>
      <c r="AI133" s="171">
        <f>_xlfn.XLOOKUP(MIN(ABS($BJ$7:$BJ$29 - MEDIAN(MIN($BJ$7:$BJ$29), MAX($BJ$7:$BJ$29), AI132))), ABS($BJ$7:$BJ$29 - MEDIAN(MIN($BJ$7:$BJ$29), MAX($BJ$7:$BJ$29), AI132)), $BK$7:$BK$29, "Error", 0)</f>
        <v/>
      </c>
      <c r="AJ133" s="171">
        <f>_xlfn.XLOOKUP(MIN(ABS($BJ$7:$BJ$29 - MEDIAN(MIN($BJ$7:$BJ$29), MAX($BJ$7:$BJ$29), AJ132))), ABS($BJ$7:$BJ$29 - MEDIAN(MIN($BJ$7:$BJ$29), MAX($BJ$7:$BJ$29), AJ132)), $BK$7:$BK$29, "Error", 0)</f>
        <v/>
      </c>
      <c r="AK133" s="171">
        <f>_xlfn.XLOOKUP(MIN(ABS($BJ$7:$BJ$29 - MEDIAN(MIN($BJ$7:$BJ$29), MAX($BJ$7:$BJ$29), AK132))), ABS($BJ$7:$BJ$29 - MEDIAN(MIN($BJ$7:$BJ$29), MAX($BJ$7:$BJ$29), AK132)), $BK$7:$BK$29, "Error", 0)</f>
        <v/>
      </c>
      <c r="AL133" s="171">
        <f>_xlfn.XLOOKUP(MIN(ABS($BJ$7:$BJ$29 - MEDIAN(MIN($BJ$7:$BJ$29), MAX($BJ$7:$BJ$29), AL132))), ABS($BJ$7:$BJ$29 - MEDIAN(MIN($BJ$7:$BJ$29), MAX($BJ$7:$BJ$29), AL132)), $BK$7:$BK$29, "Error", 0)</f>
        <v/>
      </c>
      <c r="AM133" s="171">
        <f>_xlfn.XLOOKUP(MIN(ABS($BJ$7:$BJ$29 - MEDIAN(MIN($BJ$7:$BJ$29), MAX($BJ$7:$BJ$29), AM132))), ABS($BJ$7:$BJ$29 - MEDIAN(MIN($BJ$7:$BJ$29), MAX($BJ$7:$BJ$29), AM132)), $BK$7:$BK$29, "Error", 0)</f>
        <v/>
      </c>
      <c r="AN133" s="171">
        <f>_xlfn.XLOOKUP(MIN(ABS($BJ$7:$BJ$29 - MEDIAN(MIN($BJ$7:$BJ$29), MAX($BJ$7:$BJ$29), AN132))), ABS($BJ$7:$BJ$29 - MEDIAN(MIN($BJ$7:$BJ$29), MAX($BJ$7:$BJ$29), AN132)), $BK$7:$BK$29, "Error", 0)</f>
        <v/>
      </c>
      <c r="AO133" s="171">
        <f>_xlfn.XLOOKUP(MIN(ABS($BJ$7:$BJ$29 - MEDIAN(MIN($BJ$7:$BJ$29), MAX($BJ$7:$BJ$29), AO132))), ABS($BJ$7:$BJ$29 - MEDIAN(MIN($BJ$7:$BJ$29), MAX($BJ$7:$BJ$29), AO132)), $BK$7:$BK$29, "Error", 0)</f>
        <v/>
      </c>
      <c r="AP133" s="171">
        <f>_xlfn.XLOOKUP(MIN(ABS($BJ$7:$BJ$29 - MEDIAN(MIN($BJ$7:$BJ$29), MAX($BJ$7:$BJ$29), AP132))), ABS($BJ$7:$BJ$29 - MEDIAN(MIN($BJ$7:$BJ$29), MAX($BJ$7:$BJ$29), AP132)), $BK$7:$BK$29, "Error", 0)</f>
        <v/>
      </c>
      <c r="AQ133" s="171">
        <f>_xlfn.XLOOKUP(MIN(ABS($BJ$7:$BJ$29 - MEDIAN(MIN($BJ$7:$BJ$29), MAX($BJ$7:$BJ$29), AQ132))), ABS($BJ$7:$BJ$29 - MEDIAN(MIN($BJ$7:$BJ$29), MAX($BJ$7:$BJ$29), AQ132)), $BK$7:$BK$29, "Error", 0)</f>
        <v/>
      </c>
      <c r="AR133" s="171">
        <f>_xlfn.XLOOKUP(MIN(ABS($BJ$7:$BJ$29 - MEDIAN(MIN($BJ$7:$BJ$29), MAX($BJ$7:$BJ$29), AR132))), ABS($BJ$7:$BJ$29 - MEDIAN(MIN($BJ$7:$BJ$29), MAX($BJ$7:$BJ$29), AR132)), $BK$7:$BK$29, "Error", 0)</f>
        <v/>
      </c>
      <c r="AS133" s="171">
        <f>_xlfn.XLOOKUP(MIN(ABS($BJ$7:$BJ$29 - MEDIAN(MIN($BJ$7:$BJ$29), MAX($BJ$7:$BJ$29), AS132))), ABS($BJ$7:$BJ$29 - MEDIAN(MIN($BJ$7:$BJ$29), MAX($BJ$7:$BJ$29), AS132)), $BK$7:$BK$29, "Error", 0)</f>
        <v/>
      </c>
      <c r="AT133" s="171">
        <f>_xlfn.XLOOKUP(MIN(ABS($BJ$7:$BJ$29 - MEDIAN(MIN($BJ$7:$BJ$29), MAX($BJ$7:$BJ$29), AT132))), ABS($BJ$7:$BJ$29 - MEDIAN(MIN($BJ$7:$BJ$29), MAX($BJ$7:$BJ$29), AT132)), $BK$7:$BK$29, "Error", 0)</f>
        <v/>
      </c>
      <c r="AU133" s="171">
        <f>_xlfn.XLOOKUP(MIN(ABS($BJ$7:$BJ$29 - MEDIAN(MIN($BJ$7:$BJ$29), MAX($BJ$7:$BJ$29), AU132))), ABS($BJ$7:$BJ$29 - MEDIAN(MIN($BJ$7:$BJ$29), MAX($BJ$7:$BJ$29), AU132)), $BK$7:$BK$29, "Error", 0)</f>
        <v/>
      </c>
      <c r="AV133" s="206">
        <f>_xlfn.XLOOKUP(MIN(ABS($BJ$7:$BJ$29 - MEDIAN(MIN($BJ$7:$BJ$29), MAX($BJ$7:$BJ$29), AV132))), ABS($BJ$7:$BJ$29 - MEDIAN(MIN($BJ$7:$BJ$29), MAX($BJ$7:$BJ$29), AV132)), $BK$7:$BK$29, "Error", 0)</f>
        <v/>
      </c>
      <c r="AW133" s="184">
        <f>_xlfn.XLOOKUP(MIN(ABS($BJ$7:$BJ$29 - MEDIAN(MIN($BJ$7:$BJ$29), MAX($BJ$7:$BJ$29), AW132))), ABS($BJ$7:$BJ$29 - MEDIAN(MIN($BJ$7:$BJ$29), MAX($BJ$7:$BJ$29), AW132)), $BK$7:$BK$29, "Error", 0)</f>
        <v/>
      </c>
      <c r="AX133" s="184">
        <f>_xlfn.XLOOKUP(MIN(ABS($BJ$7:$BJ$29 - MEDIAN(MIN($BJ$7:$BJ$29), MAX($BJ$7:$BJ$29), AX132))), ABS($BJ$7:$BJ$29 - MEDIAN(MIN($BJ$7:$BJ$29), MAX($BJ$7:$BJ$29), AX132)), $BK$7:$BK$29, "Error", 0)</f>
        <v/>
      </c>
      <c r="AY133" s="184" t="n"/>
    </row>
    <row r="134" ht="44" customHeight="1">
      <c r="A134" s="305" t="inlineStr">
        <is>
          <t>CHF JPY</t>
        </is>
      </c>
      <c r="B134" s="200" t="inlineStr">
        <is>
          <t>All time High (CL)</t>
        </is>
      </c>
      <c r="C134" s="233" t="n">
        <v>1676538.039496601</v>
      </c>
      <c r="D134" s="233" t="n">
        <v>1676538.039496601</v>
      </c>
      <c r="E134" s="233" t="n">
        <v>1676538.039496601</v>
      </c>
      <c r="F134" s="233" t="n">
        <v>1777490.144772559</v>
      </c>
      <c r="G134" s="233" t="n">
        <v>1777490.144772559</v>
      </c>
      <c r="H134" s="233" t="n">
        <v>1857081.464999989</v>
      </c>
      <c r="I134" s="233" t="n">
        <v>1869409.771735936</v>
      </c>
      <c r="J134" s="233" t="n">
        <v>1873109.616300702</v>
      </c>
      <c r="K134" s="233" t="n">
        <v>1873109.616300702</v>
      </c>
      <c r="L134" s="233" t="n">
        <v>1873109.616300702</v>
      </c>
      <c r="M134" s="233" t="n">
        <v>1873109.616300702</v>
      </c>
      <c r="N134" s="233" t="n">
        <v>1921789.192578197</v>
      </c>
      <c r="O134" s="233" t="n">
        <v>1971186.550984383</v>
      </c>
      <c r="P134" s="233" t="n">
        <v>1978294.77621235</v>
      </c>
      <c r="Q134" s="233" t="n">
        <v>2015318.45981735</v>
      </c>
      <c r="R134" s="233" t="n">
        <v>2015318.45981735</v>
      </c>
      <c r="S134" s="233" t="n">
        <v>2099280.924736291</v>
      </c>
      <c r="T134" s="233" t="n">
        <v>2206202.609678388</v>
      </c>
      <c r="U134" s="233" t="n">
        <v>2206202.609678388</v>
      </c>
      <c r="V134" s="233" t="n">
        <v>2206202.609678388</v>
      </c>
      <c r="W134" s="233" t="n">
        <v>2206202.609678388</v>
      </c>
      <c r="X134" s="233" t="n">
        <v>2206202.609678388</v>
      </c>
      <c r="Y134" s="233" t="n">
        <v>2206202.609678388</v>
      </c>
      <c r="Z134" s="233" t="n">
        <v>2206202.609678388</v>
      </c>
      <c r="AA134" s="204" t="n">
        <v>2222491.839659154</v>
      </c>
      <c r="AB134" s="204" t="n">
        <v>2240596.128907055</v>
      </c>
      <c r="AC134" s="204" t="n">
        <v>2240596.128907055</v>
      </c>
      <c r="AD134" s="204" t="n">
        <v>2240596.128907055</v>
      </c>
      <c r="AE134" s="204" t="n">
        <v>2240596.128907055</v>
      </c>
      <c r="AF134" s="204" t="n">
        <v>2263742.505319387</v>
      </c>
      <c r="AG134" s="204" t="n">
        <v>2263742.505319387</v>
      </c>
      <c r="AH134" s="204" t="n">
        <v>2286579.73841399</v>
      </c>
      <c r="AI134" s="204" t="n">
        <v>2333592.331740975</v>
      </c>
      <c r="AJ134" s="204" t="n">
        <v>2451794.701783866</v>
      </c>
      <c r="AK134" s="204" t="n">
        <v>2515274.080881864</v>
      </c>
      <c r="AL134" s="204" t="n">
        <v>2638481.966543674</v>
      </c>
      <c r="AM134" s="204" t="n">
        <v>2723018.668536812</v>
      </c>
      <c r="AN134" s="204" t="n">
        <v>2863658.24031882</v>
      </c>
      <c r="AO134" s="204" t="n">
        <v>2863658.24031882</v>
      </c>
      <c r="AP134" s="204" t="n">
        <v>2863658.24031882</v>
      </c>
      <c r="AQ134" s="204" t="n">
        <v>2863658.24031882</v>
      </c>
      <c r="AR134" s="204" t="n">
        <v>2912923.433276653</v>
      </c>
      <c r="AS134" s="204" t="n">
        <v>2912923.433276653</v>
      </c>
      <c r="AT134" s="204" t="n">
        <v>2920043.859571844</v>
      </c>
      <c r="AU134" s="204" t="n">
        <v>2920043.859571844</v>
      </c>
      <c r="AV134" s="200" t="n">
        <v>2920043.859571844</v>
      </c>
      <c r="AW134" s="184" t="n">
        <v>2920043.859571844</v>
      </c>
      <c r="AX134" s="184" t="n">
        <v>2920043.859571844</v>
      </c>
      <c r="AY134" s="184" t="n"/>
    </row>
    <row r="135" ht="22" customHeight="1">
      <c r="A135" s="303" t="n"/>
      <c r="B135" s="201" t="inlineStr">
        <is>
          <t>current price</t>
        </is>
      </c>
      <c r="C135" s="233" t="n">
        <v>1591019.486809731</v>
      </c>
      <c r="D135" s="233" t="n">
        <v>1616363.63033548</v>
      </c>
      <c r="E135" s="233" t="n">
        <v>1619378.661180586</v>
      </c>
      <c r="F135" s="233" t="n">
        <v>1736139.160227746</v>
      </c>
      <c r="G135" s="233" t="n">
        <v>1730527.739769354</v>
      </c>
      <c r="H135" s="233" t="n">
        <v>1816261.985412151</v>
      </c>
      <c r="I135" s="233" t="n">
        <v>1829904.502738953</v>
      </c>
      <c r="J135" s="233" t="n">
        <v>1850892.029985562</v>
      </c>
      <c r="K135" s="233" t="n">
        <v>1788870.946884155</v>
      </c>
      <c r="L135" s="233" t="n">
        <v>1717388.625227749</v>
      </c>
      <c r="M135" s="233" t="n">
        <v>1827303.525390744</v>
      </c>
      <c r="N135" s="233" t="n">
        <v>1866603.265558094</v>
      </c>
      <c r="O135" s="233" t="n">
        <v>1937441.256380066</v>
      </c>
      <c r="P135" s="233" t="n">
        <v>1960340.278130054</v>
      </c>
      <c r="Q135" s="233" t="n">
        <v>1969319.807547927</v>
      </c>
      <c r="R135" s="233" t="n">
        <v>1930889.03351891</v>
      </c>
      <c r="S135" s="233" t="n">
        <v>2084837.451995254</v>
      </c>
      <c r="T135" s="233" t="n">
        <v>2146175.983461499</v>
      </c>
      <c r="U135" s="233" t="n">
        <v>2130633.954853401</v>
      </c>
      <c r="V135" s="233" t="n">
        <v>2138471.585679352</v>
      </c>
      <c r="W135" s="233" t="n">
        <v>2065252.002401412</v>
      </c>
      <c r="X135" s="233" t="n">
        <v>2085306.602080166</v>
      </c>
      <c r="Y135" s="233" t="n">
        <v>1997561.229065552</v>
      </c>
      <c r="Z135" s="233" t="n">
        <v>2016190.145182461</v>
      </c>
      <c r="AA135" s="204" t="n">
        <v>2133881.589090228</v>
      </c>
      <c r="AB135" s="204" t="n">
        <v>2167469.832467854</v>
      </c>
      <c r="AC135" s="204" t="n">
        <v>2139573.172108084</v>
      </c>
      <c r="AD135" s="204" t="n">
        <v>2093659.323781788</v>
      </c>
      <c r="AE135" s="204" t="n">
        <v>2140228.014784008</v>
      </c>
      <c r="AF135" s="204" t="n">
        <v>2157578.516064212</v>
      </c>
      <c r="AG135" s="204" t="n">
        <v>2171444.378662109</v>
      </c>
      <c r="AH135" s="204" t="n">
        <v>2238165.693424881</v>
      </c>
      <c r="AI135" s="204" t="n">
        <v>2256420.852824092</v>
      </c>
      <c r="AJ135" s="204" t="n">
        <v>2348705.891052246</v>
      </c>
      <c r="AK135" s="204" t="n">
        <v>2490473.052337393</v>
      </c>
      <c r="AL135" s="204" t="n">
        <v>2620578.425228596</v>
      </c>
      <c r="AM135" s="204" t="n">
        <v>2638179.3949714</v>
      </c>
      <c r="AN135" s="204" t="n">
        <v>2824147.642994031</v>
      </c>
      <c r="AO135" s="204" t="n">
        <v>2552917.714219376</v>
      </c>
      <c r="AP135" s="204" t="n">
        <v>2660951.075434983</v>
      </c>
      <c r="AQ135" s="204" t="n">
        <v>2760087.791174054</v>
      </c>
      <c r="AR135" s="204" t="n">
        <v>2844953.75666526</v>
      </c>
      <c r="AS135" s="204" t="n">
        <v>2851323.93164511</v>
      </c>
      <c r="AT135" s="204" t="n">
        <v>2827855.927222729</v>
      </c>
      <c r="AU135" s="204" t="n">
        <v>2647021.341986373</v>
      </c>
      <c r="AV135" s="201" t="n">
        <v>2647021.341986373</v>
      </c>
      <c r="AW135" s="184" t="n">
        <v>2647021.341986373</v>
      </c>
      <c r="AX135" s="184" t="n">
        <v>2647021.341986373</v>
      </c>
      <c r="AY135" s="184" t="n"/>
    </row>
    <row r="136" ht="22" customHeight="1">
      <c r="A136" s="303" t="n"/>
      <c r="B136" s="201" t="inlineStr">
        <is>
          <t>% CHANGE</t>
        </is>
      </c>
      <c r="C136" s="230">
        <f>+(C135-C134)/C134</f>
        <v/>
      </c>
      <c r="D136" s="230">
        <f>+(D135-D134)/D134</f>
        <v/>
      </c>
      <c r="E136" s="230">
        <f>+(E135-E134)/E134</f>
        <v/>
      </c>
      <c r="F136" s="230">
        <f>+(F135-F134)/F134</f>
        <v/>
      </c>
      <c r="G136" s="230">
        <f>+(G135-G134)/G134</f>
        <v/>
      </c>
      <c r="H136" s="230">
        <f>+(H135-H134)/H134</f>
        <v/>
      </c>
      <c r="I136" s="230">
        <f>+(I135-I134)/I134</f>
        <v/>
      </c>
      <c r="J136" s="230">
        <f>+(J135-J134)/J134</f>
        <v/>
      </c>
      <c r="K136" s="230">
        <f>+(K135-K134)/K134</f>
        <v/>
      </c>
      <c r="L136" s="230">
        <f>+(L135-L134)/L134</f>
        <v/>
      </c>
      <c r="M136" s="230">
        <f>+(M135-M134)/M134</f>
        <v/>
      </c>
      <c r="N136" s="230">
        <f>+(N135-N134)/N134</f>
        <v/>
      </c>
      <c r="O136" s="230">
        <f>+(O135-O134)/O134</f>
        <v/>
      </c>
      <c r="P136" s="230">
        <f>+(P135-P134)/P134</f>
        <v/>
      </c>
      <c r="Q136" s="230">
        <f>+(Q135-Q134)/Q134</f>
        <v/>
      </c>
      <c r="R136" s="230">
        <f>+(R135-R134)/R134</f>
        <v/>
      </c>
      <c r="S136" s="230">
        <f>+(S135-S134)/S134</f>
        <v/>
      </c>
      <c r="T136" s="230">
        <f>+(T135-T134)/T134</f>
        <v/>
      </c>
      <c r="U136" s="230">
        <f>+(U135-U134)/U134</f>
        <v/>
      </c>
      <c r="V136" s="230">
        <f>+(V135-V134)/V134</f>
        <v/>
      </c>
      <c r="W136" s="230">
        <f>+(W135-W134)/W134</f>
        <v/>
      </c>
      <c r="X136" s="230">
        <f>+(X135-X134)/X134</f>
        <v/>
      </c>
      <c r="Y136" s="230">
        <f>+(Y135-Y134)/Y134</f>
        <v/>
      </c>
      <c r="Z136" s="230">
        <f>+(Z135-Z134)/Z134</f>
        <v/>
      </c>
      <c r="AA136" s="230">
        <f>+(AA135-AA134)/AA134</f>
        <v/>
      </c>
      <c r="AB136" s="205">
        <f>+(AB135-AB134)/AB134</f>
        <v/>
      </c>
      <c r="AC136" s="205">
        <f>+(AC135-AC134)/AC134</f>
        <v/>
      </c>
      <c r="AD136" s="205">
        <f>+(AD135-AD134)/AD134</f>
        <v/>
      </c>
      <c r="AE136" s="205">
        <f>+(AE135-AE134)/AE134</f>
        <v/>
      </c>
      <c r="AF136" s="205">
        <f>+(AF135-AF134)/AF134</f>
        <v/>
      </c>
      <c r="AG136" s="205">
        <f>+(AG135-AG134)/AG134</f>
        <v/>
      </c>
      <c r="AH136" s="205">
        <f>+(AH135-AH134)/AH134</f>
        <v/>
      </c>
      <c r="AI136" s="205">
        <f>+(AI135-AI134)/AI134</f>
        <v/>
      </c>
      <c r="AJ136" s="205">
        <f>+(AJ135-AJ134)/AJ134</f>
        <v/>
      </c>
      <c r="AK136" s="205">
        <f>+(AK135-AK134)/AK134</f>
        <v/>
      </c>
      <c r="AL136" s="205">
        <f>+(AL135-AL134)/AL134</f>
        <v/>
      </c>
      <c r="AM136" s="205">
        <f>+(AM135-AM134)/AM134</f>
        <v/>
      </c>
      <c r="AN136" s="205">
        <f>+(AN135-AN134)/AN134</f>
        <v/>
      </c>
      <c r="AO136" s="205">
        <f>+(AO135-AO134)/AO134</f>
        <v/>
      </c>
      <c r="AP136" s="205">
        <f>+(AP135-AP134)/AP134</f>
        <v/>
      </c>
      <c r="AQ136" s="205">
        <f>+(AQ135-AQ134)/AQ134</f>
        <v/>
      </c>
      <c r="AR136" s="205">
        <f>+(AR135-AR134)/AR134</f>
        <v/>
      </c>
      <c r="AS136" s="205">
        <f>+(AS135-AS134)/AS134</f>
        <v/>
      </c>
      <c r="AT136" s="205">
        <f>+(AT135-AT134)/AT134</f>
        <v/>
      </c>
      <c r="AU136" s="205">
        <f>+(AU135-AU134)/AU134</f>
        <v/>
      </c>
      <c r="AV136" s="201">
        <f>+(AV135-AV134)/AV134</f>
        <v/>
      </c>
      <c r="AW136" s="184">
        <f>+(AW135-AW134)/AW134</f>
        <v/>
      </c>
      <c r="AX136" s="184">
        <f>+(AX135-AX134)/AX134</f>
        <v/>
      </c>
      <c r="AY136" s="184" t="n"/>
    </row>
    <row r="137" ht="44" customHeight="1">
      <c r="A137" s="303" t="n"/>
      <c r="B137" s="201" t="inlineStr">
        <is>
          <t>All time High SMI</t>
        </is>
      </c>
      <c r="C137" s="233" t="n">
        <v>12980.1396484375</v>
      </c>
      <c r="D137" s="233" t="n">
        <v>12980.1396484375</v>
      </c>
      <c r="E137" s="233" t="n">
        <v>12980.1396484375</v>
      </c>
      <c r="F137" s="233" t="n">
        <v>12980.1396484375</v>
      </c>
      <c r="G137" s="233" t="n">
        <v>12980.1396484375</v>
      </c>
      <c r="H137" s="233" t="n">
        <v>12980.1396484375</v>
      </c>
      <c r="I137" s="233" t="n">
        <v>12980.1396484375</v>
      </c>
      <c r="J137" s="233" t="n">
        <v>12980.1396484375</v>
      </c>
      <c r="K137" s="233" t="n">
        <v>12980.1396484375</v>
      </c>
      <c r="L137" s="233" t="n">
        <v>12980.1396484375</v>
      </c>
      <c r="M137" s="233" t="n">
        <v>12980.1396484375</v>
      </c>
      <c r="N137" s="233" t="n">
        <v>12980.1396484375</v>
      </c>
      <c r="O137" s="233" t="n">
        <v>12980.1396484375</v>
      </c>
      <c r="P137" s="233" t="n">
        <v>12980.1396484375</v>
      </c>
      <c r="Q137" s="233" t="n">
        <v>12980.1396484375</v>
      </c>
      <c r="R137" s="233" t="n">
        <v>12980.1396484375</v>
      </c>
      <c r="S137" s="233" t="n">
        <v>12980.1396484375</v>
      </c>
      <c r="T137" s="233" t="n">
        <v>12980.1396484375</v>
      </c>
      <c r="U137" s="233" t="n">
        <v>12980.1396484375</v>
      </c>
      <c r="V137" s="233" t="n">
        <v>12980.1396484375</v>
      </c>
      <c r="W137" s="233" t="n">
        <v>12980.1396484375</v>
      </c>
      <c r="X137" s="233" t="n">
        <v>12980.1396484375</v>
      </c>
      <c r="Y137" s="233" t="n">
        <v>12980.1396484375</v>
      </c>
      <c r="Z137" s="233" t="n">
        <v>12980.1396484375</v>
      </c>
      <c r="AA137" s="231" t="n">
        <v>12980.1396484375</v>
      </c>
      <c r="AB137" s="203" t="n">
        <v>13100.2197265625</v>
      </c>
      <c r="AC137" s="203" t="n">
        <v>13100.2197265625</v>
      </c>
      <c r="AD137" s="203" t="n">
        <v>13100.2197265625</v>
      </c>
      <c r="AE137" s="203" t="n">
        <v>13100.2197265625</v>
      </c>
      <c r="AF137" s="203" t="n">
        <v>13100.2197265625</v>
      </c>
      <c r="AG137" s="203" t="n">
        <v>13100.2197265625</v>
      </c>
      <c r="AH137" s="203" t="n">
        <v>13100.2197265625</v>
      </c>
      <c r="AI137" s="203" t="n">
        <v>13100.2197265625</v>
      </c>
      <c r="AJ137" s="203" t="n">
        <v>13100.2197265625</v>
      </c>
      <c r="AK137" s="203" t="n">
        <v>13100.2197265625</v>
      </c>
      <c r="AL137" s="203" t="n">
        <v>13288.66015625</v>
      </c>
      <c r="AM137" s="203" t="n">
        <v>13288.66015625</v>
      </c>
      <c r="AN137" s="203" t="n">
        <v>14063.5302734375</v>
      </c>
      <c r="AO137" s="203" t="n">
        <v>14063.5302734375</v>
      </c>
      <c r="AP137" s="203" t="n">
        <v>14063.5302734375</v>
      </c>
      <c r="AQ137" s="203" t="n">
        <v>14063.5302734375</v>
      </c>
      <c r="AR137" s="203" t="n">
        <v>14287.6201171875</v>
      </c>
      <c r="AS137" s="203" t="n">
        <v>14656.0498046875</v>
      </c>
      <c r="AT137" s="203" t="n">
        <v>14656.0498046875</v>
      </c>
      <c r="AU137" s="203" t="n">
        <v>14656.0498046875</v>
      </c>
      <c r="AV137" s="201" t="n">
        <v>14656.0498046875</v>
      </c>
      <c r="AW137" s="184" t="n">
        <v>14656.0498046875</v>
      </c>
      <c r="AX137" s="184" t="n">
        <v>14656.0498046875</v>
      </c>
      <c r="AY137" s="184" t="n"/>
    </row>
    <row r="138" ht="44" customHeight="1">
      <c r="A138" s="303" t="n"/>
      <c r="B138" s="201" t="inlineStr">
        <is>
          <t>current price SMI</t>
        </is>
      </c>
      <c r="C138" s="233" t="n">
        <v>11285.7802734375</v>
      </c>
      <c r="D138" s="233" t="n">
        <v>11098.349609375</v>
      </c>
      <c r="E138" s="233" t="n">
        <v>11106.240234375</v>
      </c>
      <c r="F138" s="233" t="n">
        <v>11437.1396484375</v>
      </c>
      <c r="G138" s="233" t="n">
        <v>11217.8896484375</v>
      </c>
      <c r="H138" s="233" t="n">
        <v>11280.2900390625</v>
      </c>
      <c r="I138" s="233" t="n">
        <v>11309.25</v>
      </c>
      <c r="J138" s="233" t="n">
        <v>11125.9501953125</v>
      </c>
      <c r="K138" s="233" t="n">
        <v>10963.5</v>
      </c>
      <c r="L138" s="233" t="n">
        <v>10391.16015625</v>
      </c>
      <c r="M138" s="233" t="n">
        <v>10854.3203125</v>
      </c>
      <c r="N138" s="233" t="n">
        <v>11137.7900390625</v>
      </c>
      <c r="O138" s="233" t="n">
        <v>11333.3798828125</v>
      </c>
      <c r="P138" s="233" t="n">
        <v>11438.8603515625</v>
      </c>
      <c r="Q138" s="233" t="n">
        <v>11730.4296875</v>
      </c>
      <c r="R138" s="233" t="n">
        <v>11260.91015625</v>
      </c>
      <c r="S138" s="233" t="n">
        <v>12000.8603515625</v>
      </c>
      <c r="T138" s="233" t="n">
        <v>11993.830078125</v>
      </c>
      <c r="U138" s="233" t="n">
        <v>12317.4404296875</v>
      </c>
      <c r="V138" s="233" t="n">
        <v>12436.58984375</v>
      </c>
      <c r="W138" s="233" t="n">
        <v>12168.8701171875</v>
      </c>
      <c r="X138" s="233" t="n">
        <v>11792.919921875</v>
      </c>
      <c r="Y138" s="233" t="n">
        <v>11764.2001953125</v>
      </c>
      <c r="Z138" s="233" t="n">
        <v>11600.900390625</v>
      </c>
      <c r="AA138" s="231" t="n">
        <v>12597.08984375</v>
      </c>
      <c r="AB138" s="203" t="n">
        <v>13004.48046875</v>
      </c>
      <c r="AC138" s="203" t="n">
        <v>12598.1201171875</v>
      </c>
      <c r="AD138" s="203" t="n">
        <v>12116.98046875</v>
      </c>
      <c r="AE138" s="203" t="n">
        <v>12227.080078125</v>
      </c>
      <c r="AF138" s="203" t="n">
        <v>11921.4599609375</v>
      </c>
      <c r="AG138" s="203" t="n">
        <v>11836</v>
      </c>
      <c r="AH138" s="203" t="n">
        <v>12187.580078125</v>
      </c>
      <c r="AI138" s="203" t="n">
        <v>12109.419921875</v>
      </c>
      <c r="AJ138" s="203" t="n">
        <v>12234.5</v>
      </c>
      <c r="AK138" s="203" t="n">
        <v>12833.9599609375</v>
      </c>
      <c r="AL138" s="203" t="n">
        <v>13267.48046875</v>
      </c>
      <c r="AM138" s="203" t="n">
        <v>13188.259765625</v>
      </c>
      <c r="AN138" s="203" t="n">
        <v>14014.2998046875</v>
      </c>
      <c r="AO138" s="203" t="n">
        <v>12776.7900390625</v>
      </c>
      <c r="AP138" s="203" t="n">
        <v>13136.26953125</v>
      </c>
      <c r="AQ138" s="203" t="n">
        <v>13542.66015625</v>
      </c>
      <c r="AR138" s="203" t="n">
        <v>14193.919921875</v>
      </c>
      <c r="AS138" s="203" t="n">
        <v>14346.1396484375</v>
      </c>
      <c r="AT138" s="203" t="n">
        <v>14286.4296875</v>
      </c>
      <c r="AU138" s="203" t="n">
        <v>13945.7099609375</v>
      </c>
      <c r="AV138" s="201" t="n">
        <v>13945.7099609375</v>
      </c>
      <c r="AW138" s="184" t="n">
        <v>13945.7099609375</v>
      </c>
      <c r="AX138" s="184" t="n">
        <v>13945.7099609375</v>
      </c>
      <c r="AY138" s="184" t="n"/>
    </row>
    <row r="139" ht="44" customHeight="1">
      <c r="A139" s="303" t="n"/>
      <c r="B139" s="201" t="inlineStr">
        <is>
          <t>original index % change</t>
        </is>
      </c>
      <c r="C139" s="230">
        <f>+(C138-C137)/C137</f>
        <v/>
      </c>
      <c r="D139" s="230">
        <f>+(D138-D137)/D137</f>
        <v/>
      </c>
      <c r="E139" s="230">
        <f>+(E138-E137)/E137</f>
        <v/>
      </c>
      <c r="F139" s="230">
        <f>+(F138-F137)/F137</f>
        <v/>
      </c>
      <c r="G139" s="230">
        <f>+(G138-G137)/G137</f>
        <v/>
      </c>
      <c r="H139" s="230">
        <f>+(H138-H137)/H137</f>
        <v/>
      </c>
      <c r="I139" s="230">
        <f>+(I138-I137)/I137</f>
        <v/>
      </c>
      <c r="J139" s="230">
        <f>+(J138-J137)/J137</f>
        <v/>
      </c>
      <c r="K139" s="230">
        <f>+(K138-K137)/K137</f>
        <v/>
      </c>
      <c r="L139" s="230">
        <f>+(L138-L137)/L137</f>
        <v/>
      </c>
      <c r="M139" s="230">
        <f>+(M138-M137)/M137</f>
        <v/>
      </c>
      <c r="N139" s="230">
        <f>+(N138-N137)/N137</f>
        <v/>
      </c>
      <c r="O139" s="230">
        <f>+(O138-O137)/O137</f>
        <v/>
      </c>
      <c r="P139" s="230">
        <f>+(P138-P137)/P137</f>
        <v/>
      </c>
      <c r="Q139" s="230">
        <f>+(Q138-Q137)/Q137</f>
        <v/>
      </c>
      <c r="R139" s="230">
        <f>+(R138-R137)/R137</f>
        <v/>
      </c>
      <c r="S139" s="230">
        <f>+(S138-S137)/S137</f>
        <v/>
      </c>
      <c r="T139" s="230">
        <f>+(T138-T137)/T137</f>
        <v/>
      </c>
      <c r="U139" s="230">
        <f>+(U138-U137)/U137</f>
        <v/>
      </c>
      <c r="V139" s="230">
        <f>+(V138-V137)/V137</f>
        <v/>
      </c>
      <c r="W139" s="230">
        <f>+(W138-W137)/W137</f>
        <v/>
      </c>
      <c r="X139" s="230">
        <f>+(X138-X137)/X137</f>
        <v/>
      </c>
      <c r="Y139" s="230">
        <f>+(Y138-Y137)/Y137</f>
        <v/>
      </c>
      <c r="Z139" s="230">
        <f>+(Z138-Z137)/Z137</f>
        <v/>
      </c>
      <c r="AA139" s="230">
        <f>+(AA138-AA137)/AA137</f>
        <v/>
      </c>
      <c r="AB139" s="205">
        <f>+(AB138-AB137)/AB137</f>
        <v/>
      </c>
      <c r="AC139" s="205">
        <f>+(AC138-AC137)/AC137</f>
        <v/>
      </c>
      <c r="AD139" s="205">
        <f>+(AD138-AD137)/AD137</f>
        <v/>
      </c>
      <c r="AE139" s="205">
        <f>+(AE138-AE137)/AE137</f>
        <v/>
      </c>
      <c r="AF139" s="205">
        <f>+(AF138-AF137)/AF137</f>
        <v/>
      </c>
      <c r="AG139" s="205">
        <f>+(AG138-AG137)/AG137</f>
        <v/>
      </c>
      <c r="AH139" s="205">
        <f>+(AH138-AH137)/AH137</f>
        <v/>
      </c>
      <c r="AI139" s="205">
        <f>+(AI138-AI137)/AI137</f>
        <v/>
      </c>
      <c r="AJ139" s="205">
        <f>+(AJ138-AJ137)/AJ137</f>
        <v/>
      </c>
      <c r="AK139" s="205">
        <f>+(AK138-AK137)/AK137</f>
        <v/>
      </c>
      <c r="AL139" s="205">
        <f>+(AL138-AL137)/AL137</f>
        <v/>
      </c>
      <c r="AM139" s="205">
        <f>+(AM138-AM137)/AM137</f>
        <v/>
      </c>
      <c r="AN139" s="205">
        <f>+(AN138-AN137)/AN137</f>
        <v/>
      </c>
      <c r="AO139" s="205">
        <f>+(AO138-AO137)/AO137</f>
        <v/>
      </c>
      <c r="AP139" s="205">
        <f>+(AP138-AP137)/AP137</f>
        <v/>
      </c>
      <c r="AQ139" s="205">
        <f>+(AQ138-AQ137)/AQ137</f>
        <v/>
      </c>
      <c r="AR139" s="205">
        <f>+(AR138-AR137)/AR137</f>
        <v/>
      </c>
      <c r="AS139" s="205">
        <f>+(AS138-AS137)/AS137</f>
        <v/>
      </c>
      <c r="AT139" s="205">
        <f>+(AT138-AT137)/AT137</f>
        <v/>
      </c>
      <c r="AU139" s="205">
        <f>+(AU138-AU137)/AU137</f>
        <v/>
      </c>
      <c r="AV139" s="201">
        <f>+(AV138-AV137)/AV137</f>
        <v/>
      </c>
      <c r="AW139" s="184">
        <f>+(AW138-AW137)/AW137</f>
        <v/>
      </c>
      <c r="AX139" s="184">
        <f>+(AX138-AX137)/AX137</f>
        <v/>
      </c>
      <c r="AY139" s="184" t="n"/>
    </row>
    <row r="140" ht="22" customHeight="1">
      <c r="A140" s="303" t="n"/>
      <c r="B140" s="201" t="inlineStr">
        <is>
          <t>real % change</t>
        </is>
      </c>
      <c r="C140" s="230">
        <f>+C136-C139</f>
        <v/>
      </c>
      <c r="D140" s="230">
        <f>+D136-D139</f>
        <v/>
      </c>
      <c r="E140" s="230">
        <f>+E136-E139</f>
        <v/>
      </c>
      <c r="F140" s="230">
        <f>+F136-F139</f>
        <v/>
      </c>
      <c r="G140" s="230">
        <f>+G136-G139</f>
        <v/>
      </c>
      <c r="H140" s="230">
        <f>+H136-H139</f>
        <v/>
      </c>
      <c r="I140" s="230">
        <f>+I136-I139</f>
        <v/>
      </c>
      <c r="J140" s="230">
        <f>+J136-J139</f>
        <v/>
      </c>
      <c r="K140" s="230">
        <f>+K136-K139</f>
        <v/>
      </c>
      <c r="L140" s="230">
        <f>+L136-L139</f>
        <v/>
      </c>
      <c r="M140" s="230">
        <f>+M136-M139</f>
        <v/>
      </c>
      <c r="N140" s="230">
        <f>+N136-N139</f>
        <v/>
      </c>
      <c r="O140" s="230">
        <f>+O136-O139</f>
        <v/>
      </c>
      <c r="P140" s="230">
        <f>+P136-P139</f>
        <v/>
      </c>
      <c r="Q140" s="230">
        <f>+Q136-Q139</f>
        <v/>
      </c>
      <c r="R140" s="230">
        <f>+R136-R139</f>
        <v/>
      </c>
      <c r="S140" s="230">
        <f>+S136-S139</f>
        <v/>
      </c>
      <c r="T140" s="230">
        <f>+T136-T139</f>
        <v/>
      </c>
      <c r="U140" s="230">
        <f>+U136-U139</f>
        <v/>
      </c>
      <c r="V140" s="230">
        <f>+V136-V139</f>
        <v/>
      </c>
      <c r="W140" s="230">
        <f>+W136-W139</f>
        <v/>
      </c>
      <c r="X140" s="230">
        <f>+X136-X139</f>
        <v/>
      </c>
      <c r="Y140" s="230">
        <f>+Y136-Y139</f>
        <v/>
      </c>
      <c r="Z140" s="230">
        <f>+Z136-Z139</f>
        <v/>
      </c>
      <c r="AA140" s="230">
        <f>+AA136-AA139</f>
        <v/>
      </c>
      <c r="AB140" s="205">
        <f>+AB136-AB139</f>
        <v/>
      </c>
      <c r="AC140" s="205">
        <f>+AC136-AC139</f>
        <v/>
      </c>
      <c r="AD140" s="205">
        <f>+AD136-AD139</f>
        <v/>
      </c>
      <c r="AE140" s="205">
        <f>+AE136-AE139</f>
        <v/>
      </c>
      <c r="AF140" s="205">
        <f>+AF136-AF139</f>
        <v/>
      </c>
      <c r="AG140" s="205">
        <f>+AG136-AG139</f>
        <v/>
      </c>
      <c r="AH140" s="205">
        <f>+AH136-AH139</f>
        <v/>
      </c>
      <c r="AI140" s="205">
        <f>+AI136-AI139</f>
        <v/>
      </c>
      <c r="AJ140" s="205">
        <f>+AJ136-AJ139</f>
        <v/>
      </c>
      <c r="AK140" s="205">
        <f>+AK136-AK139</f>
        <v/>
      </c>
      <c r="AL140" s="205">
        <f>+AL136-AL139</f>
        <v/>
      </c>
      <c r="AM140" s="205">
        <f>+AM136-AM139</f>
        <v/>
      </c>
      <c r="AN140" s="205">
        <f>+AN136-AN139</f>
        <v/>
      </c>
      <c r="AO140" s="205">
        <f>+AO136-AO139</f>
        <v/>
      </c>
      <c r="AP140" s="205">
        <f>+AP136-AP139</f>
        <v/>
      </c>
      <c r="AQ140" s="205">
        <f>+AQ136-AQ139</f>
        <v/>
      </c>
      <c r="AR140" s="205">
        <f>+AR136-AR139</f>
        <v/>
      </c>
      <c r="AS140" s="205">
        <f>+AS136-AS139</f>
        <v/>
      </c>
      <c r="AT140" s="205">
        <f>+AT136-AT139</f>
        <v/>
      </c>
      <c r="AU140" s="205">
        <f>+AU136-AU139</f>
        <v/>
      </c>
      <c r="AV140" s="201">
        <f>+AV136-AV139</f>
        <v/>
      </c>
      <c r="AW140" s="184">
        <f>+AW136-AW139</f>
        <v/>
      </c>
      <c r="AX140" s="184">
        <f>+AX136-AX139</f>
        <v/>
      </c>
      <c r="AY140" s="184" t="n"/>
    </row>
    <row r="141" ht="22" customHeight="1">
      <c r="A141" s="304" t="n"/>
      <c r="B141" s="206" t="inlineStr">
        <is>
          <t>Rating</t>
        </is>
      </c>
      <c r="C141" s="232">
        <f>_xlfn.XLOOKUP(MIN(ABS($BJ$7:$BJ$29 - MEDIAN(MIN($BJ$7:$BJ$29), MAX($BJ$7:$BJ$29), C140))), ABS($BJ$7:$BJ$29 - MEDIAN(MIN($BJ$7:$BJ$29), MAX($BJ$7:$BJ$29), C140)), $BK$7:$BK$29, "Error", 0)</f>
        <v/>
      </c>
      <c r="D141" s="232">
        <f>_xlfn.XLOOKUP(MIN(ABS($BJ$7:$BJ$29 - MEDIAN(MIN($BJ$7:$BJ$29), MAX($BJ$7:$BJ$29), D140))), ABS($BJ$7:$BJ$29 - MEDIAN(MIN($BJ$7:$BJ$29), MAX($BJ$7:$BJ$29), D140)), $BK$7:$BK$29, "Error", 0)</f>
        <v/>
      </c>
      <c r="E141" s="232">
        <f>_xlfn.XLOOKUP(MIN(ABS($BJ$7:$BJ$29 - MEDIAN(MIN($BJ$7:$BJ$29), MAX($BJ$7:$BJ$29), E140))), ABS($BJ$7:$BJ$29 - MEDIAN(MIN($BJ$7:$BJ$29), MAX($BJ$7:$BJ$29), E140)), $BK$7:$BK$29, "Error", 0)</f>
        <v/>
      </c>
      <c r="F141" s="232">
        <f>_xlfn.XLOOKUP(MIN(ABS($BJ$7:$BJ$29 - MEDIAN(MIN($BJ$7:$BJ$29), MAX($BJ$7:$BJ$29), F140))), ABS($BJ$7:$BJ$29 - MEDIAN(MIN($BJ$7:$BJ$29), MAX($BJ$7:$BJ$29), F140)), $BK$7:$BK$29, "Error", 0)</f>
        <v/>
      </c>
      <c r="G141" s="232">
        <f>_xlfn.XLOOKUP(MIN(ABS($BJ$7:$BJ$29 - MEDIAN(MIN($BJ$7:$BJ$29), MAX($BJ$7:$BJ$29), G140))), ABS($BJ$7:$BJ$29 - MEDIAN(MIN($BJ$7:$BJ$29), MAX($BJ$7:$BJ$29), G140)), $BK$7:$BK$29, "Error", 0)</f>
        <v/>
      </c>
      <c r="H141" s="232">
        <f>_xlfn.XLOOKUP(MIN(ABS($BJ$7:$BJ$29 - MEDIAN(MIN($BJ$7:$BJ$29), MAX($BJ$7:$BJ$29), H140))), ABS($BJ$7:$BJ$29 - MEDIAN(MIN($BJ$7:$BJ$29), MAX($BJ$7:$BJ$29), H140)), $BK$7:$BK$29, "Error", 0)</f>
        <v/>
      </c>
      <c r="I141" s="232">
        <f>_xlfn.XLOOKUP(MIN(ABS($BJ$7:$BJ$29 - MEDIAN(MIN($BJ$7:$BJ$29), MAX($BJ$7:$BJ$29), I140))), ABS($BJ$7:$BJ$29 - MEDIAN(MIN($BJ$7:$BJ$29), MAX($BJ$7:$BJ$29), I140)), $BK$7:$BK$29, "Error", 0)</f>
        <v/>
      </c>
      <c r="J141" s="232">
        <f>_xlfn.XLOOKUP(MIN(ABS($BJ$7:$BJ$29 - MEDIAN(MIN($BJ$7:$BJ$29), MAX($BJ$7:$BJ$29), J140))), ABS($BJ$7:$BJ$29 - MEDIAN(MIN($BJ$7:$BJ$29), MAX($BJ$7:$BJ$29), J140)), $BK$7:$BK$29, "Error", 0)</f>
        <v/>
      </c>
      <c r="K141" s="232">
        <f>_xlfn.XLOOKUP(MIN(ABS($BJ$7:$BJ$29 - MEDIAN(MIN($BJ$7:$BJ$29), MAX($BJ$7:$BJ$29), K140))), ABS($BJ$7:$BJ$29 - MEDIAN(MIN($BJ$7:$BJ$29), MAX($BJ$7:$BJ$29), K140)), $BK$7:$BK$29, "Error", 0)</f>
        <v/>
      </c>
      <c r="L141" s="232">
        <f>_xlfn.XLOOKUP(MIN(ABS($BJ$7:$BJ$29 - MEDIAN(MIN($BJ$7:$BJ$29), MAX($BJ$7:$BJ$29), L140))), ABS($BJ$7:$BJ$29 - MEDIAN(MIN($BJ$7:$BJ$29), MAX($BJ$7:$BJ$29), L140)), $BK$7:$BK$29, "Error", 0)</f>
        <v/>
      </c>
      <c r="M141" s="232">
        <f>_xlfn.XLOOKUP(MIN(ABS($BJ$7:$BJ$29 - MEDIAN(MIN($BJ$7:$BJ$29), MAX($BJ$7:$BJ$29), M140))), ABS($BJ$7:$BJ$29 - MEDIAN(MIN($BJ$7:$BJ$29), MAX($BJ$7:$BJ$29), M140)), $BK$7:$BK$29, "Error", 0)</f>
        <v/>
      </c>
      <c r="N141" s="232">
        <f>_xlfn.XLOOKUP(MIN(ABS($BJ$7:$BJ$29 - MEDIAN(MIN($BJ$7:$BJ$29), MAX($BJ$7:$BJ$29), N140))), ABS($BJ$7:$BJ$29 - MEDIAN(MIN($BJ$7:$BJ$29), MAX($BJ$7:$BJ$29), N140)), $BK$7:$BK$29, "Error", 0)</f>
        <v/>
      </c>
      <c r="O141" s="232">
        <f>_xlfn.XLOOKUP(MIN(ABS($BJ$7:$BJ$29 - MEDIAN(MIN($BJ$7:$BJ$29), MAX($BJ$7:$BJ$29), O140))), ABS($BJ$7:$BJ$29 - MEDIAN(MIN($BJ$7:$BJ$29), MAX($BJ$7:$BJ$29), O140)), $BK$7:$BK$29, "Error", 0)</f>
        <v/>
      </c>
      <c r="P141" s="232">
        <f>_xlfn.XLOOKUP(MIN(ABS($BJ$7:$BJ$29 - MEDIAN(MIN($BJ$7:$BJ$29), MAX($BJ$7:$BJ$29), P140))), ABS($BJ$7:$BJ$29 - MEDIAN(MIN($BJ$7:$BJ$29), MAX($BJ$7:$BJ$29), P140)), $BK$7:$BK$29, "Error", 0)</f>
        <v/>
      </c>
      <c r="Q141" s="232">
        <f>_xlfn.XLOOKUP(MIN(ABS($BJ$7:$BJ$29 - MEDIAN(MIN($BJ$7:$BJ$29), MAX($BJ$7:$BJ$29), Q140))), ABS($BJ$7:$BJ$29 - MEDIAN(MIN($BJ$7:$BJ$29), MAX($BJ$7:$BJ$29), Q140)), $BK$7:$BK$29, "Error", 0)</f>
        <v/>
      </c>
      <c r="R141" s="232">
        <f>_xlfn.XLOOKUP(MIN(ABS($BJ$7:$BJ$29 - MEDIAN(MIN($BJ$7:$BJ$29), MAX($BJ$7:$BJ$29), R140))), ABS($BJ$7:$BJ$29 - MEDIAN(MIN($BJ$7:$BJ$29), MAX($BJ$7:$BJ$29), R140)), $BK$7:$BK$29, "Error", 0)</f>
        <v/>
      </c>
      <c r="S141" s="232">
        <f>_xlfn.XLOOKUP(MIN(ABS($BJ$7:$BJ$29 - MEDIAN(MIN($BJ$7:$BJ$29), MAX($BJ$7:$BJ$29), S140))), ABS($BJ$7:$BJ$29 - MEDIAN(MIN($BJ$7:$BJ$29), MAX($BJ$7:$BJ$29), S140)), $BK$7:$BK$29, "Error", 0)</f>
        <v/>
      </c>
      <c r="T141" s="232">
        <f>_xlfn.XLOOKUP(MIN(ABS($BJ$7:$BJ$29 - MEDIAN(MIN($BJ$7:$BJ$29), MAX($BJ$7:$BJ$29), T140))), ABS($BJ$7:$BJ$29 - MEDIAN(MIN($BJ$7:$BJ$29), MAX($BJ$7:$BJ$29), T140)), $BK$7:$BK$29, "Error", 0)</f>
        <v/>
      </c>
      <c r="U141" s="232">
        <f>_xlfn.XLOOKUP(MIN(ABS($BJ$7:$BJ$29 - MEDIAN(MIN($BJ$7:$BJ$29), MAX($BJ$7:$BJ$29), U140))), ABS($BJ$7:$BJ$29 - MEDIAN(MIN($BJ$7:$BJ$29), MAX($BJ$7:$BJ$29), U140)), $BK$7:$BK$29, "Error", 0)</f>
        <v/>
      </c>
      <c r="V141" s="232">
        <f>_xlfn.XLOOKUP(MIN(ABS($BJ$7:$BJ$29 - MEDIAN(MIN($BJ$7:$BJ$29), MAX($BJ$7:$BJ$29), V140))), ABS($BJ$7:$BJ$29 - MEDIAN(MIN($BJ$7:$BJ$29), MAX($BJ$7:$BJ$29), V140)), $BK$7:$BK$29, "Error", 0)</f>
        <v/>
      </c>
      <c r="W141" s="232">
        <f>_xlfn.XLOOKUP(MIN(ABS($BJ$7:$BJ$29 - MEDIAN(MIN($BJ$7:$BJ$29), MAX($BJ$7:$BJ$29), W140))), ABS($BJ$7:$BJ$29 - MEDIAN(MIN($BJ$7:$BJ$29), MAX($BJ$7:$BJ$29), W140)), $BK$7:$BK$29, "Error", 0)</f>
        <v/>
      </c>
      <c r="X141" s="232">
        <f>_xlfn.XLOOKUP(MIN(ABS($BJ$7:$BJ$29 - MEDIAN(MIN($BJ$7:$BJ$29), MAX($BJ$7:$BJ$29), X140))), ABS($BJ$7:$BJ$29 - MEDIAN(MIN($BJ$7:$BJ$29), MAX($BJ$7:$BJ$29), X140)), $BK$7:$BK$29, "Error", 0)</f>
        <v/>
      </c>
      <c r="Y141" s="232">
        <f>_xlfn.XLOOKUP(MIN(ABS($BJ$7:$BJ$29 - MEDIAN(MIN($BJ$7:$BJ$29), MAX($BJ$7:$BJ$29), Y140))), ABS($BJ$7:$BJ$29 - MEDIAN(MIN($BJ$7:$BJ$29), MAX($BJ$7:$BJ$29), Y140)), $BK$7:$BK$29, "Error", 0)</f>
        <v/>
      </c>
      <c r="Z141" s="232">
        <f>_xlfn.XLOOKUP(MIN(ABS($BJ$7:$BJ$29 - MEDIAN(MIN($BJ$7:$BJ$29), MAX($BJ$7:$BJ$29), Z140))), ABS($BJ$7:$BJ$29 - MEDIAN(MIN($BJ$7:$BJ$29), MAX($BJ$7:$BJ$29), Z140)), $BK$7:$BK$29, "Error", 0)</f>
        <v/>
      </c>
      <c r="AA141" s="232">
        <f>_xlfn.XLOOKUP(MIN(ABS($BJ$7:$BJ$29 - MEDIAN(MIN($BJ$7:$BJ$29), MAX($BJ$7:$BJ$29), AA140))), ABS($BJ$7:$BJ$29 - MEDIAN(MIN($BJ$7:$BJ$29), MAX($BJ$7:$BJ$29), AA140)), $BK$7:$BK$29, "Error", 0)</f>
        <v/>
      </c>
      <c r="AB141" s="171">
        <f>_xlfn.XLOOKUP(MIN(ABS($BJ$7:$BJ$29 - MEDIAN(MIN($BJ$7:$BJ$29), MAX($BJ$7:$BJ$29), AB140))), ABS($BJ$7:$BJ$29 - MEDIAN(MIN($BJ$7:$BJ$29), MAX($BJ$7:$BJ$29), AB140)), $BK$7:$BK$29, "Error", 0)</f>
        <v/>
      </c>
      <c r="AC141" s="171">
        <f>_xlfn.XLOOKUP(MIN(ABS($BJ$7:$BJ$29 - MEDIAN(MIN($BJ$7:$BJ$29), MAX($BJ$7:$BJ$29), AC140))), ABS($BJ$7:$BJ$29 - MEDIAN(MIN($BJ$7:$BJ$29), MAX($BJ$7:$BJ$29), AC140)), $BK$7:$BK$29, "Error", 0)</f>
        <v/>
      </c>
      <c r="AD141" s="171">
        <f>_xlfn.XLOOKUP(MIN(ABS($BJ$7:$BJ$29 - MEDIAN(MIN($BJ$7:$BJ$29), MAX($BJ$7:$BJ$29), AD140))), ABS($BJ$7:$BJ$29 - MEDIAN(MIN($BJ$7:$BJ$29), MAX($BJ$7:$BJ$29), AD140)), $BK$7:$BK$29, "Error", 0)</f>
        <v/>
      </c>
      <c r="AE141" s="171">
        <f>_xlfn.XLOOKUP(MIN(ABS($BJ$7:$BJ$29 - MEDIAN(MIN($BJ$7:$BJ$29), MAX($BJ$7:$BJ$29), AE140))), ABS($BJ$7:$BJ$29 - MEDIAN(MIN($BJ$7:$BJ$29), MAX($BJ$7:$BJ$29), AE140)), $BK$7:$BK$29, "Error", 0)</f>
        <v/>
      </c>
      <c r="AF141" s="171">
        <f>_xlfn.XLOOKUP(MIN(ABS($BJ$7:$BJ$29 - MEDIAN(MIN($BJ$7:$BJ$29), MAX($BJ$7:$BJ$29), AF140))), ABS($BJ$7:$BJ$29 - MEDIAN(MIN($BJ$7:$BJ$29), MAX($BJ$7:$BJ$29), AF140)), $BK$7:$BK$29, "Error", 0)</f>
        <v/>
      </c>
      <c r="AG141" s="171">
        <f>_xlfn.XLOOKUP(MIN(ABS($BJ$7:$BJ$29 - MEDIAN(MIN($BJ$7:$BJ$29), MAX($BJ$7:$BJ$29), AG140))), ABS($BJ$7:$BJ$29 - MEDIAN(MIN($BJ$7:$BJ$29), MAX($BJ$7:$BJ$29), AG140)), $BK$7:$BK$29, "Error", 0)</f>
        <v/>
      </c>
      <c r="AH141" s="171">
        <f>_xlfn.XLOOKUP(MIN(ABS($BJ$7:$BJ$29 - MEDIAN(MIN($BJ$7:$BJ$29), MAX($BJ$7:$BJ$29), AH140))), ABS($BJ$7:$BJ$29 - MEDIAN(MIN($BJ$7:$BJ$29), MAX($BJ$7:$BJ$29), AH140)), $BK$7:$BK$29, "Error", 0)</f>
        <v/>
      </c>
      <c r="AI141" s="171">
        <f>_xlfn.XLOOKUP(MIN(ABS($BJ$7:$BJ$29 - MEDIAN(MIN($BJ$7:$BJ$29), MAX($BJ$7:$BJ$29), AI140))), ABS($BJ$7:$BJ$29 - MEDIAN(MIN($BJ$7:$BJ$29), MAX($BJ$7:$BJ$29), AI140)), $BK$7:$BK$29, "Error", 0)</f>
        <v/>
      </c>
      <c r="AJ141" s="171">
        <f>_xlfn.XLOOKUP(MIN(ABS($BJ$7:$BJ$29 - MEDIAN(MIN($BJ$7:$BJ$29), MAX($BJ$7:$BJ$29), AJ140))), ABS($BJ$7:$BJ$29 - MEDIAN(MIN($BJ$7:$BJ$29), MAX($BJ$7:$BJ$29), AJ140)), $BK$7:$BK$29, "Error", 0)</f>
        <v/>
      </c>
      <c r="AK141" s="171">
        <f>_xlfn.XLOOKUP(MIN(ABS($BJ$7:$BJ$29 - MEDIAN(MIN($BJ$7:$BJ$29), MAX($BJ$7:$BJ$29), AK140))), ABS($BJ$7:$BJ$29 - MEDIAN(MIN($BJ$7:$BJ$29), MAX($BJ$7:$BJ$29), AK140)), $BK$7:$BK$29, "Error", 0)</f>
        <v/>
      </c>
      <c r="AL141" s="171">
        <f>_xlfn.XLOOKUP(MIN(ABS($BJ$7:$BJ$29 - MEDIAN(MIN($BJ$7:$BJ$29), MAX($BJ$7:$BJ$29), AL140))), ABS($BJ$7:$BJ$29 - MEDIAN(MIN($BJ$7:$BJ$29), MAX($BJ$7:$BJ$29), AL140)), $BK$7:$BK$29, "Error", 0)</f>
        <v/>
      </c>
      <c r="AM141" s="171">
        <f>_xlfn.XLOOKUP(MIN(ABS($BJ$7:$BJ$29 - MEDIAN(MIN($BJ$7:$BJ$29), MAX($BJ$7:$BJ$29), AM140))), ABS($BJ$7:$BJ$29 - MEDIAN(MIN($BJ$7:$BJ$29), MAX($BJ$7:$BJ$29), AM140)), $BK$7:$BK$29, "Error", 0)</f>
        <v/>
      </c>
      <c r="AN141" s="171">
        <f>_xlfn.XLOOKUP(MIN(ABS($BJ$7:$BJ$29 - MEDIAN(MIN($BJ$7:$BJ$29), MAX($BJ$7:$BJ$29), AN140))), ABS($BJ$7:$BJ$29 - MEDIAN(MIN($BJ$7:$BJ$29), MAX($BJ$7:$BJ$29), AN140)), $BK$7:$BK$29, "Error", 0)</f>
        <v/>
      </c>
      <c r="AO141" s="171">
        <f>_xlfn.XLOOKUP(MIN(ABS($BJ$7:$BJ$29 - MEDIAN(MIN($BJ$7:$BJ$29), MAX($BJ$7:$BJ$29), AO140))), ABS($BJ$7:$BJ$29 - MEDIAN(MIN($BJ$7:$BJ$29), MAX($BJ$7:$BJ$29), AO140)), $BK$7:$BK$29, "Error", 0)</f>
        <v/>
      </c>
      <c r="AP141" s="171">
        <f>_xlfn.XLOOKUP(MIN(ABS($BJ$7:$BJ$29 - MEDIAN(MIN($BJ$7:$BJ$29), MAX($BJ$7:$BJ$29), AP140))), ABS($BJ$7:$BJ$29 - MEDIAN(MIN($BJ$7:$BJ$29), MAX($BJ$7:$BJ$29), AP140)), $BK$7:$BK$29, "Error", 0)</f>
        <v/>
      </c>
      <c r="AQ141" s="171">
        <f>_xlfn.XLOOKUP(MIN(ABS($BJ$7:$BJ$29 - MEDIAN(MIN($BJ$7:$BJ$29), MAX($BJ$7:$BJ$29), AQ140))), ABS($BJ$7:$BJ$29 - MEDIAN(MIN($BJ$7:$BJ$29), MAX($BJ$7:$BJ$29), AQ140)), $BK$7:$BK$29, "Error", 0)</f>
        <v/>
      </c>
      <c r="AR141" s="171">
        <f>_xlfn.XLOOKUP(MIN(ABS($BJ$7:$BJ$29 - MEDIAN(MIN($BJ$7:$BJ$29), MAX($BJ$7:$BJ$29), AR140))), ABS($BJ$7:$BJ$29 - MEDIAN(MIN($BJ$7:$BJ$29), MAX($BJ$7:$BJ$29), AR140)), $BK$7:$BK$29, "Error", 0)</f>
        <v/>
      </c>
      <c r="AS141" s="171">
        <f>_xlfn.XLOOKUP(MIN(ABS($BJ$7:$BJ$29 - MEDIAN(MIN($BJ$7:$BJ$29), MAX($BJ$7:$BJ$29), AS140))), ABS($BJ$7:$BJ$29 - MEDIAN(MIN($BJ$7:$BJ$29), MAX($BJ$7:$BJ$29), AS140)), $BK$7:$BK$29, "Error", 0)</f>
        <v/>
      </c>
      <c r="AT141" s="171">
        <f>_xlfn.XLOOKUP(MIN(ABS($BJ$7:$BJ$29 - MEDIAN(MIN($BJ$7:$BJ$29), MAX($BJ$7:$BJ$29), AT140))), ABS($BJ$7:$BJ$29 - MEDIAN(MIN($BJ$7:$BJ$29), MAX($BJ$7:$BJ$29), AT140)), $BK$7:$BK$29, "Error", 0)</f>
        <v/>
      </c>
      <c r="AU141" s="171">
        <f>_xlfn.XLOOKUP(MIN(ABS($BJ$7:$BJ$29 - MEDIAN(MIN($BJ$7:$BJ$29), MAX($BJ$7:$BJ$29), AU140))), ABS($BJ$7:$BJ$29 - MEDIAN(MIN($BJ$7:$BJ$29), MAX($BJ$7:$BJ$29), AU140)), $BK$7:$BK$29, "Error", 0)</f>
        <v/>
      </c>
      <c r="AV141" s="206">
        <f>_xlfn.XLOOKUP(MIN(ABS($BJ$7:$BJ$29 - MEDIAN(MIN($BJ$7:$BJ$29), MAX($BJ$7:$BJ$29), AV140))), ABS($BJ$7:$BJ$29 - MEDIAN(MIN($BJ$7:$BJ$29), MAX($BJ$7:$BJ$29), AV140)), $BK$7:$BK$29, "Error", 0)</f>
        <v/>
      </c>
      <c r="AW141" s="184">
        <f>_xlfn.XLOOKUP(MIN(ABS($BJ$7:$BJ$29 - MEDIAN(MIN($BJ$7:$BJ$29), MAX($BJ$7:$BJ$29), AW140))), ABS($BJ$7:$BJ$29 - MEDIAN(MIN($BJ$7:$BJ$29), MAX($BJ$7:$BJ$29), AW140)), $BK$7:$BK$29, "Error", 0)</f>
        <v/>
      </c>
      <c r="AX141" s="184">
        <f>_xlfn.XLOOKUP(MIN(ABS($BJ$7:$BJ$29 - MEDIAN(MIN($BJ$7:$BJ$29), MAX($BJ$7:$BJ$29), AX140))), ABS($BJ$7:$BJ$29 - MEDIAN(MIN($BJ$7:$BJ$29), MAX($BJ$7:$BJ$29), AX140)), $BK$7:$BK$29, "Error", 0)</f>
        <v/>
      </c>
      <c r="AY141" s="184" t="n"/>
    </row>
    <row r="142" ht="44" customHeight="1">
      <c r="A142" s="305" t="inlineStr">
        <is>
          <t>AUD USD</t>
        </is>
      </c>
      <c r="B142" s="200" t="inlineStr">
        <is>
          <t>All time High (CL)</t>
        </is>
      </c>
      <c r="C142" s="233" t="n">
        <v>6352.358646655048</v>
      </c>
      <c r="D142" s="233" t="n">
        <v>6352.358646655048</v>
      </c>
      <c r="E142" s="233" t="n">
        <v>6352.358646655048</v>
      </c>
      <c r="F142" s="233" t="n">
        <v>6352.358646655048</v>
      </c>
      <c r="G142" s="233" t="n">
        <v>6352.358646655048</v>
      </c>
      <c r="H142" s="233" t="n">
        <v>6352.358646655048</v>
      </c>
      <c r="I142" s="233" t="n">
        <v>6352.358646655048</v>
      </c>
      <c r="J142" s="233" t="n">
        <v>6352.358646655048</v>
      </c>
      <c r="K142" s="233" t="n">
        <v>6352.358646655048</v>
      </c>
      <c r="L142" s="233" t="n">
        <v>6352.358646655048</v>
      </c>
      <c r="M142" s="233" t="n">
        <v>6352.358646655048</v>
      </c>
      <c r="N142" s="233" t="n">
        <v>6352.358646655048</v>
      </c>
      <c r="O142" s="233" t="n">
        <v>6352.358646655048</v>
      </c>
      <c r="P142" s="233" t="n">
        <v>6352.358646655048</v>
      </c>
      <c r="Q142" s="233" t="n">
        <v>6352.358646655048</v>
      </c>
      <c r="R142" s="233" t="n">
        <v>6352.358646655048</v>
      </c>
      <c r="S142" s="233" t="n">
        <v>6352.358646655048</v>
      </c>
      <c r="T142" s="233" t="n">
        <v>6352.358646655048</v>
      </c>
      <c r="U142" s="233" t="n">
        <v>6352.358646655048</v>
      </c>
      <c r="V142" s="233" t="n">
        <v>6352.358646655048</v>
      </c>
      <c r="W142" s="233" t="n">
        <v>6352.358646655048</v>
      </c>
      <c r="X142" s="233" t="n">
        <v>6352.358646655048</v>
      </c>
      <c r="Y142" s="233" t="n">
        <v>6352.358646655048</v>
      </c>
      <c r="Z142" s="233" t="n">
        <v>6352.358646655048</v>
      </c>
      <c r="AA142" s="204" t="n">
        <v>6352.358646655048</v>
      </c>
      <c r="AB142" s="204" t="n">
        <v>6352.358646655048</v>
      </c>
      <c r="AC142" s="204" t="n">
        <v>6352.358646655048</v>
      </c>
      <c r="AD142" s="204" t="n">
        <v>6352.358646655048</v>
      </c>
      <c r="AE142" s="204" t="n">
        <v>6352.358646655048</v>
      </c>
      <c r="AF142" s="204" t="n">
        <v>6352.358646655048</v>
      </c>
      <c r="AG142" s="204" t="n">
        <v>6352.358646655048</v>
      </c>
      <c r="AH142" s="204" t="n">
        <v>6352.358646655048</v>
      </c>
      <c r="AI142" s="204" t="n">
        <v>6352.358646655048</v>
      </c>
      <c r="AJ142" s="204" t="n">
        <v>6352.358646655048</v>
      </c>
      <c r="AK142" s="204" t="n">
        <v>6352.358646655048</v>
      </c>
      <c r="AL142" s="204" t="n">
        <v>6352.358646655048</v>
      </c>
      <c r="AM142" s="204" t="n">
        <v>6369.347883731127</v>
      </c>
      <c r="AN142" s="204" t="n">
        <v>6577.58757456264</v>
      </c>
      <c r="AO142" s="204" t="n">
        <v>6577.58757456264</v>
      </c>
      <c r="AP142" s="204" t="n">
        <v>6577.58757456264</v>
      </c>
      <c r="AQ142" s="204" t="n">
        <v>6577.58757456264</v>
      </c>
      <c r="AR142" s="204" t="n">
        <v>6577.58757456264</v>
      </c>
      <c r="AS142" s="204" t="n">
        <v>6577.58757456264</v>
      </c>
      <c r="AT142" s="204" t="n">
        <v>6700.131514244655</v>
      </c>
      <c r="AU142" s="204" t="n">
        <v>6700.131514244655</v>
      </c>
      <c r="AV142" s="200" t="n">
        <v>6700.131514244655</v>
      </c>
      <c r="AW142" s="184" t="n">
        <v>6700.131514244655</v>
      </c>
      <c r="AX142" s="184" t="n">
        <v>6700.131514244655</v>
      </c>
      <c r="AY142" s="184" t="n"/>
    </row>
    <row r="143" ht="22" customHeight="1">
      <c r="A143" s="303" t="n"/>
      <c r="B143" s="201" t="inlineStr">
        <is>
          <t>current price</t>
        </is>
      </c>
      <c r="C143" s="233" t="n">
        <v>5277.129397213343</v>
      </c>
      <c r="D143" s="233" t="n">
        <v>4894.340460731182</v>
      </c>
      <c r="E143" s="233" t="n">
        <v>4821.198073901702</v>
      </c>
      <c r="F143" s="233" t="n">
        <v>4836.366274511791</v>
      </c>
      <c r="G143" s="233" t="n">
        <v>4621.967452433542</v>
      </c>
      <c r="H143" s="233" t="n">
        <v>4768.376239326783</v>
      </c>
      <c r="I143" s="233" t="n">
        <v>4935.923127501825</v>
      </c>
      <c r="J143" s="233" t="n">
        <v>4732.944704290188</v>
      </c>
      <c r="K143" s="233" t="n">
        <v>4530.822310469113</v>
      </c>
      <c r="L143" s="233" t="n">
        <v>4319.984776011086</v>
      </c>
      <c r="M143" s="233" t="n">
        <v>4691.090807907749</v>
      </c>
      <c r="N143" s="233" t="n">
        <v>5181.709499428107</v>
      </c>
      <c r="O143" s="233" t="n">
        <v>5065.268893777393</v>
      </c>
      <c r="P143" s="233" t="n">
        <v>5000.075056522095</v>
      </c>
      <c r="Q143" s="233" t="n">
        <v>5147.19917334264</v>
      </c>
      <c r="R143" s="233" t="n">
        <v>5029.105218595359</v>
      </c>
      <c r="S143" s="233" t="n">
        <v>5106.45941690309</v>
      </c>
      <c r="T143" s="233" t="n">
        <v>5194.904897809029</v>
      </c>
      <c r="U143" s="233" t="n">
        <v>5293.579438339511</v>
      </c>
      <c r="V143" s="233" t="n">
        <v>5499.093601255183</v>
      </c>
      <c r="W143" s="233" t="n">
        <v>5721.698635998473</v>
      </c>
      <c r="X143" s="233" t="n">
        <v>5363.403568267822</v>
      </c>
      <c r="Y143" s="233" t="n">
        <v>5492.675520007149</v>
      </c>
      <c r="Z143" s="233" t="n">
        <v>5074.960089557455</v>
      </c>
      <c r="AA143" s="204" t="n">
        <v>5302.825984499941</v>
      </c>
      <c r="AB143" s="204" t="n">
        <v>5093.202309424669</v>
      </c>
      <c r="AC143" s="204" t="n">
        <v>4927.93531568101</v>
      </c>
      <c r="AD143" s="204" t="n">
        <v>5190.138744441618</v>
      </c>
      <c r="AE143" s="204" t="n">
        <v>5437.006522412586</v>
      </c>
      <c r="AF143" s="204" t="n">
        <v>5580.868161082035</v>
      </c>
      <c r="AG143" s="204" t="n">
        <v>5636.5887388353</v>
      </c>
      <c r="AH143" s="204" t="n">
        <v>5870.200316538569</v>
      </c>
      <c r="AI143" s="204" t="n">
        <v>5824.261270142626</v>
      </c>
      <c r="AJ143" s="204" t="n">
        <v>5825.904769230052</v>
      </c>
      <c r="AK143" s="204" t="n">
        <v>5616.39457189152</v>
      </c>
      <c r="AL143" s="204" t="n">
        <v>5836.83786540624</v>
      </c>
      <c r="AM143" s="204" t="n">
        <v>6250.321396790794</v>
      </c>
      <c r="AN143" s="204" t="n">
        <v>6532.660232088878</v>
      </c>
      <c r="AO143" s="204" t="n">
        <v>5806.556187005946</v>
      </c>
      <c r="AP143" s="204" t="n">
        <v>6179.704396084999</v>
      </c>
      <c r="AQ143" s="204" t="n">
        <v>6289.445896528952</v>
      </c>
      <c r="AR143" s="204" t="n">
        <v>6041.850979496492</v>
      </c>
      <c r="AS143" s="204" t="n">
        <v>6306.36813771649</v>
      </c>
      <c r="AT143" s="204" t="n">
        <v>6501.139437913895</v>
      </c>
      <c r="AU143" s="204" t="n">
        <v>6087.964460551739</v>
      </c>
      <c r="AV143" s="201" t="n">
        <v>6087.964460551739</v>
      </c>
      <c r="AW143" s="184" t="n">
        <v>6087.964460551739</v>
      </c>
      <c r="AX143" s="184" t="n">
        <v>6087.964460551739</v>
      </c>
      <c r="AY143" s="184" t="n"/>
    </row>
    <row r="144" ht="22" customHeight="1">
      <c r="A144" s="303" t="n"/>
      <c r="B144" s="201" t="inlineStr">
        <is>
          <t>% CHANGE</t>
        </is>
      </c>
      <c r="C144" s="230">
        <f>+(C143-C142)/C142</f>
        <v/>
      </c>
      <c r="D144" s="230">
        <f>+(D143-D142)/D142</f>
        <v/>
      </c>
      <c r="E144" s="230">
        <f>+(E143-E142)/E142</f>
        <v/>
      </c>
      <c r="F144" s="230">
        <f>+(F143-F142)/F142</f>
        <v/>
      </c>
      <c r="G144" s="230">
        <f>+(G143-G142)/G142</f>
        <v/>
      </c>
      <c r="H144" s="230">
        <f>+(H143-H142)/H142</f>
        <v/>
      </c>
      <c r="I144" s="230">
        <f>+(I143-I142)/I142</f>
        <v/>
      </c>
      <c r="J144" s="230">
        <f>+(J143-J142)/J142</f>
        <v/>
      </c>
      <c r="K144" s="230">
        <f>+(K143-K142)/K142</f>
        <v/>
      </c>
      <c r="L144" s="230">
        <f>+(L143-L142)/L142</f>
        <v/>
      </c>
      <c r="M144" s="230">
        <f>+(M143-M142)/M142</f>
        <v/>
      </c>
      <c r="N144" s="230">
        <f>+(N143-N142)/N142</f>
        <v/>
      </c>
      <c r="O144" s="230">
        <f>+(O143-O142)/O142</f>
        <v/>
      </c>
      <c r="P144" s="230">
        <f>+(P143-P142)/P142</f>
        <v/>
      </c>
      <c r="Q144" s="230">
        <f>+(Q143-Q142)/Q142</f>
        <v/>
      </c>
      <c r="R144" s="230">
        <f>+(R143-R142)/R142</f>
        <v/>
      </c>
      <c r="S144" s="230">
        <f>+(S143-S142)/S142</f>
        <v/>
      </c>
      <c r="T144" s="230">
        <f>+(T143-T142)/T142</f>
        <v/>
      </c>
      <c r="U144" s="230">
        <f>+(U143-U142)/U142</f>
        <v/>
      </c>
      <c r="V144" s="230">
        <f>+(V143-V142)/V142</f>
        <v/>
      </c>
      <c r="W144" s="230">
        <f>+(W143-W142)/W142</f>
        <v/>
      </c>
      <c r="X144" s="230">
        <f>+(X143-X142)/X142</f>
        <v/>
      </c>
      <c r="Y144" s="230">
        <f>+(Y143-Y142)/Y142</f>
        <v/>
      </c>
      <c r="Z144" s="230">
        <f>+(Z143-Z142)/Z142</f>
        <v/>
      </c>
      <c r="AA144" s="230">
        <f>+(AA143-AA142)/AA142</f>
        <v/>
      </c>
      <c r="AB144" s="205">
        <f>+(AB143-AB142)/AB142</f>
        <v/>
      </c>
      <c r="AC144" s="205">
        <f>+(AC143-AC142)/AC142</f>
        <v/>
      </c>
      <c r="AD144" s="205">
        <f>+(AD143-AD142)/AD142</f>
        <v/>
      </c>
      <c r="AE144" s="205">
        <f>+(AE143-AE142)/AE142</f>
        <v/>
      </c>
      <c r="AF144" s="205">
        <f>+(AF143-AF142)/AF142</f>
        <v/>
      </c>
      <c r="AG144" s="205">
        <f>+(AG143-AG142)/AG142</f>
        <v/>
      </c>
      <c r="AH144" s="205">
        <f>+(AH143-AH142)/AH142</f>
        <v/>
      </c>
      <c r="AI144" s="205">
        <f>+(AI143-AI142)/AI142</f>
        <v/>
      </c>
      <c r="AJ144" s="205">
        <f>+(AJ143-AJ142)/AJ142</f>
        <v/>
      </c>
      <c r="AK144" s="205">
        <f>+(AK143-AK142)/AK142</f>
        <v/>
      </c>
      <c r="AL144" s="205">
        <f>+(AL143-AL142)/AL142</f>
        <v/>
      </c>
      <c r="AM144" s="205">
        <f>+(AM143-AM142)/AM142</f>
        <v/>
      </c>
      <c r="AN144" s="205">
        <f>+(AN143-AN142)/AN142</f>
        <v/>
      </c>
      <c r="AO144" s="205">
        <f>+(AO143-AO142)/AO142</f>
        <v/>
      </c>
      <c r="AP144" s="205">
        <f>+(AP143-AP142)/AP142</f>
        <v/>
      </c>
      <c r="AQ144" s="205">
        <f>+(AQ143-AQ142)/AQ142</f>
        <v/>
      </c>
      <c r="AR144" s="205">
        <f>+(AR143-AR142)/AR142</f>
        <v/>
      </c>
      <c r="AS144" s="205">
        <f>+(AS143-AS142)/AS142</f>
        <v/>
      </c>
      <c r="AT144" s="205">
        <f>+(AT143-AT142)/AT142</f>
        <v/>
      </c>
      <c r="AU144" s="205">
        <f>+(AU143-AU142)/AU142</f>
        <v/>
      </c>
      <c r="AV144" s="201">
        <f>+(AV143-AV142)/AV142</f>
        <v/>
      </c>
      <c r="AW144" s="184">
        <f>+(AW143-AW142)/AW142</f>
        <v/>
      </c>
      <c r="AX144" s="184">
        <f>+(AX143-AX142)/AX142</f>
        <v/>
      </c>
      <c r="AY144" s="184" t="n"/>
    </row>
    <row r="145" ht="44" customHeight="1">
      <c r="A145" s="303" t="n"/>
      <c r="B145" s="201" t="inlineStr">
        <is>
          <t>All time High ASX200</t>
        </is>
      </c>
      <c r="C145" s="233" t="n">
        <v>7632.7998046875</v>
      </c>
      <c r="D145" s="233" t="n">
        <v>7632.7998046875</v>
      </c>
      <c r="E145" s="233" t="n">
        <v>7632.7998046875</v>
      </c>
      <c r="F145" s="233" t="n">
        <v>7632.7998046875</v>
      </c>
      <c r="G145" s="233" t="n">
        <v>7632.7998046875</v>
      </c>
      <c r="H145" s="233" t="n">
        <v>7632.7998046875</v>
      </c>
      <c r="I145" s="233" t="n">
        <v>7632.7998046875</v>
      </c>
      <c r="J145" s="233" t="n">
        <v>7632.7998046875</v>
      </c>
      <c r="K145" s="233" t="n">
        <v>7632.7998046875</v>
      </c>
      <c r="L145" s="233" t="n">
        <v>7632.7998046875</v>
      </c>
      <c r="M145" s="233" t="n">
        <v>7632.7998046875</v>
      </c>
      <c r="N145" s="233" t="n">
        <v>7632.7998046875</v>
      </c>
      <c r="O145" s="233" t="n">
        <v>7682.2998046875</v>
      </c>
      <c r="P145" s="233" t="n">
        <v>7703.7998046875</v>
      </c>
      <c r="Q145" s="233" t="n">
        <v>7901.2001953125</v>
      </c>
      <c r="R145" s="233" t="n">
        <v>7901.2001953125</v>
      </c>
      <c r="S145" s="233" t="n">
        <v>7901.2001953125</v>
      </c>
      <c r="T145" s="233" t="n">
        <v>7901.2001953125</v>
      </c>
      <c r="U145" s="233" t="n">
        <v>8092.2998046875</v>
      </c>
      <c r="V145" s="233" t="n">
        <v>8092.2998046875</v>
      </c>
      <c r="W145" s="233" t="n">
        <v>8285.7001953125</v>
      </c>
      <c r="X145" s="233" t="n">
        <v>8285.7001953125</v>
      </c>
      <c r="Y145" s="233" t="n">
        <v>8477.099609375</v>
      </c>
      <c r="Z145" s="233" t="n">
        <v>8477.099609375</v>
      </c>
      <c r="AA145" s="231" t="n">
        <v>8566.900390625</v>
      </c>
      <c r="AB145" s="203" t="n">
        <v>8566.900390625</v>
      </c>
      <c r="AC145" s="203" t="n">
        <v>8566.900390625</v>
      </c>
      <c r="AD145" s="203" t="n">
        <v>8566.900390625</v>
      </c>
      <c r="AE145" s="203" t="n">
        <v>8566.900390625</v>
      </c>
      <c r="AF145" s="203" t="n">
        <v>8639.099609375</v>
      </c>
      <c r="AG145" s="203" t="n">
        <v>8776.400390625</v>
      </c>
      <c r="AH145" s="203" t="n">
        <v>9054.5</v>
      </c>
      <c r="AI145" s="203" t="n">
        <v>9054.5</v>
      </c>
      <c r="AJ145" s="203" t="n">
        <v>9115.2001953125</v>
      </c>
      <c r="AK145" s="203" t="n">
        <v>9115.2001953125</v>
      </c>
      <c r="AL145" s="203" t="n">
        <v>9115.2001953125</v>
      </c>
      <c r="AM145" s="203" t="n">
        <v>9115.2001953125</v>
      </c>
      <c r="AN145" s="203" t="n">
        <v>9202.900390625</v>
      </c>
      <c r="AO145" s="203" t="n">
        <v>9202.900390625</v>
      </c>
      <c r="AP145" s="203" t="n">
        <v>9202.900390625</v>
      </c>
      <c r="AQ145" s="203" t="n">
        <v>9202.900390625</v>
      </c>
      <c r="AR145" s="203" t="n">
        <v>9202.900390625</v>
      </c>
      <c r="AS145" s="203" t="n">
        <v>9202.900390625</v>
      </c>
      <c r="AT145" s="203" t="n">
        <v>9296.7001953125</v>
      </c>
      <c r="AU145" s="203" t="n">
        <v>9296.7001953125</v>
      </c>
      <c r="AV145" s="201" t="n">
        <v>9296.7001953125</v>
      </c>
      <c r="AW145" s="184" t="n">
        <v>9296.7001953125</v>
      </c>
      <c r="AX145" s="184" t="n">
        <v>9296.7001953125</v>
      </c>
      <c r="AY145" s="184" t="n"/>
    </row>
    <row r="146" ht="44" customHeight="1">
      <c r="A146" s="303" t="n"/>
      <c r="B146" s="201" t="inlineStr">
        <is>
          <t>current price ASX200</t>
        </is>
      </c>
      <c r="C146" s="233" t="n">
        <v>7476.7001953125</v>
      </c>
      <c r="D146" s="233" t="n">
        <v>7258.39990234375</v>
      </c>
      <c r="E146" s="233" t="n">
        <v>7177.7998046875</v>
      </c>
      <c r="F146" s="233" t="n">
        <v>7309.2001953125</v>
      </c>
      <c r="G146" s="233" t="n">
        <v>7091.2998046875</v>
      </c>
      <c r="H146" s="233" t="n">
        <v>7203.2998046875</v>
      </c>
      <c r="I146" s="233" t="n">
        <v>7410.39990234375</v>
      </c>
      <c r="J146" s="233" t="n">
        <v>7305.2998046875</v>
      </c>
      <c r="K146" s="233" t="n">
        <v>7048.60009765625</v>
      </c>
      <c r="L146" s="233" t="n">
        <v>6780.7001953125</v>
      </c>
      <c r="M146" s="233" t="n">
        <v>7087.2998046875</v>
      </c>
      <c r="N146" s="233" t="n">
        <v>7590.7998046875</v>
      </c>
      <c r="O146" s="233" t="n">
        <v>7680.7001953125</v>
      </c>
      <c r="P146" s="233" t="n">
        <v>7698.7001953125</v>
      </c>
      <c r="Q146" s="233" t="n">
        <v>7896.89990234375</v>
      </c>
      <c r="R146" s="233" t="n">
        <v>7664.10009765625</v>
      </c>
      <c r="S146" s="233" t="n">
        <v>7701.7001953125</v>
      </c>
      <c r="T146" s="233" t="n">
        <v>7767.5</v>
      </c>
      <c r="U146" s="233" t="n">
        <v>8092.2998046875</v>
      </c>
      <c r="V146" s="233" t="n">
        <v>8091.89990234375</v>
      </c>
      <c r="W146" s="233" t="n">
        <v>8269.7998046875</v>
      </c>
      <c r="X146" s="233" t="n">
        <v>8160</v>
      </c>
      <c r="Y146" s="233" t="n">
        <v>8436.2001953125</v>
      </c>
      <c r="Z146" s="233" t="n">
        <v>8159.10009765625</v>
      </c>
      <c r="AA146" s="231" t="n">
        <v>8532.2998046875</v>
      </c>
      <c r="AB146" s="203" t="n">
        <v>8172.39990234375</v>
      </c>
      <c r="AC146" s="203" t="n">
        <v>7843.39990234375</v>
      </c>
      <c r="AD146" s="203" t="n">
        <v>8126.2001953125</v>
      </c>
      <c r="AE146" s="203" t="n">
        <v>8434.7001953125</v>
      </c>
      <c r="AF146" s="203" t="n">
        <v>8542.2998046875</v>
      </c>
      <c r="AG146" s="203" t="n">
        <v>8742.7998046875</v>
      </c>
      <c r="AH146" s="203" t="n">
        <v>8973.099609375</v>
      </c>
      <c r="AI146" s="203" t="n">
        <v>8848.7998046875</v>
      </c>
      <c r="AJ146" s="203" t="n">
        <v>8881.900390625</v>
      </c>
      <c r="AK146" s="203" t="n">
        <v>8614.099609375</v>
      </c>
      <c r="AL146" s="203" t="n">
        <v>8714.2998046875</v>
      </c>
      <c r="AM146" s="203" t="n">
        <v>8869.099609375</v>
      </c>
      <c r="AN146" s="203" t="n">
        <v>9198.599609375</v>
      </c>
      <c r="AO146" s="203" t="n">
        <v>8481.7998046875</v>
      </c>
      <c r="AP146" s="203" t="n">
        <v>8665.7998046875</v>
      </c>
      <c r="AQ146" s="203" t="n">
        <v>8731.7001953125</v>
      </c>
      <c r="AR146" s="203" t="n">
        <v>8778.7001953125</v>
      </c>
      <c r="AS146" s="203" t="n">
        <v>8976.7998046875</v>
      </c>
      <c r="AT146" s="203" t="n">
        <v>9076</v>
      </c>
      <c r="AU146" s="203" t="n">
        <v>8665</v>
      </c>
      <c r="AV146" s="201" t="n">
        <v>8665</v>
      </c>
      <c r="AW146" s="184" t="n">
        <v>8665</v>
      </c>
      <c r="AX146" s="184" t="n">
        <v>8665</v>
      </c>
      <c r="AY146" s="184" t="n"/>
    </row>
    <row r="147" ht="44" customHeight="1">
      <c r="A147" s="303" t="n"/>
      <c r="B147" s="201" t="inlineStr">
        <is>
          <t>original index % change</t>
        </is>
      </c>
      <c r="C147" s="230">
        <f>+(C146-C145)/C145</f>
        <v/>
      </c>
      <c r="D147" s="230">
        <f>+(D146-D145)/D145</f>
        <v/>
      </c>
      <c r="E147" s="230">
        <f>+(E146-E145)/E145</f>
        <v/>
      </c>
      <c r="F147" s="230">
        <f>+(F146-F145)/F145</f>
        <v/>
      </c>
      <c r="G147" s="230">
        <f>+(G146-G145)/G145</f>
        <v/>
      </c>
      <c r="H147" s="230">
        <f>+(H146-H145)/H145</f>
        <v/>
      </c>
      <c r="I147" s="230">
        <f>+(I146-I145)/I145</f>
        <v/>
      </c>
      <c r="J147" s="230">
        <f>+(J146-J145)/J145</f>
        <v/>
      </c>
      <c r="K147" s="230">
        <f>+(K146-K145)/K145</f>
        <v/>
      </c>
      <c r="L147" s="230">
        <f>+(L146-L145)/L145</f>
        <v/>
      </c>
      <c r="M147" s="230">
        <f>+(M146-M145)/M145</f>
        <v/>
      </c>
      <c r="N147" s="230">
        <f>+(N146-N145)/N145</f>
        <v/>
      </c>
      <c r="O147" s="230">
        <f>+(O146-O145)/O145</f>
        <v/>
      </c>
      <c r="P147" s="230">
        <f>+(P146-P145)/P145</f>
        <v/>
      </c>
      <c r="Q147" s="230">
        <f>+(Q146-Q145)/Q145</f>
        <v/>
      </c>
      <c r="R147" s="230">
        <f>+(R146-R145)/R145</f>
        <v/>
      </c>
      <c r="S147" s="230">
        <f>+(S146-S145)/S145</f>
        <v/>
      </c>
      <c r="T147" s="230">
        <f>+(T146-T145)/T145</f>
        <v/>
      </c>
      <c r="U147" s="230">
        <f>+(U146-U145)/U145</f>
        <v/>
      </c>
      <c r="V147" s="230">
        <f>+(V146-V145)/V145</f>
        <v/>
      </c>
      <c r="W147" s="230">
        <f>+(W146-W145)/W145</f>
        <v/>
      </c>
      <c r="X147" s="230">
        <f>+(X146-X145)/X145</f>
        <v/>
      </c>
      <c r="Y147" s="230">
        <f>+(Y146-Y145)/Y145</f>
        <v/>
      </c>
      <c r="Z147" s="230">
        <f>+(Z146-Z145)/Z145</f>
        <v/>
      </c>
      <c r="AA147" s="230">
        <f>+(AA146-AA145)/AA145</f>
        <v/>
      </c>
      <c r="AB147" s="205">
        <f>+(AB146-AB145)/AB145</f>
        <v/>
      </c>
      <c r="AC147" s="205">
        <f>+(AC146-AC145)/AC145</f>
        <v/>
      </c>
      <c r="AD147" s="205">
        <f>+(AD146-AD145)/AD145</f>
        <v/>
      </c>
      <c r="AE147" s="205">
        <f>+(AE146-AE145)/AE145</f>
        <v/>
      </c>
      <c r="AF147" s="205">
        <f>+(AF146-AF145)/AF145</f>
        <v/>
      </c>
      <c r="AG147" s="205">
        <f>+(AG146-AG145)/AG145</f>
        <v/>
      </c>
      <c r="AH147" s="205">
        <f>+(AH146-AH145)/AH145</f>
        <v/>
      </c>
      <c r="AI147" s="205">
        <f>+(AI146-AI145)/AI145</f>
        <v/>
      </c>
      <c r="AJ147" s="205">
        <f>+(AJ146-AJ145)/AJ145</f>
        <v/>
      </c>
      <c r="AK147" s="205">
        <f>+(AK146-AK145)/AK145</f>
        <v/>
      </c>
      <c r="AL147" s="205">
        <f>+(AL146-AL145)/AL145</f>
        <v/>
      </c>
      <c r="AM147" s="205">
        <f>+(AM146-AM145)/AM145</f>
        <v/>
      </c>
      <c r="AN147" s="205">
        <f>+(AN146-AN145)/AN145</f>
        <v/>
      </c>
      <c r="AO147" s="205">
        <f>+(AO146-AO145)/AO145</f>
        <v/>
      </c>
      <c r="AP147" s="205">
        <f>+(AP146-AP145)/AP145</f>
        <v/>
      </c>
      <c r="AQ147" s="205">
        <f>+(AQ146-AQ145)/AQ145</f>
        <v/>
      </c>
      <c r="AR147" s="205">
        <f>+(AR146-AR145)/AR145</f>
        <v/>
      </c>
      <c r="AS147" s="205">
        <f>+(AS146-AS145)/AS145</f>
        <v/>
      </c>
      <c r="AT147" s="205">
        <f>+(AT146-AT145)/AT145</f>
        <v/>
      </c>
      <c r="AU147" s="205">
        <f>+(AU146-AU145)/AU145</f>
        <v/>
      </c>
      <c r="AV147" s="201">
        <f>+(AV146-AV145)/AV145</f>
        <v/>
      </c>
      <c r="AW147" s="184">
        <f>+(AW146-AW145)/AW145</f>
        <v/>
      </c>
      <c r="AX147" s="184">
        <f>+(AX146-AX145)/AX145</f>
        <v/>
      </c>
      <c r="AY147" s="184" t="n"/>
    </row>
    <row r="148" ht="22" customHeight="1">
      <c r="A148" s="303" t="n"/>
      <c r="B148" s="201" t="inlineStr">
        <is>
          <t>real % change</t>
        </is>
      </c>
      <c r="C148" s="230">
        <f>+C144-C147</f>
        <v/>
      </c>
      <c r="D148" s="230">
        <f>+D144-D147</f>
        <v/>
      </c>
      <c r="E148" s="230">
        <f>+E144-E147</f>
        <v/>
      </c>
      <c r="F148" s="230">
        <f>+F144-F147</f>
        <v/>
      </c>
      <c r="G148" s="230">
        <f>+G144-G147</f>
        <v/>
      </c>
      <c r="H148" s="230">
        <f>+H144-H147</f>
        <v/>
      </c>
      <c r="I148" s="230">
        <f>+I144-I147</f>
        <v/>
      </c>
      <c r="J148" s="230">
        <f>+J144-J147</f>
        <v/>
      </c>
      <c r="K148" s="230">
        <f>+K144-K147</f>
        <v/>
      </c>
      <c r="L148" s="230">
        <f>+L144-L147</f>
        <v/>
      </c>
      <c r="M148" s="230">
        <f>+M144-M147</f>
        <v/>
      </c>
      <c r="N148" s="230">
        <f>+N144-N147</f>
        <v/>
      </c>
      <c r="O148" s="230">
        <f>+O144-O147</f>
        <v/>
      </c>
      <c r="P148" s="230">
        <f>+P144-P147</f>
        <v/>
      </c>
      <c r="Q148" s="230">
        <f>+Q144-Q147</f>
        <v/>
      </c>
      <c r="R148" s="230">
        <f>+R144-R147</f>
        <v/>
      </c>
      <c r="S148" s="230">
        <f>+S144-S147</f>
        <v/>
      </c>
      <c r="T148" s="230">
        <f>+T144-T147</f>
        <v/>
      </c>
      <c r="U148" s="230">
        <f>+U144-U147</f>
        <v/>
      </c>
      <c r="V148" s="230">
        <f>+V144-V147</f>
        <v/>
      </c>
      <c r="W148" s="230">
        <f>+W144-W147</f>
        <v/>
      </c>
      <c r="X148" s="230">
        <f>+X144-X147</f>
        <v/>
      </c>
      <c r="Y148" s="230">
        <f>+Y144-Y147</f>
        <v/>
      </c>
      <c r="Z148" s="230">
        <f>+Z144-Z147</f>
        <v/>
      </c>
      <c r="AA148" s="230">
        <f>+AA144-AA147</f>
        <v/>
      </c>
      <c r="AB148" s="205">
        <f>+AB144-AB147</f>
        <v/>
      </c>
      <c r="AC148" s="205">
        <f>+AC144-AC147</f>
        <v/>
      </c>
      <c r="AD148" s="205">
        <f>+AD144-AD147</f>
        <v/>
      </c>
      <c r="AE148" s="205">
        <f>+AE144-AE147</f>
        <v/>
      </c>
      <c r="AF148" s="205">
        <f>+AF144-AF147</f>
        <v/>
      </c>
      <c r="AG148" s="205">
        <f>+AG144-AG147</f>
        <v/>
      </c>
      <c r="AH148" s="205">
        <f>+AH144-AH147</f>
        <v/>
      </c>
      <c r="AI148" s="205">
        <f>+AI144-AI147</f>
        <v/>
      </c>
      <c r="AJ148" s="205">
        <f>+AJ144-AJ147</f>
        <v/>
      </c>
      <c r="AK148" s="205">
        <f>+AK144-AK147</f>
        <v/>
      </c>
      <c r="AL148" s="205">
        <f>+AL144-AL147</f>
        <v/>
      </c>
      <c r="AM148" s="205">
        <f>+AM144-AM147</f>
        <v/>
      </c>
      <c r="AN148" s="205">
        <f>+AN144-AN147</f>
        <v/>
      </c>
      <c r="AO148" s="205">
        <f>+AO144-AO147</f>
        <v/>
      </c>
      <c r="AP148" s="205">
        <f>+AP144-AP147</f>
        <v/>
      </c>
      <c r="AQ148" s="205">
        <f>+AQ144-AQ147</f>
        <v/>
      </c>
      <c r="AR148" s="205">
        <f>+AR144-AR147</f>
        <v/>
      </c>
      <c r="AS148" s="205">
        <f>+AS144-AS147</f>
        <v/>
      </c>
      <c r="AT148" s="205">
        <f>+AT144-AT147</f>
        <v/>
      </c>
      <c r="AU148" s="205">
        <f>+AU144-AU147</f>
        <v/>
      </c>
      <c r="AV148" s="201">
        <f>+AV144-AV147</f>
        <v/>
      </c>
      <c r="AW148" s="184">
        <f>+AW144-AW147</f>
        <v/>
      </c>
      <c r="AX148" s="184">
        <f>+AX144-AX147</f>
        <v/>
      </c>
      <c r="AY148" s="184" t="n"/>
    </row>
    <row r="149" ht="22" customHeight="1">
      <c r="A149" s="304" t="n"/>
      <c r="B149" s="206" t="inlineStr">
        <is>
          <t>Rating</t>
        </is>
      </c>
      <c r="C149" s="232">
        <f>_xlfn.XLOOKUP(MIN(ABS($BJ$7:$BJ$29 - MEDIAN(MIN($BJ$7:$BJ$29), MAX($BJ$7:$BJ$29), C148))), ABS($BJ$7:$BJ$29 - MEDIAN(MIN($BJ$7:$BJ$29), MAX($BJ$7:$BJ$29), C148)), $BK$7:$BK$29, "Error", 0)</f>
        <v/>
      </c>
      <c r="D149" s="232">
        <f>_xlfn.XLOOKUP(MIN(ABS($BJ$7:$BJ$29 - MEDIAN(MIN($BJ$7:$BJ$29), MAX($BJ$7:$BJ$29), D148))), ABS($BJ$7:$BJ$29 - MEDIAN(MIN($BJ$7:$BJ$29), MAX($BJ$7:$BJ$29), D148)), $BK$7:$BK$29, "Error", 0)</f>
        <v/>
      </c>
      <c r="E149" s="232">
        <f>_xlfn.XLOOKUP(MIN(ABS($BJ$7:$BJ$29 - MEDIAN(MIN($BJ$7:$BJ$29), MAX($BJ$7:$BJ$29), E148))), ABS($BJ$7:$BJ$29 - MEDIAN(MIN($BJ$7:$BJ$29), MAX($BJ$7:$BJ$29), E148)), $BK$7:$BK$29, "Error", 0)</f>
        <v/>
      </c>
      <c r="F149" s="232">
        <f>_xlfn.XLOOKUP(MIN(ABS($BJ$7:$BJ$29 - MEDIAN(MIN($BJ$7:$BJ$29), MAX($BJ$7:$BJ$29), F148))), ABS($BJ$7:$BJ$29 - MEDIAN(MIN($BJ$7:$BJ$29), MAX($BJ$7:$BJ$29), F148)), $BK$7:$BK$29, "Error", 0)</f>
        <v/>
      </c>
      <c r="G149" s="232">
        <f>_xlfn.XLOOKUP(MIN(ABS($BJ$7:$BJ$29 - MEDIAN(MIN($BJ$7:$BJ$29), MAX($BJ$7:$BJ$29), G148))), ABS($BJ$7:$BJ$29 - MEDIAN(MIN($BJ$7:$BJ$29), MAX($BJ$7:$BJ$29), G148)), $BK$7:$BK$29, "Error", 0)</f>
        <v/>
      </c>
      <c r="H149" s="232">
        <f>_xlfn.XLOOKUP(MIN(ABS($BJ$7:$BJ$29 - MEDIAN(MIN($BJ$7:$BJ$29), MAX($BJ$7:$BJ$29), H148))), ABS($BJ$7:$BJ$29 - MEDIAN(MIN($BJ$7:$BJ$29), MAX($BJ$7:$BJ$29), H148)), $BK$7:$BK$29, "Error", 0)</f>
        <v/>
      </c>
      <c r="I149" s="232">
        <f>_xlfn.XLOOKUP(MIN(ABS($BJ$7:$BJ$29 - MEDIAN(MIN($BJ$7:$BJ$29), MAX($BJ$7:$BJ$29), I148))), ABS($BJ$7:$BJ$29 - MEDIAN(MIN($BJ$7:$BJ$29), MAX($BJ$7:$BJ$29), I148)), $BK$7:$BK$29, "Error", 0)</f>
        <v/>
      </c>
      <c r="J149" s="232">
        <f>_xlfn.XLOOKUP(MIN(ABS($BJ$7:$BJ$29 - MEDIAN(MIN($BJ$7:$BJ$29), MAX($BJ$7:$BJ$29), J148))), ABS($BJ$7:$BJ$29 - MEDIAN(MIN($BJ$7:$BJ$29), MAX($BJ$7:$BJ$29), J148)), $BK$7:$BK$29, "Error", 0)</f>
        <v/>
      </c>
      <c r="K149" s="232">
        <f>_xlfn.XLOOKUP(MIN(ABS($BJ$7:$BJ$29 - MEDIAN(MIN($BJ$7:$BJ$29), MAX($BJ$7:$BJ$29), K148))), ABS($BJ$7:$BJ$29 - MEDIAN(MIN($BJ$7:$BJ$29), MAX($BJ$7:$BJ$29), K148)), $BK$7:$BK$29, "Error", 0)</f>
        <v/>
      </c>
      <c r="L149" s="232">
        <f>_xlfn.XLOOKUP(MIN(ABS($BJ$7:$BJ$29 - MEDIAN(MIN($BJ$7:$BJ$29), MAX($BJ$7:$BJ$29), L148))), ABS($BJ$7:$BJ$29 - MEDIAN(MIN($BJ$7:$BJ$29), MAX($BJ$7:$BJ$29), L148)), $BK$7:$BK$29, "Error", 0)</f>
        <v/>
      </c>
      <c r="M149" s="232">
        <f>_xlfn.XLOOKUP(MIN(ABS($BJ$7:$BJ$29 - MEDIAN(MIN($BJ$7:$BJ$29), MAX($BJ$7:$BJ$29), M148))), ABS($BJ$7:$BJ$29 - MEDIAN(MIN($BJ$7:$BJ$29), MAX($BJ$7:$BJ$29), M148)), $BK$7:$BK$29, "Error", 0)</f>
        <v/>
      </c>
      <c r="N149" s="232">
        <f>_xlfn.XLOOKUP(MIN(ABS($BJ$7:$BJ$29 - MEDIAN(MIN($BJ$7:$BJ$29), MAX($BJ$7:$BJ$29), N148))), ABS($BJ$7:$BJ$29 - MEDIAN(MIN($BJ$7:$BJ$29), MAX($BJ$7:$BJ$29), N148)), $BK$7:$BK$29, "Error", 0)</f>
        <v/>
      </c>
      <c r="O149" s="232">
        <f>_xlfn.XLOOKUP(MIN(ABS($BJ$7:$BJ$29 - MEDIAN(MIN($BJ$7:$BJ$29), MAX($BJ$7:$BJ$29), O148))), ABS($BJ$7:$BJ$29 - MEDIAN(MIN($BJ$7:$BJ$29), MAX($BJ$7:$BJ$29), O148)), $BK$7:$BK$29, "Error", 0)</f>
        <v/>
      </c>
      <c r="P149" s="232">
        <f>_xlfn.XLOOKUP(MIN(ABS($BJ$7:$BJ$29 - MEDIAN(MIN($BJ$7:$BJ$29), MAX($BJ$7:$BJ$29), P148))), ABS($BJ$7:$BJ$29 - MEDIAN(MIN($BJ$7:$BJ$29), MAX($BJ$7:$BJ$29), P148)), $BK$7:$BK$29, "Error", 0)</f>
        <v/>
      </c>
      <c r="Q149" s="232">
        <f>_xlfn.XLOOKUP(MIN(ABS($BJ$7:$BJ$29 - MEDIAN(MIN($BJ$7:$BJ$29), MAX($BJ$7:$BJ$29), Q148))), ABS($BJ$7:$BJ$29 - MEDIAN(MIN($BJ$7:$BJ$29), MAX($BJ$7:$BJ$29), Q148)), $BK$7:$BK$29, "Error", 0)</f>
        <v/>
      </c>
      <c r="R149" s="232">
        <f>_xlfn.XLOOKUP(MIN(ABS($BJ$7:$BJ$29 - MEDIAN(MIN($BJ$7:$BJ$29), MAX($BJ$7:$BJ$29), R148))), ABS($BJ$7:$BJ$29 - MEDIAN(MIN($BJ$7:$BJ$29), MAX($BJ$7:$BJ$29), R148)), $BK$7:$BK$29, "Error", 0)</f>
        <v/>
      </c>
      <c r="S149" s="232">
        <f>_xlfn.XLOOKUP(MIN(ABS($BJ$7:$BJ$29 - MEDIAN(MIN($BJ$7:$BJ$29), MAX($BJ$7:$BJ$29), S148))), ABS($BJ$7:$BJ$29 - MEDIAN(MIN($BJ$7:$BJ$29), MAX($BJ$7:$BJ$29), S148)), $BK$7:$BK$29, "Error", 0)</f>
        <v/>
      </c>
      <c r="T149" s="232">
        <f>_xlfn.XLOOKUP(MIN(ABS($BJ$7:$BJ$29 - MEDIAN(MIN($BJ$7:$BJ$29), MAX($BJ$7:$BJ$29), T148))), ABS($BJ$7:$BJ$29 - MEDIAN(MIN($BJ$7:$BJ$29), MAX($BJ$7:$BJ$29), T148)), $BK$7:$BK$29, "Error", 0)</f>
        <v/>
      </c>
      <c r="U149" s="232">
        <f>_xlfn.XLOOKUP(MIN(ABS($BJ$7:$BJ$29 - MEDIAN(MIN($BJ$7:$BJ$29), MAX($BJ$7:$BJ$29), U148))), ABS($BJ$7:$BJ$29 - MEDIAN(MIN($BJ$7:$BJ$29), MAX($BJ$7:$BJ$29), U148)), $BK$7:$BK$29, "Error", 0)</f>
        <v/>
      </c>
      <c r="V149" s="232">
        <f>_xlfn.XLOOKUP(MIN(ABS($BJ$7:$BJ$29 - MEDIAN(MIN($BJ$7:$BJ$29), MAX($BJ$7:$BJ$29), V148))), ABS($BJ$7:$BJ$29 - MEDIAN(MIN($BJ$7:$BJ$29), MAX($BJ$7:$BJ$29), V148)), $BK$7:$BK$29, "Error", 0)</f>
        <v/>
      </c>
      <c r="W149" s="232">
        <f>_xlfn.XLOOKUP(MIN(ABS($BJ$7:$BJ$29 - MEDIAN(MIN($BJ$7:$BJ$29), MAX($BJ$7:$BJ$29), W148))), ABS($BJ$7:$BJ$29 - MEDIAN(MIN($BJ$7:$BJ$29), MAX($BJ$7:$BJ$29), W148)), $BK$7:$BK$29, "Error", 0)</f>
        <v/>
      </c>
      <c r="X149" s="232">
        <f>_xlfn.XLOOKUP(MIN(ABS($BJ$7:$BJ$29 - MEDIAN(MIN($BJ$7:$BJ$29), MAX($BJ$7:$BJ$29), X148))), ABS($BJ$7:$BJ$29 - MEDIAN(MIN($BJ$7:$BJ$29), MAX($BJ$7:$BJ$29), X148)), $BK$7:$BK$29, "Error", 0)</f>
        <v/>
      </c>
      <c r="Y149" s="232">
        <f>_xlfn.XLOOKUP(MIN(ABS($BJ$7:$BJ$29 - MEDIAN(MIN($BJ$7:$BJ$29), MAX($BJ$7:$BJ$29), Y148))), ABS($BJ$7:$BJ$29 - MEDIAN(MIN($BJ$7:$BJ$29), MAX($BJ$7:$BJ$29), Y148)), $BK$7:$BK$29, "Error", 0)</f>
        <v/>
      </c>
      <c r="Z149" s="232">
        <f>_xlfn.XLOOKUP(MIN(ABS($BJ$7:$BJ$29 - MEDIAN(MIN($BJ$7:$BJ$29), MAX($BJ$7:$BJ$29), Z148))), ABS($BJ$7:$BJ$29 - MEDIAN(MIN($BJ$7:$BJ$29), MAX($BJ$7:$BJ$29), Z148)), $BK$7:$BK$29, "Error", 0)</f>
        <v/>
      </c>
      <c r="AA149" s="232">
        <f>_xlfn.XLOOKUP(MIN(ABS($BJ$7:$BJ$29 - MEDIAN(MIN($BJ$7:$BJ$29), MAX($BJ$7:$BJ$29), AA148))), ABS($BJ$7:$BJ$29 - MEDIAN(MIN($BJ$7:$BJ$29), MAX($BJ$7:$BJ$29), AA148)), $BK$7:$BK$29, "Error", 0)</f>
        <v/>
      </c>
      <c r="AB149" s="171">
        <f>_xlfn.XLOOKUP(MIN(ABS($BJ$7:$BJ$29 - MEDIAN(MIN($BJ$7:$BJ$29), MAX($BJ$7:$BJ$29), AB148))), ABS($BJ$7:$BJ$29 - MEDIAN(MIN($BJ$7:$BJ$29), MAX($BJ$7:$BJ$29), AB148)), $BK$7:$BK$29, "Error", 0)</f>
        <v/>
      </c>
      <c r="AC149" s="171">
        <f>_xlfn.XLOOKUP(MIN(ABS($BJ$7:$BJ$29 - MEDIAN(MIN($BJ$7:$BJ$29), MAX($BJ$7:$BJ$29), AC148))), ABS($BJ$7:$BJ$29 - MEDIAN(MIN($BJ$7:$BJ$29), MAX($BJ$7:$BJ$29), AC148)), $BK$7:$BK$29, "Error", 0)</f>
        <v/>
      </c>
      <c r="AD149" s="171">
        <f>_xlfn.XLOOKUP(MIN(ABS($BJ$7:$BJ$29 - MEDIAN(MIN($BJ$7:$BJ$29), MAX($BJ$7:$BJ$29), AD148))), ABS($BJ$7:$BJ$29 - MEDIAN(MIN($BJ$7:$BJ$29), MAX($BJ$7:$BJ$29), AD148)), $BK$7:$BK$29, "Error", 0)</f>
        <v/>
      </c>
      <c r="AE149" s="171">
        <f>_xlfn.XLOOKUP(MIN(ABS($BJ$7:$BJ$29 - MEDIAN(MIN($BJ$7:$BJ$29), MAX($BJ$7:$BJ$29), AE148))), ABS($BJ$7:$BJ$29 - MEDIAN(MIN($BJ$7:$BJ$29), MAX($BJ$7:$BJ$29), AE148)), $BK$7:$BK$29, "Error", 0)</f>
        <v/>
      </c>
      <c r="AF149" s="171">
        <f>_xlfn.XLOOKUP(MIN(ABS($BJ$7:$BJ$29 - MEDIAN(MIN($BJ$7:$BJ$29), MAX($BJ$7:$BJ$29), AF148))), ABS($BJ$7:$BJ$29 - MEDIAN(MIN($BJ$7:$BJ$29), MAX($BJ$7:$BJ$29), AF148)), $BK$7:$BK$29, "Error", 0)</f>
        <v/>
      </c>
      <c r="AG149" s="171">
        <f>_xlfn.XLOOKUP(MIN(ABS($BJ$7:$BJ$29 - MEDIAN(MIN($BJ$7:$BJ$29), MAX($BJ$7:$BJ$29), AG148))), ABS($BJ$7:$BJ$29 - MEDIAN(MIN($BJ$7:$BJ$29), MAX($BJ$7:$BJ$29), AG148)), $BK$7:$BK$29, "Error", 0)</f>
        <v/>
      </c>
      <c r="AH149" s="171">
        <f>_xlfn.XLOOKUP(MIN(ABS($BJ$7:$BJ$29 - MEDIAN(MIN($BJ$7:$BJ$29), MAX($BJ$7:$BJ$29), AH148))), ABS($BJ$7:$BJ$29 - MEDIAN(MIN($BJ$7:$BJ$29), MAX($BJ$7:$BJ$29), AH148)), $BK$7:$BK$29, "Error", 0)</f>
        <v/>
      </c>
      <c r="AI149" s="171">
        <f>_xlfn.XLOOKUP(MIN(ABS($BJ$7:$BJ$29 - MEDIAN(MIN($BJ$7:$BJ$29), MAX($BJ$7:$BJ$29), AI148))), ABS($BJ$7:$BJ$29 - MEDIAN(MIN($BJ$7:$BJ$29), MAX($BJ$7:$BJ$29), AI148)), $BK$7:$BK$29, "Error", 0)</f>
        <v/>
      </c>
      <c r="AJ149" s="171">
        <f>_xlfn.XLOOKUP(MIN(ABS($BJ$7:$BJ$29 - MEDIAN(MIN($BJ$7:$BJ$29), MAX($BJ$7:$BJ$29), AJ148))), ABS($BJ$7:$BJ$29 - MEDIAN(MIN($BJ$7:$BJ$29), MAX($BJ$7:$BJ$29), AJ148)), $BK$7:$BK$29, "Error", 0)</f>
        <v/>
      </c>
      <c r="AK149" s="171">
        <f>_xlfn.XLOOKUP(MIN(ABS($BJ$7:$BJ$29 - MEDIAN(MIN($BJ$7:$BJ$29), MAX($BJ$7:$BJ$29), AK148))), ABS($BJ$7:$BJ$29 - MEDIAN(MIN($BJ$7:$BJ$29), MAX($BJ$7:$BJ$29), AK148)), $BK$7:$BK$29, "Error", 0)</f>
        <v/>
      </c>
      <c r="AL149" s="171">
        <f>_xlfn.XLOOKUP(MIN(ABS($BJ$7:$BJ$29 - MEDIAN(MIN($BJ$7:$BJ$29), MAX($BJ$7:$BJ$29), AL148))), ABS($BJ$7:$BJ$29 - MEDIAN(MIN($BJ$7:$BJ$29), MAX($BJ$7:$BJ$29), AL148)), $BK$7:$BK$29, "Error", 0)</f>
        <v/>
      </c>
      <c r="AM149" s="171">
        <f>_xlfn.XLOOKUP(MIN(ABS($BJ$7:$BJ$29 - MEDIAN(MIN($BJ$7:$BJ$29), MAX($BJ$7:$BJ$29), AM148))), ABS($BJ$7:$BJ$29 - MEDIAN(MIN($BJ$7:$BJ$29), MAX($BJ$7:$BJ$29), AM148)), $BK$7:$BK$29, "Error", 0)</f>
        <v/>
      </c>
      <c r="AN149" s="171">
        <f>_xlfn.XLOOKUP(MIN(ABS($BJ$7:$BJ$29 - MEDIAN(MIN($BJ$7:$BJ$29), MAX($BJ$7:$BJ$29), AN148))), ABS($BJ$7:$BJ$29 - MEDIAN(MIN($BJ$7:$BJ$29), MAX($BJ$7:$BJ$29), AN148)), $BK$7:$BK$29, "Error", 0)</f>
        <v/>
      </c>
      <c r="AO149" s="171">
        <f>_xlfn.XLOOKUP(MIN(ABS($BJ$7:$BJ$29 - MEDIAN(MIN($BJ$7:$BJ$29), MAX($BJ$7:$BJ$29), AO148))), ABS($BJ$7:$BJ$29 - MEDIAN(MIN($BJ$7:$BJ$29), MAX($BJ$7:$BJ$29), AO148)), $BK$7:$BK$29, "Error", 0)</f>
        <v/>
      </c>
      <c r="AP149" s="171">
        <f>_xlfn.XLOOKUP(MIN(ABS($BJ$7:$BJ$29 - MEDIAN(MIN($BJ$7:$BJ$29), MAX($BJ$7:$BJ$29), AP148))), ABS($BJ$7:$BJ$29 - MEDIAN(MIN($BJ$7:$BJ$29), MAX($BJ$7:$BJ$29), AP148)), $BK$7:$BK$29, "Error", 0)</f>
        <v/>
      </c>
      <c r="AQ149" s="171">
        <f>_xlfn.XLOOKUP(MIN(ABS($BJ$7:$BJ$29 - MEDIAN(MIN($BJ$7:$BJ$29), MAX($BJ$7:$BJ$29), AQ148))), ABS($BJ$7:$BJ$29 - MEDIAN(MIN($BJ$7:$BJ$29), MAX($BJ$7:$BJ$29), AQ148)), $BK$7:$BK$29, "Error", 0)</f>
        <v/>
      </c>
      <c r="AR149" s="171">
        <f>_xlfn.XLOOKUP(MIN(ABS($BJ$7:$BJ$29 - MEDIAN(MIN($BJ$7:$BJ$29), MAX($BJ$7:$BJ$29), AR148))), ABS($BJ$7:$BJ$29 - MEDIAN(MIN($BJ$7:$BJ$29), MAX($BJ$7:$BJ$29), AR148)), $BK$7:$BK$29, "Error", 0)</f>
        <v/>
      </c>
      <c r="AS149" s="171">
        <f>_xlfn.XLOOKUP(MIN(ABS($BJ$7:$BJ$29 - MEDIAN(MIN($BJ$7:$BJ$29), MAX($BJ$7:$BJ$29), AS148))), ABS($BJ$7:$BJ$29 - MEDIAN(MIN($BJ$7:$BJ$29), MAX($BJ$7:$BJ$29), AS148)), $BK$7:$BK$29, "Error", 0)</f>
        <v/>
      </c>
      <c r="AT149" s="171">
        <f>_xlfn.XLOOKUP(MIN(ABS($BJ$7:$BJ$29 - MEDIAN(MIN($BJ$7:$BJ$29), MAX($BJ$7:$BJ$29), AT148))), ABS($BJ$7:$BJ$29 - MEDIAN(MIN($BJ$7:$BJ$29), MAX($BJ$7:$BJ$29), AT148)), $BK$7:$BK$29, "Error", 0)</f>
        <v/>
      </c>
      <c r="AU149" s="171">
        <f>_xlfn.XLOOKUP(MIN(ABS($BJ$7:$BJ$29 - MEDIAN(MIN($BJ$7:$BJ$29), MAX($BJ$7:$BJ$29), AU148))), ABS($BJ$7:$BJ$29 - MEDIAN(MIN($BJ$7:$BJ$29), MAX($BJ$7:$BJ$29), AU148)), $BK$7:$BK$29, "Error", 0)</f>
        <v/>
      </c>
      <c r="AV149" s="206">
        <f>_xlfn.XLOOKUP(MIN(ABS($BJ$7:$BJ$29 - MEDIAN(MIN($BJ$7:$BJ$29), MAX($BJ$7:$BJ$29), AV148))), ABS($BJ$7:$BJ$29 - MEDIAN(MIN($BJ$7:$BJ$29), MAX($BJ$7:$BJ$29), AV148)), $BK$7:$BK$29, "Error", 0)</f>
        <v/>
      </c>
      <c r="AW149" s="184">
        <f>_xlfn.XLOOKUP(MIN(ABS($BJ$7:$BJ$29 - MEDIAN(MIN($BJ$7:$BJ$29), MAX($BJ$7:$BJ$29), AW148))), ABS($BJ$7:$BJ$29 - MEDIAN(MIN($BJ$7:$BJ$29), MAX($BJ$7:$BJ$29), AW148)), $BK$7:$BK$29, "Error", 0)</f>
        <v/>
      </c>
      <c r="AX149" s="184">
        <f>_xlfn.XLOOKUP(MIN(ABS($BJ$7:$BJ$29 - MEDIAN(MIN($BJ$7:$BJ$29), MAX($BJ$7:$BJ$29), AX148))), ABS($BJ$7:$BJ$29 - MEDIAN(MIN($BJ$7:$BJ$29), MAX($BJ$7:$BJ$29), AX148)), $BK$7:$BK$29, "Error", 0)</f>
        <v/>
      </c>
      <c r="AY149" s="184" t="n"/>
    </row>
    <row r="150" ht="44" customHeight="1">
      <c r="A150" s="305" t="inlineStr">
        <is>
          <t>AUD CHF</t>
        </is>
      </c>
      <c r="B150" s="200" t="inlineStr">
        <is>
          <t>All time High (CL)</t>
        </is>
      </c>
      <c r="C150" s="233" t="n">
        <v>7353.736741538742</v>
      </c>
      <c r="D150" s="233" t="n">
        <v>7353.736741538742</v>
      </c>
      <c r="E150" s="233" t="n">
        <v>7353.736741538742</v>
      </c>
      <c r="F150" s="233" t="n">
        <v>7353.736741538742</v>
      </c>
      <c r="G150" s="233" t="n">
        <v>7353.736741538742</v>
      </c>
      <c r="H150" s="233" t="n">
        <v>7353.736741538742</v>
      </c>
      <c r="I150" s="233" t="n">
        <v>7353.736741538742</v>
      </c>
      <c r="J150" s="233" t="n">
        <v>7353.736741538742</v>
      </c>
      <c r="K150" s="233" t="n">
        <v>7353.736741538742</v>
      </c>
      <c r="L150" s="233" t="n">
        <v>7353.736741538742</v>
      </c>
      <c r="M150" s="233" t="n">
        <v>7353.736741538742</v>
      </c>
      <c r="N150" s="233" t="n">
        <v>7353.736741538742</v>
      </c>
      <c r="O150" s="233" t="n">
        <v>7353.736741538742</v>
      </c>
      <c r="P150" s="233" t="n">
        <v>7353.736741538742</v>
      </c>
      <c r="Q150" s="233" t="n">
        <v>7353.736741538742</v>
      </c>
      <c r="R150" s="233" t="n">
        <v>7353.736741538742</v>
      </c>
      <c r="S150" s="233" t="n">
        <v>7353.736741538742</v>
      </c>
      <c r="T150" s="233" t="n">
        <v>7353.736741538742</v>
      </c>
      <c r="U150" s="233" t="n">
        <v>7353.736741538742</v>
      </c>
      <c r="V150" s="233" t="n">
        <v>7353.736741538742</v>
      </c>
      <c r="W150" s="233" t="n">
        <v>7353.736741538742</v>
      </c>
      <c r="X150" s="233" t="n">
        <v>7353.736741538742</v>
      </c>
      <c r="Y150" s="233" t="n">
        <v>7353.736741538742</v>
      </c>
      <c r="Z150" s="233" t="n">
        <v>7353.736741538742</v>
      </c>
      <c r="AA150" s="204" t="n">
        <v>7353.736741538742</v>
      </c>
      <c r="AB150" s="204" t="n">
        <v>7353.736741538742</v>
      </c>
      <c r="AC150" s="204" t="n">
        <v>7353.736741538742</v>
      </c>
      <c r="AD150" s="204" t="n">
        <v>7353.736741538742</v>
      </c>
      <c r="AE150" s="204" t="n">
        <v>7353.736741538742</v>
      </c>
      <c r="AF150" s="204" t="n">
        <v>7353.736741538742</v>
      </c>
      <c r="AG150" s="204" t="n">
        <v>7353.736741538742</v>
      </c>
      <c r="AH150" s="204" t="n">
        <v>7353.736741538742</v>
      </c>
      <c r="AI150" s="204" t="n">
        <v>7353.736741538742</v>
      </c>
      <c r="AJ150" s="204" t="n">
        <v>7353.736741538742</v>
      </c>
      <c r="AK150" s="204" t="n">
        <v>7353.736741538742</v>
      </c>
      <c r="AL150" s="204" t="n">
        <v>7353.736741538742</v>
      </c>
      <c r="AM150" s="204" t="n">
        <v>7353.736741538742</v>
      </c>
      <c r="AN150" s="204" t="n">
        <v>7353.736741538742</v>
      </c>
      <c r="AO150" s="204" t="n">
        <v>7353.736741538742</v>
      </c>
      <c r="AP150" s="204" t="n">
        <v>7353.736741538742</v>
      </c>
      <c r="AQ150" s="204" t="n">
        <v>7353.736741538742</v>
      </c>
      <c r="AR150" s="204" t="n">
        <v>7353.736741538742</v>
      </c>
      <c r="AS150" s="204" t="n">
        <v>7353.736741538742</v>
      </c>
      <c r="AT150" s="204" t="n">
        <v>7353.736741538742</v>
      </c>
      <c r="AU150" s="204" t="n">
        <v>7353.736741538742</v>
      </c>
      <c r="AV150" s="200" t="n">
        <v>7353.736741538742</v>
      </c>
      <c r="AW150" s="184" t="n">
        <v>7353.736741538742</v>
      </c>
      <c r="AX150" s="184" t="n">
        <v>7353.736741538742</v>
      </c>
      <c r="AY150" s="184" t="n"/>
    </row>
    <row r="151" ht="22" customHeight="1">
      <c r="A151" s="303" t="n"/>
      <c r="B151" s="201" t="inlineStr">
        <is>
          <t>current price</t>
        </is>
      </c>
      <c r="C151" s="233" t="n">
        <v>4882.883263159543</v>
      </c>
      <c r="D151" s="233" t="n">
        <v>4577.604095716582</v>
      </c>
      <c r="E151" s="233" t="n">
        <v>4402.94142283051</v>
      </c>
      <c r="F151" s="233" t="n">
        <v>4324.912261874008</v>
      </c>
      <c r="G151" s="233" t="n">
        <v>4187.313185894222</v>
      </c>
      <c r="H151" s="233" t="n">
        <v>4287.043834794313</v>
      </c>
      <c r="I151" s="233" t="n">
        <v>4293.067176272016</v>
      </c>
      <c r="J151" s="233" t="n">
        <v>4153.793461281748</v>
      </c>
      <c r="K151" s="233" t="n">
        <v>4144.576854060841</v>
      </c>
      <c r="L151" s="233" t="n">
        <v>3894.902143652842</v>
      </c>
      <c r="M151" s="233" t="n">
        <v>4095.467049185536</v>
      </c>
      <c r="N151" s="233" t="n">
        <v>4347.251227675471</v>
      </c>
      <c r="O151" s="233" t="n">
        <v>4365.095353196317</v>
      </c>
      <c r="P151" s="233" t="n">
        <v>4392.416493573517</v>
      </c>
      <c r="Q151" s="233" t="n">
        <v>4640.005101944233</v>
      </c>
      <c r="R151" s="233" t="n">
        <v>4579.75956620826</v>
      </c>
      <c r="S151" s="233" t="n">
        <v>4612.702186080278</v>
      </c>
      <c r="T151" s="233" t="n">
        <v>4664.383653700352</v>
      </c>
      <c r="U151" s="233" t="n">
        <v>4668.981749433151</v>
      </c>
      <c r="V151" s="233" t="n">
        <v>4647.178042147571</v>
      </c>
      <c r="W151" s="233" t="n">
        <v>4812.858007679461</v>
      </c>
      <c r="X151" s="233" t="n">
        <v>4646.907691955566</v>
      </c>
      <c r="Y151" s="233" t="n">
        <v>4834.786085744738</v>
      </c>
      <c r="Z151" s="233" t="n">
        <v>4581.334809879161</v>
      </c>
      <c r="AA151" s="204" t="n">
        <v>4822.626481609768</v>
      </c>
      <c r="AB151" s="204" t="n">
        <v>4583.171624181705</v>
      </c>
      <c r="AC151" s="204" t="n">
        <v>4340.302195582306</v>
      </c>
      <c r="AD151" s="204" t="n">
        <v>4272.105968849617</v>
      </c>
      <c r="AE151" s="204" t="n">
        <v>4457.739226167731</v>
      </c>
      <c r="AF151" s="204" t="n">
        <v>4454.211520110257</v>
      </c>
      <c r="AG151" s="204" t="n">
        <v>4583.150424232241</v>
      </c>
      <c r="AH151" s="204" t="n">
        <v>4695.613862306345</v>
      </c>
      <c r="AI151" s="204" t="n">
        <v>4641.372296169575</v>
      </c>
      <c r="AJ151" s="204" t="n">
        <v>4669.481615354074</v>
      </c>
      <c r="AK151" s="204" t="n">
        <v>4523.720090917195</v>
      </c>
      <c r="AL151" s="204" t="n">
        <v>4620.016901055293</v>
      </c>
      <c r="AM151" s="204" t="n">
        <v>4766.254194360692</v>
      </c>
      <c r="AN151" s="204" t="n">
        <v>5050.582982568769</v>
      </c>
      <c r="AO151" s="204" t="n">
        <v>4644.328480109107</v>
      </c>
      <c r="AP151" s="204" t="n">
        <v>4882.311354592501</v>
      </c>
      <c r="AQ151" s="204" t="n">
        <v>4904.500118681346</v>
      </c>
      <c r="AR151" s="204" t="n">
        <v>4880.439239567961</v>
      </c>
      <c r="AS151" s="204" t="n">
        <v>5081.281617997913</v>
      </c>
      <c r="AT151" s="204" t="n">
        <v>5255.929568052292</v>
      </c>
      <c r="AU151" s="204" t="n">
        <v>5039.564090073109</v>
      </c>
      <c r="AV151" s="201" t="n">
        <v>5039.564090073109</v>
      </c>
      <c r="AW151" s="184" t="n">
        <v>5039.564090073109</v>
      </c>
      <c r="AX151" s="184" t="n">
        <v>5039.564090073109</v>
      </c>
      <c r="AY151" s="184" t="n"/>
    </row>
    <row r="152" ht="22" customHeight="1">
      <c r="A152" s="303" t="n"/>
      <c r="B152" s="201" t="inlineStr">
        <is>
          <t>% CHANGE</t>
        </is>
      </c>
      <c r="C152" s="230">
        <f>+(C151-C150)/C150</f>
        <v/>
      </c>
      <c r="D152" s="230">
        <f>+(D151-D150)/D150</f>
        <v/>
      </c>
      <c r="E152" s="230">
        <f>+(E151-E150)/E150</f>
        <v/>
      </c>
      <c r="F152" s="230">
        <f>+(F151-F150)/F150</f>
        <v/>
      </c>
      <c r="G152" s="230">
        <f>+(G151-G150)/G150</f>
        <v/>
      </c>
      <c r="H152" s="230">
        <f>+(H151-H150)/H150</f>
        <v/>
      </c>
      <c r="I152" s="230">
        <f>+(I151-I150)/I150</f>
        <v/>
      </c>
      <c r="J152" s="230">
        <f>+(J151-J150)/J150</f>
        <v/>
      </c>
      <c r="K152" s="230">
        <f>+(K151-K150)/K150</f>
        <v/>
      </c>
      <c r="L152" s="230">
        <f>+(L151-L150)/L150</f>
        <v/>
      </c>
      <c r="M152" s="230">
        <f>+(M151-M150)/M150</f>
        <v/>
      </c>
      <c r="N152" s="230">
        <f>+(N151-N150)/N150</f>
        <v/>
      </c>
      <c r="O152" s="230">
        <f>+(O151-O150)/O150</f>
        <v/>
      </c>
      <c r="P152" s="230">
        <f>+(P151-P150)/P150</f>
        <v/>
      </c>
      <c r="Q152" s="230">
        <f>+(Q151-Q150)/Q150</f>
        <v/>
      </c>
      <c r="R152" s="230">
        <f>+(R151-R150)/R150</f>
        <v/>
      </c>
      <c r="S152" s="230">
        <f>+(S151-S150)/S150</f>
        <v/>
      </c>
      <c r="T152" s="230">
        <f>+(T151-T150)/T150</f>
        <v/>
      </c>
      <c r="U152" s="230">
        <f>+(U151-U150)/U150</f>
        <v/>
      </c>
      <c r="V152" s="230">
        <f>+(V151-V150)/V150</f>
        <v/>
      </c>
      <c r="W152" s="230">
        <f>+(W151-W150)/W150</f>
        <v/>
      </c>
      <c r="X152" s="230">
        <f>+(X151-X150)/X150</f>
        <v/>
      </c>
      <c r="Y152" s="230">
        <f>+(Y151-Y150)/Y150</f>
        <v/>
      </c>
      <c r="Z152" s="230">
        <f>+(Z151-Z150)/Z150</f>
        <v/>
      </c>
      <c r="AA152" s="230">
        <f>+(AA151-AA150)/AA150</f>
        <v/>
      </c>
      <c r="AB152" s="205">
        <f>+(AB151-AB150)/AB150</f>
        <v/>
      </c>
      <c r="AC152" s="205">
        <f>+(AC151-AC150)/AC150</f>
        <v/>
      </c>
      <c r="AD152" s="205">
        <f>+(AD151-AD150)/AD150</f>
        <v/>
      </c>
      <c r="AE152" s="205">
        <f>+(AE151-AE150)/AE150</f>
        <v/>
      </c>
      <c r="AF152" s="205">
        <f>+(AF151-AF150)/AF150</f>
        <v/>
      </c>
      <c r="AG152" s="205">
        <f>+(AG151-AG150)/AG150</f>
        <v/>
      </c>
      <c r="AH152" s="205">
        <f>+(AH151-AH150)/AH150</f>
        <v/>
      </c>
      <c r="AI152" s="205">
        <f>+(AI151-AI150)/AI150</f>
        <v/>
      </c>
      <c r="AJ152" s="205">
        <f>+(AJ151-AJ150)/AJ150</f>
        <v/>
      </c>
      <c r="AK152" s="205">
        <f>+(AK151-AK150)/AK150</f>
        <v/>
      </c>
      <c r="AL152" s="205">
        <f>+(AL151-AL150)/AL150</f>
        <v/>
      </c>
      <c r="AM152" s="205">
        <f>+(AM151-AM150)/AM150</f>
        <v/>
      </c>
      <c r="AN152" s="205">
        <f>+(AN151-AN150)/AN150</f>
        <v/>
      </c>
      <c r="AO152" s="205">
        <f>+(AO151-AO150)/AO150</f>
        <v/>
      </c>
      <c r="AP152" s="205">
        <f>+(AP151-AP150)/AP150</f>
        <v/>
      </c>
      <c r="AQ152" s="205">
        <f>+(AQ151-AQ150)/AQ150</f>
        <v/>
      </c>
      <c r="AR152" s="205">
        <f>+(AR151-AR150)/AR150</f>
        <v/>
      </c>
      <c r="AS152" s="205">
        <f>+(AS151-AS150)/AS150</f>
        <v/>
      </c>
      <c r="AT152" s="205">
        <f>+(AT151-AT150)/AT150</f>
        <v/>
      </c>
      <c r="AU152" s="205">
        <f>+(AU151-AU150)/AU150</f>
        <v/>
      </c>
      <c r="AV152" s="201">
        <f>+(AV151-AV150)/AV150</f>
        <v/>
      </c>
      <c r="AW152" s="184">
        <f>+(AW151-AW150)/AW150</f>
        <v/>
      </c>
      <c r="AX152" s="184">
        <f>+(AX151-AX150)/AX150</f>
        <v/>
      </c>
      <c r="AY152" s="184" t="n"/>
    </row>
    <row r="153" ht="44" customHeight="1">
      <c r="A153" s="303" t="n"/>
      <c r="B153" s="201" t="inlineStr">
        <is>
          <t>All time High ASX200</t>
        </is>
      </c>
      <c r="C153" s="233" t="n">
        <v>7632.7998046875</v>
      </c>
      <c r="D153" s="233" t="n">
        <v>7632.7998046875</v>
      </c>
      <c r="E153" s="233" t="n">
        <v>7632.7998046875</v>
      </c>
      <c r="F153" s="233" t="n">
        <v>7632.7998046875</v>
      </c>
      <c r="G153" s="233" t="n">
        <v>7632.7998046875</v>
      </c>
      <c r="H153" s="233" t="n">
        <v>7632.7998046875</v>
      </c>
      <c r="I153" s="233" t="n">
        <v>7632.7998046875</v>
      </c>
      <c r="J153" s="233" t="n">
        <v>7632.7998046875</v>
      </c>
      <c r="K153" s="233" t="n">
        <v>7632.7998046875</v>
      </c>
      <c r="L153" s="233" t="n">
        <v>7632.7998046875</v>
      </c>
      <c r="M153" s="233" t="n">
        <v>7632.7998046875</v>
      </c>
      <c r="N153" s="233" t="n">
        <v>7632.7998046875</v>
      </c>
      <c r="O153" s="233" t="n">
        <v>7682.2998046875</v>
      </c>
      <c r="P153" s="233" t="n">
        <v>7703.7998046875</v>
      </c>
      <c r="Q153" s="233" t="n">
        <v>7901.2001953125</v>
      </c>
      <c r="R153" s="233" t="n">
        <v>7901.2001953125</v>
      </c>
      <c r="S153" s="233" t="n">
        <v>7901.2001953125</v>
      </c>
      <c r="T153" s="233" t="n">
        <v>7901.2001953125</v>
      </c>
      <c r="U153" s="233" t="n">
        <v>8092.2998046875</v>
      </c>
      <c r="V153" s="233" t="n">
        <v>8092.2998046875</v>
      </c>
      <c r="W153" s="233" t="n">
        <v>8285.7001953125</v>
      </c>
      <c r="X153" s="233" t="n">
        <v>8285.7001953125</v>
      </c>
      <c r="Y153" s="233" t="n">
        <v>8477.099609375</v>
      </c>
      <c r="Z153" s="233" t="n">
        <v>8477.099609375</v>
      </c>
      <c r="AA153" s="231" t="n">
        <v>8566.900390625</v>
      </c>
      <c r="AB153" s="203" t="n">
        <v>8566.900390625</v>
      </c>
      <c r="AC153" s="203" t="n">
        <v>8566.900390625</v>
      </c>
      <c r="AD153" s="203" t="n">
        <v>8566.900390625</v>
      </c>
      <c r="AE153" s="203" t="n">
        <v>8566.900390625</v>
      </c>
      <c r="AF153" s="203" t="n">
        <v>8639.099609375</v>
      </c>
      <c r="AG153" s="203" t="n">
        <v>8776.400390625</v>
      </c>
      <c r="AH153" s="203" t="n">
        <v>9054.5</v>
      </c>
      <c r="AI153" s="203" t="n">
        <v>9054.5</v>
      </c>
      <c r="AJ153" s="203" t="n">
        <v>9115.2001953125</v>
      </c>
      <c r="AK153" s="203" t="n">
        <v>9115.2001953125</v>
      </c>
      <c r="AL153" s="203" t="n">
        <v>9115.2001953125</v>
      </c>
      <c r="AM153" s="203" t="n">
        <v>9115.2001953125</v>
      </c>
      <c r="AN153" s="203" t="n">
        <v>9202.900390625</v>
      </c>
      <c r="AO153" s="203" t="n">
        <v>9202.900390625</v>
      </c>
      <c r="AP153" s="203" t="n">
        <v>9202.900390625</v>
      </c>
      <c r="AQ153" s="203" t="n">
        <v>9202.900390625</v>
      </c>
      <c r="AR153" s="203" t="n">
        <v>9202.900390625</v>
      </c>
      <c r="AS153" s="203" t="n">
        <v>9202.900390625</v>
      </c>
      <c r="AT153" s="203" t="n">
        <v>9296.7001953125</v>
      </c>
      <c r="AU153" s="203" t="n">
        <v>9296.7001953125</v>
      </c>
      <c r="AV153" s="201" t="n">
        <v>9296.7001953125</v>
      </c>
      <c r="AW153" s="184" t="n">
        <v>9296.7001953125</v>
      </c>
      <c r="AX153" s="184" t="n">
        <v>9296.7001953125</v>
      </c>
      <c r="AY153" s="184" t="n"/>
    </row>
    <row r="154" ht="44" customHeight="1">
      <c r="A154" s="303" t="n"/>
      <c r="B154" s="201" t="inlineStr">
        <is>
          <t>current price ASX200</t>
        </is>
      </c>
      <c r="C154" s="233" t="n">
        <v>7476.7001953125</v>
      </c>
      <c r="D154" s="233" t="n">
        <v>7258.39990234375</v>
      </c>
      <c r="E154" s="233" t="n">
        <v>7177.7998046875</v>
      </c>
      <c r="F154" s="233" t="n">
        <v>7309.2001953125</v>
      </c>
      <c r="G154" s="233" t="n">
        <v>7091.2998046875</v>
      </c>
      <c r="H154" s="233" t="n">
        <v>7203.2998046875</v>
      </c>
      <c r="I154" s="233" t="n">
        <v>7410.39990234375</v>
      </c>
      <c r="J154" s="233" t="n">
        <v>7305.2998046875</v>
      </c>
      <c r="K154" s="233" t="n">
        <v>7048.60009765625</v>
      </c>
      <c r="L154" s="233" t="n">
        <v>6780.7001953125</v>
      </c>
      <c r="M154" s="233" t="n">
        <v>7087.2998046875</v>
      </c>
      <c r="N154" s="233" t="n">
        <v>7590.7998046875</v>
      </c>
      <c r="O154" s="233" t="n">
        <v>7680.7001953125</v>
      </c>
      <c r="P154" s="233" t="n">
        <v>7698.7001953125</v>
      </c>
      <c r="Q154" s="233" t="n">
        <v>7896.89990234375</v>
      </c>
      <c r="R154" s="233" t="n">
        <v>7664.10009765625</v>
      </c>
      <c r="S154" s="233" t="n">
        <v>7701.7001953125</v>
      </c>
      <c r="T154" s="233" t="n">
        <v>7767.5</v>
      </c>
      <c r="U154" s="233" t="n">
        <v>8092.2998046875</v>
      </c>
      <c r="V154" s="233" t="n">
        <v>8091.89990234375</v>
      </c>
      <c r="W154" s="233" t="n">
        <v>8269.7998046875</v>
      </c>
      <c r="X154" s="233" t="n">
        <v>8160</v>
      </c>
      <c r="Y154" s="233" t="n">
        <v>8436.2001953125</v>
      </c>
      <c r="Z154" s="233" t="n">
        <v>8159.10009765625</v>
      </c>
      <c r="AA154" s="231" t="n">
        <v>8532.2998046875</v>
      </c>
      <c r="AB154" s="203" t="n">
        <v>8172.39990234375</v>
      </c>
      <c r="AC154" s="203" t="n">
        <v>7843.39990234375</v>
      </c>
      <c r="AD154" s="203" t="n">
        <v>8126.2001953125</v>
      </c>
      <c r="AE154" s="203" t="n">
        <v>8434.7001953125</v>
      </c>
      <c r="AF154" s="203" t="n">
        <v>8542.2998046875</v>
      </c>
      <c r="AG154" s="203" t="n">
        <v>8742.7998046875</v>
      </c>
      <c r="AH154" s="203" t="n">
        <v>8973.099609375</v>
      </c>
      <c r="AI154" s="203" t="n">
        <v>8848.7998046875</v>
      </c>
      <c r="AJ154" s="203" t="n">
        <v>8881.900390625</v>
      </c>
      <c r="AK154" s="203" t="n">
        <v>8614.099609375</v>
      </c>
      <c r="AL154" s="203" t="n">
        <v>8714.2998046875</v>
      </c>
      <c r="AM154" s="203" t="n">
        <v>8869.099609375</v>
      </c>
      <c r="AN154" s="203" t="n">
        <v>9198.599609375</v>
      </c>
      <c r="AO154" s="203" t="n">
        <v>8481.7998046875</v>
      </c>
      <c r="AP154" s="203" t="n">
        <v>8665.7998046875</v>
      </c>
      <c r="AQ154" s="203" t="n">
        <v>8731.7001953125</v>
      </c>
      <c r="AR154" s="203" t="n">
        <v>8778.7001953125</v>
      </c>
      <c r="AS154" s="203" t="n">
        <v>8976.7998046875</v>
      </c>
      <c r="AT154" s="203" t="n">
        <v>9076</v>
      </c>
      <c r="AU154" s="203" t="n">
        <v>8665</v>
      </c>
      <c r="AV154" s="201" t="n">
        <v>8665</v>
      </c>
      <c r="AW154" s="184" t="n">
        <v>8665</v>
      </c>
      <c r="AX154" s="184" t="n">
        <v>8665</v>
      </c>
      <c r="AY154" s="184" t="n"/>
    </row>
    <row r="155" ht="44" customHeight="1">
      <c r="A155" s="303" t="n"/>
      <c r="B155" s="201" t="inlineStr">
        <is>
          <t>original index % change</t>
        </is>
      </c>
      <c r="C155" s="230">
        <f>+(C154-C153)/C153</f>
        <v/>
      </c>
      <c r="D155" s="230">
        <f>+(D154-D153)/D153</f>
        <v/>
      </c>
      <c r="E155" s="230">
        <f>+(E154-E153)/E153</f>
        <v/>
      </c>
      <c r="F155" s="230">
        <f>+(F154-F153)/F153</f>
        <v/>
      </c>
      <c r="G155" s="230">
        <f>+(G154-G153)/G153</f>
        <v/>
      </c>
      <c r="H155" s="230">
        <f>+(H154-H153)/H153</f>
        <v/>
      </c>
      <c r="I155" s="230">
        <f>+(I154-I153)/I153</f>
        <v/>
      </c>
      <c r="J155" s="230">
        <f>+(J154-J153)/J153</f>
        <v/>
      </c>
      <c r="K155" s="230">
        <f>+(K154-K153)/K153</f>
        <v/>
      </c>
      <c r="L155" s="230">
        <f>+(L154-L153)/L153</f>
        <v/>
      </c>
      <c r="M155" s="230">
        <f>+(M154-M153)/M153</f>
        <v/>
      </c>
      <c r="N155" s="230">
        <f>+(N154-N153)/N153</f>
        <v/>
      </c>
      <c r="O155" s="230">
        <f>+(O154-O153)/O153</f>
        <v/>
      </c>
      <c r="P155" s="230">
        <f>+(P154-P153)/P153</f>
        <v/>
      </c>
      <c r="Q155" s="230">
        <f>+(Q154-Q153)/Q153</f>
        <v/>
      </c>
      <c r="R155" s="230">
        <f>+(R154-R153)/R153</f>
        <v/>
      </c>
      <c r="S155" s="230">
        <f>+(S154-S153)/S153</f>
        <v/>
      </c>
      <c r="T155" s="230">
        <f>+(T154-T153)/T153</f>
        <v/>
      </c>
      <c r="U155" s="230">
        <f>+(U154-U153)/U153</f>
        <v/>
      </c>
      <c r="V155" s="230">
        <f>+(V154-V153)/V153</f>
        <v/>
      </c>
      <c r="W155" s="230">
        <f>+(W154-W153)/W153</f>
        <v/>
      </c>
      <c r="X155" s="230">
        <f>+(X154-X153)/X153</f>
        <v/>
      </c>
      <c r="Y155" s="230">
        <f>+(Y154-Y153)/Y153</f>
        <v/>
      </c>
      <c r="Z155" s="230">
        <f>+(Z154-Z153)/Z153</f>
        <v/>
      </c>
      <c r="AA155" s="230">
        <f>+(AA154-AA153)/AA153</f>
        <v/>
      </c>
      <c r="AB155" s="205">
        <f>+(AB154-AB153)/AB153</f>
        <v/>
      </c>
      <c r="AC155" s="205">
        <f>+(AC154-AC153)/AC153</f>
        <v/>
      </c>
      <c r="AD155" s="205">
        <f>+(AD154-AD153)/AD153</f>
        <v/>
      </c>
      <c r="AE155" s="205">
        <f>+(AE154-AE153)/AE153</f>
        <v/>
      </c>
      <c r="AF155" s="205">
        <f>+(AF154-AF153)/AF153</f>
        <v/>
      </c>
      <c r="AG155" s="205">
        <f>+(AG154-AG153)/AG153</f>
        <v/>
      </c>
      <c r="AH155" s="205">
        <f>+(AH154-AH153)/AH153</f>
        <v/>
      </c>
      <c r="AI155" s="205">
        <f>+(AI154-AI153)/AI153</f>
        <v/>
      </c>
      <c r="AJ155" s="205">
        <f>+(AJ154-AJ153)/AJ153</f>
        <v/>
      </c>
      <c r="AK155" s="205">
        <f>+(AK154-AK153)/AK153</f>
        <v/>
      </c>
      <c r="AL155" s="205">
        <f>+(AL154-AL153)/AL153</f>
        <v/>
      </c>
      <c r="AM155" s="205">
        <f>+(AM154-AM153)/AM153</f>
        <v/>
      </c>
      <c r="AN155" s="205">
        <f>+(AN154-AN153)/AN153</f>
        <v/>
      </c>
      <c r="AO155" s="205">
        <f>+(AO154-AO153)/AO153</f>
        <v/>
      </c>
      <c r="AP155" s="205">
        <f>+(AP154-AP153)/AP153</f>
        <v/>
      </c>
      <c r="AQ155" s="205">
        <f>+(AQ154-AQ153)/AQ153</f>
        <v/>
      </c>
      <c r="AR155" s="205">
        <f>+(AR154-AR153)/AR153</f>
        <v/>
      </c>
      <c r="AS155" s="205">
        <f>+(AS154-AS153)/AS153</f>
        <v/>
      </c>
      <c r="AT155" s="205">
        <f>+(AT154-AT153)/AT153</f>
        <v/>
      </c>
      <c r="AU155" s="205">
        <f>+(AU154-AU153)/AU153</f>
        <v/>
      </c>
      <c r="AV155" s="201">
        <f>+(AV154-AV153)/AV153</f>
        <v/>
      </c>
      <c r="AW155" s="184">
        <f>+(AW154-AW153)/AW153</f>
        <v/>
      </c>
      <c r="AX155" s="184">
        <f>+(AX154-AX153)/AX153</f>
        <v/>
      </c>
      <c r="AY155" s="184" t="n"/>
    </row>
    <row r="156" ht="22" customHeight="1">
      <c r="A156" s="303" t="n"/>
      <c r="B156" s="201" t="inlineStr">
        <is>
          <t>real % change</t>
        </is>
      </c>
      <c r="C156" s="230">
        <f>+C152-C155</f>
        <v/>
      </c>
      <c r="D156" s="230">
        <f>+D152-D155</f>
        <v/>
      </c>
      <c r="E156" s="230">
        <f>+E152-E155</f>
        <v/>
      </c>
      <c r="F156" s="230">
        <f>+F152-F155</f>
        <v/>
      </c>
      <c r="G156" s="230">
        <f>+G152-G155</f>
        <v/>
      </c>
      <c r="H156" s="230">
        <f>+H152-H155</f>
        <v/>
      </c>
      <c r="I156" s="230">
        <f>+I152-I155</f>
        <v/>
      </c>
      <c r="J156" s="230">
        <f>+J152-J155</f>
        <v/>
      </c>
      <c r="K156" s="230">
        <f>+K152-K155</f>
        <v/>
      </c>
      <c r="L156" s="230">
        <f>+L152-L155</f>
        <v/>
      </c>
      <c r="M156" s="230">
        <f>+M152-M155</f>
        <v/>
      </c>
      <c r="N156" s="230">
        <f>+N152-N155</f>
        <v/>
      </c>
      <c r="O156" s="230">
        <f>+O152-O155</f>
        <v/>
      </c>
      <c r="P156" s="230">
        <f>+P152-P155</f>
        <v/>
      </c>
      <c r="Q156" s="230">
        <f>+Q152-Q155</f>
        <v/>
      </c>
      <c r="R156" s="230">
        <f>+R152-R155</f>
        <v/>
      </c>
      <c r="S156" s="230">
        <f>+S152-S155</f>
        <v/>
      </c>
      <c r="T156" s="230">
        <f>+T152-T155</f>
        <v/>
      </c>
      <c r="U156" s="230">
        <f>+U152-U155</f>
        <v/>
      </c>
      <c r="V156" s="230">
        <f>+V152-V155</f>
        <v/>
      </c>
      <c r="W156" s="230">
        <f>+W152-W155</f>
        <v/>
      </c>
      <c r="X156" s="230">
        <f>+X152-X155</f>
        <v/>
      </c>
      <c r="Y156" s="230">
        <f>+Y152-Y155</f>
        <v/>
      </c>
      <c r="Z156" s="230">
        <f>+Z152-Z155</f>
        <v/>
      </c>
      <c r="AA156" s="230">
        <f>+AA152-AA155</f>
        <v/>
      </c>
      <c r="AB156" s="205">
        <f>+AB152-AB155</f>
        <v/>
      </c>
      <c r="AC156" s="205">
        <f>+AC152-AC155</f>
        <v/>
      </c>
      <c r="AD156" s="205">
        <f>+AD152-AD155</f>
        <v/>
      </c>
      <c r="AE156" s="205">
        <f>+AE152-AE155</f>
        <v/>
      </c>
      <c r="AF156" s="205">
        <f>+AF152-AF155</f>
        <v/>
      </c>
      <c r="AG156" s="205">
        <f>+AG152-AG155</f>
        <v/>
      </c>
      <c r="AH156" s="205">
        <f>+AH152-AH155</f>
        <v/>
      </c>
      <c r="AI156" s="205">
        <f>+AI152-AI155</f>
        <v/>
      </c>
      <c r="AJ156" s="205">
        <f>+AJ152-AJ155</f>
        <v/>
      </c>
      <c r="AK156" s="205">
        <f>+AK152-AK155</f>
        <v/>
      </c>
      <c r="AL156" s="205">
        <f>+AL152-AL155</f>
        <v/>
      </c>
      <c r="AM156" s="205">
        <f>+AM152-AM155</f>
        <v/>
      </c>
      <c r="AN156" s="205">
        <f>+AN152-AN155</f>
        <v/>
      </c>
      <c r="AO156" s="205">
        <f>+AO152-AO155</f>
        <v/>
      </c>
      <c r="AP156" s="205">
        <f>+AP152-AP155</f>
        <v/>
      </c>
      <c r="AQ156" s="205">
        <f>+AQ152-AQ155</f>
        <v/>
      </c>
      <c r="AR156" s="205">
        <f>+AR152-AR155</f>
        <v/>
      </c>
      <c r="AS156" s="205">
        <f>+AS152-AS155</f>
        <v/>
      </c>
      <c r="AT156" s="205">
        <f>+AT152-AT155</f>
        <v/>
      </c>
      <c r="AU156" s="205">
        <f>+AU152-AU155</f>
        <v/>
      </c>
      <c r="AV156" s="201">
        <f>+AV152-AV155</f>
        <v/>
      </c>
      <c r="AW156" s="184">
        <f>+AW152-AW155</f>
        <v/>
      </c>
      <c r="AX156" s="184">
        <f>+AX152-AX155</f>
        <v/>
      </c>
      <c r="AY156" s="184" t="n"/>
    </row>
    <row r="157" ht="22" customHeight="1">
      <c r="A157" s="304" t="n"/>
      <c r="B157" s="206" t="inlineStr">
        <is>
          <t>Rating</t>
        </is>
      </c>
      <c r="C157" s="232">
        <f>_xlfn.XLOOKUP(MIN(ABS($BJ$7:$BJ$29 - MEDIAN(MIN($BJ$7:$BJ$29), MAX($BJ$7:$BJ$29), C156))), ABS($BJ$7:$BJ$29 - MEDIAN(MIN($BJ$7:$BJ$29), MAX($BJ$7:$BJ$29), C156)), $BK$7:$BK$29, "Error", 0)</f>
        <v/>
      </c>
      <c r="D157" s="232">
        <f>_xlfn.XLOOKUP(MIN(ABS($BJ$7:$BJ$29 - MEDIAN(MIN($BJ$7:$BJ$29), MAX($BJ$7:$BJ$29), D156))), ABS($BJ$7:$BJ$29 - MEDIAN(MIN($BJ$7:$BJ$29), MAX($BJ$7:$BJ$29), D156)), $BK$7:$BK$29, "Error", 0)</f>
        <v/>
      </c>
      <c r="E157" s="232">
        <f>_xlfn.XLOOKUP(MIN(ABS($BJ$7:$BJ$29 - MEDIAN(MIN($BJ$7:$BJ$29), MAX($BJ$7:$BJ$29), E156))), ABS($BJ$7:$BJ$29 - MEDIAN(MIN($BJ$7:$BJ$29), MAX($BJ$7:$BJ$29), E156)), $BK$7:$BK$29, "Error", 0)</f>
        <v/>
      </c>
      <c r="F157" s="232">
        <f>_xlfn.XLOOKUP(MIN(ABS($BJ$7:$BJ$29 - MEDIAN(MIN($BJ$7:$BJ$29), MAX($BJ$7:$BJ$29), F156))), ABS($BJ$7:$BJ$29 - MEDIAN(MIN($BJ$7:$BJ$29), MAX($BJ$7:$BJ$29), F156)), $BK$7:$BK$29, "Error", 0)</f>
        <v/>
      </c>
      <c r="G157" s="232">
        <f>_xlfn.XLOOKUP(MIN(ABS($BJ$7:$BJ$29 - MEDIAN(MIN($BJ$7:$BJ$29), MAX($BJ$7:$BJ$29), G156))), ABS($BJ$7:$BJ$29 - MEDIAN(MIN($BJ$7:$BJ$29), MAX($BJ$7:$BJ$29), G156)), $BK$7:$BK$29, "Error", 0)</f>
        <v/>
      </c>
      <c r="H157" s="232">
        <f>_xlfn.XLOOKUP(MIN(ABS($BJ$7:$BJ$29 - MEDIAN(MIN($BJ$7:$BJ$29), MAX($BJ$7:$BJ$29), H156))), ABS($BJ$7:$BJ$29 - MEDIAN(MIN($BJ$7:$BJ$29), MAX($BJ$7:$BJ$29), H156)), $BK$7:$BK$29, "Error", 0)</f>
        <v/>
      </c>
      <c r="I157" s="232">
        <f>_xlfn.XLOOKUP(MIN(ABS($BJ$7:$BJ$29 - MEDIAN(MIN($BJ$7:$BJ$29), MAX($BJ$7:$BJ$29), I156))), ABS($BJ$7:$BJ$29 - MEDIAN(MIN($BJ$7:$BJ$29), MAX($BJ$7:$BJ$29), I156)), $BK$7:$BK$29, "Error", 0)</f>
        <v/>
      </c>
      <c r="J157" s="232">
        <f>_xlfn.XLOOKUP(MIN(ABS($BJ$7:$BJ$29 - MEDIAN(MIN($BJ$7:$BJ$29), MAX($BJ$7:$BJ$29), J156))), ABS($BJ$7:$BJ$29 - MEDIAN(MIN($BJ$7:$BJ$29), MAX($BJ$7:$BJ$29), J156)), $BK$7:$BK$29, "Error", 0)</f>
        <v/>
      </c>
      <c r="K157" s="232">
        <f>_xlfn.XLOOKUP(MIN(ABS($BJ$7:$BJ$29 - MEDIAN(MIN($BJ$7:$BJ$29), MAX($BJ$7:$BJ$29), K156))), ABS($BJ$7:$BJ$29 - MEDIAN(MIN($BJ$7:$BJ$29), MAX($BJ$7:$BJ$29), K156)), $BK$7:$BK$29, "Error", 0)</f>
        <v/>
      </c>
      <c r="L157" s="232">
        <f>_xlfn.XLOOKUP(MIN(ABS($BJ$7:$BJ$29 - MEDIAN(MIN($BJ$7:$BJ$29), MAX($BJ$7:$BJ$29), L156))), ABS($BJ$7:$BJ$29 - MEDIAN(MIN($BJ$7:$BJ$29), MAX($BJ$7:$BJ$29), L156)), $BK$7:$BK$29, "Error", 0)</f>
        <v/>
      </c>
      <c r="M157" s="232">
        <f>_xlfn.XLOOKUP(MIN(ABS($BJ$7:$BJ$29 - MEDIAN(MIN($BJ$7:$BJ$29), MAX($BJ$7:$BJ$29), M156))), ABS($BJ$7:$BJ$29 - MEDIAN(MIN($BJ$7:$BJ$29), MAX($BJ$7:$BJ$29), M156)), $BK$7:$BK$29, "Error", 0)</f>
        <v/>
      </c>
      <c r="N157" s="232">
        <f>_xlfn.XLOOKUP(MIN(ABS($BJ$7:$BJ$29 - MEDIAN(MIN($BJ$7:$BJ$29), MAX($BJ$7:$BJ$29), N156))), ABS($BJ$7:$BJ$29 - MEDIAN(MIN($BJ$7:$BJ$29), MAX($BJ$7:$BJ$29), N156)), $BK$7:$BK$29, "Error", 0)</f>
        <v/>
      </c>
      <c r="O157" s="232">
        <f>_xlfn.XLOOKUP(MIN(ABS($BJ$7:$BJ$29 - MEDIAN(MIN($BJ$7:$BJ$29), MAX($BJ$7:$BJ$29), O156))), ABS($BJ$7:$BJ$29 - MEDIAN(MIN($BJ$7:$BJ$29), MAX($BJ$7:$BJ$29), O156)), $BK$7:$BK$29, "Error", 0)</f>
        <v/>
      </c>
      <c r="P157" s="232">
        <f>_xlfn.XLOOKUP(MIN(ABS($BJ$7:$BJ$29 - MEDIAN(MIN($BJ$7:$BJ$29), MAX($BJ$7:$BJ$29), P156))), ABS($BJ$7:$BJ$29 - MEDIAN(MIN($BJ$7:$BJ$29), MAX($BJ$7:$BJ$29), P156)), $BK$7:$BK$29, "Error", 0)</f>
        <v/>
      </c>
      <c r="Q157" s="232">
        <f>_xlfn.XLOOKUP(MIN(ABS($BJ$7:$BJ$29 - MEDIAN(MIN($BJ$7:$BJ$29), MAX($BJ$7:$BJ$29), Q156))), ABS($BJ$7:$BJ$29 - MEDIAN(MIN($BJ$7:$BJ$29), MAX($BJ$7:$BJ$29), Q156)), $BK$7:$BK$29, "Error", 0)</f>
        <v/>
      </c>
      <c r="R157" s="232">
        <f>_xlfn.XLOOKUP(MIN(ABS($BJ$7:$BJ$29 - MEDIAN(MIN($BJ$7:$BJ$29), MAX($BJ$7:$BJ$29), R156))), ABS($BJ$7:$BJ$29 - MEDIAN(MIN($BJ$7:$BJ$29), MAX($BJ$7:$BJ$29), R156)), $BK$7:$BK$29, "Error", 0)</f>
        <v/>
      </c>
      <c r="S157" s="232">
        <f>_xlfn.XLOOKUP(MIN(ABS($BJ$7:$BJ$29 - MEDIAN(MIN($BJ$7:$BJ$29), MAX($BJ$7:$BJ$29), S156))), ABS($BJ$7:$BJ$29 - MEDIAN(MIN($BJ$7:$BJ$29), MAX($BJ$7:$BJ$29), S156)), $BK$7:$BK$29, "Error", 0)</f>
        <v/>
      </c>
      <c r="T157" s="232">
        <f>_xlfn.XLOOKUP(MIN(ABS($BJ$7:$BJ$29 - MEDIAN(MIN($BJ$7:$BJ$29), MAX($BJ$7:$BJ$29), T156))), ABS($BJ$7:$BJ$29 - MEDIAN(MIN($BJ$7:$BJ$29), MAX($BJ$7:$BJ$29), T156)), $BK$7:$BK$29, "Error", 0)</f>
        <v/>
      </c>
      <c r="U157" s="232">
        <f>_xlfn.XLOOKUP(MIN(ABS($BJ$7:$BJ$29 - MEDIAN(MIN($BJ$7:$BJ$29), MAX($BJ$7:$BJ$29), U156))), ABS($BJ$7:$BJ$29 - MEDIAN(MIN($BJ$7:$BJ$29), MAX($BJ$7:$BJ$29), U156)), $BK$7:$BK$29, "Error", 0)</f>
        <v/>
      </c>
      <c r="V157" s="232">
        <f>_xlfn.XLOOKUP(MIN(ABS($BJ$7:$BJ$29 - MEDIAN(MIN($BJ$7:$BJ$29), MAX($BJ$7:$BJ$29), V156))), ABS($BJ$7:$BJ$29 - MEDIAN(MIN($BJ$7:$BJ$29), MAX($BJ$7:$BJ$29), V156)), $BK$7:$BK$29, "Error", 0)</f>
        <v/>
      </c>
      <c r="W157" s="232">
        <f>_xlfn.XLOOKUP(MIN(ABS($BJ$7:$BJ$29 - MEDIAN(MIN($BJ$7:$BJ$29), MAX($BJ$7:$BJ$29), W156))), ABS($BJ$7:$BJ$29 - MEDIAN(MIN($BJ$7:$BJ$29), MAX($BJ$7:$BJ$29), W156)), $BK$7:$BK$29, "Error", 0)</f>
        <v/>
      </c>
      <c r="X157" s="232">
        <f>_xlfn.XLOOKUP(MIN(ABS($BJ$7:$BJ$29 - MEDIAN(MIN($BJ$7:$BJ$29), MAX($BJ$7:$BJ$29), X156))), ABS($BJ$7:$BJ$29 - MEDIAN(MIN($BJ$7:$BJ$29), MAX($BJ$7:$BJ$29), X156)), $BK$7:$BK$29, "Error", 0)</f>
        <v/>
      </c>
      <c r="Y157" s="232">
        <f>_xlfn.XLOOKUP(MIN(ABS($BJ$7:$BJ$29 - MEDIAN(MIN($BJ$7:$BJ$29), MAX($BJ$7:$BJ$29), Y156))), ABS($BJ$7:$BJ$29 - MEDIAN(MIN($BJ$7:$BJ$29), MAX($BJ$7:$BJ$29), Y156)), $BK$7:$BK$29, "Error", 0)</f>
        <v/>
      </c>
      <c r="Z157" s="232">
        <f>_xlfn.XLOOKUP(MIN(ABS($BJ$7:$BJ$29 - MEDIAN(MIN($BJ$7:$BJ$29), MAX($BJ$7:$BJ$29), Z156))), ABS($BJ$7:$BJ$29 - MEDIAN(MIN($BJ$7:$BJ$29), MAX($BJ$7:$BJ$29), Z156)), $BK$7:$BK$29, "Error", 0)</f>
        <v/>
      </c>
      <c r="AA157" s="232">
        <f>_xlfn.XLOOKUP(MIN(ABS($BJ$7:$BJ$29 - MEDIAN(MIN($BJ$7:$BJ$29), MAX($BJ$7:$BJ$29), AA156))), ABS($BJ$7:$BJ$29 - MEDIAN(MIN($BJ$7:$BJ$29), MAX($BJ$7:$BJ$29), AA156)), $BK$7:$BK$29, "Error", 0)</f>
        <v/>
      </c>
      <c r="AB157" s="171">
        <f>_xlfn.XLOOKUP(MIN(ABS($BJ$7:$BJ$29 - MEDIAN(MIN($BJ$7:$BJ$29), MAX($BJ$7:$BJ$29), AB156))), ABS($BJ$7:$BJ$29 - MEDIAN(MIN($BJ$7:$BJ$29), MAX($BJ$7:$BJ$29), AB156)), $BK$7:$BK$29, "Error", 0)</f>
        <v/>
      </c>
      <c r="AC157" s="171">
        <f>_xlfn.XLOOKUP(MIN(ABS($BJ$7:$BJ$29 - MEDIAN(MIN($BJ$7:$BJ$29), MAX($BJ$7:$BJ$29), AC156))), ABS($BJ$7:$BJ$29 - MEDIAN(MIN($BJ$7:$BJ$29), MAX($BJ$7:$BJ$29), AC156)), $BK$7:$BK$29, "Error", 0)</f>
        <v/>
      </c>
      <c r="AD157" s="171">
        <f>_xlfn.XLOOKUP(MIN(ABS($BJ$7:$BJ$29 - MEDIAN(MIN($BJ$7:$BJ$29), MAX($BJ$7:$BJ$29), AD156))), ABS($BJ$7:$BJ$29 - MEDIAN(MIN($BJ$7:$BJ$29), MAX($BJ$7:$BJ$29), AD156)), $BK$7:$BK$29, "Error", 0)</f>
        <v/>
      </c>
      <c r="AE157" s="171">
        <f>_xlfn.XLOOKUP(MIN(ABS($BJ$7:$BJ$29 - MEDIAN(MIN($BJ$7:$BJ$29), MAX($BJ$7:$BJ$29), AE156))), ABS($BJ$7:$BJ$29 - MEDIAN(MIN($BJ$7:$BJ$29), MAX($BJ$7:$BJ$29), AE156)), $BK$7:$BK$29, "Error", 0)</f>
        <v/>
      </c>
      <c r="AF157" s="171">
        <f>_xlfn.XLOOKUP(MIN(ABS($BJ$7:$BJ$29 - MEDIAN(MIN($BJ$7:$BJ$29), MAX($BJ$7:$BJ$29), AF156))), ABS($BJ$7:$BJ$29 - MEDIAN(MIN($BJ$7:$BJ$29), MAX($BJ$7:$BJ$29), AF156)), $BK$7:$BK$29, "Error", 0)</f>
        <v/>
      </c>
      <c r="AG157" s="171">
        <f>_xlfn.XLOOKUP(MIN(ABS($BJ$7:$BJ$29 - MEDIAN(MIN($BJ$7:$BJ$29), MAX($BJ$7:$BJ$29), AG156))), ABS($BJ$7:$BJ$29 - MEDIAN(MIN($BJ$7:$BJ$29), MAX($BJ$7:$BJ$29), AG156)), $BK$7:$BK$29, "Error", 0)</f>
        <v/>
      </c>
      <c r="AH157" s="171">
        <f>_xlfn.XLOOKUP(MIN(ABS($BJ$7:$BJ$29 - MEDIAN(MIN($BJ$7:$BJ$29), MAX($BJ$7:$BJ$29), AH156))), ABS($BJ$7:$BJ$29 - MEDIAN(MIN($BJ$7:$BJ$29), MAX($BJ$7:$BJ$29), AH156)), $BK$7:$BK$29, "Error", 0)</f>
        <v/>
      </c>
      <c r="AI157" s="171">
        <f>_xlfn.XLOOKUP(MIN(ABS($BJ$7:$BJ$29 - MEDIAN(MIN($BJ$7:$BJ$29), MAX($BJ$7:$BJ$29), AI156))), ABS($BJ$7:$BJ$29 - MEDIAN(MIN($BJ$7:$BJ$29), MAX($BJ$7:$BJ$29), AI156)), $BK$7:$BK$29, "Error", 0)</f>
        <v/>
      </c>
      <c r="AJ157" s="171">
        <f>_xlfn.XLOOKUP(MIN(ABS($BJ$7:$BJ$29 - MEDIAN(MIN($BJ$7:$BJ$29), MAX($BJ$7:$BJ$29), AJ156))), ABS($BJ$7:$BJ$29 - MEDIAN(MIN($BJ$7:$BJ$29), MAX($BJ$7:$BJ$29), AJ156)), $BK$7:$BK$29, "Error", 0)</f>
        <v/>
      </c>
      <c r="AK157" s="171">
        <f>_xlfn.XLOOKUP(MIN(ABS($BJ$7:$BJ$29 - MEDIAN(MIN($BJ$7:$BJ$29), MAX($BJ$7:$BJ$29), AK156))), ABS($BJ$7:$BJ$29 - MEDIAN(MIN($BJ$7:$BJ$29), MAX($BJ$7:$BJ$29), AK156)), $BK$7:$BK$29, "Error", 0)</f>
        <v/>
      </c>
      <c r="AL157" s="171">
        <f>_xlfn.XLOOKUP(MIN(ABS($BJ$7:$BJ$29 - MEDIAN(MIN($BJ$7:$BJ$29), MAX($BJ$7:$BJ$29), AL156))), ABS($BJ$7:$BJ$29 - MEDIAN(MIN($BJ$7:$BJ$29), MAX($BJ$7:$BJ$29), AL156)), $BK$7:$BK$29, "Error", 0)</f>
        <v/>
      </c>
      <c r="AM157" s="171">
        <f>_xlfn.XLOOKUP(MIN(ABS($BJ$7:$BJ$29 - MEDIAN(MIN($BJ$7:$BJ$29), MAX($BJ$7:$BJ$29), AM156))), ABS($BJ$7:$BJ$29 - MEDIAN(MIN($BJ$7:$BJ$29), MAX($BJ$7:$BJ$29), AM156)), $BK$7:$BK$29, "Error", 0)</f>
        <v/>
      </c>
      <c r="AN157" s="171">
        <f>_xlfn.XLOOKUP(MIN(ABS($BJ$7:$BJ$29 - MEDIAN(MIN($BJ$7:$BJ$29), MAX($BJ$7:$BJ$29), AN156))), ABS($BJ$7:$BJ$29 - MEDIAN(MIN($BJ$7:$BJ$29), MAX($BJ$7:$BJ$29), AN156)), $BK$7:$BK$29, "Error", 0)</f>
        <v/>
      </c>
      <c r="AO157" s="171">
        <f>_xlfn.XLOOKUP(MIN(ABS($BJ$7:$BJ$29 - MEDIAN(MIN($BJ$7:$BJ$29), MAX($BJ$7:$BJ$29), AO156))), ABS($BJ$7:$BJ$29 - MEDIAN(MIN($BJ$7:$BJ$29), MAX($BJ$7:$BJ$29), AO156)), $BK$7:$BK$29, "Error", 0)</f>
        <v/>
      </c>
      <c r="AP157" s="171">
        <f>_xlfn.XLOOKUP(MIN(ABS($BJ$7:$BJ$29 - MEDIAN(MIN($BJ$7:$BJ$29), MAX($BJ$7:$BJ$29), AP156))), ABS($BJ$7:$BJ$29 - MEDIAN(MIN($BJ$7:$BJ$29), MAX($BJ$7:$BJ$29), AP156)), $BK$7:$BK$29, "Error", 0)</f>
        <v/>
      </c>
      <c r="AQ157" s="171">
        <f>_xlfn.XLOOKUP(MIN(ABS($BJ$7:$BJ$29 - MEDIAN(MIN($BJ$7:$BJ$29), MAX($BJ$7:$BJ$29), AQ156))), ABS($BJ$7:$BJ$29 - MEDIAN(MIN($BJ$7:$BJ$29), MAX($BJ$7:$BJ$29), AQ156)), $BK$7:$BK$29, "Error", 0)</f>
        <v/>
      </c>
      <c r="AR157" s="171">
        <f>_xlfn.XLOOKUP(MIN(ABS($BJ$7:$BJ$29 - MEDIAN(MIN($BJ$7:$BJ$29), MAX($BJ$7:$BJ$29), AR156))), ABS($BJ$7:$BJ$29 - MEDIAN(MIN($BJ$7:$BJ$29), MAX($BJ$7:$BJ$29), AR156)), $BK$7:$BK$29, "Error", 0)</f>
        <v/>
      </c>
      <c r="AS157" s="171">
        <f>_xlfn.XLOOKUP(MIN(ABS($BJ$7:$BJ$29 - MEDIAN(MIN($BJ$7:$BJ$29), MAX($BJ$7:$BJ$29), AS156))), ABS($BJ$7:$BJ$29 - MEDIAN(MIN($BJ$7:$BJ$29), MAX($BJ$7:$BJ$29), AS156)), $BK$7:$BK$29, "Error", 0)</f>
        <v/>
      </c>
      <c r="AT157" s="171">
        <f>_xlfn.XLOOKUP(MIN(ABS($BJ$7:$BJ$29 - MEDIAN(MIN($BJ$7:$BJ$29), MAX($BJ$7:$BJ$29), AT156))), ABS($BJ$7:$BJ$29 - MEDIAN(MIN($BJ$7:$BJ$29), MAX($BJ$7:$BJ$29), AT156)), $BK$7:$BK$29, "Error", 0)</f>
        <v/>
      </c>
      <c r="AU157" s="171">
        <f>_xlfn.XLOOKUP(MIN(ABS($BJ$7:$BJ$29 - MEDIAN(MIN($BJ$7:$BJ$29), MAX($BJ$7:$BJ$29), AU156))), ABS($BJ$7:$BJ$29 - MEDIAN(MIN($BJ$7:$BJ$29), MAX($BJ$7:$BJ$29), AU156)), $BK$7:$BK$29, "Error", 0)</f>
        <v/>
      </c>
      <c r="AV157" s="206">
        <f>_xlfn.XLOOKUP(MIN(ABS($BJ$7:$BJ$29 - MEDIAN(MIN($BJ$7:$BJ$29), MAX($BJ$7:$BJ$29), AV156))), ABS($BJ$7:$BJ$29 - MEDIAN(MIN($BJ$7:$BJ$29), MAX($BJ$7:$BJ$29), AV156)), $BK$7:$BK$29, "Error", 0)</f>
        <v/>
      </c>
      <c r="AW157" s="184">
        <f>_xlfn.XLOOKUP(MIN(ABS($BJ$7:$BJ$29 - MEDIAN(MIN($BJ$7:$BJ$29), MAX($BJ$7:$BJ$29), AW156))), ABS($BJ$7:$BJ$29 - MEDIAN(MIN($BJ$7:$BJ$29), MAX($BJ$7:$BJ$29), AW156)), $BK$7:$BK$29, "Error", 0)</f>
        <v/>
      </c>
      <c r="AX157" s="184">
        <f>_xlfn.XLOOKUP(MIN(ABS($BJ$7:$BJ$29 - MEDIAN(MIN($BJ$7:$BJ$29), MAX($BJ$7:$BJ$29), AX156))), ABS($BJ$7:$BJ$29 - MEDIAN(MIN($BJ$7:$BJ$29), MAX($BJ$7:$BJ$29), AX156)), $BK$7:$BK$29, "Error", 0)</f>
        <v/>
      </c>
      <c r="AY157" s="184" t="n"/>
    </row>
    <row r="158" ht="44" customHeight="1">
      <c r="A158" s="305" t="inlineStr">
        <is>
          <t>AUD JPY</t>
        </is>
      </c>
      <c r="B158" s="200" t="inlineStr">
        <is>
          <t>All time High (CL)</t>
        </is>
      </c>
      <c r="C158" s="233" t="n">
        <v>732925.5687497556</v>
      </c>
      <c r="D158" s="233" t="n">
        <v>732925.5687497556</v>
      </c>
      <c r="E158" s="233" t="n">
        <v>732925.5687497556</v>
      </c>
      <c r="F158" s="233" t="n">
        <v>732925.5687497556</v>
      </c>
      <c r="G158" s="233" t="n">
        <v>732925.5687497556</v>
      </c>
      <c r="H158" s="233" t="n">
        <v>732925.5687497556</v>
      </c>
      <c r="I158" s="233" t="n">
        <v>732925.5687497556</v>
      </c>
      <c r="J158" s="233" t="n">
        <v>732925.5687497556</v>
      </c>
      <c r="K158" s="233" t="n">
        <v>732925.5687497556</v>
      </c>
      <c r="L158" s="233" t="n">
        <v>732925.5687497556</v>
      </c>
      <c r="M158" s="233" t="n">
        <v>732925.5687497556</v>
      </c>
      <c r="N158" s="233" t="n">
        <v>746650.6101409122</v>
      </c>
      <c r="O158" s="233" t="n">
        <v>752832.5585335493</v>
      </c>
      <c r="P158" s="233" t="n">
        <v>763030.5371171758</v>
      </c>
      <c r="Q158" s="233" t="n">
        <v>791392.1373574957</v>
      </c>
      <c r="R158" s="233" t="n">
        <v>828830.5557250977</v>
      </c>
      <c r="S158" s="233" t="n">
        <v>828830.5557250977</v>
      </c>
      <c r="T158" s="233" t="n">
        <v>845708.3179379329</v>
      </c>
      <c r="U158" s="233" t="n">
        <v>845708.3179379329</v>
      </c>
      <c r="V158" s="233" t="n">
        <v>845708.3179379329</v>
      </c>
      <c r="W158" s="233" t="n">
        <v>845708.3179379329</v>
      </c>
      <c r="X158" s="233" t="n">
        <v>845708.3179379329</v>
      </c>
      <c r="Y158" s="233" t="n">
        <v>867927.8616148978</v>
      </c>
      <c r="Z158" s="233" t="n">
        <v>867927.8616148978</v>
      </c>
      <c r="AA158" s="204" t="n">
        <v>867927.8616148978</v>
      </c>
      <c r="AB158" s="204" t="n">
        <v>867927.8616148978</v>
      </c>
      <c r="AC158" s="204" t="n">
        <v>867927.8616148978</v>
      </c>
      <c r="AD158" s="204" t="n">
        <v>867927.8616148978</v>
      </c>
      <c r="AE158" s="204" t="n">
        <v>867927.8616148978</v>
      </c>
      <c r="AF158" s="204" t="n">
        <v>867927.8616148978</v>
      </c>
      <c r="AG158" s="204" t="n">
        <v>867927.8616148978</v>
      </c>
      <c r="AH158" s="204" t="n">
        <v>878875.0646057129</v>
      </c>
      <c r="AI158" s="204" t="n">
        <v>883087.6062717587</v>
      </c>
      <c r="AJ158" s="204" t="n">
        <v>922421.7911759764</v>
      </c>
      <c r="AK158" s="204" t="n">
        <v>922421.7911759764</v>
      </c>
      <c r="AL158" s="204" t="n">
        <v>926426.646938324</v>
      </c>
      <c r="AM158" s="204" t="n">
        <v>978557.7222518921</v>
      </c>
      <c r="AN158" s="204" t="n">
        <v>1024163.199362904</v>
      </c>
      <c r="AO158" s="204" t="n">
        <v>1024163.199362904</v>
      </c>
      <c r="AP158" s="204" t="n">
        <v>1034775.039012909</v>
      </c>
      <c r="AQ158" s="204" t="n">
        <v>1034775.039012909</v>
      </c>
      <c r="AR158" s="204" t="n">
        <v>1034775.039012909</v>
      </c>
      <c r="AS158" s="204" t="n">
        <v>1041703.1718622</v>
      </c>
      <c r="AT158" s="204" t="n">
        <v>1068720.771161646</v>
      </c>
      <c r="AU158" s="204" t="n">
        <v>1068720.771161646</v>
      </c>
      <c r="AV158" s="200" t="n">
        <v>1068720.771161646</v>
      </c>
      <c r="AW158" s="184" t="n">
        <v>1068720.771161646</v>
      </c>
      <c r="AX158" s="184" t="n">
        <v>1068720.771161646</v>
      </c>
      <c r="AY158" s="184" t="n"/>
    </row>
    <row r="159" ht="22" customHeight="1">
      <c r="A159" s="303" t="n"/>
      <c r="B159" s="201" t="inlineStr">
        <is>
          <t>current price</t>
        </is>
      </c>
      <c r="C159" s="233" t="n">
        <v>688574.1862072572</v>
      </c>
      <c r="D159" s="233" t="n">
        <v>666923.5817069821</v>
      </c>
      <c r="E159" s="233" t="n">
        <v>642046.9967674688</v>
      </c>
      <c r="F159" s="233" t="n">
        <v>665719.7365817279</v>
      </c>
      <c r="G159" s="233" t="n">
        <v>646067.067319952</v>
      </c>
      <c r="H159" s="233" t="n">
        <v>690292.233472839</v>
      </c>
      <c r="I159" s="233" t="n">
        <v>694724.9908447266</v>
      </c>
      <c r="J159" s="233" t="n">
        <v>691417.4325131401</v>
      </c>
      <c r="K159" s="233" t="n">
        <v>676564.5632355995</v>
      </c>
      <c r="L159" s="233" t="n">
        <v>643800.3549500853</v>
      </c>
      <c r="M159" s="233" t="n">
        <v>689601.3760314509</v>
      </c>
      <c r="N159" s="233" t="n">
        <v>726460.3668976575</v>
      </c>
      <c r="O159" s="233" t="n">
        <v>746410.4473244324</v>
      </c>
      <c r="P159" s="233" t="n">
        <v>753094.5452271849</v>
      </c>
      <c r="Q159" s="233" t="n">
        <v>779059.612941213</v>
      </c>
      <c r="R159" s="233" t="n">
        <v>785953.4884036258</v>
      </c>
      <c r="S159" s="233" t="n">
        <v>801415.8111126646</v>
      </c>
      <c r="T159" s="233" t="n">
        <v>835564.3138694763</v>
      </c>
      <c r="U159" s="233" t="n">
        <v>808072.7998715267</v>
      </c>
      <c r="V159" s="233" t="n">
        <v>800141.6716210395</v>
      </c>
      <c r="W159" s="233" t="n">
        <v>816907.3451261967</v>
      </c>
      <c r="X159" s="233" t="n">
        <v>821695.6640625</v>
      </c>
      <c r="Y159" s="233" t="n">
        <v>822084.5125720948</v>
      </c>
      <c r="Z159" s="233" t="n">
        <v>796515.8377973512</v>
      </c>
      <c r="AA159" s="204" t="n">
        <v>817061.5751367062</v>
      </c>
      <c r="AB159" s="204" t="n">
        <v>763939.5721334964</v>
      </c>
      <c r="AC159" s="204" t="n">
        <v>737224.6573401615</v>
      </c>
      <c r="AD159" s="204" t="n">
        <v>738281.5188172236</v>
      </c>
      <c r="AE159" s="204" t="n">
        <v>781456.5170408934</v>
      </c>
      <c r="AF159" s="204" t="n">
        <v>806316.2109580263</v>
      </c>
      <c r="AG159" s="204" t="n">
        <v>841004.886546582</v>
      </c>
      <c r="AH159" s="204" t="n">
        <v>862815.7755922079</v>
      </c>
      <c r="AI159" s="204" t="n">
        <v>864979.0248472169</v>
      </c>
      <c r="AJ159" s="204" t="n">
        <v>896610.0632853508</v>
      </c>
      <c r="AK159" s="204" t="n">
        <v>879682.5224677473</v>
      </c>
      <c r="AL159" s="204" t="n">
        <v>912561.486184448</v>
      </c>
      <c r="AM159" s="204" t="n">
        <v>955354.1813826114</v>
      </c>
      <c r="AN159" s="204" t="n">
        <v>1018101.007572815</v>
      </c>
      <c r="AO159" s="204" t="n">
        <v>927985.205840528</v>
      </c>
      <c r="AP159" s="204" t="n">
        <v>989244.3661257327</v>
      </c>
      <c r="AQ159" s="204" t="n">
        <v>1000940.683647186</v>
      </c>
      <c r="AR159" s="204" t="n">
        <v>978228.1131985411</v>
      </c>
      <c r="AS159" s="204" t="n">
        <v>1009970.793333203</v>
      </c>
      <c r="AT159" s="204" t="n">
        <v>1040445.421417236</v>
      </c>
      <c r="AU159" s="204" t="n">
        <v>956901.9333648682</v>
      </c>
      <c r="AV159" s="201" t="n">
        <v>956901.9333648682</v>
      </c>
      <c r="AW159" s="184" t="n">
        <v>956901.9333648682</v>
      </c>
      <c r="AX159" s="184" t="n">
        <v>956901.9333648682</v>
      </c>
      <c r="AY159" s="184" t="n"/>
    </row>
    <row r="160" ht="22" customHeight="1">
      <c r="A160" s="303" t="n"/>
      <c r="B160" s="201" t="inlineStr">
        <is>
          <t>% CHANGE</t>
        </is>
      </c>
      <c r="C160" s="230">
        <f>+(C159-C158)/C158</f>
        <v/>
      </c>
      <c r="D160" s="230">
        <f>+(D159-D158)/D158</f>
        <v/>
      </c>
      <c r="E160" s="230">
        <f>+(E159-E158)/E158</f>
        <v/>
      </c>
      <c r="F160" s="230">
        <f>+(F159-F158)/F158</f>
        <v/>
      </c>
      <c r="G160" s="230">
        <f>+(G159-G158)/G158</f>
        <v/>
      </c>
      <c r="H160" s="230">
        <f>+(H159-H158)/H158</f>
        <v/>
      </c>
      <c r="I160" s="230">
        <f>+(I159-I158)/I158</f>
        <v/>
      </c>
      <c r="J160" s="230">
        <f>+(J159-J158)/J158</f>
        <v/>
      </c>
      <c r="K160" s="230">
        <f>+(K159-K158)/K158</f>
        <v/>
      </c>
      <c r="L160" s="230">
        <f>+(L159-L158)/L158</f>
        <v/>
      </c>
      <c r="M160" s="230">
        <f>+(M159-M158)/M158</f>
        <v/>
      </c>
      <c r="N160" s="230">
        <f>+(N159-N158)/N158</f>
        <v/>
      </c>
      <c r="O160" s="230">
        <f>+(O159-O158)/O158</f>
        <v/>
      </c>
      <c r="P160" s="230">
        <f>+(P159-P158)/P158</f>
        <v/>
      </c>
      <c r="Q160" s="230">
        <f>+(Q159-Q158)/Q158</f>
        <v/>
      </c>
      <c r="R160" s="230">
        <f>+(R159-R158)/R158</f>
        <v/>
      </c>
      <c r="S160" s="230">
        <f>+(S159-S158)/S158</f>
        <v/>
      </c>
      <c r="T160" s="230">
        <f>+(T159-T158)/T158</f>
        <v/>
      </c>
      <c r="U160" s="230">
        <f>+(U159-U158)/U158</f>
        <v/>
      </c>
      <c r="V160" s="230">
        <f>+(V159-V158)/V158</f>
        <v/>
      </c>
      <c r="W160" s="230">
        <f>+(W159-W158)/W158</f>
        <v/>
      </c>
      <c r="X160" s="230">
        <f>+(X159-X158)/X158</f>
        <v/>
      </c>
      <c r="Y160" s="230">
        <f>+(Y159-Y158)/Y158</f>
        <v/>
      </c>
      <c r="Z160" s="230">
        <f>+(Z159-Z158)/Z158</f>
        <v/>
      </c>
      <c r="AA160" s="230">
        <f>+(AA159-AA158)/AA158</f>
        <v/>
      </c>
      <c r="AB160" s="205">
        <f>+(AB159-AB158)/AB158</f>
        <v/>
      </c>
      <c r="AC160" s="205">
        <f>+(AC159-AC158)/AC158</f>
        <v/>
      </c>
      <c r="AD160" s="205">
        <f>+(AD159-AD158)/AD158</f>
        <v/>
      </c>
      <c r="AE160" s="205">
        <f>+(AE159-AE158)/AE158</f>
        <v/>
      </c>
      <c r="AF160" s="205">
        <f>+(AF159-AF158)/AF158</f>
        <v/>
      </c>
      <c r="AG160" s="205">
        <f>+(AG159-AG158)/AG158</f>
        <v/>
      </c>
      <c r="AH160" s="205">
        <f>+(AH159-AH158)/AH158</f>
        <v/>
      </c>
      <c r="AI160" s="205">
        <f>+(AI159-AI158)/AI158</f>
        <v/>
      </c>
      <c r="AJ160" s="205">
        <f>+(AJ159-AJ158)/AJ158</f>
        <v/>
      </c>
      <c r="AK160" s="205">
        <f>+(AK159-AK158)/AK158</f>
        <v/>
      </c>
      <c r="AL160" s="205">
        <f>+(AL159-AL158)/AL158</f>
        <v/>
      </c>
      <c r="AM160" s="205">
        <f>+(AM159-AM158)/AM158</f>
        <v/>
      </c>
      <c r="AN160" s="205">
        <f>+(AN159-AN158)/AN158</f>
        <v/>
      </c>
      <c r="AO160" s="205">
        <f>+(AO159-AO158)/AO158</f>
        <v/>
      </c>
      <c r="AP160" s="205">
        <f>+(AP159-AP158)/AP158</f>
        <v/>
      </c>
      <c r="AQ160" s="205">
        <f>+(AQ159-AQ158)/AQ158</f>
        <v/>
      </c>
      <c r="AR160" s="205">
        <f>+(AR159-AR158)/AR158</f>
        <v/>
      </c>
      <c r="AS160" s="205">
        <f>+(AS159-AS158)/AS158</f>
        <v/>
      </c>
      <c r="AT160" s="205">
        <f>+(AT159-AT158)/AT158</f>
        <v/>
      </c>
      <c r="AU160" s="205">
        <f>+(AU159-AU158)/AU158</f>
        <v/>
      </c>
      <c r="AV160" s="201">
        <f>+(AV159-AV158)/AV158</f>
        <v/>
      </c>
      <c r="AW160" s="184">
        <f>+(AW159-AW158)/AW158</f>
        <v/>
      </c>
      <c r="AX160" s="184">
        <f>+(AX159-AX158)/AX158</f>
        <v/>
      </c>
      <c r="AY160" s="184" t="n"/>
    </row>
    <row r="161" ht="44" customHeight="1">
      <c r="A161" s="303" t="n"/>
      <c r="B161" s="201" t="inlineStr">
        <is>
          <t>All time High ASX200</t>
        </is>
      </c>
      <c r="C161" s="233" t="n">
        <v>7632.7998046875</v>
      </c>
      <c r="D161" s="233" t="n">
        <v>7632.7998046875</v>
      </c>
      <c r="E161" s="233" t="n">
        <v>7632.7998046875</v>
      </c>
      <c r="F161" s="233" t="n">
        <v>7632.7998046875</v>
      </c>
      <c r="G161" s="233" t="n">
        <v>7632.7998046875</v>
      </c>
      <c r="H161" s="233" t="n">
        <v>7632.7998046875</v>
      </c>
      <c r="I161" s="233" t="n">
        <v>7632.7998046875</v>
      </c>
      <c r="J161" s="233" t="n">
        <v>7632.7998046875</v>
      </c>
      <c r="K161" s="233" t="n">
        <v>7632.7998046875</v>
      </c>
      <c r="L161" s="233" t="n">
        <v>7632.7998046875</v>
      </c>
      <c r="M161" s="233" t="n">
        <v>7632.7998046875</v>
      </c>
      <c r="N161" s="233" t="n">
        <v>7632.7998046875</v>
      </c>
      <c r="O161" s="233" t="n">
        <v>7682.2998046875</v>
      </c>
      <c r="P161" s="233" t="n">
        <v>7703.7998046875</v>
      </c>
      <c r="Q161" s="233" t="n">
        <v>7901.2001953125</v>
      </c>
      <c r="R161" s="233" t="n">
        <v>7901.2001953125</v>
      </c>
      <c r="S161" s="233" t="n">
        <v>7901.2001953125</v>
      </c>
      <c r="T161" s="233" t="n">
        <v>7901.2001953125</v>
      </c>
      <c r="U161" s="233" t="n">
        <v>8092.2998046875</v>
      </c>
      <c r="V161" s="233" t="n">
        <v>8092.2998046875</v>
      </c>
      <c r="W161" s="233" t="n">
        <v>8285.7001953125</v>
      </c>
      <c r="X161" s="233" t="n">
        <v>8285.7001953125</v>
      </c>
      <c r="Y161" s="233" t="n">
        <v>8477.099609375</v>
      </c>
      <c r="Z161" s="233" t="n">
        <v>8477.099609375</v>
      </c>
      <c r="AA161" s="231" t="n">
        <v>8566.900390625</v>
      </c>
      <c r="AB161" s="203" t="n">
        <v>8566.900390625</v>
      </c>
      <c r="AC161" s="203" t="n">
        <v>8566.900390625</v>
      </c>
      <c r="AD161" s="203" t="n">
        <v>8566.900390625</v>
      </c>
      <c r="AE161" s="203" t="n">
        <v>8566.900390625</v>
      </c>
      <c r="AF161" s="203" t="n">
        <v>8639.099609375</v>
      </c>
      <c r="AG161" s="203" t="n">
        <v>8776.400390625</v>
      </c>
      <c r="AH161" s="203" t="n">
        <v>9054.5</v>
      </c>
      <c r="AI161" s="203" t="n">
        <v>9054.5</v>
      </c>
      <c r="AJ161" s="203" t="n">
        <v>9115.2001953125</v>
      </c>
      <c r="AK161" s="203" t="n">
        <v>9115.2001953125</v>
      </c>
      <c r="AL161" s="203" t="n">
        <v>9115.2001953125</v>
      </c>
      <c r="AM161" s="203" t="n">
        <v>9115.2001953125</v>
      </c>
      <c r="AN161" s="203" t="n">
        <v>9202.900390625</v>
      </c>
      <c r="AO161" s="203" t="n">
        <v>9202.900390625</v>
      </c>
      <c r="AP161" s="203" t="n">
        <v>9202.900390625</v>
      </c>
      <c r="AQ161" s="203" t="n">
        <v>9202.900390625</v>
      </c>
      <c r="AR161" s="203" t="n">
        <v>9202.900390625</v>
      </c>
      <c r="AS161" s="203" t="n">
        <v>9202.900390625</v>
      </c>
      <c r="AT161" s="203" t="n">
        <v>9296.7001953125</v>
      </c>
      <c r="AU161" s="203" t="n">
        <v>9296.7001953125</v>
      </c>
      <c r="AV161" s="201" t="n">
        <v>9296.7001953125</v>
      </c>
      <c r="AW161" s="184" t="n">
        <v>9296.7001953125</v>
      </c>
      <c r="AX161" s="184" t="n">
        <v>9296.7001953125</v>
      </c>
      <c r="AY161" s="184" t="n"/>
    </row>
    <row r="162" ht="44" customHeight="1">
      <c r="A162" s="303" t="n"/>
      <c r="B162" s="201" t="inlineStr">
        <is>
          <t>current price ASX200</t>
        </is>
      </c>
      <c r="C162" s="233" t="n">
        <v>7476.7001953125</v>
      </c>
      <c r="D162" s="233" t="n">
        <v>7258.39990234375</v>
      </c>
      <c r="E162" s="233" t="n">
        <v>7177.7998046875</v>
      </c>
      <c r="F162" s="233" t="n">
        <v>7309.2001953125</v>
      </c>
      <c r="G162" s="233" t="n">
        <v>7091.2998046875</v>
      </c>
      <c r="H162" s="233" t="n">
        <v>7203.2998046875</v>
      </c>
      <c r="I162" s="233" t="n">
        <v>7410.39990234375</v>
      </c>
      <c r="J162" s="233" t="n">
        <v>7305.2998046875</v>
      </c>
      <c r="K162" s="233" t="n">
        <v>7048.60009765625</v>
      </c>
      <c r="L162" s="233" t="n">
        <v>6780.7001953125</v>
      </c>
      <c r="M162" s="233" t="n">
        <v>7087.2998046875</v>
      </c>
      <c r="N162" s="233" t="n">
        <v>7590.7998046875</v>
      </c>
      <c r="O162" s="233" t="n">
        <v>7680.7001953125</v>
      </c>
      <c r="P162" s="233" t="n">
        <v>7698.7001953125</v>
      </c>
      <c r="Q162" s="233" t="n">
        <v>7896.89990234375</v>
      </c>
      <c r="R162" s="233" t="n">
        <v>7664.10009765625</v>
      </c>
      <c r="S162" s="233" t="n">
        <v>7701.7001953125</v>
      </c>
      <c r="T162" s="233" t="n">
        <v>7767.5</v>
      </c>
      <c r="U162" s="233" t="n">
        <v>8092.2998046875</v>
      </c>
      <c r="V162" s="233" t="n">
        <v>8091.89990234375</v>
      </c>
      <c r="W162" s="233" t="n">
        <v>8269.7998046875</v>
      </c>
      <c r="X162" s="233" t="n">
        <v>8160</v>
      </c>
      <c r="Y162" s="233" t="n">
        <v>8436.2001953125</v>
      </c>
      <c r="Z162" s="233" t="n">
        <v>8159.10009765625</v>
      </c>
      <c r="AA162" s="231" t="n">
        <v>8532.2998046875</v>
      </c>
      <c r="AB162" s="203" t="n">
        <v>8172.39990234375</v>
      </c>
      <c r="AC162" s="203" t="n">
        <v>7843.39990234375</v>
      </c>
      <c r="AD162" s="203" t="n">
        <v>8126.2001953125</v>
      </c>
      <c r="AE162" s="203" t="n">
        <v>8434.7001953125</v>
      </c>
      <c r="AF162" s="203" t="n">
        <v>8542.2998046875</v>
      </c>
      <c r="AG162" s="203" t="n">
        <v>8742.7998046875</v>
      </c>
      <c r="AH162" s="203" t="n">
        <v>8973.099609375</v>
      </c>
      <c r="AI162" s="203" t="n">
        <v>8848.7998046875</v>
      </c>
      <c r="AJ162" s="203" t="n">
        <v>8881.900390625</v>
      </c>
      <c r="AK162" s="203" t="n">
        <v>8614.099609375</v>
      </c>
      <c r="AL162" s="203" t="n">
        <v>8714.2998046875</v>
      </c>
      <c r="AM162" s="203" t="n">
        <v>8869.099609375</v>
      </c>
      <c r="AN162" s="203" t="n">
        <v>9198.599609375</v>
      </c>
      <c r="AO162" s="203" t="n">
        <v>8481.7998046875</v>
      </c>
      <c r="AP162" s="203" t="n">
        <v>8665.7998046875</v>
      </c>
      <c r="AQ162" s="203" t="n">
        <v>8731.7001953125</v>
      </c>
      <c r="AR162" s="203" t="n">
        <v>8778.7001953125</v>
      </c>
      <c r="AS162" s="203" t="n">
        <v>8976.7998046875</v>
      </c>
      <c r="AT162" s="203" t="n">
        <v>9076</v>
      </c>
      <c r="AU162" s="203" t="n">
        <v>8665</v>
      </c>
      <c r="AV162" s="201" t="n">
        <v>8665</v>
      </c>
      <c r="AW162" s="184" t="n">
        <v>8665</v>
      </c>
      <c r="AX162" s="184" t="n">
        <v>8665</v>
      </c>
      <c r="AY162" s="184" t="n"/>
    </row>
    <row r="163" ht="44" customHeight="1">
      <c r="A163" s="303" t="n"/>
      <c r="B163" s="201" t="inlineStr">
        <is>
          <t>original index % change</t>
        </is>
      </c>
      <c r="C163" s="230">
        <f>+(C162-C161)/C161</f>
        <v/>
      </c>
      <c r="D163" s="230">
        <f>+(D162-D161)/D161</f>
        <v/>
      </c>
      <c r="E163" s="230">
        <f>+(E162-E161)/E161</f>
        <v/>
      </c>
      <c r="F163" s="230">
        <f>+(F162-F161)/F161</f>
        <v/>
      </c>
      <c r="G163" s="230">
        <f>+(G162-G161)/G161</f>
        <v/>
      </c>
      <c r="H163" s="230">
        <f>+(H162-H161)/H161</f>
        <v/>
      </c>
      <c r="I163" s="230">
        <f>+(I162-I161)/I161</f>
        <v/>
      </c>
      <c r="J163" s="230">
        <f>+(J162-J161)/J161</f>
        <v/>
      </c>
      <c r="K163" s="230">
        <f>+(K162-K161)/K161</f>
        <v/>
      </c>
      <c r="L163" s="230">
        <f>+(L162-L161)/L161</f>
        <v/>
      </c>
      <c r="M163" s="230">
        <f>+(M162-M161)/M161</f>
        <v/>
      </c>
      <c r="N163" s="230">
        <f>+(N162-N161)/N161</f>
        <v/>
      </c>
      <c r="O163" s="230">
        <f>+(O162-O161)/O161</f>
        <v/>
      </c>
      <c r="P163" s="230">
        <f>+(P162-P161)/P161</f>
        <v/>
      </c>
      <c r="Q163" s="230">
        <f>+(Q162-Q161)/Q161</f>
        <v/>
      </c>
      <c r="R163" s="230">
        <f>+(R162-R161)/R161</f>
        <v/>
      </c>
      <c r="S163" s="230">
        <f>+(S162-S161)/S161</f>
        <v/>
      </c>
      <c r="T163" s="230">
        <f>+(T162-T161)/T161</f>
        <v/>
      </c>
      <c r="U163" s="230">
        <f>+(U162-U161)/U161</f>
        <v/>
      </c>
      <c r="V163" s="230">
        <f>+(V162-V161)/V161</f>
        <v/>
      </c>
      <c r="W163" s="230">
        <f>+(W162-W161)/W161</f>
        <v/>
      </c>
      <c r="X163" s="230">
        <f>+(X162-X161)/X161</f>
        <v/>
      </c>
      <c r="Y163" s="230">
        <f>+(Y162-Y161)/Y161</f>
        <v/>
      </c>
      <c r="Z163" s="230">
        <f>+(Z162-Z161)/Z161</f>
        <v/>
      </c>
      <c r="AA163" s="230">
        <f>+(AA162-AA161)/AA161</f>
        <v/>
      </c>
      <c r="AB163" s="205">
        <f>+(AB162-AB161)/AB161</f>
        <v/>
      </c>
      <c r="AC163" s="205">
        <f>+(AC162-AC161)/AC161</f>
        <v/>
      </c>
      <c r="AD163" s="205">
        <f>+(AD162-AD161)/AD161</f>
        <v/>
      </c>
      <c r="AE163" s="205">
        <f>+(AE162-AE161)/AE161</f>
        <v/>
      </c>
      <c r="AF163" s="205">
        <f>+(AF162-AF161)/AF161</f>
        <v/>
      </c>
      <c r="AG163" s="205">
        <f>+(AG162-AG161)/AG161</f>
        <v/>
      </c>
      <c r="AH163" s="205">
        <f>+(AH162-AH161)/AH161</f>
        <v/>
      </c>
      <c r="AI163" s="205">
        <f>+(AI162-AI161)/AI161</f>
        <v/>
      </c>
      <c r="AJ163" s="205">
        <f>+(AJ162-AJ161)/AJ161</f>
        <v/>
      </c>
      <c r="AK163" s="205">
        <f>+(AK162-AK161)/AK161</f>
        <v/>
      </c>
      <c r="AL163" s="205">
        <f>+(AL162-AL161)/AL161</f>
        <v/>
      </c>
      <c r="AM163" s="205">
        <f>+(AM162-AM161)/AM161</f>
        <v/>
      </c>
      <c r="AN163" s="205">
        <f>+(AN162-AN161)/AN161</f>
        <v/>
      </c>
      <c r="AO163" s="205">
        <f>+(AO162-AO161)/AO161</f>
        <v/>
      </c>
      <c r="AP163" s="205">
        <f>+(AP162-AP161)/AP161</f>
        <v/>
      </c>
      <c r="AQ163" s="205">
        <f>+(AQ162-AQ161)/AQ161</f>
        <v/>
      </c>
      <c r="AR163" s="205">
        <f>+(AR162-AR161)/AR161</f>
        <v/>
      </c>
      <c r="AS163" s="205">
        <f>+(AS162-AS161)/AS161</f>
        <v/>
      </c>
      <c r="AT163" s="205">
        <f>+(AT162-AT161)/AT161</f>
        <v/>
      </c>
      <c r="AU163" s="205">
        <f>+(AU162-AU161)/AU161</f>
        <v/>
      </c>
      <c r="AV163" s="201">
        <f>+(AV162-AV161)/AV161</f>
        <v/>
      </c>
      <c r="AW163" s="184">
        <f>+(AW162-AW161)/AW161</f>
        <v/>
      </c>
      <c r="AX163" s="184">
        <f>+(AX162-AX161)/AX161</f>
        <v/>
      </c>
      <c r="AY163" s="184" t="n"/>
    </row>
    <row r="164" ht="22" customHeight="1">
      <c r="A164" s="303" t="n"/>
      <c r="B164" s="201" t="inlineStr">
        <is>
          <t>real % change</t>
        </is>
      </c>
      <c r="C164" s="230">
        <f>+C160-C163</f>
        <v/>
      </c>
      <c r="D164" s="230">
        <f>+D160-D163</f>
        <v/>
      </c>
      <c r="E164" s="230">
        <f>+E160-E163</f>
        <v/>
      </c>
      <c r="F164" s="230">
        <f>+F160-F163</f>
        <v/>
      </c>
      <c r="G164" s="230">
        <f>+G160-G163</f>
        <v/>
      </c>
      <c r="H164" s="230">
        <f>+H160-H163</f>
        <v/>
      </c>
      <c r="I164" s="230">
        <f>+I160-I163</f>
        <v/>
      </c>
      <c r="J164" s="230">
        <f>+J160-J163</f>
        <v/>
      </c>
      <c r="K164" s="230">
        <f>+K160-K163</f>
        <v/>
      </c>
      <c r="L164" s="230">
        <f>+L160-L163</f>
        <v/>
      </c>
      <c r="M164" s="230">
        <f>+M160-M163</f>
        <v/>
      </c>
      <c r="N164" s="230">
        <f>+N160-N163</f>
        <v/>
      </c>
      <c r="O164" s="230">
        <f>+O160-O163</f>
        <v/>
      </c>
      <c r="P164" s="230">
        <f>+P160-P163</f>
        <v/>
      </c>
      <c r="Q164" s="230">
        <f>+Q160-Q163</f>
        <v/>
      </c>
      <c r="R164" s="230">
        <f>+R160-R163</f>
        <v/>
      </c>
      <c r="S164" s="230">
        <f>+S160-S163</f>
        <v/>
      </c>
      <c r="T164" s="230">
        <f>+T160-T163</f>
        <v/>
      </c>
      <c r="U164" s="230">
        <f>+U160-U163</f>
        <v/>
      </c>
      <c r="V164" s="230">
        <f>+V160-V163</f>
        <v/>
      </c>
      <c r="W164" s="230">
        <f>+W160-W163</f>
        <v/>
      </c>
      <c r="X164" s="230">
        <f>+X160-X163</f>
        <v/>
      </c>
      <c r="Y164" s="230">
        <f>+Y160-Y163</f>
        <v/>
      </c>
      <c r="Z164" s="230">
        <f>+Z160-Z163</f>
        <v/>
      </c>
      <c r="AA164" s="230">
        <f>+AA160-AA163</f>
        <v/>
      </c>
      <c r="AB164" s="205">
        <f>+AB160-AB163</f>
        <v/>
      </c>
      <c r="AC164" s="205">
        <f>+AC160-AC163</f>
        <v/>
      </c>
      <c r="AD164" s="205">
        <f>+AD160-AD163</f>
        <v/>
      </c>
      <c r="AE164" s="205">
        <f>+AE160-AE163</f>
        <v/>
      </c>
      <c r="AF164" s="205">
        <f>+AF160-AF163</f>
        <v/>
      </c>
      <c r="AG164" s="205">
        <f>+AG160-AG163</f>
        <v/>
      </c>
      <c r="AH164" s="205">
        <f>+AH160-AH163</f>
        <v/>
      </c>
      <c r="AI164" s="205">
        <f>+AI160-AI163</f>
        <v/>
      </c>
      <c r="AJ164" s="205">
        <f>+AJ160-AJ163</f>
        <v/>
      </c>
      <c r="AK164" s="205">
        <f>+AK160-AK163</f>
        <v/>
      </c>
      <c r="AL164" s="205">
        <f>+AL160-AL163</f>
        <v/>
      </c>
      <c r="AM164" s="205">
        <f>+AM160-AM163</f>
        <v/>
      </c>
      <c r="AN164" s="205">
        <f>+AN160-AN163</f>
        <v/>
      </c>
      <c r="AO164" s="205">
        <f>+AO160-AO163</f>
        <v/>
      </c>
      <c r="AP164" s="205">
        <f>+AP160-AP163</f>
        <v/>
      </c>
      <c r="AQ164" s="205">
        <f>+AQ160-AQ163</f>
        <v/>
      </c>
      <c r="AR164" s="205">
        <f>+AR160-AR163</f>
        <v/>
      </c>
      <c r="AS164" s="205">
        <f>+AS160-AS163</f>
        <v/>
      </c>
      <c r="AT164" s="205">
        <f>+AT160-AT163</f>
        <v/>
      </c>
      <c r="AU164" s="205">
        <f>+AU160-AU163</f>
        <v/>
      </c>
      <c r="AV164" s="201">
        <f>+AV160-AV163</f>
        <v/>
      </c>
      <c r="AW164" s="184">
        <f>+AW160-AW163</f>
        <v/>
      </c>
      <c r="AX164" s="184">
        <f>+AX160-AX163</f>
        <v/>
      </c>
      <c r="AY164" s="184" t="n"/>
    </row>
    <row r="165" ht="22" customHeight="1">
      <c r="A165" s="304" t="n"/>
      <c r="B165" s="206" t="inlineStr">
        <is>
          <t>Rating</t>
        </is>
      </c>
      <c r="C165" s="232">
        <f>_xlfn.XLOOKUP(MIN(ABS($BJ$7:$BJ$29 - MEDIAN(MIN($BJ$7:$BJ$29), MAX($BJ$7:$BJ$29), C164))), ABS($BJ$7:$BJ$29 - MEDIAN(MIN($BJ$7:$BJ$29), MAX($BJ$7:$BJ$29), C164)), $BK$7:$BK$29, "Error", 0)</f>
        <v/>
      </c>
      <c r="D165" s="232">
        <f>_xlfn.XLOOKUP(MIN(ABS($BJ$7:$BJ$29 - MEDIAN(MIN($BJ$7:$BJ$29), MAX($BJ$7:$BJ$29), D164))), ABS($BJ$7:$BJ$29 - MEDIAN(MIN($BJ$7:$BJ$29), MAX($BJ$7:$BJ$29), D164)), $BK$7:$BK$29, "Error", 0)</f>
        <v/>
      </c>
      <c r="E165" s="232">
        <f>_xlfn.XLOOKUP(MIN(ABS($BJ$7:$BJ$29 - MEDIAN(MIN($BJ$7:$BJ$29), MAX($BJ$7:$BJ$29), E164))), ABS($BJ$7:$BJ$29 - MEDIAN(MIN($BJ$7:$BJ$29), MAX($BJ$7:$BJ$29), E164)), $BK$7:$BK$29, "Error", 0)</f>
        <v/>
      </c>
      <c r="F165" s="232">
        <f>_xlfn.XLOOKUP(MIN(ABS($BJ$7:$BJ$29 - MEDIAN(MIN($BJ$7:$BJ$29), MAX($BJ$7:$BJ$29), F164))), ABS($BJ$7:$BJ$29 - MEDIAN(MIN($BJ$7:$BJ$29), MAX($BJ$7:$BJ$29), F164)), $BK$7:$BK$29, "Error", 0)</f>
        <v/>
      </c>
      <c r="G165" s="232">
        <f>_xlfn.XLOOKUP(MIN(ABS($BJ$7:$BJ$29 - MEDIAN(MIN($BJ$7:$BJ$29), MAX($BJ$7:$BJ$29), G164))), ABS($BJ$7:$BJ$29 - MEDIAN(MIN($BJ$7:$BJ$29), MAX($BJ$7:$BJ$29), G164)), $BK$7:$BK$29, "Error", 0)</f>
        <v/>
      </c>
      <c r="H165" s="232">
        <f>_xlfn.XLOOKUP(MIN(ABS($BJ$7:$BJ$29 - MEDIAN(MIN($BJ$7:$BJ$29), MAX($BJ$7:$BJ$29), H164))), ABS($BJ$7:$BJ$29 - MEDIAN(MIN($BJ$7:$BJ$29), MAX($BJ$7:$BJ$29), H164)), $BK$7:$BK$29, "Error", 0)</f>
        <v/>
      </c>
      <c r="I165" s="232">
        <f>_xlfn.XLOOKUP(MIN(ABS($BJ$7:$BJ$29 - MEDIAN(MIN($BJ$7:$BJ$29), MAX($BJ$7:$BJ$29), I164))), ABS($BJ$7:$BJ$29 - MEDIAN(MIN($BJ$7:$BJ$29), MAX($BJ$7:$BJ$29), I164)), $BK$7:$BK$29, "Error", 0)</f>
        <v/>
      </c>
      <c r="J165" s="232">
        <f>_xlfn.XLOOKUP(MIN(ABS($BJ$7:$BJ$29 - MEDIAN(MIN($BJ$7:$BJ$29), MAX($BJ$7:$BJ$29), J164))), ABS($BJ$7:$BJ$29 - MEDIAN(MIN($BJ$7:$BJ$29), MAX($BJ$7:$BJ$29), J164)), $BK$7:$BK$29, "Error", 0)</f>
        <v/>
      </c>
      <c r="K165" s="232">
        <f>_xlfn.XLOOKUP(MIN(ABS($BJ$7:$BJ$29 - MEDIAN(MIN($BJ$7:$BJ$29), MAX($BJ$7:$BJ$29), K164))), ABS($BJ$7:$BJ$29 - MEDIAN(MIN($BJ$7:$BJ$29), MAX($BJ$7:$BJ$29), K164)), $BK$7:$BK$29, "Error", 0)</f>
        <v/>
      </c>
      <c r="L165" s="232">
        <f>_xlfn.XLOOKUP(MIN(ABS($BJ$7:$BJ$29 - MEDIAN(MIN($BJ$7:$BJ$29), MAX($BJ$7:$BJ$29), L164))), ABS($BJ$7:$BJ$29 - MEDIAN(MIN($BJ$7:$BJ$29), MAX($BJ$7:$BJ$29), L164)), $BK$7:$BK$29, "Error", 0)</f>
        <v/>
      </c>
      <c r="M165" s="232">
        <f>_xlfn.XLOOKUP(MIN(ABS($BJ$7:$BJ$29 - MEDIAN(MIN($BJ$7:$BJ$29), MAX($BJ$7:$BJ$29), M164))), ABS($BJ$7:$BJ$29 - MEDIAN(MIN($BJ$7:$BJ$29), MAX($BJ$7:$BJ$29), M164)), $BK$7:$BK$29, "Error", 0)</f>
        <v/>
      </c>
      <c r="N165" s="232">
        <f>_xlfn.XLOOKUP(MIN(ABS($BJ$7:$BJ$29 - MEDIAN(MIN($BJ$7:$BJ$29), MAX($BJ$7:$BJ$29), N164))), ABS($BJ$7:$BJ$29 - MEDIAN(MIN($BJ$7:$BJ$29), MAX($BJ$7:$BJ$29), N164)), $BK$7:$BK$29, "Error", 0)</f>
        <v/>
      </c>
      <c r="O165" s="232">
        <f>_xlfn.XLOOKUP(MIN(ABS($BJ$7:$BJ$29 - MEDIAN(MIN($BJ$7:$BJ$29), MAX($BJ$7:$BJ$29), O164))), ABS($BJ$7:$BJ$29 - MEDIAN(MIN($BJ$7:$BJ$29), MAX($BJ$7:$BJ$29), O164)), $BK$7:$BK$29, "Error", 0)</f>
        <v/>
      </c>
      <c r="P165" s="232">
        <f>_xlfn.XLOOKUP(MIN(ABS($BJ$7:$BJ$29 - MEDIAN(MIN($BJ$7:$BJ$29), MAX($BJ$7:$BJ$29), P164))), ABS($BJ$7:$BJ$29 - MEDIAN(MIN($BJ$7:$BJ$29), MAX($BJ$7:$BJ$29), P164)), $BK$7:$BK$29, "Error", 0)</f>
        <v/>
      </c>
      <c r="Q165" s="232">
        <f>_xlfn.XLOOKUP(MIN(ABS($BJ$7:$BJ$29 - MEDIAN(MIN($BJ$7:$BJ$29), MAX($BJ$7:$BJ$29), Q164))), ABS($BJ$7:$BJ$29 - MEDIAN(MIN($BJ$7:$BJ$29), MAX($BJ$7:$BJ$29), Q164)), $BK$7:$BK$29, "Error", 0)</f>
        <v/>
      </c>
      <c r="R165" s="232">
        <f>_xlfn.XLOOKUP(MIN(ABS($BJ$7:$BJ$29 - MEDIAN(MIN($BJ$7:$BJ$29), MAX($BJ$7:$BJ$29), R164))), ABS($BJ$7:$BJ$29 - MEDIAN(MIN($BJ$7:$BJ$29), MAX($BJ$7:$BJ$29), R164)), $BK$7:$BK$29, "Error", 0)</f>
        <v/>
      </c>
      <c r="S165" s="232">
        <f>_xlfn.XLOOKUP(MIN(ABS($BJ$7:$BJ$29 - MEDIAN(MIN($BJ$7:$BJ$29), MAX($BJ$7:$BJ$29), S164))), ABS($BJ$7:$BJ$29 - MEDIAN(MIN($BJ$7:$BJ$29), MAX($BJ$7:$BJ$29), S164)), $BK$7:$BK$29, "Error", 0)</f>
        <v/>
      </c>
      <c r="T165" s="232">
        <f>_xlfn.XLOOKUP(MIN(ABS($BJ$7:$BJ$29 - MEDIAN(MIN($BJ$7:$BJ$29), MAX($BJ$7:$BJ$29), T164))), ABS($BJ$7:$BJ$29 - MEDIAN(MIN($BJ$7:$BJ$29), MAX($BJ$7:$BJ$29), T164)), $BK$7:$BK$29, "Error", 0)</f>
        <v/>
      </c>
      <c r="U165" s="232">
        <f>_xlfn.XLOOKUP(MIN(ABS($BJ$7:$BJ$29 - MEDIAN(MIN($BJ$7:$BJ$29), MAX($BJ$7:$BJ$29), U164))), ABS($BJ$7:$BJ$29 - MEDIAN(MIN($BJ$7:$BJ$29), MAX($BJ$7:$BJ$29), U164)), $BK$7:$BK$29, "Error", 0)</f>
        <v/>
      </c>
      <c r="V165" s="232">
        <f>_xlfn.XLOOKUP(MIN(ABS($BJ$7:$BJ$29 - MEDIAN(MIN($BJ$7:$BJ$29), MAX($BJ$7:$BJ$29), V164))), ABS($BJ$7:$BJ$29 - MEDIAN(MIN($BJ$7:$BJ$29), MAX($BJ$7:$BJ$29), V164)), $BK$7:$BK$29, "Error", 0)</f>
        <v/>
      </c>
      <c r="W165" s="232">
        <f>_xlfn.XLOOKUP(MIN(ABS($BJ$7:$BJ$29 - MEDIAN(MIN($BJ$7:$BJ$29), MAX($BJ$7:$BJ$29), W164))), ABS($BJ$7:$BJ$29 - MEDIAN(MIN($BJ$7:$BJ$29), MAX($BJ$7:$BJ$29), W164)), $BK$7:$BK$29, "Error", 0)</f>
        <v/>
      </c>
      <c r="X165" s="232">
        <f>_xlfn.XLOOKUP(MIN(ABS($BJ$7:$BJ$29 - MEDIAN(MIN($BJ$7:$BJ$29), MAX($BJ$7:$BJ$29), X164))), ABS($BJ$7:$BJ$29 - MEDIAN(MIN($BJ$7:$BJ$29), MAX($BJ$7:$BJ$29), X164)), $BK$7:$BK$29, "Error", 0)</f>
        <v/>
      </c>
      <c r="Y165" s="232">
        <f>_xlfn.XLOOKUP(MIN(ABS($BJ$7:$BJ$29 - MEDIAN(MIN($BJ$7:$BJ$29), MAX($BJ$7:$BJ$29), Y164))), ABS($BJ$7:$BJ$29 - MEDIAN(MIN($BJ$7:$BJ$29), MAX($BJ$7:$BJ$29), Y164)), $BK$7:$BK$29, "Error", 0)</f>
        <v/>
      </c>
      <c r="Z165" s="232">
        <f>_xlfn.XLOOKUP(MIN(ABS($BJ$7:$BJ$29 - MEDIAN(MIN($BJ$7:$BJ$29), MAX($BJ$7:$BJ$29), Z164))), ABS($BJ$7:$BJ$29 - MEDIAN(MIN($BJ$7:$BJ$29), MAX($BJ$7:$BJ$29), Z164)), $BK$7:$BK$29, "Error", 0)</f>
        <v/>
      </c>
      <c r="AA165" s="232">
        <f>_xlfn.XLOOKUP(MIN(ABS($BJ$7:$BJ$29 - MEDIAN(MIN($BJ$7:$BJ$29), MAX($BJ$7:$BJ$29), AA164))), ABS($BJ$7:$BJ$29 - MEDIAN(MIN($BJ$7:$BJ$29), MAX($BJ$7:$BJ$29), AA164)), $BK$7:$BK$29, "Error", 0)</f>
        <v/>
      </c>
      <c r="AB165" s="171">
        <f>_xlfn.XLOOKUP(MIN(ABS($BJ$7:$BJ$29 - MEDIAN(MIN($BJ$7:$BJ$29), MAX($BJ$7:$BJ$29), AB164))), ABS($BJ$7:$BJ$29 - MEDIAN(MIN($BJ$7:$BJ$29), MAX($BJ$7:$BJ$29), AB164)), $BK$7:$BK$29, "Error", 0)</f>
        <v/>
      </c>
      <c r="AC165" s="171">
        <f>_xlfn.XLOOKUP(MIN(ABS($BJ$7:$BJ$29 - MEDIAN(MIN($BJ$7:$BJ$29), MAX($BJ$7:$BJ$29), AC164))), ABS($BJ$7:$BJ$29 - MEDIAN(MIN($BJ$7:$BJ$29), MAX($BJ$7:$BJ$29), AC164)), $BK$7:$BK$29, "Error", 0)</f>
        <v/>
      </c>
      <c r="AD165" s="171">
        <f>_xlfn.XLOOKUP(MIN(ABS($BJ$7:$BJ$29 - MEDIAN(MIN($BJ$7:$BJ$29), MAX($BJ$7:$BJ$29), AD164))), ABS($BJ$7:$BJ$29 - MEDIAN(MIN($BJ$7:$BJ$29), MAX($BJ$7:$BJ$29), AD164)), $BK$7:$BK$29, "Error", 0)</f>
        <v/>
      </c>
      <c r="AE165" s="171">
        <f>_xlfn.XLOOKUP(MIN(ABS($BJ$7:$BJ$29 - MEDIAN(MIN($BJ$7:$BJ$29), MAX($BJ$7:$BJ$29), AE164))), ABS($BJ$7:$BJ$29 - MEDIAN(MIN($BJ$7:$BJ$29), MAX($BJ$7:$BJ$29), AE164)), $BK$7:$BK$29, "Error", 0)</f>
        <v/>
      </c>
      <c r="AF165" s="171">
        <f>_xlfn.XLOOKUP(MIN(ABS($BJ$7:$BJ$29 - MEDIAN(MIN($BJ$7:$BJ$29), MAX($BJ$7:$BJ$29), AF164))), ABS($BJ$7:$BJ$29 - MEDIAN(MIN($BJ$7:$BJ$29), MAX($BJ$7:$BJ$29), AF164)), $BK$7:$BK$29, "Error", 0)</f>
        <v/>
      </c>
      <c r="AG165" s="171">
        <f>_xlfn.XLOOKUP(MIN(ABS($BJ$7:$BJ$29 - MEDIAN(MIN($BJ$7:$BJ$29), MAX($BJ$7:$BJ$29), AG164))), ABS($BJ$7:$BJ$29 - MEDIAN(MIN($BJ$7:$BJ$29), MAX($BJ$7:$BJ$29), AG164)), $BK$7:$BK$29, "Error", 0)</f>
        <v/>
      </c>
      <c r="AH165" s="171">
        <f>_xlfn.XLOOKUP(MIN(ABS($BJ$7:$BJ$29 - MEDIAN(MIN($BJ$7:$BJ$29), MAX($BJ$7:$BJ$29), AH164))), ABS($BJ$7:$BJ$29 - MEDIAN(MIN($BJ$7:$BJ$29), MAX($BJ$7:$BJ$29), AH164)), $BK$7:$BK$29, "Error", 0)</f>
        <v/>
      </c>
      <c r="AI165" s="171">
        <f>_xlfn.XLOOKUP(MIN(ABS($BJ$7:$BJ$29 - MEDIAN(MIN($BJ$7:$BJ$29), MAX($BJ$7:$BJ$29), AI164))), ABS($BJ$7:$BJ$29 - MEDIAN(MIN($BJ$7:$BJ$29), MAX($BJ$7:$BJ$29), AI164)), $BK$7:$BK$29, "Error", 0)</f>
        <v/>
      </c>
      <c r="AJ165" s="171">
        <f>_xlfn.XLOOKUP(MIN(ABS($BJ$7:$BJ$29 - MEDIAN(MIN($BJ$7:$BJ$29), MAX($BJ$7:$BJ$29), AJ164))), ABS($BJ$7:$BJ$29 - MEDIAN(MIN($BJ$7:$BJ$29), MAX($BJ$7:$BJ$29), AJ164)), $BK$7:$BK$29, "Error", 0)</f>
        <v/>
      </c>
      <c r="AK165" s="171">
        <f>_xlfn.XLOOKUP(MIN(ABS($BJ$7:$BJ$29 - MEDIAN(MIN($BJ$7:$BJ$29), MAX($BJ$7:$BJ$29), AK164))), ABS($BJ$7:$BJ$29 - MEDIAN(MIN($BJ$7:$BJ$29), MAX($BJ$7:$BJ$29), AK164)), $BK$7:$BK$29, "Error", 0)</f>
        <v/>
      </c>
      <c r="AL165" s="171">
        <f>_xlfn.XLOOKUP(MIN(ABS($BJ$7:$BJ$29 - MEDIAN(MIN($BJ$7:$BJ$29), MAX($BJ$7:$BJ$29), AL164))), ABS($BJ$7:$BJ$29 - MEDIAN(MIN($BJ$7:$BJ$29), MAX($BJ$7:$BJ$29), AL164)), $BK$7:$BK$29, "Error", 0)</f>
        <v/>
      </c>
      <c r="AM165" s="171">
        <f>_xlfn.XLOOKUP(MIN(ABS($BJ$7:$BJ$29 - MEDIAN(MIN($BJ$7:$BJ$29), MAX($BJ$7:$BJ$29), AM164))), ABS($BJ$7:$BJ$29 - MEDIAN(MIN($BJ$7:$BJ$29), MAX($BJ$7:$BJ$29), AM164)), $BK$7:$BK$29, "Error", 0)</f>
        <v/>
      </c>
      <c r="AN165" s="171">
        <f>_xlfn.XLOOKUP(MIN(ABS($BJ$7:$BJ$29 - MEDIAN(MIN($BJ$7:$BJ$29), MAX($BJ$7:$BJ$29), AN164))), ABS($BJ$7:$BJ$29 - MEDIAN(MIN($BJ$7:$BJ$29), MAX($BJ$7:$BJ$29), AN164)), $BK$7:$BK$29, "Error", 0)</f>
        <v/>
      </c>
      <c r="AO165" s="171">
        <f>_xlfn.XLOOKUP(MIN(ABS($BJ$7:$BJ$29 - MEDIAN(MIN($BJ$7:$BJ$29), MAX($BJ$7:$BJ$29), AO164))), ABS($BJ$7:$BJ$29 - MEDIAN(MIN($BJ$7:$BJ$29), MAX($BJ$7:$BJ$29), AO164)), $BK$7:$BK$29, "Error", 0)</f>
        <v/>
      </c>
      <c r="AP165" s="171">
        <f>_xlfn.XLOOKUP(MIN(ABS($BJ$7:$BJ$29 - MEDIAN(MIN($BJ$7:$BJ$29), MAX($BJ$7:$BJ$29), AP164))), ABS($BJ$7:$BJ$29 - MEDIAN(MIN($BJ$7:$BJ$29), MAX($BJ$7:$BJ$29), AP164)), $BK$7:$BK$29, "Error", 0)</f>
        <v/>
      </c>
      <c r="AQ165" s="171">
        <f>_xlfn.XLOOKUP(MIN(ABS($BJ$7:$BJ$29 - MEDIAN(MIN($BJ$7:$BJ$29), MAX($BJ$7:$BJ$29), AQ164))), ABS($BJ$7:$BJ$29 - MEDIAN(MIN($BJ$7:$BJ$29), MAX($BJ$7:$BJ$29), AQ164)), $BK$7:$BK$29, "Error", 0)</f>
        <v/>
      </c>
      <c r="AR165" s="171">
        <f>_xlfn.XLOOKUP(MIN(ABS($BJ$7:$BJ$29 - MEDIAN(MIN($BJ$7:$BJ$29), MAX($BJ$7:$BJ$29), AR164))), ABS($BJ$7:$BJ$29 - MEDIAN(MIN($BJ$7:$BJ$29), MAX($BJ$7:$BJ$29), AR164)), $BK$7:$BK$29, "Error", 0)</f>
        <v/>
      </c>
      <c r="AS165" s="171">
        <f>_xlfn.XLOOKUP(MIN(ABS($BJ$7:$BJ$29 - MEDIAN(MIN($BJ$7:$BJ$29), MAX($BJ$7:$BJ$29), AS164))), ABS($BJ$7:$BJ$29 - MEDIAN(MIN($BJ$7:$BJ$29), MAX($BJ$7:$BJ$29), AS164)), $BK$7:$BK$29, "Error", 0)</f>
        <v/>
      </c>
      <c r="AT165" s="171">
        <f>_xlfn.XLOOKUP(MIN(ABS($BJ$7:$BJ$29 - MEDIAN(MIN($BJ$7:$BJ$29), MAX($BJ$7:$BJ$29), AT164))), ABS($BJ$7:$BJ$29 - MEDIAN(MIN($BJ$7:$BJ$29), MAX($BJ$7:$BJ$29), AT164)), $BK$7:$BK$29, "Error", 0)</f>
        <v/>
      </c>
      <c r="AU165" s="171">
        <f>_xlfn.XLOOKUP(MIN(ABS($BJ$7:$BJ$29 - MEDIAN(MIN($BJ$7:$BJ$29), MAX($BJ$7:$BJ$29), AU164))), ABS($BJ$7:$BJ$29 - MEDIAN(MIN($BJ$7:$BJ$29), MAX($BJ$7:$BJ$29), AU164)), $BK$7:$BK$29, "Error", 0)</f>
        <v/>
      </c>
      <c r="AV165" s="206">
        <f>_xlfn.XLOOKUP(MIN(ABS($BJ$7:$BJ$29 - MEDIAN(MIN($BJ$7:$BJ$29), MAX($BJ$7:$BJ$29), AV164))), ABS($BJ$7:$BJ$29 - MEDIAN(MIN($BJ$7:$BJ$29), MAX($BJ$7:$BJ$29), AV164)), $BK$7:$BK$29, "Error", 0)</f>
        <v/>
      </c>
      <c r="AW165" s="184">
        <f>_xlfn.XLOOKUP(MIN(ABS($BJ$7:$BJ$29 - MEDIAN(MIN($BJ$7:$BJ$29), MAX($BJ$7:$BJ$29), AW164))), ABS($BJ$7:$BJ$29 - MEDIAN(MIN($BJ$7:$BJ$29), MAX($BJ$7:$BJ$29), AW164)), $BK$7:$BK$29, "Error", 0)</f>
        <v/>
      </c>
      <c r="AX165" s="184">
        <f>_xlfn.XLOOKUP(MIN(ABS($BJ$7:$BJ$29 - MEDIAN(MIN($BJ$7:$BJ$29), MAX($BJ$7:$BJ$29), AX164))), ABS($BJ$7:$BJ$29 - MEDIAN(MIN($BJ$7:$BJ$29), MAX($BJ$7:$BJ$29), AX164)), $BK$7:$BK$29, "Error", 0)</f>
        <v/>
      </c>
      <c r="AY165" s="184" t="n"/>
    </row>
    <row r="166" ht="44" customHeight="1">
      <c r="A166" s="305" t="inlineStr">
        <is>
          <t>AUD NZD</t>
        </is>
      </c>
      <c r="B166" s="200" t="inlineStr">
        <is>
          <t>All time High (CL)</t>
        </is>
      </c>
      <c r="C166" s="233" t="n">
        <v>8371.801509032957</v>
      </c>
      <c r="D166" s="233" t="n">
        <v>8371.801509032957</v>
      </c>
      <c r="E166" s="233" t="n">
        <v>8371.801509032957</v>
      </c>
      <c r="F166" s="233" t="n">
        <v>8371.801509032957</v>
      </c>
      <c r="G166" s="233" t="n">
        <v>8371.801509032957</v>
      </c>
      <c r="H166" s="233" t="n">
        <v>8371.801509032957</v>
      </c>
      <c r="I166" s="233" t="n">
        <v>8371.801509032957</v>
      </c>
      <c r="J166" s="233" t="n">
        <v>8371.801509032957</v>
      </c>
      <c r="K166" s="233" t="n">
        <v>8371.801509032957</v>
      </c>
      <c r="L166" s="233" t="n">
        <v>8371.801509032957</v>
      </c>
      <c r="M166" s="233" t="n">
        <v>8371.801509032957</v>
      </c>
      <c r="N166" s="233" t="n">
        <v>8371.801509032957</v>
      </c>
      <c r="O166" s="233" t="n">
        <v>8371.801509032957</v>
      </c>
      <c r="P166" s="233" t="n">
        <v>8371.801509032957</v>
      </c>
      <c r="Q166" s="233" t="n">
        <v>8627.944899785332</v>
      </c>
      <c r="R166" s="233" t="n">
        <v>8627.944899785332</v>
      </c>
      <c r="S166" s="233" t="n">
        <v>8627.944899785332</v>
      </c>
      <c r="T166" s="233" t="n">
        <v>8634.559274763684</v>
      </c>
      <c r="U166" s="233" t="n">
        <v>9021.053496868699</v>
      </c>
      <c r="V166" s="233" t="n">
        <v>9021.053496868699</v>
      </c>
      <c r="W166" s="233" t="n">
        <v>9067.472637413302</v>
      </c>
      <c r="X166" s="233" t="n">
        <v>9067.472637413302</v>
      </c>
      <c r="Y166" s="233" t="n">
        <v>9553.877993056085</v>
      </c>
      <c r="Z166" s="233" t="n">
        <v>9553.877993056085</v>
      </c>
      <c r="AA166" s="204" t="n">
        <v>9611.462582378415</v>
      </c>
      <c r="AB166" s="204" t="n">
        <v>9611.462582378415</v>
      </c>
      <c r="AC166" s="204" t="n">
        <v>9611.462582378415</v>
      </c>
      <c r="AD166" s="204" t="n">
        <v>9611.462582378415</v>
      </c>
      <c r="AE166" s="204" t="n">
        <v>9611.462582378415</v>
      </c>
      <c r="AF166" s="204" t="n">
        <v>9611.462582378415</v>
      </c>
      <c r="AG166" s="204" t="n">
        <v>9644.123439404648</v>
      </c>
      <c r="AH166" s="204" t="n">
        <v>10072.04496145248</v>
      </c>
      <c r="AI166" s="204" t="n">
        <v>10243.24136446347</v>
      </c>
      <c r="AJ166" s="204" t="n">
        <v>10471.17702204327</v>
      </c>
      <c r="AK166" s="204" t="n">
        <v>10471.17702204327</v>
      </c>
      <c r="AL166" s="204" t="n">
        <v>10471.17702204327</v>
      </c>
      <c r="AM166" s="204" t="n">
        <v>10500.7602712512</v>
      </c>
      <c r="AN166" s="204" t="n">
        <v>10949.88647081074</v>
      </c>
      <c r="AO166" s="204" t="n">
        <v>10949.88647081074</v>
      </c>
      <c r="AP166" s="204" t="n">
        <v>11066.94459623098</v>
      </c>
      <c r="AQ166" s="204" t="n">
        <v>11066.94459623098</v>
      </c>
      <c r="AR166" s="204" t="n">
        <v>11066.94459623098</v>
      </c>
      <c r="AS166" s="204" t="n">
        <v>11095.87217503763</v>
      </c>
      <c r="AT166" s="204" t="n">
        <v>11278.47825542185</v>
      </c>
      <c r="AU166" s="204" t="n">
        <v>11278.47825542185</v>
      </c>
      <c r="AV166" s="200" t="n">
        <v>11278.47825542185</v>
      </c>
      <c r="AW166" s="184" t="n">
        <v>11278.47825542185</v>
      </c>
      <c r="AX166" s="184" t="n">
        <v>11278.47825542185</v>
      </c>
      <c r="AY166" s="184" t="n"/>
    </row>
    <row r="167" ht="22" customHeight="1">
      <c r="A167" s="303" t="n"/>
      <c r="B167" s="201" t="inlineStr">
        <is>
          <t>current price</t>
        </is>
      </c>
      <c r="C167" s="233" t="n">
        <v>8157.603700507781</v>
      </c>
      <c r="D167" s="233" t="n">
        <v>7930.527646081697</v>
      </c>
      <c r="E167" s="233" t="n">
        <v>7688.571743346634</v>
      </c>
      <c r="F167" s="233" t="n">
        <v>7805.297548199072</v>
      </c>
      <c r="G167" s="233" t="n">
        <v>7644.066629873123</v>
      </c>
      <c r="H167" s="233" t="n">
        <v>7859.880908877822</v>
      </c>
      <c r="I167" s="233" t="n">
        <v>8012.354082281061</v>
      </c>
      <c r="J167" s="233" t="n">
        <v>7949.919659820502</v>
      </c>
      <c r="K167" s="233" t="n">
        <v>7553.88625172677</v>
      </c>
      <c r="L167" s="233" t="n">
        <v>7393.132976684603</v>
      </c>
      <c r="M167" s="233" t="n">
        <v>7618.421812512679</v>
      </c>
      <c r="N167" s="233" t="n">
        <v>8140.153622988146</v>
      </c>
      <c r="O167" s="233" t="n">
        <v>8260.262612453545</v>
      </c>
      <c r="P167" s="233" t="n">
        <v>8200.963592528016</v>
      </c>
      <c r="Q167" s="233" t="n">
        <v>8623.249070054386</v>
      </c>
      <c r="R167" s="233" t="n">
        <v>8421.312757532229</v>
      </c>
      <c r="S167" s="233" t="n">
        <v>8348.720067208051</v>
      </c>
      <c r="T167" s="233" t="n">
        <v>8522.742029130459</v>
      </c>
      <c r="U167" s="233" t="n">
        <v>8968.679236324388</v>
      </c>
      <c r="V167" s="233" t="n">
        <v>8756.034868248098</v>
      </c>
      <c r="W167" s="233" t="n">
        <v>9010.443338926416</v>
      </c>
      <c r="X167" s="233" t="n">
        <v>8982.266635894775</v>
      </c>
      <c r="Y167" s="233" t="n">
        <v>9276.023998773424</v>
      </c>
      <c r="Z167" s="233" t="n">
        <v>8996.998786321608</v>
      </c>
      <c r="AA167" s="204" t="n">
        <v>9407.542703012587</v>
      </c>
      <c r="AB167" s="204" t="n">
        <v>9050.295397329319</v>
      </c>
      <c r="AC167" s="204" t="n">
        <v>8628.524549722439</v>
      </c>
      <c r="AD167" s="204" t="n">
        <v>8740.134296128876</v>
      </c>
      <c r="AE167" s="204" t="n">
        <v>9104.086116269231</v>
      </c>
      <c r="AF167" s="204" t="n">
        <v>9202.106958180666</v>
      </c>
      <c r="AG167" s="204" t="n">
        <v>9539.880454996484</v>
      </c>
      <c r="AH167" s="204" t="n">
        <v>9886.130824611057</v>
      </c>
      <c r="AI167" s="204" t="n">
        <v>10068.87203584879</v>
      </c>
      <c r="AJ167" s="204" t="n">
        <v>10140.28805762017</v>
      </c>
      <c r="AK167" s="204" t="n">
        <v>9786.771690537455</v>
      </c>
      <c r="AL167" s="204" t="n">
        <v>10075.99641051097</v>
      </c>
      <c r="AM167" s="204" t="n">
        <v>10248.46605207631</v>
      </c>
      <c r="AN167" s="204" t="n">
        <v>10924.07282690261</v>
      </c>
      <c r="AO167" s="204" t="n">
        <v>10155.59827650525</v>
      </c>
      <c r="AP167" s="204" t="n">
        <v>10576.00219877332</v>
      </c>
      <c r="AQ167" s="204" t="n">
        <v>10507.51893241541</v>
      </c>
      <c r="AR167" s="204" t="n">
        <v>10691.49139318359</v>
      </c>
      <c r="AS167" s="204" t="n">
        <v>10733.38019010995</v>
      </c>
      <c r="AT167" s="204" t="n">
        <v>10976.78649234772</v>
      </c>
      <c r="AU167" s="204" t="n">
        <v>10752.83164918423</v>
      </c>
      <c r="AV167" s="201" t="n">
        <v>10752.83164918423</v>
      </c>
      <c r="AW167" s="184" t="n">
        <v>10752.83164918423</v>
      </c>
      <c r="AX167" s="184" t="n">
        <v>10752.83164918423</v>
      </c>
      <c r="AY167" s="184" t="n"/>
    </row>
    <row r="168" ht="22" customHeight="1">
      <c r="A168" s="303" t="n"/>
      <c r="B168" s="201" t="inlineStr">
        <is>
          <t>% CHANGE</t>
        </is>
      </c>
      <c r="C168" s="230">
        <f>+(C167-C166)/C166</f>
        <v/>
      </c>
      <c r="D168" s="230">
        <f>+(D167-D166)/D166</f>
        <v/>
      </c>
      <c r="E168" s="230">
        <f>+(E167-E166)/E166</f>
        <v/>
      </c>
      <c r="F168" s="230">
        <f>+(F167-F166)/F166</f>
        <v/>
      </c>
      <c r="G168" s="230">
        <f>+(G167-G166)/G166</f>
        <v/>
      </c>
      <c r="H168" s="230">
        <f>+(H167-H166)/H166</f>
        <v/>
      </c>
      <c r="I168" s="230">
        <f>+(I167-I166)/I166</f>
        <v/>
      </c>
      <c r="J168" s="230">
        <f>+(J167-J166)/J166</f>
        <v/>
      </c>
      <c r="K168" s="230">
        <f>+(K167-K166)/K166</f>
        <v/>
      </c>
      <c r="L168" s="230">
        <f>+(L167-L166)/L166</f>
        <v/>
      </c>
      <c r="M168" s="230">
        <f>+(M167-M166)/M166</f>
        <v/>
      </c>
      <c r="N168" s="230">
        <f>+(N167-N166)/N166</f>
        <v/>
      </c>
      <c r="O168" s="230">
        <f>+(O167-O166)/O166</f>
        <v/>
      </c>
      <c r="P168" s="230">
        <f>+(P167-P166)/P166</f>
        <v/>
      </c>
      <c r="Q168" s="230">
        <f>+(Q167-Q166)/Q166</f>
        <v/>
      </c>
      <c r="R168" s="230">
        <f>+(R167-R166)/R166</f>
        <v/>
      </c>
      <c r="S168" s="230">
        <f>+(S167-S166)/S166</f>
        <v/>
      </c>
      <c r="T168" s="230">
        <f>+(T167-T166)/T166</f>
        <v/>
      </c>
      <c r="U168" s="230">
        <f>+(U167-U166)/U166</f>
        <v/>
      </c>
      <c r="V168" s="230">
        <f>+(V167-V166)/V166</f>
        <v/>
      </c>
      <c r="W168" s="230">
        <f>+(W167-W166)/W166</f>
        <v/>
      </c>
      <c r="X168" s="230">
        <f>+(X167-X166)/X166</f>
        <v/>
      </c>
      <c r="Y168" s="230">
        <f>+(Y167-Y166)/Y166</f>
        <v/>
      </c>
      <c r="Z168" s="230">
        <f>+(Z167-Z166)/Z166</f>
        <v/>
      </c>
      <c r="AA168" s="230">
        <f>+(AA167-AA166)/AA166</f>
        <v/>
      </c>
      <c r="AB168" s="205">
        <f>+(AB167-AB166)/AB166</f>
        <v/>
      </c>
      <c r="AC168" s="205">
        <f>+(AC167-AC166)/AC166</f>
        <v/>
      </c>
      <c r="AD168" s="205">
        <f>+(AD167-AD166)/AD166</f>
        <v/>
      </c>
      <c r="AE168" s="205">
        <f>+(AE167-AE166)/AE166</f>
        <v/>
      </c>
      <c r="AF168" s="205">
        <f>+(AF167-AF166)/AF166</f>
        <v/>
      </c>
      <c r="AG168" s="205">
        <f>+(AG167-AG166)/AG166</f>
        <v/>
      </c>
      <c r="AH168" s="205">
        <f>+(AH167-AH166)/AH166</f>
        <v/>
      </c>
      <c r="AI168" s="205">
        <f>+(AI167-AI166)/AI166</f>
        <v/>
      </c>
      <c r="AJ168" s="205">
        <f>+(AJ167-AJ166)/AJ166</f>
        <v/>
      </c>
      <c r="AK168" s="205">
        <f>+(AK167-AK166)/AK166</f>
        <v/>
      </c>
      <c r="AL168" s="205">
        <f>+(AL167-AL166)/AL166</f>
        <v/>
      </c>
      <c r="AM168" s="205">
        <f>+(AM167-AM166)/AM166</f>
        <v/>
      </c>
      <c r="AN168" s="205">
        <f>+(AN167-AN166)/AN166</f>
        <v/>
      </c>
      <c r="AO168" s="205">
        <f>+(AO167-AO166)/AO166</f>
        <v/>
      </c>
      <c r="AP168" s="205">
        <f>+(AP167-AP166)/AP166</f>
        <v/>
      </c>
      <c r="AQ168" s="205">
        <f>+(AQ167-AQ166)/AQ166</f>
        <v/>
      </c>
      <c r="AR168" s="205">
        <f>+(AR167-AR166)/AR166</f>
        <v/>
      </c>
      <c r="AS168" s="205">
        <f>+(AS167-AS166)/AS166</f>
        <v/>
      </c>
      <c r="AT168" s="205">
        <f>+(AT167-AT166)/AT166</f>
        <v/>
      </c>
      <c r="AU168" s="205">
        <f>+(AU167-AU166)/AU166</f>
        <v/>
      </c>
      <c r="AV168" s="201">
        <f>+(AV167-AV166)/AV166</f>
        <v/>
      </c>
      <c r="AW168" s="184">
        <f>+(AW167-AW166)/AW166</f>
        <v/>
      </c>
      <c r="AX168" s="184">
        <f>+(AX167-AX166)/AX166</f>
        <v/>
      </c>
      <c r="AY168" s="184" t="n"/>
    </row>
    <row r="169" ht="44" customHeight="1">
      <c r="A169" s="303" t="n"/>
      <c r="B169" s="201" t="inlineStr">
        <is>
          <t>All time High ASX200</t>
        </is>
      </c>
      <c r="C169" s="233" t="n">
        <v>7632.7998046875</v>
      </c>
      <c r="D169" s="233" t="n">
        <v>7632.7998046875</v>
      </c>
      <c r="E169" s="233" t="n">
        <v>7632.7998046875</v>
      </c>
      <c r="F169" s="233" t="n">
        <v>7632.7998046875</v>
      </c>
      <c r="G169" s="233" t="n">
        <v>7632.7998046875</v>
      </c>
      <c r="H169" s="233" t="n">
        <v>7632.7998046875</v>
      </c>
      <c r="I169" s="233" t="n">
        <v>7632.7998046875</v>
      </c>
      <c r="J169" s="233" t="n">
        <v>7632.7998046875</v>
      </c>
      <c r="K169" s="233" t="n">
        <v>7632.7998046875</v>
      </c>
      <c r="L169" s="233" t="n">
        <v>7632.7998046875</v>
      </c>
      <c r="M169" s="233" t="n">
        <v>7632.7998046875</v>
      </c>
      <c r="N169" s="233" t="n">
        <v>7632.7998046875</v>
      </c>
      <c r="O169" s="233" t="n">
        <v>7682.2998046875</v>
      </c>
      <c r="P169" s="233" t="n">
        <v>7703.7998046875</v>
      </c>
      <c r="Q169" s="233" t="n">
        <v>7901.2001953125</v>
      </c>
      <c r="R169" s="233" t="n">
        <v>7901.2001953125</v>
      </c>
      <c r="S169" s="233" t="n">
        <v>7901.2001953125</v>
      </c>
      <c r="T169" s="233" t="n">
        <v>7901.2001953125</v>
      </c>
      <c r="U169" s="233" t="n">
        <v>8092.2998046875</v>
      </c>
      <c r="V169" s="233" t="n">
        <v>8092.2998046875</v>
      </c>
      <c r="W169" s="233" t="n">
        <v>8285.7001953125</v>
      </c>
      <c r="X169" s="233" t="n">
        <v>8285.7001953125</v>
      </c>
      <c r="Y169" s="233" t="n">
        <v>8477.099609375</v>
      </c>
      <c r="Z169" s="233" t="n">
        <v>8477.099609375</v>
      </c>
      <c r="AA169" s="231" t="n">
        <v>8566.900390625</v>
      </c>
      <c r="AB169" s="203" t="n">
        <v>8566.900390625</v>
      </c>
      <c r="AC169" s="203" t="n">
        <v>8566.900390625</v>
      </c>
      <c r="AD169" s="203" t="n">
        <v>8566.900390625</v>
      </c>
      <c r="AE169" s="203" t="n">
        <v>8566.900390625</v>
      </c>
      <c r="AF169" s="203" t="n">
        <v>8639.099609375</v>
      </c>
      <c r="AG169" s="203" t="n">
        <v>8776.400390625</v>
      </c>
      <c r="AH169" s="203" t="n">
        <v>9054.5</v>
      </c>
      <c r="AI169" s="203" t="n">
        <v>9054.5</v>
      </c>
      <c r="AJ169" s="203" t="n">
        <v>9115.2001953125</v>
      </c>
      <c r="AK169" s="203" t="n">
        <v>9115.2001953125</v>
      </c>
      <c r="AL169" s="203" t="n">
        <v>9115.2001953125</v>
      </c>
      <c r="AM169" s="203" t="n">
        <v>9115.2001953125</v>
      </c>
      <c r="AN169" s="203" t="n">
        <v>9202.900390625</v>
      </c>
      <c r="AO169" s="203" t="n">
        <v>9202.900390625</v>
      </c>
      <c r="AP169" s="203" t="n">
        <v>9202.900390625</v>
      </c>
      <c r="AQ169" s="203" t="n">
        <v>9202.900390625</v>
      </c>
      <c r="AR169" s="203" t="n">
        <v>9202.900390625</v>
      </c>
      <c r="AS169" s="203" t="n">
        <v>9202.900390625</v>
      </c>
      <c r="AT169" s="203" t="n">
        <v>9296.7001953125</v>
      </c>
      <c r="AU169" s="203" t="n">
        <v>9296.7001953125</v>
      </c>
      <c r="AV169" s="201" t="n">
        <v>9296.7001953125</v>
      </c>
      <c r="AW169" s="184" t="n">
        <v>9296.7001953125</v>
      </c>
      <c r="AX169" s="184" t="n">
        <v>9296.7001953125</v>
      </c>
      <c r="AY169" s="184" t="n"/>
    </row>
    <row r="170" ht="44" customHeight="1">
      <c r="A170" s="303" t="n"/>
      <c r="B170" s="201" t="inlineStr">
        <is>
          <t>current price ASX200</t>
        </is>
      </c>
      <c r="C170" s="233" t="n">
        <v>7476.7001953125</v>
      </c>
      <c r="D170" s="233" t="n">
        <v>7258.39990234375</v>
      </c>
      <c r="E170" s="233" t="n">
        <v>7177.7998046875</v>
      </c>
      <c r="F170" s="233" t="n">
        <v>7309.2001953125</v>
      </c>
      <c r="G170" s="233" t="n">
        <v>7091.2998046875</v>
      </c>
      <c r="H170" s="233" t="n">
        <v>7203.2998046875</v>
      </c>
      <c r="I170" s="233" t="n">
        <v>7410.39990234375</v>
      </c>
      <c r="J170" s="233" t="n">
        <v>7305.2998046875</v>
      </c>
      <c r="K170" s="233" t="n">
        <v>7048.60009765625</v>
      </c>
      <c r="L170" s="233" t="n">
        <v>6780.7001953125</v>
      </c>
      <c r="M170" s="233" t="n">
        <v>7087.2998046875</v>
      </c>
      <c r="N170" s="233" t="n">
        <v>7590.7998046875</v>
      </c>
      <c r="O170" s="233" t="n">
        <v>7680.7001953125</v>
      </c>
      <c r="P170" s="233" t="n">
        <v>7698.7001953125</v>
      </c>
      <c r="Q170" s="233" t="n">
        <v>7896.89990234375</v>
      </c>
      <c r="R170" s="233" t="n">
        <v>7664.10009765625</v>
      </c>
      <c r="S170" s="233" t="n">
        <v>7701.7001953125</v>
      </c>
      <c r="T170" s="233" t="n">
        <v>7767.5</v>
      </c>
      <c r="U170" s="233" t="n">
        <v>8092.2998046875</v>
      </c>
      <c r="V170" s="233" t="n">
        <v>8091.89990234375</v>
      </c>
      <c r="W170" s="233" t="n">
        <v>8269.7998046875</v>
      </c>
      <c r="X170" s="233" t="n">
        <v>8160</v>
      </c>
      <c r="Y170" s="233" t="n">
        <v>8436.2001953125</v>
      </c>
      <c r="Z170" s="233" t="n">
        <v>8159.10009765625</v>
      </c>
      <c r="AA170" s="231" t="n">
        <v>8532.2998046875</v>
      </c>
      <c r="AB170" s="203" t="n">
        <v>8172.39990234375</v>
      </c>
      <c r="AC170" s="203" t="n">
        <v>7843.39990234375</v>
      </c>
      <c r="AD170" s="203" t="n">
        <v>8126.2001953125</v>
      </c>
      <c r="AE170" s="203" t="n">
        <v>8434.7001953125</v>
      </c>
      <c r="AF170" s="203" t="n">
        <v>8542.2998046875</v>
      </c>
      <c r="AG170" s="203" t="n">
        <v>8742.7998046875</v>
      </c>
      <c r="AH170" s="203" t="n">
        <v>8973.099609375</v>
      </c>
      <c r="AI170" s="203" t="n">
        <v>8848.7998046875</v>
      </c>
      <c r="AJ170" s="203" t="n">
        <v>8881.900390625</v>
      </c>
      <c r="AK170" s="203" t="n">
        <v>8614.099609375</v>
      </c>
      <c r="AL170" s="203" t="n">
        <v>8714.2998046875</v>
      </c>
      <c r="AM170" s="203" t="n">
        <v>8869.099609375</v>
      </c>
      <c r="AN170" s="203" t="n">
        <v>9198.599609375</v>
      </c>
      <c r="AO170" s="203" t="n">
        <v>8481.7998046875</v>
      </c>
      <c r="AP170" s="203" t="n">
        <v>8665.7998046875</v>
      </c>
      <c r="AQ170" s="203" t="n">
        <v>8731.7001953125</v>
      </c>
      <c r="AR170" s="203" t="n">
        <v>8778.7001953125</v>
      </c>
      <c r="AS170" s="203" t="n">
        <v>8976.7998046875</v>
      </c>
      <c r="AT170" s="203" t="n">
        <v>9076</v>
      </c>
      <c r="AU170" s="203" t="n">
        <v>8665</v>
      </c>
      <c r="AV170" s="201" t="n">
        <v>8665</v>
      </c>
      <c r="AW170" s="184" t="n">
        <v>8665</v>
      </c>
      <c r="AX170" s="184" t="n">
        <v>8665</v>
      </c>
      <c r="AY170" s="184" t="n"/>
    </row>
    <row r="171" ht="44" customHeight="1">
      <c r="A171" s="303" t="n"/>
      <c r="B171" s="201" t="inlineStr">
        <is>
          <t>original index % change</t>
        </is>
      </c>
      <c r="C171" s="230">
        <f>+(C170-C169)/C169</f>
        <v/>
      </c>
      <c r="D171" s="230">
        <f>+(D170-D169)/D169</f>
        <v/>
      </c>
      <c r="E171" s="230">
        <f>+(E170-E169)/E169</f>
        <v/>
      </c>
      <c r="F171" s="230">
        <f>+(F170-F169)/F169</f>
        <v/>
      </c>
      <c r="G171" s="230">
        <f>+(G170-G169)/G169</f>
        <v/>
      </c>
      <c r="H171" s="230">
        <f>+(H170-H169)/H169</f>
        <v/>
      </c>
      <c r="I171" s="230">
        <f>+(I170-I169)/I169</f>
        <v/>
      </c>
      <c r="J171" s="230">
        <f>+(J170-J169)/J169</f>
        <v/>
      </c>
      <c r="K171" s="230">
        <f>+(K170-K169)/K169</f>
        <v/>
      </c>
      <c r="L171" s="230">
        <f>+(L170-L169)/L169</f>
        <v/>
      </c>
      <c r="M171" s="230">
        <f>+(M170-M169)/M169</f>
        <v/>
      </c>
      <c r="N171" s="230">
        <f>+(N170-N169)/N169</f>
        <v/>
      </c>
      <c r="O171" s="230">
        <f>+(O170-O169)/O169</f>
        <v/>
      </c>
      <c r="P171" s="230">
        <f>+(P170-P169)/P169</f>
        <v/>
      </c>
      <c r="Q171" s="230">
        <f>+(Q170-Q169)/Q169</f>
        <v/>
      </c>
      <c r="R171" s="230">
        <f>+(R170-R169)/R169</f>
        <v/>
      </c>
      <c r="S171" s="230">
        <f>+(S170-S169)/S169</f>
        <v/>
      </c>
      <c r="T171" s="230">
        <f>+(T170-T169)/T169</f>
        <v/>
      </c>
      <c r="U171" s="230">
        <f>+(U170-U169)/U169</f>
        <v/>
      </c>
      <c r="V171" s="230">
        <f>+(V170-V169)/V169</f>
        <v/>
      </c>
      <c r="W171" s="230">
        <f>+(W170-W169)/W169</f>
        <v/>
      </c>
      <c r="X171" s="230">
        <f>+(X170-X169)/X169</f>
        <v/>
      </c>
      <c r="Y171" s="230">
        <f>+(Y170-Y169)/Y169</f>
        <v/>
      </c>
      <c r="Z171" s="230">
        <f>+(Z170-Z169)/Z169</f>
        <v/>
      </c>
      <c r="AA171" s="230">
        <f>+(AA170-AA169)/AA169</f>
        <v/>
      </c>
      <c r="AB171" s="205">
        <f>+(AB170-AB169)/AB169</f>
        <v/>
      </c>
      <c r="AC171" s="205">
        <f>+(AC170-AC169)/AC169</f>
        <v/>
      </c>
      <c r="AD171" s="205">
        <f>+(AD170-AD169)/AD169</f>
        <v/>
      </c>
      <c r="AE171" s="205">
        <f>+(AE170-AE169)/AE169</f>
        <v/>
      </c>
      <c r="AF171" s="205">
        <f>+(AF170-AF169)/AF169</f>
        <v/>
      </c>
      <c r="AG171" s="205">
        <f>+(AG170-AG169)/AG169</f>
        <v/>
      </c>
      <c r="AH171" s="205">
        <f>+(AH170-AH169)/AH169</f>
        <v/>
      </c>
      <c r="AI171" s="205">
        <f>+(AI170-AI169)/AI169</f>
        <v/>
      </c>
      <c r="AJ171" s="205">
        <f>+(AJ170-AJ169)/AJ169</f>
        <v/>
      </c>
      <c r="AK171" s="205">
        <f>+(AK170-AK169)/AK169</f>
        <v/>
      </c>
      <c r="AL171" s="205">
        <f>+(AL170-AL169)/AL169</f>
        <v/>
      </c>
      <c r="AM171" s="205">
        <f>+(AM170-AM169)/AM169</f>
        <v/>
      </c>
      <c r="AN171" s="205">
        <f>+(AN170-AN169)/AN169</f>
        <v/>
      </c>
      <c r="AO171" s="205">
        <f>+(AO170-AO169)/AO169</f>
        <v/>
      </c>
      <c r="AP171" s="205">
        <f>+(AP170-AP169)/AP169</f>
        <v/>
      </c>
      <c r="AQ171" s="205">
        <f>+(AQ170-AQ169)/AQ169</f>
        <v/>
      </c>
      <c r="AR171" s="205">
        <f>+(AR170-AR169)/AR169</f>
        <v/>
      </c>
      <c r="AS171" s="205">
        <f>+(AS170-AS169)/AS169</f>
        <v/>
      </c>
      <c r="AT171" s="205">
        <f>+(AT170-AT169)/AT169</f>
        <v/>
      </c>
      <c r="AU171" s="205">
        <f>+(AU170-AU169)/AU169</f>
        <v/>
      </c>
      <c r="AV171" s="201">
        <f>+(AV170-AV169)/AV169</f>
        <v/>
      </c>
      <c r="AW171" s="184">
        <f>+(AW170-AW169)/AW169</f>
        <v/>
      </c>
      <c r="AX171" s="184">
        <f>+(AX170-AX169)/AX169</f>
        <v/>
      </c>
      <c r="AY171" s="184" t="n"/>
    </row>
    <row r="172" ht="22" customHeight="1">
      <c r="A172" s="303" t="n"/>
      <c r="B172" s="201" t="inlineStr">
        <is>
          <t>real % change</t>
        </is>
      </c>
      <c r="C172" s="230">
        <f>+C168-C171</f>
        <v/>
      </c>
      <c r="D172" s="230">
        <f>+D168-D171</f>
        <v/>
      </c>
      <c r="E172" s="230">
        <f>+E168-E171</f>
        <v/>
      </c>
      <c r="F172" s="230">
        <f>+F168-F171</f>
        <v/>
      </c>
      <c r="G172" s="230">
        <f>+G168-G171</f>
        <v/>
      </c>
      <c r="H172" s="230">
        <f>+H168-H171</f>
        <v/>
      </c>
      <c r="I172" s="230">
        <f>+I168-I171</f>
        <v/>
      </c>
      <c r="J172" s="230">
        <f>+J168-J171</f>
        <v/>
      </c>
      <c r="K172" s="230">
        <f>+K168-K171</f>
        <v/>
      </c>
      <c r="L172" s="230">
        <f>+L168-L171</f>
        <v/>
      </c>
      <c r="M172" s="230">
        <f>+M168-M171</f>
        <v/>
      </c>
      <c r="N172" s="230">
        <f>+N168-N171</f>
        <v/>
      </c>
      <c r="O172" s="230">
        <f>+O168-O171</f>
        <v/>
      </c>
      <c r="P172" s="230">
        <f>+P168-P171</f>
        <v/>
      </c>
      <c r="Q172" s="230">
        <f>+Q168-Q171</f>
        <v/>
      </c>
      <c r="R172" s="230">
        <f>+R168-R171</f>
        <v/>
      </c>
      <c r="S172" s="230">
        <f>+S168-S171</f>
        <v/>
      </c>
      <c r="T172" s="230">
        <f>+T168-T171</f>
        <v/>
      </c>
      <c r="U172" s="230">
        <f>+U168-U171</f>
        <v/>
      </c>
      <c r="V172" s="230">
        <f>+V168-V171</f>
        <v/>
      </c>
      <c r="W172" s="230">
        <f>+W168-W171</f>
        <v/>
      </c>
      <c r="X172" s="230">
        <f>+X168-X171</f>
        <v/>
      </c>
      <c r="Y172" s="230">
        <f>+Y168-Y171</f>
        <v/>
      </c>
      <c r="Z172" s="230">
        <f>+Z168-Z171</f>
        <v/>
      </c>
      <c r="AA172" s="230">
        <f>+AA168-AA171</f>
        <v/>
      </c>
      <c r="AB172" s="205">
        <f>+AB168-AB171</f>
        <v/>
      </c>
      <c r="AC172" s="205">
        <f>+AC168-AC171</f>
        <v/>
      </c>
      <c r="AD172" s="205">
        <f>+AD168-AD171</f>
        <v/>
      </c>
      <c r="AE172" s="205">
        <f>+AE168-AE171</f>
        <v/>
      </c>
      <c r="AF172" s="205">
        <f>+AF168-AF171</f>
        <v/>
      </c>
      <c r="AG172" s="205">
        <f>+AG168-AG171</f>
        <v/>
      </c>
      <c r="AH172" s="205">
        <f>+AH168-AH171</f>
        <v/>
      </c>
      <c r="AI172" s="205">
        <f>+AI168-AI171</f>
        <v/>
      </c>
      <c r="AJ172" s="205">
        <f>+AJ168-AJ171</f>
        <v/>
      </c>
      <c r="AK172" s="205">
        <f>+AK168-AK171</f>
        <v/>
      </c>
      <c r="AL172" s="205">
        <f>+AL168-AL171</f>
        <v/>
      </c>
      <c r="AM172" s="205">
        <f>+AM168-AM171</f>
        <v/>
      </c>
      <c r="AN172" s="205">
        <f>+AN168-AN171</f>
        <v/>
      </c>
      <c r="AO172" s="205">
        <f>+AO168-AO171</f>
        <v/>
      </c>
      <c r="AP172" s="205">
        <f>+AP168-AP171</f>
        <v/>
      </c>
      <c r="AQ172" s="205">
        <f>+AQ168-AQ171</f>
        <v/>
      </c>
      <c r="AR172" s="205">
        <f>+AR168-AR171</f>
        <v/>
      </c>
      <c r="AS172" s="205">
        <f>+AS168-AS171</f>
        <v/>
      </c>
      <c r="AT172" s="205">
        <f>+AT168-AT171</f>
        <v/>
      </c>
      <c r="AU172" s="205">
        <f>+AU168-AU171</f>
        <v/>
      </c>
      <c r="AV172" s="201">
        <f>+AV168-AV171</f>
        <v/>
      </c>
      <c r="AW172" s="184">
        <f>+AW168-AW171</f>
        <v/>
      </c>
      <c r="AX172" s="184">
        <f>+AX168-AX171</f>
        <v/>
      </c>
      <c r="AY172" s="184" t="n"/>
    </row>
    <row r="173" ht="22" customHeight="1">
      <c r="A173" s="304" t="n"/>
      <c r="B173" s="206" t="inlineStr">
        <is>
          <t>Rating</t>
        </is>
      </c>
      <c r="C173" s="232">
        <f>_xlfn.XLOOKUP(MIN(ABS($BJ$7:$BJ$29 - MEDIAN(MIN($BJ$7:$BJ$29), MAX($BJ$7:$BJ$29), C172))), ABS($BJ$7:$BJ$29 - MEDIAN(MIN($BJ$7:$BJ$29), MAX($BJ$7:$BJ$29), C172)), $BK$7:$BK$29, "Error", 0)</f>
        <v/>
      </c>
      <c r="D173" s="232">
        <f>_xlfn.XLOOKUP(MIN(ABS($BJ$7:$BJ$29 - MEDIAN(MIN($BJ$7:$BJ$29), MAX($BJ$7:$BJ$29), D172))), ABS($BJ$7:$BJ$29 - MEDIAN(MIN($BJ$7:$BJ$29), MAX($BJ$7:$BJ$29), D172)), $BK$7:$BK$29, "Error", 0)</f>
        <v/>
      </c>
      <c r="E173" s="232">
        <f>_xlfn.XLOOKUP(MIN(ABS($BJ$7:$BJ$29 - MEDIAN(MIN($BJ$7:$BJ$29), MAX($BJ$7:$BJ$29), E172))), ABS($BJ$7:$BJ$29 - MEDIAN(MIN($BJ$7:$BJ$29), MAX($BJ$7:$BJ$29), E172)), $BK$7:$BK$29, "Error", 0)</f>
        <v/>
      </c>
      <c r="F173" s="232">
        <f>_xlfn.XLOOKUP(MIN(ABS($BJ$7:$BJ$29 - MEDIAN(MIN($BJ$7:$BJ$29), MAX($BJ$7:$BJ$29), F172))), ABS($BJ$7:$BJ$29 - MEDIAN(MIN($BJ$7:$BJ$29), MAX($BJ$7:$BJ$29), F172)), $BK$7:$BK$29, "Error", 0)</f>
        <v/>
      </c>
      <c r="G173" s="232">
        <f>_xlfn.XLOOKUP(MIN(ABS($BJ$7:$BJ$29 - MEDIAN(MIN($BJ$7:$BJ$29), MAX($BJ$7:$BJ$29), G172))), ABS($BJ$7:$BJ$29 - MEDIAN(MIN($BJ$7:$BJ$29), MAX($BJ$7:$BJ$29), G172)), $BK$7:$BK$29, "Error", 0)</f>
        <v/>
      </c>
      <c r="H173" s="232">
        <f>_xlfn.XLOOKUP(MIN(ABS($BJ$7:$BJ$29 - MEDIAN(MIN($BJ$7:$BJ$29), MAX($BJ$7:$BJ$29), H172))), ABS($BJ$7:$BJ$29 - MEDIAN(MIN($BJ$7:$BJ$29), MAX($BJ$7:$BJ$29), H172)), $BK$7:$BK$29, "Error", 0)</f>
        <v/>
      </c>
      <c r="I173" s="232">
        <f>_xlfn.XLOOKUP(MIN(ABS($BJ$7:$BJ$29 - MEDIAN(MIN($BJ$7:$BJ$29), MAX($BJ$7:$BJ$29), I172))), ABS($BJ$7:$BJ$29 - MEDIAN(MIN($BJ$7:$BJ$29), MAX($BJ$7:$BJ$29), I172)), $BK$7:$BK$29, "Error", 0)</f>
        <v/>
      </c>
      <c r="J173" s="232">
        <f>_xlfn.XLOOKUP(MIN(ABS($BJ$7:$BJ$29 - MEDIAN(MIN($BJ$7:$BJ$29), MAX($BJ$7:$BJ$29), J172))), ABS($BJ$7:$BJ$29 - MEDIAN(MIN($BJ$7:$BJ$29), MAX($BJ$7:$BJ$29), J172)), $BK$7:$BK$29, "Error", 0)</f>
        <v/>
      </c>
      <c r="K173" s="232">
        <f>_xlfn.XLOOKUP(MIN(ABS($BJ$7:$BJ$29 - MEDIAN(MIN($BJ$7:$BJ$29), MAX($BJ$7:$BJ$29), K172))), ABS($BJ$7:$BJ$29 - MEDIAN(MIN($BJ$7:$BJ$29), MAX($BJ$7:$BJ$29), K172)), $BK$7:$BK$29, "Error", 0)</f>
        <v/>
      </c>
      <c r="L173" s="232">
        <f>_xlfn.XLOOKUP(MIN(ABS($BJ$7:$BJ$29 - MEDIAN(MIN($BJ$7:$BJ$29), MAX($BJ$7:$BJ$29), L172))), ABS($BJ$7:$BJ$29 - MEDIAN(MIN($BJ$7:$BJ$29), MAX($BJ$7:$BJ$29), L172)), $BK$7:$BK$29, "Error", 0)</f>
        <v/>
      </c>
      <c r="M173" s="232">
        <f>_xlfn.XLOOKUP(MIN(ABS($BJ$7:$BJ$29 - MEDIAN(MIN($BJ$7:$BJ$29), MAX($BJ$7:$BJ$29), M172))), ABS($BJ$7:$BJ$29 - MEDIAN(MIN($BJ$7:$BJ$29), MAX($BJ$7:$BJ$29), M172)), $BK$7:$BK$29, "Error", 0)</f>
        <v/>
      </c>
      <c r="N173" s="232">
        <f>_xlfn.XLOOKUP(MIN(ABS($BJ$7:$BJ$29 - MEDIAN(MIN($BJ$7:$BJ$29), MAX($BJ$7:$BJ$29), N172))), ABS($BJ$7:$BJ$29 - MEDIAN(MIN($BJ$7:$BJ$29), MAX($BJ$7:$BJ$29), N172)), $BK$7:$BK$29, "Error", 0)</f>
        <v/>
      </c>
      <c r="O173" s="232">
        <f>_xlfn.XLOOKUP(MIN(ABS($BJ$7:$BJ$29 - MEDIAN(MIN($BJ$7:$BJ$29), MAX($BJ$7:$BJ$29), O172))), ABS($BJ$7:$BJ$29 - MEDIAN(MIN($BJ$7:$BJ$29), MAX($BJ$7:$BJ$29), O172)), $BK$7:$BK$29, "Error", 0)</f>
        <v/>
      </c>
      <c r="P173" s="232">
        <f>_xlfn.XLOOKUP(MIN(ABS($BJ$7:$BJ$29 - MEDIAN(MIN($BJ$7:$BJ$29), MAX($BJ$7:$BJ$29), P172))), ABS($BJ$7:$BJ$29 - MEDIAN(MIN($BJ$7:$BJ$29), MAX($BJ$7:$BJ$29), P172)), $BK$7:$BK$29, "Error", 0)</f>
        <v/>
      </c>
      <c r="Q173" s="232">
        <f>_xlfn.XLOOKUP(MIN(ABS($BJ$7:$BJ$29 - MEDIAN(MIN($BJ$7:$BJ$29), MAX($BJ$7:$BJ$29), Q172))), ABS($BJ$7:$BJ$29 - MEDIAN(MIN($BJ$7:$BJ$29), MAX($BJ$7:$BJ$29), Q172)), $BK$7:$BK$29, "Error", 0)</f>
        <v/>
      </c>
      <c r="R173" s="232">
        <f>_xlfn.XLOOKUP(MIN(ABS($BJ$7:$BJ$29 - MEDIAN(MIN($BJ$7:$BJ$29), MAX($BJ$7:$BJ$29), R172))), ABS($BJ$7:$BJ$29 - MEDIAN(MIN($BJ$7:$BJ$29), MAX($BJ$7:$BJ$29), R172)), $BK$7:$BK$29, "Error", 0)</f>
        <v/>
      </c>
      <c r="S173" s="232">
        <f>_xlfn.XLOOKUP(MIN(ABS($BJ$7:$BJ$29 - MEDIAN(MIN($BJ$7:$BJ$29), MAX($BJ$7:$BJ$29), S172))), ABS($BJ$7:$BJ$29 - MEDIAN(MIN($BJ$7:$BJ$29), MAX($BJ$7:$BJ$29), S172)), $BK$7:$BK$29, "Error", 0)</f>
        <v/>
      </c>
      <c r="T173" s="232">
        <f>_xlfn.XLOOKUP(MIN(ABS($BJ$7:$BJ$29 - MEDIAN(MIN($BJ$7:$BJ$29), MAX($BJ$7:$BJ$29), T172))), ABS($BJ$7:$BJ$29 - MEDIAN(MIN($BJ$7:$BJ$29), MAX($BJ$7:$BJ$29), T172)), $BK$7:$BK$29, "Error", 0)</f>
        <v/>
      </c>
      <c r="U173" s="232">
        <f>_xlfn.XLOOKUP(MIN(ABS($BJ$7:$BJ$29 - MEDIAN(MIN($BJ$7:$BJ$29), MAX($BJ$7:$BJ$29), U172))), ABS($BJ$7:$BJ$29 - MEDIAN(MIN($BJ$7:$BJ$29), MAX($BJ$7:$BJ$29), U172)), $BK$7:$BK$29, "Error", 0)</f>
        <v/>
      </c>
      <c r="V173" s="232">
        <f>_xlfn.XLOOKUP(MIN(ABS($BJ$7:$BJ$29 - MEDIAN(MIN($BJ$7:$BJ$29), MAX($BJ$7:$BJ$29), V172))), ABS($BJ$7:$BJ$29 - MEDIAN(MIN($BJ$7:$BJ$29), MAX($BJ$7:$BJ$29), V172)), $BK$7:$BK$29, "Error", 0)</f>
        <v/>
      </c>
      <c r="W173" s="232">
        <f>_xlfn.XLOOKUP(MIN(ABS($BJ$7:$BJ$29 - MEDIAN(MIN($BJ$7:$BJ$29), MAX($BJ$7:$BJ$29), W172))), ABS($BJ$7:$BJ$29 - MEDIAN(MIN($BJ$7:$BJ$29), MAX($BJ$7:$BJ$29), W172)), $BK$7:$BK$29, "Error", 0)</f>
        <v/>
      </c>
      <c r="X173" s="232">
        <f>_xlfn.XLOOKUP(MIN(ABS($BJ$7:$BJ$29 - MEDIAN(MIN($BJ$7:$BJ$29), MAX($BJ$7:$BJ$29), X172))), ABS($BJ$7:$BJ$29 - MEDIAN(MIN($BJ$7:$BJ$29), MAX($BJ$7:$BJ$29), X172)), $BK$7:$BK$29, "Error", 0)</f>
        <v/>
      </c>
      <c r="Y173" s="232">
        <f>_xlfn.XLOOKUP(MIN(ABS($BJ$7:$BJ$29 - MEDIAN(MIN($BJ$7:$BJ$29), MAX($BJ$7:$BJ$29), Y172))), ABS($BJ$7:$BJ$29 - MEDIAN(MIN($BJ$7:$BJ$29), MAX($BJ$7:$BJ$29), Y172)), $BK$7:$BK$29, "Error", 0)</f>
        <v/>
      </c>
      <c r="Z173" s="232">
        <f>_xlfn.XLOOKUP(MIN(ABS($BJ$7:$BJ$29 - MEDIAN(MIN($BJ$7:$BJ$29), MAX($BJ$7:$BJ$29), Z172))), ABS($BJ$7:$BJ$29 - MEDIAN(MIN($BJ$7:$BJ$29), MAX($BJ$7:$BJ$29), Z172)), $BK$7:$BK$29, "Error", 0)</f>
        <v/>
      </c>
      <c r="AA173" s="232">
        <f>_xlfn.XLOOKUP(MIN(ABS($BJ$7:$BJ$29 - MEDIAN(MIN($BJ$7:$BJ$29), MAX($BJ$7:$BJ$29), AA172))), ABS($BJ$7:$BJ$29 - MEDIAN(MIN($BJ$7:$BJ$29), MAX($BJ$7:$BJ$29), AA172)), $BK$7:$BK$29, "Error", 0)</f>
        <v/>
      </c>
      <c r="AB173" s="171">
        <f>_xlfn.XLOOKUP(MIN(ABS($BJ$7:$BJ$29 - MEDIAN(MIN($BJ$7:$BJ$29), MAX($BJ$7:$BJ$29), AB172))), ABS($BJ$7:$BJ$29 - MEDIAN(MIN($BJ$7:$BJ$29), MAX($BJ$7:$BJ$29), AB172)), $BK$7:$BK$29, "Error", 0)</f>
        <v/>
      </c>
      <c r="AC173" s="171">
        <f>_xlfn.XLOOKUP(MIN(ABS($BJ$7:$BJ$29 - MEDIAN(MIN($BJ$7:$BJ$29), MAX($BJ$7:$BJ$29), AC172))), ABS($BJ$7:$BJ$29 - MEDIAN(MIN($BJ$7:$BJ$29), MAX($BJ$7:$BJ$29), AC172)), $BK$7:$BK$29, "Error", 0)</f>
        <v/>
      </c>
      <c r="AD173" s="171">
        <f>_xlfn.XLOOKUP(MIN(ABS($BJ$7:$BJ$29 - MEDIAN(MIN($BJ$7:$BJ$29), MAX($BJ$7:$BJ$29), AD172))), ABS($BJ$7:$BJ$29 - MEDIAN(MIN($BJ$7:$BJ$29), MAX($BJ$7:$BJ$29), AD172)), $BK$7:$BK$29, "Error", 0)</f>
        <v/>
      </c>
      <c r="AE173" s="171">
        <f>_xlfn.XLOOKUP(MIN(ABS($BJ$7:$BJ$29 - MEDIAN(MIN($BJ$7:$BJ$29), MAX($BJ$7:$BJ$29), AE172))), ABS($BJ$7:$BJ$29 - MEDIAN(MIN($BJ$7:$BJ$29), MAX($BJ$7:$BJ$29), AE172)), $BK$7:$BK$29, "Error", 0)</f>
        <v/>
      </c>
      <c r="AF173" s="171">
        <f>_xlfn.XLOOKUP(MIN(ABS($BJ$7:$BJ$29 - MEDIAN(MIN($BJ$7:$BJ$29), MAX($BJ$7:$BJ$29), AF172))), ABS($BJ$7:$BJ$29 - MEDIAN(MIN($BJ$7:$BJ$29), MAX($BJ$7:$BJ$29), AF172)), $BK$7:$BK$29, "Error", 0)</f>
        <v/>
      </c>
      <c r="AG173" s="171">
        <f>_xlfn.XLOOKUP(MIN(ABS($BJ$7:$BJ$29 - MEDIAN(MIN($BJ$7:$BJ$29), MAX($BJ$7:$BJ$29), AG172))), ABS($BJ$7:$BJ$29 - MEDIAN(MIN($BJ$7:$BJ$29), MAX($BJ$7:$BJ$29), AG172)), $BK$7:$BK$29, "Error", 0)</f>
        <v/>
      </c>
      <c r="AH173" s="171">
        <f>_xlfn.XLOOKUP(MIN(ABS($BJ$7:$BJ$29 - MEDIAN(MIN($BJ$7:$BJ$29), MAX($BJ$7:$BJ$29), AH172))), ABS($BJ$7:$BJ$29 - MEDIAN(MIN($BJ$7:$BJ$29), MAX($BJ$7:$BJ$29), AH172)), $BK$7:$BK$29, "Error", 0)</f>
        <v/>
      </c>
      <c r="AI173" s="171">
        <f>_xlfn.XLOOKUP(MIN(ABS($BJ$7:$BJ$29 - MEDIAN(MIN($BJ$7:$BJ$29), MAX($BJ$7:$BJ$29), AI172))), ABS($BJ$7:$BJ$29 - MEDIAN(MIN($BJ$7:$BJ$29), MAX($BJ$7:$BJ$29), AI172)), $BK$7:$BK$29, "Error", 0)</f>
        <v/>
      </c>
      <c r="AJ173" s="171">
        <f>_xlfn.XLOOKUP(MIN(ABS($BJ$7:$BJ$29 - MEDIAN(MIN($BJ$7:$BJ$29), MAX($BJ$7:$BJ$29), AJ172))), ABS($BJ$7:$BJ$29 - MEDIAN(MIN($BJ$7:$BJ$29), MAX($BJ$7:$BJ$29), AJ172)), $BK$7:$BK$29, "Error", 0)</f>
        <v/>
      </c>
      <c r="AK173" s="171">
        <f>_xlfn.XLOOKUP(MIN(ABS($BJ$7:$BJ$29 - MEDIAN(MIN($BJ$7:$BJ$29), MAX($BJ$7:$BJ$29), AK172))), ABS($BJ$7:$BJ$29 - MEDIAN(MIN($BJ$7:$BJ$29), MAX($BJ$7:$BJ$29), AK172)), $BK$7:$BK$29, "Error", 0)</f>
        <v/>
      </c>
      <c r="AL173" s="171">
        <f>_xlfn.XLOOKUP(MIN(ABS($BJ$7:$BJ$29 - MEDIAN(MIN($BJ$7:$BJ$29), MAX($BJ$7:$BJ$29), AL172))), ABS($BJ$7:$BJ$29 - MEDIAN(MIN($BJ$7:$BJ$29), MAX($BJ$7:$BJ$29), AL172)), $BK$7:$BK$29, "Error", 0)</f>
        <v/>
      </c>
      <c r="AM173" s="171">
        <f>_xlfn.XLOOKUP(MIN(ABS($BJ$7:$BJ$29 - MEDIAN(MIN($BJ$7:$BJ$29), MAX($BJ$7:$BJ$29), AM172))), ABS($BJ$7:$BJ$29 - MEDIAN(MIN($BJ$7:$BJ$29), MAX($BJ$7:$BJ$29), AM172)), $BK$7:$BK$29, "Error", 0)</f>
        <v/>
      </c>
      <c r="AN173" s="171">
        <f>_xlfn.XLOOKUP(MIN(ABS($BJ$7:$BJ$29 - MEDIAN(MIN($BJ$7:$BJ$29), MAX($BJ$7:$BJ$29), AN172))), ABS($BJ$7:$BJ$29 - MEDIAN(MIN($BJ$7:$BJ$29), MAX($BJ$7:$BJ$29), AN172)), $BK$7:$BK$29, "Error", 0)</f>
        <v/>
      </c>
      <c r="AO173" s="171">
        <f>_xlfn.XLOOKUP(MIN(ABS($BJ$7:$BJ$29 - MEDIAN(MIN($BJ$7:$BJ$29), MAX($BJ$7:$BJ$29), AO172))), ABS($BJ$7:$BJ$29 - MEDIAN(MIN($BJ$7:$BJ$29), MAX($BJ$7:$BJ$29), AO172)), $BK$7:$BK$29, "Error", 0)</f>
        <v/>
      </c>
      <c r="AP173" s="171">
        <f>_xlfn.XLOOKUP(MIN(ABS($BJ$7:$BJ$29 - MEDIAN(MIN($BJ$7:$BJ$29), MAX($BJ$7:$BJ$29), AP172))), ABS($BJ$7:$BJ$29 - MEDIAN(MIN($BJ$7:$BJ$29), MAX($BJ$7:$BJ$29), AP172)), $BK$7:$BK$29, "Error", 0)</f>
        <v/>
      </c>
      <c r="AQ173" s="171">
        <f>_xlfn.XLOOKUP(MIN(ABS($BJ$7:$BJ$29 - MEDIAN(MIN($BJ$7:$BJ$29), MAX($BJ$7:$BJ$29), AQ172))), ABS($BJ$7:$BJ$29 - MEDIAN(MIN($BJ$7:$BJ$29), MAX($BJ$7:$BJ$29), AQ172)), $BK$7:$BK$29, "Error", 0)</f>
        <v/>
      </c>
      <c r="AR173" s="171">
        <f>_xlfn.XLOOKUP(MIN(ABS($BJ$7:$BJ$29 - MEDIAN(MIN($BJ$7:$BJ$29), MAX($BJ$7:$BJ$29), AR172))), ABS($BJ$7:$BJ$29 - MEDIAN(MIN($BJ$7:$BJ$29), MAX($BJ$7:$BJ$29), AR172)), $BK$7:$BK$29, "Error", 0)</f>
        <v/>
      </c>
      <c r="AS173" s="171">
        <f>_xlfn.XLOOKUP(MIN(ABS($BJ$7:$BJ$29 - MEDIAN(MIN($BJ$7:$BJ$29), MAX($BJ$7:$BJ$29), AS172))), ABS($BJ$7:$BJ$29 - MEDIAN(MIN($BJ$7:$BJ$29), MAX($BJ$7:$BJ$29), AS172)), $BK$7:$BK$29, "Error", 0)</f>
        <v/>
      </c>
      <c r="AT173" s="171">
        <f>_xlfn.XLOOKUP(MIN(ABS($BJ$7:$BJ$29 - MEDIAN(MIN($BJ$7:$BJ$29), MAX($BJ$7:$BJ$29), AT172))), ABS($BJ$7:$BJ$29 - MEDIAN(MIN($BJ$7:$BJ$29), MAX($BJ$7:$BJ$29), AT172)), $BK$7:$BK$29, "Error", 0)</f>
        <v/>
      </c>
      <c r="AU173" s="171">
        <f>_xlfn.XLOOKUP(MIN(ABS($BJ$7:$BJ$29 - MEDIAN(MIN($BJ$7:$BJ$29), MAX($BJ$7:$BJ$29), AU172))), ABS($BJ$7:$BJ$29 - MEDIAN(MIN($BJ$7:$BJ$29), MAX($BJ$7:$BJ$29), AU172)), $BK$7:$BK$29, "Error", 0)</f>
        <v/>
      </c>
      <c r="AV173" s="206">
        <f>_xlfn.XLOOKUP(MIN(ABS($BJ$7:$BJ$29 - MEDIAN(MIN($BJ$7:$BJ$29), MAX($BJ$7:$BJ$29), AV172))), ABS($BJ$7:$BJ$29 - MEDIAN(MIN($BJ$7:$BJ$29), MAX($BJ$7:$BJ$29), AV172)), $BK$7:$BK$29, "Error", 0)</f>
        <v/>
      </c>
      <c r="AW173" s="184">
        <f>_xlfn.XLOOKUP(MIN(ABS($BJ$7:$BJ$29 - MEDIAN(MIN($BJ$7:$BJ$29), MAX($BJ$7:$BJ$29), AW172))), ABS($BJ$7:$BJ$29 - MEDIAN(MIN($BJ$7:$BJ$29), MAX($BJ$7:$BJ$29), AW172)), $BK$7:$BK$29, "Error", 0)</f>
        <v/>
      </c>
      <c r="AX173" s="184">
        <f>_xlfn.XLOOKUP(MIN(ABS($BJ$7:$BJ$29 - MEDIAN(MIN($BJ$7:$BJ$29), MAX($BJ$7:$BJ$29), AX172))), ABS($BJ$7:$BJ$29 - MEDIAN(MIN($BJ$7:$BJ$29), MAX($BJ$7:$BJ$29), AX172)), $BK$7:$BK$29, "Error", 0)</f>
        <v/>
      </c>
      <c r="AY173" s="184" t="n"/>
    </row>
    <row r="174" ht="44" customHeight="1">
      <c r="A174" s="305" t="inlineStr">
        <is>
          <t>AUD CAD</t>
        </is>
      </c>
      <c r="B174" s="200" t="inlineStr">
        <is>
          <t>All time High (CL)</t>
        </is>
      </c>
      <c r="C174" s="233" t="n">
        <v>7869.02568592946</v>
      </c>
      <c r="D174" s="233" t="n">
        <v>7869.02568592946</v>
      </c>
      <c r="E174" s="233" t="n">
        <v>7869.02568592946</v>
      </c>
      <c r="F174" s="233" t="n">
        <v>7869.02568592946</v>
      </c>
      <c r="G174" s="233" t="n">
        <v>7869.02568592946</v>
      </c>
      <c r="H174" s="233" t="n">
        <v>7869.02568592946</v>
      </c>
      <c r="I174" s="233" t="n">
        <v>7869.02568592946</v>
      </c>
      <c r="J174" s="233" t="n">
        <v>7869.02568592946</v>
      </c>
      <c r="K174" s="233" t="n">
        <v>7869.02568592946</v>
      </c>
      <c r="L174" s="233" t="n">
        <v>7869.02568592946</v>
      </c>
      <c r="M174" s="233" t="n">
        <v>7869.02568592946</v>
      </c>
      <c r="N174" s="233" t="n">
        <v>7869.02568592946</v>
      </c>
      <c r="O174" s="233" t="n">
        <v>7869.02568592946</v>
      </c>
      <c r="P174" s="233" t="n">
        <v>7869.02568592946</v>
      </c>
      <c r="Q174" s="233" t="n">
        <v>7869.02568592946</v>
      </c>
      <c r="R174" s="233" t="n">
        <v>7869.02568592946</v>
      </c>
      <c r="S174" s="233" t="n">
        <v>7869.02568592946</v>
      </c>
      <c r="T174" s="233" t="n">
        <v>7869.02568592946</v>
      </c>
      <c r="U174" s="233" t="n">
        <v>7869.02568592946</v>
      </c>
      <c r="V174" s="233" t="n">
        <v>7869.02568592946</v>
      </c>
      <c r="W174" s="233" t="n">
        <v>7869.02568592946</v>
      </c>
      <c r="X174" s="233" t="n">
        <v>7869.02568592946</v>
      </c>
      <c r="Y174" s="233" t="n">
        <v>7869.02568592946</v>
      </c>
      <c r="Z174" s="233" t="n">
        <v>7869.02568592946</v>
      </c>
      <c r="AA174" s="204" t="n">
        <v>7869.02568592946</v>
      </c>
      <c r="AB174" s="204" t="n">
        <v>7869.02568592946</v>
      </c>
      <c r="AC174" s="204" t="n">
        <v>7869.02568592946</v>
      </c>
      <c r="AD174" s="204" t="n">
        <v>7869.02568592946</v>
      </c>
      <c r="AE174" s="204" t="n">
        <v>7869.02568592946</v>
      </c>
      <c r="AF174" s="204" t="n">
        <v>7869.02568592946</v>
      </c>
      <c r="AG174" s="204" t="n">
        <v>7917.849103599438</v>
      </c>
      <c r="AH174" s="204" t="n">
        <v>8173.406545072794</v>
      </c>
      <c r="AI174" s="204" t="n">
        <v>8279.299730022205</v>
      </c>
      <c r="AJ174" s="204" t="n">
        <v>8423.529649791308</v>
      </c>
      <c r="AK174" s="204" t="n">
        <v>8423.529649791308</v>
      </c>
      <c r="AL174" s="204" t="n">
        <v>8423.529649791308</v>
      </c>
      <c r="AM174" s="204" t="n">
        <v>8609.394052177668</v>
      </c>
      <c r="AN174" s="204" t="n">
        <v>8973.251021227916</v>
      </c>
      <c r="AO174" s="204" t="n">
        <v>8973.251021227916</v>
      </c>
      <c r="AP174" s="204" t="n">
        <v>8973.251021227916</v>
      </c>
      <c r="AQ174" s="204" t="n">
        <v>8973.251021227916</v>
      </c>
      <c r="AR174" s="204" t="n">
        <v>8973.251021227916</v>
      </c>
      <c r="AS174" s="204" t="n">
        <v>8984.335195833468</v>
      </c>
      <c r="AT174" s="204" t="n">
        <v>9276.061753346061</v>
      </c>
      <c r="AU174" s="204" t="n">
        <v>9276.061753346061</v>
      </c>
      <c r="AV174" s="200" t="n">
        <v>9276.061753346061</v>
      </c>
      <c r="AW174" s="184" t="n">
        <v>9276.061753346061</v>
      </c>
      <c r="AX174" s="184" t="n">
        <v>9276.061753346061</v>
      </c>
      <c r="AY174" s="184" t="n"/>
    </row>
    <row r="175" ht="22" customHeight="1">
      <c r="A175" s="303" t="n"/>
      <c r="B175" s="201" t="inlineStr">
        <is>
          <t>current price</t>
        </is>
      </c>
      <c r="C175" s="233" t="n">
        <v>7063.836751488154</v>
      </c>
      <c r="D175" s="233" t="n">
        <v>6641.436066392896</v>
      </c>
      <c r="E175" s="233" t="n">
        <v>6515.913530562131</v>
      </c>
      <c r="F175" s="233" t="n">
        <v>6598.015067193948</v>
      </c>
      <c r="G175" s="233" t="n">
        <v>6285.728035965236</v>
      </c>
      <c r="H175" s="233" t="n">
        <v>6317.690033398045</v>
      </c>
      <c r="I175" s="233" t="n">
        <v>6540.122646928648</v>
      </c>
      <c r="J175" s="233" t="n">
        <v>6405.69617763866</v>
      </c>
      <c r="K175" s="233" t="n">
        <v>6152.018112802238</v>
      </c>
      <c r="L175" s="233" t="n">
        <v>5967.016139542102</v>
      </c>
      <c r="M175" s="233" t="n">
        <v>6373.396081708197</v>
      </c>
      <c r="N175" s="233" t="n">
        <v>6856.01016135182</v>
      </c>
      <c r="O175" s="233" t="n">
        <v>6787.665139800694</v>
      </c>
      <c r="P175" s="233" t="n">
        <v>6788.097985990054</v>
      </c>
      <c r="Q175" s="233" t="n">
        <v>6954.009861208498</v>
      </c>
      <c r="R175" s="233" t="n">
        <v>6872.720344580535</v>
      </c>
      <c r="S175" s="233" t="n">
        <v>6983.13168313948</v>
      </c>
      <c r="T175" s="233" t="n">
        <v>7106.485787779093</v>
      </c>
      <c r="U175" s="233" t="n">
        <v>7330.976471202448</v>
      </c>
      <c r="V175" s="233" t="n">
        <v>7381.430881014559</v>
      </c>
      <c r="W175" s="233" t="n">
        <v>7728.872050877544</v>
      </c>
      <c r="X175" s="233" t="n">
        <v>7458.615274429321</v>
      </c>
      <c r="Y175" s="233" t="n">
        <v>7690.440044947318</v>
      </c>
      <c r="Z175" s="233" t="n">
        <v>7280.365096506139</v>
      </c>
      <c r="AA175" s="204" t="n">
        <v>7684.616027399898</v>
      </c>
      <c r="AB175" s="204" t="n">
        <v>7355.503131924343</v>
      </c>
      <c r="AC175" s="204" t="n">
        <v>7051.012594850123</v>
      </c>
      <c r="AD175" s="204" t="n">
        <v>7172.265741463692</v>
      </c>
      <c r="AE175" s="204" t="n">
        <v>7451.214346398425</v>
      </c>
      <c r="AF175" s="204" t="n">
        <v>7630.836388643656</v>
      </c>
      <c r="AG175" s="204" t="n">
        <v>7791.495691737451</v>
      </c>
      <c r="AH175" s="204" t="n">
        <v>8063.227149816463</v>
      </c>
      <c r="AI175" s="204" t="n">
        <v>8100.810793315643</v>
      </c>
      <c r="AJ175" s="204" t="n">
        <v>8144.347390996758</v>
      </c>
      <c r="AK175" s="204" t="n">
        <v>7872.42578580766</v>
      </c>
      <c r="AL175" s="204" t="n">
        <v>7989.705521623255</v>
      </c>
      <c r="AM175" s="204" t="n">
        <v>8407.019495197688</v>
      </c>
      <c r="AN175" s="204" t="n">
        <v>8932.668267134693</v>
      </c>
      <c r="AO175" s="204" t="n">
        <v>8085.954041333694</v>
      </c>
      <c r="AP175" s="204" t="n">
        <v>8439.622604162956</v>
      </c>
      <c r="AQ175" s="204" t="n">
        <v>8665.339191388863</v>
      </c>
      <c r="AR175" s="204" t="n">
        <v>8584.954364215198</v>
      </c>
      <c r="AS175" s="204" t="n">
        <v>8835.639478798374</v>
      </c>
      <c r="AT175" s="204" t="n">
        <v>9031.255144119263</v>
      </c>
      <c r="AU175" s="204" t="n">
        <v>8598.886131644249</v>
      </c>
      <c r="AV175" s="201" t="n">
        <v>8598.886131644249</v>
      </c>
      <c r="AW175" s="184" t="n">
        <v>8598.886131644249</v>
      </c>
      <c r="AX175" s="184" t="n">
        <v>8598.886131644249</v>
      </c>
      <c r="AY175" s="184" t="n"/>
    </row>
    <row r="176" ht="22" customHeight="1">
      <c r="A176" s="303" t="n"/>
      <c r="B176" s="201" t="inlineStr">
        <is>
          <t>% CHANGE</t>
        </is>
      </c>
      <c r="C176" s="230">
        <f>+(C175-C174)/C174</f>
        <v/>
      </c>
      <c r="D176" s="230">
        <f>+(D175-D174)/D174</f>
        <v/>
      </c>
      <c r="E176" s="230">
        <f>+(E175-E174)/E174</f>
        <v/>
      </c>
      <c r="F176" s="230">
        <f>+(F175-F174)/F174</f>
        <v/>
      </c>
      <c r="G176" s="230">
        <f>+(G175-G174)/G174</f>
        <v/>
      </c>
      <c r="H176" s="230">
        <f>+(H175-H174)/H174</f>
        <v/>
      </c>
      <c r="I176" s="230">
        <f>+(I175-I174)/I174</f>
        <v/>
      </c>
      <c r="J176" s="230">
        <f>+(J175-J174)/J174</f>
        <v/>
      </c>
      <c r="K176" s="230">
        <f>+(K175-K174)/K174</f>
        <v/>
      </c>
      <c r="L176" s="230">
        <f>+(L175-L174)/L174</f>
        <v/>
      </c>
      <c r="M176" s="230">
        <f>+(M175-M174)/M174</f>
        <v/>
      </c>
      <c r="N176" s="230">
        <f>+(N175-N174)/N174</f>
        <v/>
      </c>
      <c r="O176" s="230">
        <f>+(O175-O174)/O174</f>
        <v/>
      </c>
      <c r="P176" s="230">
        <f>+(P175-P174)/P174</f>
        <v/>
      </c>
      <c r="Q176" s="230">
        <f>+(Q175-Q174)/Q174</f>
        <v/>
      </c>
      <c r="R176" s="230">
        <f>+(R175-R174)/R174</f>
        <v/>
      </c>
      <c r="S176" s="230">
        <f>+(S175-S174)/S174</f>
        <v/>
      </c>
      <c r="T176" s="230">
        <f>+(T175-T174)/T174</f>
        <v/>
      </c>
      <c r="U176" s="230">
        <f>+(U175-U174)/U174</f>
        <v/>
      </c>
      <c r="V176" s="230">
        <f>+(V175-V174)/V174</f>
        <v/>
      </c>
      <c r="W176" s="230">
        <f>+(W175-W174)/W174</f>
        <v/>
      </c>
      <c r="X176" s="230">
        <f>+(X175-X174)/X174</f>
        <v/>
      </c>
      <c r="Y176" s="230">
        <f>+(Y175-Y174)/Y174</f>
        <v/>
      </c>
      <c r="Z176" s="230">
        <f>+(Z175-Z174)/Z174</f>
        <v/>
      </c>
      <c r="AA176" s="230">
        <f>+(AA175-AA174)/AA174</f>
        <v/>
      </c>
      <c r="AB176" s="205">
        <f>+(AB175-AB174)/AB174</f>
        <v/>
      </c>
      <c r="AC176" s="205">
        <f>+(AC175-AC174)/AC174</f>
        <v/>
      </c>
      <c r="AD176" s="205">
        <f>+(AD175-AD174)/AD174</f>
        <v/>
      </c>
      <c r="AE176" s="205">
        <f>+(AE175-AE174)/AE174</f>
        <v/>
      </c>
      <c r="AF176" s="205">
        <f>+(AF175-AF174)/AF174</f>
        <v/>
      </c>
      <c r="AG176" s="205">
        <f>+(AG175-AG174)/AG174</f>
        <v/>
      </c>
      <c r="AH176" s="205">
        <f>+(AH175-AH174)/AH174</f>
        <v/>
      </c>
      <c r="AI176" s="205">
        <f>+(AI175-AI174)/AI174</f>
        <v/>
      </c>
      <c r="AJ176" s="205">
        <f>+(AJ175-AJ174)/AJ174</f>
        <v/>
      </c>
      <c r="AK176" s="205">
        <f>+(AK175-AK174)/AK174</f>
        <v/>
      </c>
      <c r="AL176" s="205">
        <f>+(AL175-AL174)/AL174</f>
        <v/>
      </c>
      <c r="AM176" s="205">
        <f>+(AM175-AM174)/AM174</f>
        <v/>
      </c>
      <c r="AN176" s="205">
        <f>+(AN175-AN174)/AN174</f>
        <v/>
      </c>
      <c r="AO176" s="205">
        <f>+(AO175-AO174)/AO174</f>
        <v/>
      </c>
      <c r="AP176" s="205">
        <f>+(AP175-AP174)/AP174</f>
        <v/>
      </c>
      <c r="AQ176" s="205">
        <f>+(AQ175-AQ174)/AQ174</f>
        <v/>
      </c>
      <c r="AR176" s="205">
        <f>+(AR175-AR174)/AR174</f>
        <v/>
      </c>
      <c r="AS176" s="205">
        <f>+(AS175-AS174)/AS174</f>
        <v/>
      </c>
      <c r="AT176" s="205">
        <f>+(AT175-AT174)/AT174</f>
        <v/>
      </c>
      <c r="AU176" s="205">
        <f>+(AU175-AU174)/AU174</f>
        <v/>
      </c>
      <c r="AV176" s="201">
        <f>+(AV175-AV174)/AV174</f>
        <v/>
      </c>
      <c r="AW176" s="184">
        <f>+(AW175-AW174)/AW174</f>
        <v/>
      </c>
      <c r="AX176" s="184">
        <f>+(AX175-AX174)/AX174</f>
        <v/>
      </c>
      <c r="AY176" s="184" t="n"/>
    </row>
    <row r="177" ht="44" customHeight="1">
      <c r="A177" s="303" t="n"/>
      <c r="B177" s="201" t="inlineStr">
        <is>
          <t>All time High ASX200</t>
        </is>
      </c>
      <c r="C177" s="233" t="n">
        <v>7632.7998046875</v>
      </c>
      <c r="D177" s="233" t="n">
        <v>7632.7998046875</v>
      </c>
      <c r="E177" s="233" t="n">
        <v>7632.7998046875</v>
      </c>
      <c r="F177" s="233" t="n">
        <v>7632.7998046875</v>
      </c>
      <c r="G177" s="233" t="n">
        <v>7632.7998046875</v>
      </c>
      <c r="H177" s="233" t="n">
        <v>7632.7998046875</v>
      </c>
      <c r="I177" s="233" t="n">
        <v>7632.7998046875</v>
      </c>
      <c r="J177" s="233" t="n">
        <v>7632.7998046875</v>
      </c>
      <c r="K177" s="233" t="n">
        <v>7632.7998046875</v>
      </c>
      <c r="L177" s="233" t="n">
        <v>7632.7998046875</v>
      </c>
      <c r="M177" s="233" t="n">
        <v>7632.7998046875</v>
      </c>
      <c r="N177" s="233" t="n">
        <v>7632.7998046875</v>
      </c>
      <c r="O177" s="233" t="n">
        <v>7682.2998046875</v>
      </c>
      <c r="P177" s="233" t="n">
        <v>7703.7998046875</v>
      </c>
      <c r="Q177" s="233" t="n">
        <v>7901.2001953125</v>
      </c>
      <c r="R177" s="233" t="n">
        <v>7901.2001953125</v>
      </c>
      <c r="S177" s="233" t="n">
        <v>7901.2001953125</v>
      </c>
      <c r="T177" s="233" t="n">
        <v>7901.2001953125</v>
      </c>
      <c r="U177" s="233" t="n">
        <v>8092.2998046875</v>
      </c>
      <c r="V177" s="233" t="n">
        <v>8092.2998046875</v>
      </c>
      <c r="W177" s="233" t="n">
        <v>8285.7001953125</v>
      </c>
      <c r="X177" s="233" t="n">
        <v>8285.7001953125</v>
      </c>
      <c r="Y177" s="233" t="n">
        <v>8477.099609375</v>
      </c>
      <c r="Z177" s="233" t="n">
        <v>8477.099609375</v>
      </c>
      <c r="AA177" s="231" t="n">
        <v>8566.900390625</v>
      </c>
      <c r="AB177" s="203" t="n">
        <v>8566.900390625</v>
      </c>
      <c r="AC177" s="203" t="n">
        <v>8566.900390625</v>
      </c>
      <c r="AD177" s="203" t="n">
        <v>8566.900390625</v>
      </c>
      <c r="AE177" s="203" t="n">
        <v>8566.900390625</v>
      </c>
      <c r="AF177" s="203" t="n">
        <v>8639.099609375</v>
      </c>
      <c r="AG177" s="203" t="n">
        <v>8776.400390625</v>
      </c>
      <c r="AH177" s="203" t="n">
        <v>9054.5</v>
      </c>
      <c r="AI177" s="203" t="n">
        <v>9054.5</v>
      </c>
      <c r="AJ177" s="203" t="n">
        <v>9115.2001953125</v>
      </c>
      <c r="AK177" s="203" t="n">
        <v>9115.2001953125</v>
      </c>
      <c r="AL177" s="203" t="n">
        <v>9115.2001953125</v>
      </c>
      <c r="AM177" s="203" t="n">
        <v>9115.2001953125</v>
      </c>
      <c r="AN177" s="203" t="n">
        <v>9202.900390625</v>
      </c>
      <c r="AO177" s="203" t="n">
        <v>9202.900390625</v>
      </c>
      <c r="AP177" s="203" t="n">
        <v>9202.900390625</v>
      </c>
      <c r="AQ177" s="203" t="n">
        <v>9202.900390625</v>
      </c>
      <c r="AR177" s="203" t="n">
        <v>9202.900390625</v>
      </c>
      <c r="AS177" s="203" t="n">
        <v>9202.900390625</v>
      </c>
      <c r="AT177" s="203" t="n">
        <v>9296.7001953125</v>
      </c>
      <c r="AU177" s="203" t="n">
        <v>9296.7001953125</v>
      </c>
      <c r="AV177" s="201" t="n">
        <v>9296.7001953125</v>
      </c>
      <c r="AW177" s="184" t="n">
        <v>9296.7001953125</v>
      </c>
      <c r="AX177" s="184" t="n">
        <v>9296.7001953125</v>
      </c>
      <c r="AY177" s="184" t="n"/>
    </row>
    <row r="178" ht="44" customHeight="1">
      <c r="A178" s="303" t="n"/>
      <c r="B178" s="201" t="inlineStr">
        <is>
          <t>current price ASX200</t>
        </is>
      </c>
      <c r="C178" s="233" t="n">
        <v>7476.7001953125</v>
      </c>
      <c r="D178" s="233" t="n">
        <v>7258.39990234375</v>
      </c>
      <c r="E178" s="233" t="n">
        <v>7177.7998046875</v>
      </c>
      <c r="F178" s="233" t="n">
        <v>7309.2001953125</v>
      </c>
      <c r="G178" s="233" t="n">
        <v>7091.2998046875</v>
      </c>
      <c r="H178" s="233" t="n">
        <v>7203.2998046875</v>
      </c>
      <c r="I178" s="233" t="n">
        <v>7410.39990234375</v>
      </c>
      <c r="J178" s="233" t="n">
        <v>7305.2998046875</v>
      </c>
      <c r="K178" s="233" t="n">
        <v>7048.60009765625</v>
      </c>
      <c r="L178" s="233" t="n">
        <v>6780.7001953125</v>
      </c>
      <c r="M178" s="233" t="n">
        <v>7087.2998046875</v>
      </c>
      <c r="N178" s="233" t="n">
        <v>7590.7998046875</v>
      </c>
      <c r="O178" s="233" t="n">
        <v>7680.7001953125</v>
      </c>
      <c r="P178" s="233" t="n">
        <v>7698.7001953125</v>
      </c>
      <c r="Q178" s="233" t="n">
        <v>7896.89990234375</v>
      </c>
      <c r="R178" s="233" t="n">
        <v>7664.10009765625</v>
      </c>
      <c r="S178" s="233" t="n">
        <v>7701.7001953125</v>
      </c>
      <c r="T178" s="233" t="n">
        <v>7767.5</v>
      </c>
      <c r="U178" s="233" t="n">
        <v>8092.2998046875</v>
      </c>
      <c r="V178" s="233" t="n">
        <v>8091.89990234375</v>
      </c>
      <c r="W178" s="233" t="n">
        <v>8269.7998046875</v>
      </c>
      <c r="X178" s="233" t="n">
        <v>8160</v>
      </c>
      <c r="Y178" s="233" t="n">
        <v>8436.2001953125</v>
      </c>
      <c r="Z178" s="233" t="n">
        <v>8159.10009765625</v>
      </c>
      <c r="AA178" s="231" t="n">
        <v>8532.2998046875</v>
      </c>
      <c r="AB178" s="203" t="n">
        <v>8172.39990234375</v>
      </c>
      <c r="AC178" s="203" t="n">
        <v>7843.39990234375</v>
      </c>
      <c r="AD178" s="203" t="n">
        <v>8126.2001953125</v>
      </c>
      <c r="AE178" s="203" t="n">
        <v>8434.7001953125</v>
      </c>
      <c r="AF178" s="203" t="n">
        <v>8542.2998046875</v>
      </c>
      <c r="AG178" s="203" t="n">
        <v>8742.7998046875</v>
      </c>
      <c r="AH178" s="203" t="n">
        <v>8973.099609375</v>
      </c>
      <c r="AI178" s="203" t="n">
        <v>8848.7998046875</v>
      </c>
      <c r="AJ178" s="203" t="n">
        <v>8881.900390625</v>
      </c>
      <c r="AK178" s="203" t="n">
        <v>8614.099609375</v>
      </c>
      <c r="AL178" s="203" t="n">
        <v>8714.2998046875</v>
      </c>
      <c r="AM178" s="203" t="n">
        <v>8869.099609375</v>
      </c>
      <c r="AN178" s="203" t="n">
        <v>9198.599609375</v>
      </c>
      <c r="AO178" s="203" t="n">
        <v>8481.7998046875</v>
      </c>
      <c r="AP178" s="203" t="n">
        <v>8665.7998046875</v>
      </c>
      <c r="AQ178" s="203" t="n">
        <v>8731.7001953125</v>
      </c>
      <c r="AR178" s="203" t="n">
        <v>8778.7001953125</v>
      </c>
      <c r="AS178" s="203" t="n">
        <v>8976.7998046875</v>
      </c>
      <c r="AT178" s="203" t="n">
        <v>9076</v>
      </c>
      <c r="AU178" s="203" t="n">
        <v>8665</v>
      </c>
      <c r="AV178" s="201" t="n">
        <v>8665</v>
      </c>
      <c r="AW178" s="184" t="n">
        <v>8665</v>
      </c>
      <c r="AX178" s="184" t="n">
        <v>8665</v>
      </c>
      <c r="AY178" s="184" t="n"/>
    </row>
    <row r="179" ht="44" customHeight="1">
      <c r="A179" s="303" t="n"/>
      <c r="B179" s="201" t="inlineStr">
        <is>
          <t>original index % change</t>
        </is>
      </c>
      <c r="C179" s="230">
        <f>+(C178-C177)/C177</f>
        <v/>
      </c>
      <c r="D179" s="230">
        <f>+(D178-D177)/D177</f>
        <v/>
      </c>
      <c r="E179" s="230">
        <f>+(E178-E177)/E177</f>
        <v/>
      </c>
      <c r="F179" s="230">
        <f>+(F178-F177)/F177</f>
        <v/>
      </c>
      <c r="G179" s="230">
        <f>+(G178-G177)/G177</f>
        <v/>
      </c>
      <c r="H179" s="230">
        <f>+(H178-H177)/H177</f>
        <v/>
      </c>
      <c r="I179" s="230">
        <f>+(I178-I177)/I177</f>
        <v/>
      </c>
      <c r="J179" s="230">
        <f>+(J178-J177)/J177</f>
        <v/>
      </c>
      <c r="K179" s="230">
        <f>+(K178-K177)/K177</f>
        <v/>
      </c>
      <c r="L179" s="230">
        <f>+(L178-L177)/L177</f>
        <v/>
      </c>
      <c r="M179" s="230">
        <f>+(M178-M177)/M177</f>
        <v/>
      </c>
      <c r="N179" s="230">
        <f>+(N178-N177)/N177</f>
        <v/>
      </c>
      <c r="O179" s="230">
        <f>+(O178-O177)/O177</f>
        <v/>
      </c>
      <c r="P179" s="230">
        <f>+(P178-P177)/P177</f>
        <v/>
      </c>
      <c r="Q179" s="230">
        <f>+(Q178-Q177)/Q177</f>
        <v/>
      </c>
      <c r="R179" s="230">
        <f>+(R178-R177)/R177</f>
        <v/>
      </c>
      <c r="S179" s="230">
        <f>+(S178-S177)/S177</f>
        <v/>
      </c>
      <c r="T179" s="230">
        <f>+(T178-T177)/T177</f>
        <v/>
      </c>
      <c r="U179" s="230">
        <f>+(U178-U177)/U177</f>
        <v/>
      </c>
      <c r="V179" s="230">
        <f>+(V178-V177)/V177</f>
        <v/>
      </c>
      <c r="W179" s="230">
        <f>+(W178-W177)/W177</f>
        <v/>
      </c>
      <c r="X179" s="230">
        <f>+(X178-X177)/X177</f>
        <v/>
      </c>
      <c r="Y179" s="230">
        <f>+(Y178-Y177)/Y177</f>
        <v/>
      </c>
      <c r="Z179" s="230">
        <f>+(Z178-Z177)/Z177</f>
        <v/>
      </c>
      <c r="AA179" s="230">
        <f>+(AA178-AA177)/AA177</f>
        <v/>
      </c>
      <c r="AB179" s="205">
        <f>+(AB178-AB177)/AB177</f>
        <v/>
      </c>
      <c r="AC179" s="205">
        <f>+(AC178-AC177)/AC177</f>
        <v/>
      </c>
      <c r="AD179" s="205">
        <f>+(AD178-AD177)/AD177</f>
        <v/>
      </c>
      <c r="AE179" s="205">
        <f>+(AE178-AE177)/AE177</f>
        <v/>
      </c>
      <c r="AF179" s="205">
        <f>+(AF178-AF177)/AF177</f>
        <v/>
      </c>
      <c r="AG179" s="205">
        <f>+(AG178-AG177)/AG177</f>
        <v/>
      </c>
      <c r="AH179" s="205">
        <f>+(AH178-AH177)/AH177</f>
        <v/>
      </c>
      <c r="AI179" s="205">
        <f>+(AI178-AI177)/AI177</f>
        <v/>
      </c>
      <c r="AJ179" s="205">
        <f>+(AJ178-AJ177)/AJ177</f>
        <v/>
      </c>
      <c r="AK179" s="205">
        <f>+(AK178-AK177)/AK177</f>
        <v/>
      </c>
      <c r="AL179" s="205">
        <f>+(AL178-AL177)/AL177</f>
        <v/>
      </c>
      <c r="AM179" s="205">
        <f>+(AM178-AM177)/AM177</f>
        <v/>
      </c>
      <c r="AN179" s="205">
        <f>+(AN178-AN177)/AN177</f>
        <v/>
      </c>
      <c r="AO179" s="205">
        <f>+(AO178-AO177)/AO177</f>
        <v/>
      </c>
      <c r="AP179" s="205">
        <f>+(AP178-AP177)/AP177</f>
        <v/>
      </c>
      <c r="AQ179" s="205">
        <f>+(AQ178-AQ177)/AQ177</f>
        <v/>
      </c>
      <c r="AR179" s="205">
        <f>+(AR178-AR177)/AR177</f>
        <v/>
      </c>
      <c r="AS179" s="205">
        <f>+(AS178-AS177)/AS177</f>
        <v/>
      </c>
      <c r="AT179" s="205">
        <f>+(AT178-AT177)/AT177</f>
        <v/>
      </c>
      <c r="AU179" s="205">
        <f>+(AU178-AU177)/AU177</f>
        <v/>
      </c>
      <c r="AV179" s="201">
        <f>+(AV178-AV177)/AV177</f>
        <v/>
      </c>
      <c r="AW179" s="184">
        <f>+(AW178-AW177)/AW177</f>
        <v/>
      </c>
      <c r="AX179" s="184">
        <f>+(AX178-AX177)/AX177</f>
        <v/>
      </c>
      <c r="AY179" s="184" t="n"/>
    </row>
    <row r="180" ht="22" customHeight="1">
      <c r="A180" s="303" t="n"/>
      <c r="B180" s="201" t="inlineStr">
        <is>
          <t>real % change</t>
        </is>
      </c>
      <c r="C180" s="230">
        <f>+C176-C179</f>
        <v/>
      </c>
      <c r="D180" s="230">
        <f>+D176-D179</f>
        <v/>
      </c>
      <c r="E180" s="230">
        <f>+E176-E179</f>
        <v/>
      </c>
      <c r="F180" s="230">
        <f>+F176-F179</f>
        <v/>
      </c>
      <c r="G180" s="230">
        <f>+G176-G179</f>
        <v/>
      </c>
      <c r="H180" s="230">
        <f>+H176-H179</f>
        <v/>
      </c>
      <c r="I180" s="230">
        <f>+I176-I179</f>
        <v/>
      </c>
      <c r="J180" s="230">
        <f>+J176-J179</f>
        <v/>
      </c>
      <c r="K180" s="230">
        <f>+K176-K179</f>
        <v/>
      </c>
      <c r="L180" s="230">
        <f>+L176-L179</f>
        <v/>
      </c>
      <c r="M180" s="230">
        <f>+M176-M179</f>
        <v/>
      </c>
      <c r="N180" s="230">
        <f>+N176-N179</f>
        <v/>
      </c>
      <c r="O180" s="230">
        <f>+O176-O179</f>
        <v/>
      </c>
      <c r="P180" s="230">
        <f>+P176-P179</f>
        <v/>
      </c>
      <c r="Q180" s="230">
        <f>+Q176-Q179</f>
        <v/>
      </c>
      <c r="R180" s="230">
        <f>+R176-R179</f>
        <v/>
      </c>
      <c r="S180" s="230">
        <f>+S176-S179</f>
        <v/>
      </c>
      <c r="T180" s="230">
        <f>+T176-T179</f>
        <v/>
      </c>
      <c r="U180" s="230">
        <f>+U176-U179</f>
        <v/>
      </c>
      <c r="V180" s="230">
        <f>+V176-V179</f>
        <v/>
      </c>
      <c r="W180" s="230">
        <f>+W176-W179</f>
        <v/>
      </c>
      <c r="X180" s="230">
        <f>+X176-X179</f>
        <v/>
      </c>
      <c r="Y180" s="230">
        <f>+Y176-Y179</f>
        <v/>
      </c>
      <c r="Z180" s="230">
        <f>+Z176-Z179</f>
        <v/>
      </c>
      <c r="AA180" s="230">
        <f>+AA176-AA179</f>
        <v/>
      </c>
      <c r="AB180" s="205">
        <f>+AB176-AB179</f>
        <v/>
      </c>
      <c r="AC180" s="205">
        <f>+AC176-AC179</f>
        <v/>
      </c>
      <c r="AD180" s="205">
        <f>+AD176-AD179</f>
        <v/>
      </c>
      <c r="AE180" s="205">
        <f>+AE176-AE179</f>
        <v/>
      </c>
      <c r="AF180" s="205">
        <f>+AF176-AF179</f>
        <v/>
      </c>
      <c r="AG180" s="205">
        <f>+AG176-AG179</f>
        <v/>
      </c>
      <c r="AH180" s="205">
        <f>+AH176-AH179</f>
        <v/>
      </c>
      <c r="AI180" s="205">
        <f>+AI176-AI179</f>
        <v/>
      </c>
      <c r="AJ180" s="205">
        <f>+AJ176-AJ179</f>
        <v/>
      </c>
      <c r="AK180" s="205">
        <f>+AK176-AK179</f>
        <v/>
      </c>
      <c r="AL180" s="205">
        <f>+AL176-AL179</f>
        <v/>
      </c>
      <c r="AM180" s="205">
        <f>+AM176-AM179</f>
        <v/>
      </c>
      <c r="AN180" s="205">
        <f>+AN176-AN179</f>
        <v/>
      </c>
      <c r="AO180" s="205">
        <f>+AO176-AO179</f>
        <v/>
      </c>
      <c r="AP180" s="205">
        <f>+AP176-AP179</f>
        <v/>
      </c>
      <c r="AQ180" s="205">
        <f>+AQ176-AQ179</f>
        <v/>
      </c>
      <c r="AR180" s="205">
        <f>+AR176-AR179</f>
        <v/>
      </c>
      <c r="AS180" s="205">
        <f>+AS176-AS179</f>
        <v/>
      </c>
      <c r="AT180" s="205">
        <f>+AT176-AT179</f>
        <v/>
      </c>
      <c r="AU180" s="205">
        <f>+AU176-AU179</f>
        <v/>
      </c>
      <c r="AV180" s="201">
        <f>+AV176-AV179</f>
        <v/>
      </c>
      <c r="AW180" s="184">
        <f>+AW176-AW179</f>
        <v/>
      </c>
      <c r="AX180" s="184">
        <f>+AX176-AX179</f>
        <v/>
      </c>
      <c r="AY180" s="184" t="n"/>
    </row>
    <row r="181" ht="22" customHeight="1">
      <c r="A181" s="304" t="n"/>
      <c r="B181" s="206" t="inlineStr">
        <is>
          <t>Rating</t>
        </is>
      </c>
      <c r="C181" s="232">
        <f>_xlfn.XLOOKUP(MIN(ABS($BJ$7:$BJ$29 - MEDIAN(MIN($BJ$7:$BJ$29), MAX($BJ$7:$BJ$29), C180))), ABS($BJ$7:$BJ$29 - MEDIAN(MIN($BJ$7:$BJ$29), MAX($BJ$7:$BJ$29), C180)), $BK$7:$BK$29, "Error", 0)</f>
        <v/>
      </c>
      <c r="D181" s="232">
        <f>_xlfn.XLOOKUP(MIN(ABS($BJ$7:$BJ$29 - MEDIAN(MIN($BJ$7:$BJ$29), MAX($BJ$7:$BJ$29), D180))), ABS($BJ$7:$BJ$29 - MEDIAN(MIN($BJ$7:$BJ$29), MAX($BJ$7:$BJ$29), D180)), $BK$7:$BK$29, "Error", 0)</f>
        <v/>
      </c>
      <c r="E181" s="232">
        <f>_xlfn.XLOOKUP(MIN(ABS($BJ$7:$BJ$29 - MEDIAN(MIN($BJ$7:$BJ$29), MAX($BJ$7:$BJ$29), E180))), ABS($BJ$7:$BJ$29 - MEDIAN(MIN($BJ$7:$BJ$29), MAX($BJ$7:$BJ$29), E180)), $BK$7:$BK$29, "Error", 0)</f>
        <v/>
      </c>
      <c r="F181" s="232">
        <f>_xlfn.XLOOKUP(MIN(ABS($BJ$7:$BJ$29 - MEDIAN(MIN($BJ$7:$BJ$29), MAX($BJ$7:$BJ$29), F180))), ABS($BJ$7:$BJ$29 - MEDIAN(MIN($BJ$7:$BJ$29), MAX($BJ$7:$BJ$29), F180)), $BK$7:$BK$29, "Error", 0)</f>
        <v/>
      </c>
      <c r="G181" s="232">
        <f>_xlfn.XLOOKUP(MIN(ABS($BJ$7:$BJ$29 - MEDIAN(MIN($BJ$7:$BJ$29), MAX($BJ$7:$BJ$29), G180))), ABS($BJ$7:$BJ$29 - MEDIAN(MIN($BJ$7:$BJ$29), MAX($BJ$7:$BJ$29), G180)), $BK$7:$BK$29, "Error", 0)</f>
        <v/>
      </c>
      <c r="H181" s="232">
        <f>_xlfn.XLOOKUP(MIN(ABS($BJ$7:$BJ$29 - MEDIAN(MIN($BJ$7:$BJ$29), MAX($BJ$7:$BJ$29), H180))), ABS($BJ$7:$BJ$29 - MEDIAN(MIN($BJ$7:$BJ$29), MAX($BJ$7:$BJ$29), H180)), $BK$7:$BK$29, "Error", 0)</f>
        <v/>
      </c>
      <c r="I181" s="232">
        <f>_xlfn.XLOOKUP(MIN(ABS($BJ$7:$BJ$29 - MEDIAN(MIN($BJ$7:$BJ$29), MAX($BJ$7:$BJ$29), I180))), ABS($BJ$7:$BJ$29 - MEDIAN(MIN($BJ$7:$BJ$29), MAX($BJ$7:$BJ$29), I180)), $BK$7:$BK$29, "Error", 0)</f>
        <v/>
      </c>
      <c r="J181" s="232">
        <f>_xlfn.XLOOKUP(MIN(ABS($BJ$7:$BJ$29 - MEDIAN(MIN($BJ$7:$BJ$29), MAX($BJ$7:$BJ$29), J180))), ABS($BJ$7:$BJ$29 - MEDIAN(MIN($BJ$7:$BJ$29), MAX($BJ$7:$BJ$29), J180)), $BK$7:$BK$29, "Error", 0)</f>
        <v/>
      </c>
      <c r="K181" s="232">
        <f>_xlfn.XLOOKUP(MIN(ABS($BJ$7:$BJ$29 - MEDIAN(MIN($BJ$7:$BJ$29), MAX($BJ$7:$BJ$29), K180))), ABS($BJ$7:$BJ$29 - MEDIAN(MIN($BJ$7:$BJ$29), MAX($BJ$7:$BJ$29), K180)), $BK$7:$BK$29, "Error", 0)</f>
        <v/>
      </c>
      <c r="L181" s="232">
        <f>_xlfn.XLOOKUP(MIN(ABS($BJ$7:$BJ$29 - MEDIAN(MIN($BJ$7:$BJ$29), MAX($BJ$7:$BJ$29), L180))), ABS($BJ$7:$BJ$29 - MEDIAN(MIN($BJ$7:$BJ$29), MAX($BJ$7:$BJ$29), L180)), $BK$7:$BK$29, "Error", 0)</f>
        <v/>
      </c>
      <c r="M181" s="232">
        <f>_xlfn.XLOOKUP(MIN(ABS($BJ$7:$BJ$29 - MEDIAN(MIN($BJ$7:$BJ$29), MAX($BJ$7:$BJ$29), M180))), ABS($BJ$7:$BJ$29 - MEDIAN(MIN($BJ$7:$BJ$29), MAX($BJ$7:$BJ$29), M180)), $BK$7:$BK$29, "Error", 0)</f>
        <v/>
      </c>
      <c r="N181" s="232">
        <f>_xlfn.XLOOKUP(MIN(ABS($BJ$7:$BJ$29 - MEDIAN(MIN($BJ$7:$BJ$29), MAX($BJ$7:$BJ$29), N180))), ABS($BJ$7:$BJ$29 - MEDIAN(MIN($BJ$7:$BJ$29), MAX($BJ$7:$BJ$29), N180)), $BK$7:$BK$29, "Error", 0)</f>
        <v/>
      </c>
      <c r="O181" s="232">
        <f>_xlfn.XLOOKUP(MIN(ABS($BJ$7:$BJ$29 - MEDIAN(MIN($BJ$7:$BJ$29), MAX($BJ$7:$BJ$29), O180))), ABS($BJ$7:$BJ$29 - MEDIAN(MIN($BJ$7:$BJ$29), MAX($BJ$7:$BJ$29), O180)), $BK$7:$BK$29, "Error", 0)</f>
        <v/>
      </c>
      <c r="P181" s="232">
        <f>_xlfn.XLOOKUP(MIN(ABS($BJ$7:$BJ$29 - MEDIAN(MIN($BJ$7:$BJ$29), MAX($BJ$7:$BJ$29), P180))), ABS($BJ$7:$BJ$29 - MEDIAN(MIN($BJ$7:$BJ$29), MAX($BJ$7:$BJ$29), P180)), $BK$7:$BK$29, "Error", 0)</f>
        <v/>
      </c>
      <c r="Q181" s="232">
        <f>_xlfn.XLOOKUP(MIN(ABS($BJ$7:$BJ$29 - MEDIAN(MIN($BJ$7:$BJ$29), MAX($BJ$7:$BJ$29), Q180))), ABS($BJ$7:$BJ$29 - MEDIAN(MIN($BJ$7:$BJ$29), MAX($BJ$7:$BJ$29), Q180)), $BK$7:$BK$29, "Error", 0)</f>
        <v/>
      </c>
      <c r="R181" s="232">
        <f>_xlfn.XLOOKUP(MIN(ABS($BJ$7:$BJ$29 - MEDIAN(MIN($BJ$7:$BJ$29), MAX($BJ$7:$BJ$29), R180))), ABS($BJ$7:$BJ$29 - MEDIAN(MIN($BJ$7:$BJ$29), MAX($BJ$7:$BJ$29), R180)), $BK$7:$BK$29, "Error", 0)</f>
        <v/>
      </c>
      <c r="S181" s="232">
        <f>_xlfn.XLOOKUP(MIN(ABS($BJ$7:$BJ$29 - MEDIAN(MIN($BJ$7:$BJ$29), MAX($BJ$7:$BJ$29), S180))), ABS($BJ$7:$BJ$29 - MEDIAN(MIN($BJ$7:$BJ$29), MAX($BJ$7:$BJ$29), S180)), $BK$7:$BK$29, "Error", 0)</f>
        <v/>
      </c>
      <c r="T181" s="232">
        <f>_xlfn.XLOOKUP(MIN(ABS($BJ$7:$BJ$29 - MEDIAN(MIN($BJ$7:$BJ$29), MAX($BJ$7:$BJ$29), T180))), ABS($BJ$7:$BJ$29 - MEDIAN(MIN($BJ$7:$BJ$29), MAX($BJ$7:$BJ$29), T180)), $BK$7:$BK$29, "Error", 0)</f>
        <v/>
      </c>
      <c r="U181" s="232">
        <f>_xlfn.XLOOKUP(MIN(ABS($BJ$7:$BJ$29 - MEDIAN(MIN($BJ$7:$BJ$29), MAX($BJ$7:$BJ$29), U180))), ABS($BJ$7:$BJ$29 - MEDIAN(MIN($BJ$7:$BJ$29), MAX($BJ$7:$BJ$29), U180)), $BK$7:$BK$29, "Error", 0)</f>
        <v/>
      </c>
      <c r="V181" s="232">
        <f>_xlfn.XLOOKUP(MIN(ABS($BJ$7:$BJ$29 - MEDIAN(MIN($BJ$7:$BJ$29), MAX($BJ$7:$BJ$29), V180))), ABS($BJ$7:$BJ$29 - MEDIAN(MIN($BJ$7:$BJ$29), MAX($BJ$7:$BJ$29), V180)), $BK$7:$BK$29, "Error", 0)</f>
        <v/>
      </c>
      <c r="W181" s="232">
        <f>_xlfn.XLOOKUP(MIN(ABS($BJ$7:$BJ$29 - MEDIAN(MIN($BJ$7:$BJ$29), MAX($BJ$7:$BJ$29), W180))), ABS($BJ$7:$BJ$29 - MEDIAN(MIN($BJ$7:$BJ$29), MAX($BJ$7:$BJ$29), W180)), $BK$7:$BK$29, "Error", 0)</f>
        <v/>
      </c>
      <c r="X181" s="232">
        <f>_xlfn.XLOOKUP(MIN(ABS($BJ$7:$BJ$29 - MEDIAN(MIN($BJ$7:$BJ$29), MAX($BJ$7:$BJ$29), X180))), ABS($BJ$7:$BJ$29 - MEDIAN(MIN($BJ$7:$BJ$29), MAX($BJ$7:$BJ$29), X180)), $BK$7:$BK$29, "Error", 0)</f>
        <v/>
      </c>
      <c r="Y181" s="232">
        <f>_xlfn.XLOOKUP(MIN(ABS($BJ$7:$BJ$29 - MEDIAN(MIN($BJ$7:$BJ$29), MAX($BJ$7:$BJ$29), Y180))), ABS($BJ$7:$BJ$29 - MEDIAN(MIN($BJ$7:$BJ$29), MAX($BJ$7:$BJ$29), Y180)), $BK$7:$BK$29, "Error", 0)</f>
        <v/>
      </c>
      <c r="Z181" s="232">
        <f>_xlfn.XLOOKUP(MIN(ABS($BJ$7:$BJ$29 - MEDIAN(MIN($BJ$7:$BJ$29), MAX($BJ$7:$BJ$29), Z180))), ABS($BJ$7:$BJ$29 - MEDIAN(MIN($BJ$7:$BJ$29), MAX($BJ$7:$BJ$29), Z180)), $BK$7:$BK$29, "Error", 0)</f>
        <v/>
      </c>
      <c r="AA181" s="232">
        <f>_xlfn.XLOOKUP(MIN(ABS($BJ$7:$BJ$29 - MEDIAN(MIN($BJ$7:$BJ$29), MAX($BJ$7:$BJ$29), AA180))), ABS($BJ$7:$BJ$29 - MEDIAN(MIN($BJ$7:$BJ$29), MAX($BJ$7:$BJ$29), AA180)), $BK$7:$BK$29, "Error", 0)</f>
        <v/>
      </c>
      <c r="AB181" s="171">
        <f>_xlfn.XLOOKUP(MIN(ABS($BJ$7:$BJ$29 - MEDIAN(MIN($BJ$7:$BJ$29), MAX($BJ$7:$BJ$29), AB180))), ABS($BJ$7:$BJ$29 - MEDIAN(MIN($BJ$7:$BJ$29), MAX($BJ$7:$BJ$29), AB180)), $BK$7:$BK$29, "Error", 0)</f>
        <v/>
      </c>
      <c r="AC181" s="171">
        <f>_xlfn.XLOOKUP(MIN(ABS($BJ$7:$BJ$29 - MEDIAN(MIN($BJ$7:$BJ$29), MAX($BJ$7:$BJ$29), AC180))), ABS($BJ$7:$BJ$29 - MEDIAN(MIN($BJ$7:$BJ$29), MAX($BJ$7:$BJ$29), AC180)), $BK$7:$BK$29, "Error", 0)</f>
        <v/>
      </c>
      <c r="AD181" s="171">
        <f>_xlfn.XLOOKUP(MIN(ABS($BJ$7:$BJ$29 - MEDIAN(MIN($BJ$7:$BJ$29), MAX($BJ$7:$BJ$29), AD180))), ABS($BJ$7:$BJ$29 - MEDIAN(MIN($BJ$7:$BJ$29), MAX($BJ$7:$BJ$29), AD180)), $BK$7:$BK$29, "Error", 0)</f>
        <v/>
      </c>
      <c r="AE181" s="171">
        <f>_xlfn.XLOOKUP(MIN(ABS($BJ$7:$BJ$29 - MEDIAN(MIN($BJ$7:$BJ$29), MAX($BJ$7:$BJ$29), AE180))), ABS($BJ$7:$BJ$29 - MEDIAN(MIN($BJ$7:$BJ$29), MAX($BJ$7:$BJ$29), AE180)), $BK$7:$BK$29, "Error", 0)</f>
        <v/>
      </c>
      <c r="AF181" s="171">
        <f>_xlfn.XLOOKUP(MIN(ABS($BJ$7:$BJ$29 - MEDIAN(MIN($BJ$7:$BJ$29), MAX($BJ$7:$BJ$29), AF180))), ABS($BJ$7:$BJ$29 - MEDIAN(MIN($BJ$7:$BJ$29), MAX($BJ$7:$BJ$29), AF180)), $BK$7:$BK$29, "Error", 0)</f>
        <v/>
      </c>
      <c r="AG181" s="171">
        <f>_xlfn.XLOOKUP(MIN(ABS($BJ$7:$BJ$29 - MEDIAN(MIN($BJ$7:$BJ$29), MAX($BJ$7:$BJ$29), AG180))), ABS($BJ$7:$BJ$29 - MEDIAN(MIN($BJ$7:$BJ$29), MAX($BJ$7:$BJ$29), AG180)), $BK$7:$BK$29, "Error", 0)</f>
        <v/>
      </c>
      <c r="AH181" s="171">
        <f>_xlfn.XLOOKUP(MIN(ABS($BJ$7:$BJ$29 - MEDIAN(MIN($BJ$7:$BJ$29), MAX($BJ$7:$BJ$29), AH180))), ABS($BJ$7:$BJ$29 - MEDIAN(MIN($BJ$7:$BJ$29), MAX($BJ$7:$BJ$29), AH180)), $BK$7:$BK$29, "Error", 0)</f>
        <v/>
      </c>
      <c r="AI181" s="171">
        <f>_xlfn.XLOOKUP(MIN(ABS($BJ$7:$BJ$29 - MEDIAN(MIN($BJ$7:$BJ$29), MAX($BJ$7:$BJ$29), AI180))), ABS($BJ$7:$BJ$29 - MEDIAN(MIN($BJ$7:$BJ$29), MAX($BJ$7:$BJ$29), AI180)), $BK$7:$BK$29, "Error", 0)</f>
        <v/>
      </c>
      <c r="AJ181" s="171">
        <f>_xlfn.XLOOKUP(MIN(ABS($BJ$7:$BJ$29 - MEDIAN(MIN($BJ$7:$BJ$29), MAX($BJ$7:$BJ$29), AJ180))), ABS($BJ$7:$BJ$29 - MEDIAN(MIN($BJ$7:$BJ$29), MAX($BJ$7:$BJ$29), AJ180)), $BK$7:$BK$29, "Error", 0)</f>
        <v/>
      </c>
      <c r="AK181" s="171">
        <f>_xlfn.XLOOKUP(MIN(ABS($BJ$7:$BJ$29 - MEDIAN(MIN($BJ$7:$BJ$29), MAX($BJ$7:$BJ$29), AK180))), ABS($BJ$7:$BJ$29 - MEDIAN(MIN($BJ$7:$BJ$29), MAX($BJ$7:$BJ$29), AK180)), $BK$7:$BK$29, "Error", 0)</f>
        <v/>
      </c>
      <c r="AL181" s="171">
        <f>_xlfn.XLOOKUP(MIN(ABS($BJ$7:$BJ$29 - MEDIAN(MIN($BJ$7:$BJ$29), MAX($BJ$7:$BJ$29), AL180))), ABS($BJ$7:$BJ$29 - MEDIAN(MIN($BJ$7:$BJ$29), MAX($BJ$7:$BJ$29), AL180)), $BK$7:$BK$29, "Error", 0)</f>
        <v/>
      </c>
      <c r="AM181" s="171">
        <f>_xlfn.XLOOKUP(MIN(ABS($BJ$7:$BJ$29 - MEDIAN(MIN($BJ$7:$BJ$29), MAX($BJ$7:$BJ$29), AM180))), ABS($BJ$7:$BJ$29 - MEDIAN(MIN($BJ$7:$BJ$29), MAX($BJ$7:$BJ$29), AM180)), $BK$7:$BK$29, "Error", 0)</f>
        <v/>
      </c>
      <c r="AN181" s="171">
        <f>_xlfn.XLOOKUP(MIN(ABS($BJ$7:$BJ$29 - MEDIAN(MIN($BJ$7:$BJ$29), MAX($BJ$7:$BJ$29), AN180))), ABS($BJ$7:$BJ$29 - MEDIAN(MIN($BJ$7:$BJ$29), MAX($BJ$7:$BJ$29), AN180)), $BK$7:$BK$29, "Error", 0)</f>
        <v/>
      </c>
      <c r="AO181" s="171">
        <f>_xlfn.XLOOKUP(MIN(ABS($BJ$7:$BJ$29 - MEDIAN(MIN($BJ$7:$BJ$29), MAX($BJ$7:$BJ$29), AO180))), ABS($BJ$7:$BJ$29 - MEDIAN(MIN($BJ$7:$BJ$29), MAX($BJ$7:$BJ$29), AO180)), $BK$7:$BK$29, "Error", 0)</f>
        <v/>
      </c>
      <c r="AP181" s="171">
        <f>_xlfn.XLOOKUP(MIN(ABS($BJ$7:$BJ$29 - MEDIAN(MIN($BJ$7:$BJ$29), MAX($BJ$7:$BJ$29), AP180))), ABS($BJ$7:$BJ$29 - MEDIAN(MIN($BJ$7:$BJ$29), MAX($BJ$7:$BJ$29), AP180)), $BK$7:$BK$29, "Error", 0)</f>
        <v/>
      </c>
      <c r="AQ181" s="171">
        <f>_xlfn.XLOOKUP(MIN(ABS($BJ$7:$BJ$29 - MEDIAN(MIN($BJ$7:$BJ$29), MAX($BJ$7:$BJ$29), AQ180))), ABS($BJ$7:$BJ$29 - MEDIAN(MIN($BJ$7:$BJ$29), MAX($BJ$7:$BJ$29), AQ180)), $BK$7:$BK$29, "Error", 0)</f>
        <v/>
      </c>
      <c r="AR181" s="171">
        <f>_xlfn.XLOOKUP(MIN(ABS($BJ$7:$BJ$29 - MEDIAN(MIN($BJ$7:$BJ$29), MAX($BJ$7:$BJ$29), AR180))), ABS($BJ$7:$BJ$29 - MEDIAN(MIN($BJ$7:$BJ$29), MAX($BJ$7:$BJ$29), AR180)), $BK$7:$BK$29, "Error", 0)</f>
        <v/>
      </c>
      <c r="AS181" s="171">
        <f>_xlfn.XLOOKUP(MIN(ABS($BJ$7:$BJ$29 - MEDIAN(MIN($BJ$7:$BJ$29), MAX($BJ$7:$BJ$29), AS180))), ABS($BJ$7:$BJ$29 - MEDIAN(MIN($BJ$7:$BJ$29), MAX($BJ$7:$BJ$29), AS180)), $BK$7:$BK$29, "Error", 0)</f>
        <v/>
      </c>
      <c r="AT181" s="171">
        <f>_xlfn.XLOOKUP(MIN(ABS($BJ$7:$BJ$29 - MEDIAN(MIN($BJ$7:$BJ$29), MAX($BJ$7:$BJ$29), AT180))), ABS($BJ$7:$BJ$29 - MEDIAN(MIN($BJ$7:$BJ$29), MAX($BJ$7:$BJ$29), AT180)), $BK$7:$BK$29, "Error", 0)</f>
        <v/>
      </c>
      <c r="AU181" s="171">
        <f>_xlfn.XLOOKUP(MIN(ABS($BJ$7:$BJ$29 - MEDIAN(MIN($BJ$7:$BJ$29), MAX($BJ$7:$BJ$29), AU180))), ABS($BJ$7:$BJ$29 - MEDIAN(MIN($BJ$7:$BJ$29), MAX($BJ$7:$BJ$29), AU180)), $BK$7:$BK$29, "Error", 0)</f>
        <v/>
      </c>
      <c r="AV181" s="206">
        <f>_xlfn.XLOOKUP(MIN(ABS($BJ$7:$BJ$29 - MEDIAN(MIN($BJ$7:$BJ$29), MAX($BJ$7:$BJ$29), AV180))), ABS($BJ$7:$BJ$29 - MEDIAN(MIN($BJ$7:$BJ$29), MAX($BJ$7:$BJ$29), AV180)), $BK$7:$BK$29, "Error", 0)</f>
        <v/>
      </c>
      <c r="AW181" s="184">
        <f>_xlfn.XLOOKUP(MIN(ABS($BJ$7:$BJ$29 - MEDIAN(MIN($BJ$7:$BJ$29), MAX($BJ$7:$BJ$29), AW180))), ABS($BJ$7:$BJ$29 - MEDIAN(MIN($BJ$7:$BJ$29), MAX($BJ$7:$BJ$29), AW180)), $BK$7:$BK$29, "Error", 0)</f>
        <v/>
      </c>
      <c r="AX181" s="184">
        <f>_xlfn.XLOOKUP(MIN(ABS($BJ$7:$BJ$29 - MEDIAN(MIN($BJ$7:$BJ$29), MAX($BJ$7:$BJ$29), AX180))), ABS($BJ$7:$BJ$29 - MEDIAN(MIN($BJ$7:$BJ$29), MAX($BJ$7:$BJ$29), AX180)), $BK$7:$BK$29, "Error", 0)</f>
        <v/>
      </c>
      <c r="AY181" s="184" t="n"/>
    </row>
    <row r="182" ht="44" customHeight="1">
      <c r="A182" s="305" t="inlineStr">
        <is>
          <t>CAD JPY</t>
        </is>
      </c>
      <c r="B182" s="200" t="inlineStr">
        <is>
          <t>All time High (CL)</t>
        </is>
      </c>
      <c r="C182" s="233" t="n">
        <v>2221906.604409814</v>
      </c>
      <c r="D182" s="233" t="n">
        <v>2221906.604409814</v>
      </c>
      <c r="E182" s="233" t="n">
        <v>2221906.604409814</v>
      </c>
      <c r="F182" s="233" t="n">
        <v>2221906.604409814</v>
      </c>
      <c r="G182" s="233" t="n">
        <v>2221906.604409814</v>
      </c>
      <c r="H182" s="233" t="n">
        <v>2221906.604409814</v>
      </c>
      <c r="I182" s="233" t="n">
        <v>2261641.770776421</v>
      </c>
      <c r="J182" s="233" t="n">
        <v>2261641.770776421</v>
      </c>
      <c r="K182" s="233" t="n">
        <v>2261641.770776421</v>
      </c>
      <c r="L182" s="233" t="n">
        <v>2261641.770776421</v>
      </c>
      <c r="M182" s="233" t="n">
        <v>2261641.770776421</v>
      </c>
      <c r="N182" s="233" t="n">
        <v>2312322.750729278</v>
      </c>
      <c r="O182" s="233" t="n">
        <v>2345631.848296002</v>
      </c>
      <c r="P182" s="233" t="n">
        <v>2398013.01301159</v>
      </c>
      <c r="Q182" s="233" t="n">
        <v>2494896.042651996</v>
      </c>
      <c r="R182" s="233" t="n">
        <v>2494896.042651996</v>
      </c>
      <c r="S182" s="233" t="n">
        <v>2601606.502532959</v>
      </c>
      <c r="T182" s="233" t="n">
        <v>2625241.721748412</v>
      </c>
      <c r="U182" s="233" t="n">
        <v>2625241.721748412</v>
      </c>
      <c r="V182" s="233" t="n">
        <v>2625241.721748412</v>
      </c>
      <c r="W182" s="233" t="n">
        <v>2627976.402770996</v>
      </c>
      <c r="X182" s="233" t="n">
        <v>2759289.007057995</v>
      </c>
      <c r="Y182" s="233" t="n">
        <v>2866349.955341339</v>
      </c>
      <c r="Z182" s="233" t="n">
        <v>2866349.955341339</v>
      </c>
      <c r="AA182" s="204" t="n">
        <v>2866349.955341339</v>
      </c>
      <c r="AB182" s="204" t="n">
        <v>2866349.955341339</v>
      </c>
      <c r="AC182" s="204" t="n">
        <v>2866349.955341339</v>
      </c>
      <c r="AD182" s="204" t="n">
        <v>2866349.955341339</v>
      </c>
      <c r="AE182" s="204" t="n">
        <v>2866349.955341339</v>
      </c>
      <c r="AF182" s="204" t="n">
        <v>2882384.44892168</v>
      </c>
      <c r="AG182" s="204" t="n">
        <v>3003509.938862205</v>
      </c>
      <c r="AH182" s="204" t="n">
        <v>3116393.423936069</v>
      </c>
      <c r="AI182" s="204" t="n">
        <v>3247793.988873109</v>
      </c>
      <c r="AJ182" s="204" t="n">
        <v>3400536.36791341</v>
      </c>
      <c r="AK182" s="204" t="n">
        <v>3526952.616638184</v>
      </c>
      <c r="AL182" s="204" t="n">
        <v>3677355.767998114</v>
      </c>
      <c r="AM182" s="204" t="n">
        <v>3677355.767998114</v>
      </c>
      <c r="AN182" s="204" t="n">
        <v>3975563.594683528</v>
      </c>
      <c r="AO182" s="204" t="n">
        <v>3975563.594683528</v>
      </c>
      <c r="AP182" s="204" t="n">
        <v>4046101.120906323</v>
      </c>
      <c r="AQ182" s="204" t="n">
        <v>4046101.120906323</v>
      </c>
      <c r="AR182" s="204" t="n">
        <v>4046101.120906323</v>
      </c>
      <c r="AS182" s="204" t="n">
        <v>4165217.426147461</v>
      </c>
      <c r="AT182" s="204" t="n">
        <v>4284261.299960017</v>
      </c>
      <c r="AU182" s="204" t="n">
        <v>4284261.299960017</v>
      </c>
      <c r="AV182" s="200" t="n">
        <v>4284261.299960017</v>
      </c>
      <c r="AW182" s="184" t="n">
        <v>4284261.299960017</v>
      </c>
      <c r="AX182" s="184" t="n">
        <v>4284261.299960017</v>
      </c>
      <c r="AY182" s="184" t="n"/>
    </row>
    <row r="183" ht="22" customHeight="1">
      <c r="A183" s="303" t="n"/>
      <c r="B183" s="201" t="inlineStr">
        <is>
          <t>current price</t>
        </is>
      </c>
      <c r="C183" s="233" t="n">
        <v>2024510.039755493</v>
      </c>
      <c r="D183" s="233" t="n">
        <v>2030289.27278313</v>
      </c>
      <c r="E183" s="233" t="n">
        <v>1979759.83303982</v>
      </c>
      <c r="F183" s="233" t="n">
        <v>2059343.749149323</v>
      </c>
      <c r="G183" s="233" t="n">
        <v>2011767.69127053</v>
      </c>
      <c r="H183" s="233" t="n">
        <v>2202289.071790606</v>
      </c>
      <c r="I183" s="233" t="n">
        <v>2190895.589879528</v>
      </c>
      <c r="J183" s="233" t="n">
        <v>2190322.252200514</v>
      </c>
      <c r="K183" s="233" t="n">
        <v>2148205.61485818</v>
      </c>
      <c r="L183" s="233" t="n">
        <v>2034921.901107788</v>
      </c>
      <c r="M183" s="233" t="n">
        <v>2189284.375799149</v>
      </c>
      <c r="N183" s="233" t="n">
        <v>2227995.232114002</v>
      </c>
      <c r="O183" s="233" t="n">
        <v>2311357.88379547</v>
      </c>
      <c r="P183" s="233" t="n">
        <v>2370163.200278223</v>
      </c>
      <c r="Q183" s="233" t="n">
        <v>2482877.856170654</v>
      </c>
      <c r="R183" s="233" t="n">
        <v>2483465.722068787</v>
      </c>
      <c r="S183" s="233" t="n">
        <v>2554176.629768103</v>
      </c>
      <c r="T183" s="233" t="n">
        <v>2569851.652240008</v>
      </c>
      <c r="U183" s="233" t="n">
        <v>2547434.177060276</v>
      </c>
      <c r="V183" s="233" t="n">
        <v>2527643.928767145</v>
      </c>
      <c r="W183" s="233" t="n">
        <v>2536530.231121629</v>
      </c>
      <c r="X183" s="233" t="n">
        <v>2661341.528171942</v>
      </c>
      <c r="Y183" s="233" t="n">
        <v>2740709.877807617</v>
      </c>
      <c r="Z183" s="233" t="n">
        <v>2705133.48319836</v>
      </c>
      <c r="AA183" s="204" t="n">
        <v>2714551.547307372</v>
      </c>
      <c r="AB183" s="204" t="n">
        <v>2637216.454456329</v>
      </c>
      <c r="AC183" s="204" t="n">
        <v>2605099.797229767</v>
      </c>
      <c r="AD183" s="204" t="n">
        <v>2556310.199727863</v>
      </c>
      <c r="AE183" s="204" t="n">
        <v>2743309.679971531</v>
      </c>
      <c r="AF183" s="204" t="n">
        <v>2836351.463791803</v>
      </c>
      <c r="AG183" s="204" t="n">
        <v>2942068.572159767</v>
      </c>
      <c r="AH183" s="204" t="n">
        <v>3054474.128494263</v>
      </c>
      <c r="AI183" s="204" t="n">
        <v>3205564.57399407</v>
      </c>
      <c r="AJ183" s="204" t="n">
        <v>3330885.886002541</v>
      </c>
      <c r="AK183" s="204" t="n">
        <v>3504038.921104789</v>
      </c>
      <c r="AL183" s="204" t="n">
        <v>3621697.08052969</v>
      </c>
      <c r="AM183" s="204" t="n">
        <v>3625282.754798889</v>
      </c>
      <c r="AN183" s="204" t="n">
        <v>3913214.762878418</v>
      </c>
      <c r="AO183" s="204" t="n">
        <v>3759472.75</v>
      </c>
      <c r="AP183" s="204" t="n">
        <v>3979970.721555591</v>
      </c>
      <c r="AQ183" s="204" t="n">
        <v>4014211.774253547</v>
      </c>
      <c r="AR183" s="204" t="n">
        <v>3971397.372047424</v>
      </c>
      <c r="AS183" s="204" t="n">
        <v>4026519.549851716</v>
      </c>
      <c r="AT183" s="204" t="n">
        <v>4178325.238735199</v>
      </c>
      <c r="AU183" s="204" t="n">
        <v>3979269.047596574</v>
      </c>
      <c r="AV183" s="201" t="n">
        <v>3979269.047596574</v>
      </c>
      <c r="AW183" s="184" t="n">
        <v>3979269.047596574</v>
      </c>
      <c r="AX183" s="184" t="n">
        <v>3979269.047596574</v>
      </c>
      <c r="AY183" s="184" t="n"/>
    </row>
    <row r="184" ht="22" customHeight="1">
      <c r="A184" s="303" t="n"/>
      <c r="B184" s="201" t="inlineStr">
        <is>
          <t>% CHANGE</t>
        </is>
      </c>
      <c r="C184" s="230">
        <f>+(C183-C182)/C182</f>
        <v/>
      </c>
      <c r="D184" s="230">
        <f>+(D183-D182)/D182</f>
        <v/>
      </c>
      <c r="E184" s="230">
        <f>+(E183-E182)/E182</f>
        <v/>
      </c>
      <c r="F184" s="230">
        <f>+(F183-F182)/F182</f>
        <v/>
      </c>
      <c r="G184" s="230">
        <f>+(G183-G182)/G182</f>
        <v/>
      </c>
      <c r="H184" s="230">
        <f>+(H183-H182)/H182</f>
        <v/>
      </c>
      <c r="I184" s="230">
        <f>+(I183-I182)/I182</f>
        <v/>
      </c>
      <c r="J184" s="230">
        <f>+(J183-J182)/J182</f>
        <v/>
      </c>
      <c r="K184" s="230">
        <f>+(K183-K182)/K182</f>
        <v/>
      </c>
      <c r="L184" s="230">
        <f>+(L183-L182)/L182</f>
        <v/>
      </c>
      <c r="M184" s="230">
        <f>+(M183-M182)/M182</f>
        <v/>
      </c>
      <c r="N184" s="230">
        <f>+(N183-N182)/N182</f>
        <v/>
      </c>
      <c r="O184" s="230">
        <f>+(O183-O182)/O182</f>
        <v/>
      </c>
      <c r="P184" s="230">
        <f>+(P183-P182)/P182</f>
        <v/>
      </c>
      <c r="Q184" s="230">
        <f>+(Q183-Q182)/Q182</f>
        <v/>
      </c>
      <c r="R184" s="230">
        <f>+(R183-R182)/R182</f>
        <v/>
      </c>
      <c r="S184" s="230">
        <f>+(S183-S182)/S182</f>
        <v/>
      </c>
      <c r="T184" s="230">
        <f>+(T183-T182)/T182</f>
        <v/>
      </c>
      <c r="U184" s="230">
        <f>+(U183-U182)/U182</f>
        <v/>
      </c>
      <c r="V184" s="230">
        <f>+(V183-V182)/V182</f>
        <v/>
      </c>
      <c r="W184" s="230">
        <f>+(W183-W182)/W182</f>
        <v/>
      </c>
      <c r="X184" s="230">
        <f>+(X183-X182)/X182</f>
        <v/>
      </c>
      <c r="Y184" s="230">
        <f>+(Y183-Y182)/Y182</f>
        <v/>
      </c>
      <c r="Z184" s="230">
        <f>+(Z183-Z182)/Z182</f>
        <v/>
      </c>
      <c r="AA184" s="230">
        <f>+(AA183-AA182)/AA182</f>
        <v/>
      </c>
      <c r="AB184" s="205">
        <f>+(AB183-AB182)/AB182</f>
        <v/>
      </c>
      <c r="AC184" s="205">
        <f>+(AC183-AC182)/AC182</f>
        <v/>
      </c>
      <c r="AD184" s="205">
        <f>+(AD183-AD182)/AD182</f>
        <v/>
      </c>
      <c r="AE184" s="205">
        <f>+(AE183-AE182)/AE182</f>
        <v/>
      </c>
      <c r="AF184" s="205">
        <f>+(AF183-AF182)/AF182</f>
        <v/>
      </c>
      <c r="AG184" s="205">
        <f>+(AG183-AG182)/AG182</f>
        <v/>
      </c>
      <c r="AH184" s="205">
        <f>+(AH183-AH182)/AH182</f>
        <v/>
      </c>
      <c r="AI184" s="205">
        <f>+(AI183-AI182)/AI182</f>
        <v/>
      </c>
      <c r="AJ184" s="205">
        <f>+(AJ183-AJ182)/AJ182</f>
        <v/>
      </c>
      <c r="AK184" s="205">
        <f>+(AK183-AK182)/AK182</f>
        <v/>
      </c>
      <c r="AL184" s="205">
        <f>+(AL183-AL182)/AL182</f>
        <v/>
      </c>
      <c r="AM184" s="205">
        <f>+(AM183-AM182)/AM182</f>
        <v/>
      </c>
      <c r="AN184" s="205">
        <f>+(AN183-AN182)/AN182</f>
        <v/>
      </c>
      <c r="AO184" s="205">
        <f>+(AO183-AO182)/AO182</f>
        <v/>
      </c>
      <c r="AP184" s="205">
        <f>+(AP183-AP182)/AP182</f>
        <v/>
      </c>
      <c r="AQ184" s="205">
        <f>+(AQ183-AQ182)/AQ182</f>
        <v/>
      </c>
      <c r="AR184" s="205">
        <f>+(AR183-AR182)/AR182</f>
        <v/>
      </c>
      <c r="AS184" s="205">
        <f>+(AS183-AS182)/AS182</f>
        <v/>
      </c>
      <c r="AT184" s="205">
        <f>+(AT183-AT182)/AT182</f>
        <v/>
      </c>
      <c r="AU184" s="205">
        <f>+(AU183-AU182)/AU182</f>
        <v/>
      </c>
      <c r="AV184" s="201">
        <f>+(AV183-AV182)/AV182</f>
        <v/>
      </c>
      <c r="AW184" s="184">
        <f>+(AW183-AW182)/AW182</f>
        <v/>
      </c>
      <c r="AX184" s="184">
        <f>+(AX183-AX182)/AX182</f>
        <v/>
      </c>
      <c r="AY184" s="184" t="n"/>
    </row>
    <row r="185" ht="44" customHeight="1">
      <c r="A185" s="303" t="n"/>
      <c r="B185" s="201" t="inlineStr">
        <is>
          <t>All time High TSX</t>
        </is>
      </c>
      <c r="C185" s="233" t="n">
        <v>22181.80078125</v>
      </c>
      <c r="D185" s="233" t="n">
        <v>22181.80078125</v>
      </c>
      <c r="E185" s="233" t="n">
        <v>22181.80078125</v>
      </c>
      <c r="F185" s="233" t="n">
        <v>22181.80078125</v>
      </c>
      <c r="G185" s="233" t="n">
        <v>22181.80078125</v>
      </c>
      <c r="H185" s="233" t="n">
        <v>22181.80078125</v>
      </c>
      <c r="I185" s="233" t="n">
        <v>22181.80078125</v>
      </c>
      <c r="J185" s="233" t="n">
        <v>22181.80078125</v>
      </c>
      <c r="K185" s="233" t="n">
        <v>22181.80078125</v>
      </c>
      <c r="L185" s="233" t="n">
        <v>22181.80078125</v>
      </c>
      <c r="M185" s="233" t="n">
        <v>22181.80078125</v>
      </c>
      <c r="N185" s="233" t="n">
        <v>22181.80078125</v>
      </c>
      <c r="O185" s="233" t="n">
        <v>22181.80078125</v>
      </c>
      <c r="P185" s="233" t="n">
        <v>22181.80078125</v>
      </c>
      <c r="Q185" s="233" t="n">
        <v>22220.900390625</v>
      </c>
      <c r="R185" s="233" t="n">
        <v>22220.900390625</v>
      </c>
      <c r="S185" s="233" t="n">
        <v>22555</v>
      </c>
      <c r="T185" s="233" t="n">
        <v>22555</v>
      </c>
      <c r="U185" s="233" t="n">
        <v>23209.69921875</v>
      </c>
      <c r="V185" s="233" t="n">
        <v>23414</v>
      </c>
      <c r="W185" s="233" t="n">
        <v>24107</v>
      </c>
      <c r="X185" s="233" t="n">
        <v>24922.900390625</v>
      </c>
      <c r="Y185" s="233" t="n">
        <v>25694.5</v>
      </c>
      <c r="Z185" s="233" t="n">
        <v>25694.5</v>
      </c>
      <c r="AA185" s="231" t="n">
        <v>25875.599609375</v>
      </c>
      <c r="AB185" s="203" t="n">
        <v>25875.599609375</v>
      </c>
      <c r="AC185" s="203" t="n">
        <v>25875.599609375</v>
      </c>
      <c r="AD185" s="203" t="n">
        <v>25875.599609375</v>
      </c>
      <c r="AE185" s="203" t="n">
        <v>26385.400390625</v>
      </c>
      <c r="AF185" s="203" t="n">
        <v>26857.099609375</v>
      </c>
      <c r="AG185" s="203" t="n">
        <v>27581.19921875</v>
      </c>
      <c r="AH185" s="203" t="n">
        <v>28607.30078125</v>
      </c>
      <c r="AI185" s="203" t="n">
        <v>30066.599609375</v>
      </c>
      <c r="AJ185" s="203" t="n">
        <v>30808.099609375</v>
      </c>
      <c r="AK185" s="203" t="n">
        <v>31411</v>
      </c>
      <c r="AL185" s="203" t="n">
        <v>32081.900390625</v>
      </c>
      <c r="AM185" s="203" t="n">
        <v>33428.3984375</v>
      </c>
      <c r="AN185" s="203" t="n">
        <v>34510.1015625</v>
      </c>
      <c r="AO185" s="203" t="n">
        <v>34510.1015625</v>
      </c>
      <c r="AP185" s="203" t="n">
        <v>34510.1015625</v>
      </c>
      <c r="AQ185" s="203" t="n">
        <v>34846.5</v>
      </c>
      <c r="AR185" s="203" t="n">
        <v>35629.8984375</v>
      </c>
      <c r="AS185" s="203" t="n">
        <v>35760</v>
      </c>
      <c r="AT185" s="203" t="n">
        <v>37069.1015625</v>
      </c>
      <c r="AU185" s="203" t="n">
        <v>37069.1015625</v>
      </c>
      <c r="AV185" s="201" t="n">
        <v>37069.1015625</v>
      </c>
      <c r="AW185" s="184" t="n">
        <v>37069.1015625</v>
      </c>
      <c r="AX185" s="184" t="n">
        <v>37069.1015625</v>
      </c>
      <c r="AY185" s="184" t="n"/>
    </row>
    <row r="186" ht="44" customHeight="1">
      <c r="A186" s="303" t="n"/>
      <c r="B186" s="201" t="inlineStr">
        <is>
          <t>current price TSX</t>
        </is>
      </c>
      <c r="C186" s="233" t="n">
        <v>20767.400390625</v>
      </c>
      <c r="D186" s="233" t="n">
        <v>20221.19921875</v>
      </c>
      <c r="E186" s="233" t="n">
        <v>20099.900390625</v>
      </c>
      <c r="F186" s="233" t="n">
        <v>20636.5</v>
      </c>
      <c r="G186" s="233" t="n">
        <v>19572.19921875</v>
      </c>
      <c r="H186" s="233" t="n">
        <v>20155.30078125</v>
      </c>
      <c r="I186" s="233" t="n">
        <v>20626.599609375</v>
      </c>
      <c r="J186" s="233" t="n">
        <v>20292.599609375</v>
      </c>
      <c r="K186" s="233" t="n">
        <v>19541.30078125</v>
      </c>
      <c r="L186" s="233" t="n">
        <v>18873.5</v>
      </c>
      <c r="M186" s="233" t="n">
        <v>20236.30078125</v>
      </c>
      <c r="N186" s="233" t="n">
        <v>20958.400390625</v>
      </c>
      <c r="O186" s="233" t="n">
        <v>21021.900390625</v>
      </c>
      <c r="P186" s="233" t="n">
        <v>21363.599609375</v>
      </c>
      <c r="Q186" s="233" t="n">
        <v>22167</v>
      </c>
      <c r="R186" s="233" t="n">
        <v>21714.5</v>
      </c>
      <c r="S186" s="233" t="n">
        <v>22269.099609375</v>
      </c>
      <c r="T186" s="233" t="n">
        <v>21875.80078125</v>
      </c>
      <c r="U186" s="233" t="n">
        <v>23110.80078125</v>
      </c>
      <c r="V186" s="233" t="n">
        <v>23346.19921875</v>
      </c>
      <c r="W186" s="233" t="n">
        <v>24000.400390625</v>
      </c>
      <c r="X186" s="233" t="n">
        <v>24156.900390625</v>
      </c>
      <c r="Y186" s="233" t="n">
        <v>25648</v>
      </c>
      <c r="Z186" s="233" t="n">
        <v>24727.900390625</v>
      </c>
      <c r="AA186" s="231" t="n">
        <v>25533.099609375</v>
      </c>
      <c r="AB186" s="203" t="n">
        <v>25393.5</v>
      </c>
      <c r="AC186" s="203" t="n">
        <v>24917.5</v>
      </c>
      <c r="AD186" s="203" t="n">
        <v>24841.69921875</v>
      </c>
      <c r="AE186" s="203" t="n">
        <v>26175.099609375</v>
      </c>
      <c r="AF186" s="203" t="n">
        <v>26857.099609375</v>
      </c>
      <c r="AG186" s="203" t="n">
        <v>27259.80078125</v>
      </c>
      <c r="AH186" s="203" t="n">
        <v>28564.5</v>
      </c>
      <c r="AI186" s="203" t="n">
        <v>30022.80078125</v>
      </c>
      <c r="AJ186" s="203" t="n">
        <v>30260.69921875</v>
      </c>
      <c r="AK186" s="203" t="n">
        <v>31382.80078125</v>
      </c>
      <c r="AL186" s="203" t="n">
        <v>31712.80078125</v>
      </c>
      <c r="AM186" s="203" t="n">
        <v>31923.5</v>
      </c>
      <c r="AN186" s="203" t="n">
        <v>34340</v>
      </c>
      <c r="AO186" s="203" t="n">
        <v>32768</v>
      </c>
      <c r="AP186" s="203" t="n">
        <v>33964.30078125</v>
      </c>
      <c r="AQ186" s="203" t="n">
        <v>34769.1015625</v>
      </c>
      <c r="AR186" s="203" t="n">
        <v>34857</v>
      </c>
      <c r="AS186" s="203" t="n">
        <v>35226.1015625</v>
      </c>
      <c r="AT186" s="203" t="n">
        <v>36270.5</v>
      </c>
      <c r="AU186" s="203" t="n">
        <v>35800.890625</v>
      </c>
      <c r="AV186" s="201" t="n">
        <v>35800.890625</v>
      </c>
      <c r="AW186" s="184" t="n">
        <v>35800.890625</v>
      </c>
      <c r="AX186" s="184" t="n">
        <v>35800.890625</v>
      </c>
      <c r="AY186" s="184" t="n"/>
    </row>
    <row r="187" ht="44" customHeight="1">
      <c r="A187" s="303" t="n"/>
      <c r="B187" s="201" t="inlineStr">
        <is>
          <t>original index % change</t>
        </is>
      </c>
      <c r="C187" s="230">
        <f>+(C186-C185)/C185</f>
        <v/>
      </c>
      <c r="D187" s="230">
        <f>+(D186-D185)/D185</f>
        <v/>
      </c>
      <c r="E187" s="230">
        <f>+(E186-E185)/E185</f>
        <v/>
      </c>
      <c r="F187" s="230">
        <f>+(F186-F185)/F185</f>
        <v/>
      </c>
      <c r="G187" s="230">
        <f>+(G186-G185)/G185</f>
        <v/>
      </c>
      <c r="H187" s="230">
        <f>+(H186-H185)/H185</f>
        <v/>
      </c>
      <c r="I187" s="230">
        <f>+(I186-I185)/I185</f>
        <v/>
      </c>
      <c r="J187" s="230">
        <f>+(J186-J185)/J185</f>
        <v/>
      </c>
      <c r="K187" s="230">
        <f>+(K186-K185)/K185</f>
        <v/>
      </c>
      <c r="L187" s="230">
        <f>+(L186-L185)/L185</f>
        <v/>
      </c>
      <c r="M187" s="230">
        <f>+(M186-M185)/M185</f>
        <v/>
      </c>
      <c r="N187" s="230">
        <f>+(N186-N185)/N185</f>
        <v/>
      </c>
      <c r="O187" s="230">
        <f>+(O186-O185)/O185</f>
        <v/>
      </c>
      <c r="P187" s="230">
        <f>+(P186-P185)/P185</f>
        <v/>
      </c>
      <c r="Q187" s="230">
        <f>+(Q186-Q185)/Q185</f>
        <v/>
      </c>
      <c r="R187" s="230">
        <f>+(R186-R185)/R185</f>
        <v/>
      </c>
      <c r="S187" s="230">
        <f>+(S186-S185)/S185</f>
        <v/>
      </c>
      <c r="T187" s="230">
        <f>+(T186-T185)/T185</f>
        <v/>
      </c>
      <c r="U187" s="230">
        <f>+(U186-U185)/U185</f>
        <v/>
      </c>
      <c r="V187" s="230">
        <f>+(V186-V185)/V185</f>
        <v/>
      </c>
      <c r="W187" s="230">
        <f>+(W186-W185)/W185</f>
        <v/>
      </c>
      <c r="X187" s="230">
        <f>+(X186-X185)/X185</f>
        <v/>
      </c>
      <c r="Y187" s="230">
        <f>+(Y186-Y185)/Y185</f>
        <v/>
      </c>
      <c r="Z187" s="230">
        <f>+(Z186-Z185)/Z185</f>
        <v/>
      </c>
      <c r="AA187" s="230">
        <f>+(AA186-AA185)/AA185</f>
        <v/>
      </c>
      <c r="AB187" s="205">
        <f>+(AB186-AB185)/AB185</f>
        <v/>
      </c>
      <c r="AC187" s="205">
        <f>+(AC186-AC185)/AC185</f>
        <v/>
      </c>
      <c r="AD187" s="205">
        <f>+(AD186-AD185)/AD185</f>
        <v/>
      </c>
      <c r="AE187" s="205">
        <f>+(AE186-AE185)/AE185</f>
        <v/>
      </c>
      <c r="AF187" s="205">
        <f>+(AF186-AF185)/AF185</f>
        <v/>
      </c>
      <c r="AG187" s="205">
        <f>+(AG186-AG185)/AG185</f>
        <v/>
      </c>
      <c r="AH187" s="205">
        <f>+(AH186-AH185)/AH185</f>
        <v/>
      </c>
      <c r="AI187" s="205">
        <f>+(AI186-AI185)/AI185</f>
        <v/>
      </c>
      <c r="AJ187" s="205">
        <f>+(AJ186-AJ185)/AJ185</f>
        <v/>
      </c>
      <c r="AK187" s="205">
        <f>+(AK186-AK185)/AK185</f>
        <v/>
      </c>
      <c r="AL187" s="205">
        <f>+(AL186-AL185)/AL185</f>
        <v/>
      </c>
      <c r="AM187" s="205">
        <f>+(AM186-AM185)/AM185</f>
        <v/>
      </c>
      <c r="AN187" s="205">
        <f>+(AN186-AN185)/AN185</f>
        <v/>
      </c>
      <c r="AO187" s="205">
        <f>+(AO186-AO185)/AO185</f>
        <v/>
      </c>
      <c r="AP187" s="205">
        <f>+(AP186-AP185)/AP185</f>
        <v/>
      </c>
      <c r="AQ187" s="205">
        <f>+(AQ186-AQ185)/AQ185</f>
        <v/>
      </c>
      <c r="AR187" s="205">
        <f>+(AR186-AR185)/AR185</f>
        <v/>
      </c>
      <c r="AS187" s="205">
        <f>+(AS186-AS185)/AS185</f>
        <v/>
      </c>
      <c r="AT187" s="205">
        <f>+(AT186-AT185)/AT185</f>
        <v/>
      </c>
      <c r="AU187" s="205">
        <f>+(AU186-AU185)/AU185</f>
        <v/>
      </c>
      <c r="AV187" s="201">
        <f>+(AV186-AV185)/AV185</f>
        <v/>
      </c>
      <c r="AW187" s="184">
        <f>+(AW186-AW185)/AW185</f>
        <v/>
      </c>
      <c r="AX187" s="184">
        <f>+(AX186-AX185)/AX185</f>
        <v/>
      </c>
      <c r="AY187" s="184" t="n"/>
    </row>
    <row r="188" ht="22" customHeight="1">
      <c r="A188" s="303" t="n"/>
      <c r="B188" s="201" t="inlineStr">
        <is>
          <t>real % change</t>
        </is>
      </c>
      <c r="C188" s="230">
        <f>+C184-C187</f>
        <v/>
      </c>
      <c r="D188" s="230">
        <f>+D184-D187</f>
        <v/>
      </c>
      <c r="E188" s="230">
        <f>+E184-E187</f>
        <v/>
      </c>
      <c r="F188" s="230">
        <f>+F184-F187</f>
        <v/>
      </c>
      <c r="G188" s="230">
        <f>+G184-G187</f>
        <v/>
      </c>
      <c r="H188" s="230">
        <f>+H184-H187</f>
        <v/>
      </c>
      <c r="I188" s="230">
        <f>+I184-I187</f>
        <v/>
      </c>
      <c r="J188" s="230">
        <f>+J184-J187</f>
        <v/>
      </c>
      <c r="K188" s="230">
        <f>+K184-K187</f>
        <v/>
      </c>
      <c r="L188" s="230">
        <f>+L184-L187</f>
        <v/>
      </c>
      <c r="M188" s="230">
        <f>+M184-M187</f>
        <v/>
      </c>
      <c r="N188" s="230">
        <f>+N184-N187</f>
        <v/>
      </c>
      <c r="O188" s="230">
        <f>+O184-O187</f>
        <v/>
      </c>
      <c r="P188" s="230">
        <f>+P184-P187</f>
        <v/>
      </c>
      <c r="Q188" s="230">
        <f>+Q184-Q187</f>
        <v/>
      </c>
      <c r="R188" s="230">
        <f>+R184-R187</f>
        <v/>
      </c>
      <c r="S188" s="230">
        <f>+S184-S187</f>
        <v/>
      </c>
      <c r="T188" s="230">
        <f>+T184-T187</f>
        <v/>
      </c>
      <c r="U188" s="230">
        <f>+U184-U187</f>
        <v/>
      </c>
      <c r="V188" s="230">
        <f>+V184-V187</f>
        <v/>
      </c>
      <c r="W188" s="230">
        <f>+W184-W187</f>
        <v/>
      </c>
      <c r="X188" s="230">
        <f>+X184-X187</f>
        <v/>
      </c>
      <c r="Y188" s="230">
        <f>+Y184-Y187</f>
        <v/>
      </c>
      <c r="Z188" s="230">
        <f>+Z184-Z187</f>
        <v/>
      </c>
      <c r="AA188" s="230">
        <f>+AA184-AA187</f>
        <v/>
      </c>
      <c r="AB188" s="205">
        <f>+AB184-AB187</f>
        <v/>
      </c>
      <c r="AC188" s="205">
        <f>+AC184-AC187</f>
        <v/>
      </c>
      <c r="AD188" s="205">
        <f>+AD184-AD187</f>
        <v/>
      </c>
      <c r="AE188" s="205">
        <f>+AE184-AE187</f>
        <v/>
      </c>
      <c r="AF188" s="205">
        <f>+AF184-AF187</f>
        <v/>
      </c>
      <c r="AG188" s="205">
        <f>+AG184-AG187</f>
        <v/>
      </c>
      <c r="AH188" s="205">
        <f>+AH184-AH187</f>
        <v/>
      </c>
      <c r="AI188" s="205">
        <f>+AI184-AI187</f>
        <v/>
      </c>
      <c r="AJ188" s="205">
        <f>+AJ184-AJ187</f>
        <v/>
      </c>
      <c r="AK188" s="205">
        <f>+AK184-AK187</f>
        <v/>
      </c>
      <c r="AL188" s="205">
        <f>+AL184-AL187</f>
        <v/>
      </c>
      <c r="AM188" s="205">
        <f>+AM184-AM187</f>
        <v/>
      </c>
      <c r="AN188" s="205">
        <f>+AN184-AN187</f>
        <v/>
      </c>
      <c r="AO188" s="205">
        <f>+AO184-AO187</f>
        <v/>
      </c>
      <c r="AP188" s="205">
        <f>+AP184-AP187</f>
        <v/>
      </c>
      <c r="AQ188" s="205">
        <f>+AQ184-AQ187</f>
        <v/>
      </c>
      <c r="AR188" s="205">
        <f>+AR184-AR187</f>
        <v/>
      </c>
      <c r="AS188" s="205">
        <f>+AS184-AS187</f>
        <v/>
      </c>
      <c r="AT188" s="205">
        <f>+AT184-AT187</f>
        <v/>
      </c>
      <c r="AU188" s="205">
        <f>+AU184-AU187</f>
        <v/>
      </c>
      <c r="AV188" s="201">
        <f>+AV184-AV187</f>
        <v/>
      </c>
      <c r="AW188" s="184">
        <f>+AW184-AW187</f>
        <v/>
      </c>
      <c r="AX188" s="184">
        <f>+AX184-AX187</f>
        <v/>
      </c>
      <c r="AY188" s="184" t="n"/>
    </row>
    <row r="189" ht="22" customHeight="1">
      <c r="A189" s="304" t="n"/>
      <c r="B189" s="206" t="inlineStr">
        <is>
          <t>Rating</t>
        </is>
      </c>
      <c r="C189" s="232">
        <f>_xlfn.XLOOKUP(MIN(ABS($BJ$7:$BJ$29 - MEDIAN(MIN($BJ$7:$BJ$29), MAX($BJ$7:$BJ$29), C188))), ABS($BJ$7:$BJ$29 - MEDIAN(MIN($BJ$7:$BJ$29), MAX($BJ$7:$BJ$29), C188)), $BK$7:$BK$29, "Error", 0)</f>
        <v/>
      </c>
      <c r="D189" s="232">
        <f>_xlfn.XLOOKUP(MIN(ABS($BJ$7:$BJ$29 - MEDIAN(MIN($BJ$7:$BJ$29), MAX($BJ$7:$BJ$29), D188))), ABS($BJ$7:$BJ$29 - MEDIAN(MIN($BJ$7:$BJ$29), MAX($BJ$7:$BJ$29), D188)), $BK$7:$BK$29, "Error", 0)</f>
        <v/>
      </c>
      <c r="E189" s="232">
        <f>_xlfn.XLOOKUP(MIN(ABS($BJ$7:$BJ$29 - MEDIAN(MIN($BJ$7:$BJ$29), MAX($BJ$7:$BJ$29), E188))), ABS($BJ$7:$BJ$29 - MEDIAN(MIN($BJ$7:$BJ$29), MAX($BJ$7:$BJ$29), E188)), $BK$7:$BK$29, "Error", 0)</f>
        <v/>
      </c>
      <c r="F189" s="232">
        <f>_xlfn.XLOOKUP(MIN(ABS($BJ$7:$BJ$29 - MEDIAN(MIN($BJ$7:$BJ$29), MAX($BJ$7:$BJ$29), F188))), ABS($BJ$7:$BJ$29 - MEDIAN(MIN($BJ$7:$BJ$29), MAX($BJ$7:$BJ$29), F188)), $BK$7:$BK$29, "Error", 0)</f>
        <v/>
      </c>
      <c r="G189" s="232">
        <f>_xlfn.XLOOKUP(MIN(ABS($BJ$7:$BJ$29 - MEDIAN(MIN($BJ$7:$BJ$29), MAX($BJ$7:$BJ$29), G188))), ABS($BJ$7:$BJ$29 - MEDIAN(MIN($BJ$7:$BJ$29), MAX($BJ$7:$BJ$29), G188)), $BK$7:$BK$29, "Error", 0)</f>
        <v/>
      </c>
      <c r="H189" s="232">
        <f>_xlfn.XLOOKUP(MIN(ABS($BJ$7:$BJ$29 - MEDIAN(MIN($BJ$7:$BJ$29), MAX($BJ$7:$BJ$29), H188))), ABS($BJ$7:$BJ$29 - MEDIAN(MIN($BJ$7:$BJ$29), MAX($BJ$7:$BJ$29), H188)), $BK$7:$BK$29, "Error", 0)</f>
        <v/>
      </c>
      <c r="I189" s="232">
        <f>_xlfn.XLOOKUP(MIN(ABS($BJ$7:$BJ$29 - MEDIAN(MIN($BJ$7:$BJ$29), MAX($BJ$7:$BJ$29), I188))), ABS($BJ$7:$BJ$29 - MEDIAN(MIN($BJ$7:$BJ$29), MAX($BJ$7:$BJ$29), I188)), $BK$7:$BK$29, "Error", 0)</f>
        <v/>
      </c>
      <c r="J189" s="232">
        <f>_xlfn.XLOOKUP(MIN(ABS($BJ$7:$BJ$29 - MEDIAN(MIN($BJ$7:$BJ$29), MAX($BJ$7:$BJ$29), J188))), ABS($BJ$7:$BJ$29 - MEDIAN(MIN($BJ$7:$BJ$29), MAX($BJ$7:$BJ$29), J188)), $BK$7:$BK$29, "Error", 0)</f>
        <v/>
      </c>
      <c r="K189" s="232">
        <f>_xlfn.XLOOKUP(MIN(ABS($BJ$7:$BJ$29 - MEDIAN(MIN($BJ$7:$BJ$29), MAX($BJ$7:$BJ$29), K188))), ABS($BJ$7:$BJ$29 - MEDIAN(MIN($BJ$7:$BJ$29), MAX($BJ$7:$BJ$29), K188)), $BK$7:$BK$29, "Error", 0)</f>
        <v/>
      </c>
      <c r="L189" s="232">
        <f>_xlfn.XLOOKUP(MIN(ABS($BJ$7:$BJ$29 - MEDIAN(MIN($BJ$7:$BJ$29), MAX($BJ$7:$BJ$29), L188))), ABS($BJ$7:$BJ$29 - MEDIAN(MIN($BJ$7:$BJ$29), MAX($BJ$7:$BJ$29), L188)), $BK$7:$BK$29, "Error", 0)</f>
        <v/>
      </c>
      <c r="M189" s="232">
        <f>_xlfn.XLOOKUP(MIN(ABS($BJ$7:$BJ$29 - MEDIAN(MIN($BJ$7:$BJ$29), MAX($BJ$7:$BJ$29), M188))), ABS($BJ$7:$BJ$29 - MEDIAN(MIN($BJ$7:$BJ$29), MAX($BJ$7:$BJ$29), M188)), $BK$7:$BK$29, "Error", 0)</f>
        <v/>
      </c>
      <c r="N189" s="232">
        <f>_xlfn.XLOOKUP(MIN(ABS($BJ$7:$BJ$29 - MEDIAN(MIN($BJ$7:$BJ$29), MAX($BJ$7:$BJ$29), N188))), ABS($BJ$7:$BJ$29 - MEDIAN(MIN($BJ$7:$BJ$29), MAX($BJ$7:$BJ$29), N188)), $BK$7:$BK$29, "Error", 0)</f>
        <v/>
      </c>
      <c r="O189" s="232">
        <f>_xlfn.XLOOKUP(MIN(ABS($BJ$7:$BJ$29 - MEDIAN(MIN($BJ$7:$BJ$29), MAX($BJ$7:$BJ$29), O188))), ABS($BJ$7:$BJ$29 - MEDIAN(MIN($BJ$7:$BJ$29), MAX($BJ$7:$BJ$29), O188)), $BK$7:$BK$29, "Error", 0)</f>
        <v/>
      </c>
      <c r="P189" s="232">
        <f>_xlfn.XLOOKUP(MIN(ABS($BJ$7:$BJ$29 - MEDIAN(MIN($BJ$7:$BJ$29), MAX($BJ$7:$BJ$29), P188))), ABS($BJ$7:$BJ$29 - MEDIAN(MIN($BJ$7:$BJ$29), MAX($BJ$7:$BJ$29), P188)), $BK$7:$BK$29, "Error", 0)</f>
        <v/>
      </c>
      <c r="Q189" s="232">
        <f>_xlfn.XLOOKUP(MIN(ABS($BJ$7:$BJ$29 - MEDIAN(MIN($BJ$7:$BJ$29), MAX($BJ$7:$BJ$29), Q188))), ABS($BJ$7:$BJ$29 - MEDIAN(MIN($BJ$7:$BJ$29), MAX($BJ$7:$BJ$29), Q188)), $BK$7:$BK$29, "Error", 0)</f>
        <v/>
      </c>
      <c r="R189" s="232">
        <f>_xlfn.XLOOKUP(MIN(ABS($BJ$7:$BJ$29 - MEDIAN(MIN($BJ$7:$BJ$29), MAX($BJ$7:$BJ$29), R188))), ABS($BJ$7:$BJ$29 - MEDIAN(MIN($BJ$7:$BJ$29), MAX($BJ$7:$BJ$29), R188)), $BK$7:$BK$29, "Error", 0)</f>
        <v/>
      </c>
      <c r="S189" s="232">
        <f>_xlfn.XLOOKUP(MIN(ABS($BJ$7:$BJ$29 - MEDIAN(MIN($BJ$7:$BJ$29), MAX($BJ$7:$BJ$29), S188))), ABS($BJ$7:$BJ$29 - MEDIAN(MIN($BJ$7:$BJ$29), MAX($BJ$7:$BJ$29), S188)), $BK$7:$BK$29, "Error", 0)</f>
        <v/>
      </c>
      <c r="T189" s="232">
        <f>_xlfn.XLOOKUP(MIN(ABS($BJ$7:$BJ$29 - MEDIAN(MIN($BJ$7:$BJ$29), MAX($BJ$7:$BJ$29), T188))), ABS($BJ$7:$BJ$29 - MEDIAN(MIN($BJ$7:$BJ$29), MAX($BJ$7:$BJ$29), T188)), $BK$7:$BK$29, "Error", 0)</f>
        <v/>
      </c>
      <c r="U189" s="232">
        <f>_xlfn.XLOOKUP(MIN(ABS($BJ$7:$BJ$29 - MEDIAN(MIN($BJ$7:$BJ$29), MAX($BJ$7:$BJ$29), U188))), ABS($BJ$7:$BJ$29 - MEDIAN(MIN($BJ$7:$BJ$29), MAX($BJ$7:$BJ$29), U188)), $BK$7:$BK$29, "Error", 0)</f>
        <v/>
      </c>
      <c r="V189" s="232">
        <f>_xlfn.XLOOKUP(MIN(ABS($BJ$7:$BJ$29 - MEDIAN(MIN($BJ$7:$BJ$29), MAX($BJ$7:$BJ$29), V188))), ABS($BJ$7:$BJ$29 - MEDIAN(MIN($BJ$7:$BJ$29), MAX($BJ$7:$BJ$29), V188)), $BK$7:$BK$29, "Error", 0)</f>
        <v/>
      </c>
      <c r="W189" s="232">
        <f>_xlfn.XLOOKUP(MIN(ABS($BJ$7:$BJ$29 - MEDIAN(MIN($BJ$7:$BJ$29), MAX($BJ$7:$BJ$29), W188))), ABS($BJ$7:$BJ$29 - MEDIAN(MIN($BJ$7:$BJ$29), MAX($BJ$7:$BJ$29), W188)), $BK$7:$BK$29, "Error", 0)</f>
        <v/>
      </c>
      <c r="X189" s="232">
        <f>_xlfn.XLOOKUP(MIN(ABS($BJ$7:$BJ$29 - MEDIAN(MIN($BJ$7:$BJ$29), MAX($BJ$7:$BJ$29), X188))), ABS($BJ$7:$BJ$29 - MEDIAN(MIN($BJ$7:$BJ$29), MAX($BJ$7:$BJ$29), X188)), $BK$7:$BK$29, "Error", 0)</f>
        <v/>
      </c>
      <c r="Y189" s="232">
        <f>_xlfn.XLOOKUP(MIN(ABS($BJ$7:$BJ$29 - MEDIAN(MIN($BJ$7:$BJ$29), MAX($BJ$7:$BJ$29), Y188))), ABS($BJ$7:$BJ$29 - MEDIAN(MIN($BJ$7:$BJ$29), MAX($BJ$7:$BJ$29), Y188)), $BK$7:$BK$29, "Error", 0)</f>
        <v/>
      </c>
      <c r="Z189" s="232">
        <f>_xlfn.XLOOKUP(MIN(ABS($BJ$7:$BJ$29 - MEDIAN(MIN($BJ$7:$BJ$29), MAX($BJ$7:$BJ$29), Z188))), ABS($BJ$7:$BJ$29 - MEDIAN(MIN($BJ$7:$BJ$29), MAX($BJ$7:$BJ$29), Z188)), $BK$7:$BK$29, "Error", 0)</f>
        <v/>
      </c>
      <c r="AA189" s="232">
        <f>_xlfn.XLOOKUP(MIN(ABS($BJ$7:$BJ$29 - MEDIAN(MIN($BJ$7:$BJ$29), MAX($BJ$7:$BJ$29), AA188))), ABS($BJ$7:$BJ$29 - MEDIAN(MIN($BJ$7:$BJ$29), MAX($BJ$7:$BJ$29), AA188)), $BK$7:$BK$29, "Error", 0)</f>
        <v/>
      </c>
      <c r="AB189" s="171">
        <f>_xlfn.XLOOKUP(MIN(ABS($BJ$7:$BJ$29 - MEDIAN(MIN($BJ$7:$BJ$29), MAX($BJ$7:$BJ$29), AB188))), ABS($BJ$7:$BJ$29 - MEDIAN(MIN($BJ$7:$BJ$29), MAX($BJ$7:$BJ$29), AB188)), $BK$7:$BK$29, "Error", 0)</f>
        <v/>
      </c>
      <c r="AC189" s="171">
        <f>_xlfn.XLOOKUP(MIN(ABS($BJ$7:$BJ$29 - MEDIAN(MIN($BJ$7:$BJ$29), MAX($BJ$7:$BJ$29), AC188))), ABS($BJ$7:$BJ$29 - MEDIAN(MIN($BJ$7:$BJ$29), MAX($BJ$7:$BJ$29), AC188)), $BK$7:$BK$29, "Error", 0)</f>
        <v/>
      </c>
      <c r="AD189" s="171">
        <f>_xlfn.XLOOKUP(MIN(ABS($BJ$7:$BJ$29 - MEDIAN(MIN($BJ$7:$BJ$29), MAX($BJ$7:$BJ$29), AD188))), ABS($BJ$7:$BJ$29 - MEDIAN(MIN($BJ$7:$BJ$29), MAX($BJ$7:$BJ$29), AD188)), $BK$7:$BK$29, "Error", 0)</f>
        <v/>
      </c>
      <c r="AE189" s="171">
        <f>_xlfn.XLOOKUP(MIN(ABS($BJ$7:$BJ$29 - MEDIAN(MIN($BJ$7:$BJ$29), MAX($BJ$7:$BJ$29), AE188))), ABS($BJ$7:$BJ$29 - MEDIAN(MIN($BJ$7:$BJ$29), MAX($BJ$7:$BJ$29), AE188)), $BK$7:$BK$29, "Error", 0)</f>
        <v/>
      </c>
      <c r="AF189" s="171">
        <f>_xlfn.XLOOKUP(MIN(ABS($BJ$7:$BJ$29 - MEDIAN(MIN($BJ$7:$BJ$29), MAX($BJ$7:$BJ$29), AF188))), ABS($BJ$7:$BJ$29 - MEDIAN(MIN($BJ$7:$BJ$29), MAX($BJ$7:$BJ$29), AF188)), $BK$7:$BK$29, "Error", 0)</f>
        <v/>
      </c>
      <c r="AG189" s="171">
        <f>_xlfn.XLOOKUP(MIN(ABS($BJ$7:$BJ$29 - MEDIAN(MIN($BJ$7:$BJ$29), MAX($BJ$7:$BJ$29), AG188))), ABS($BJ$7:$BJ$29 - MEDIAN(MIN($BJ$7:$BJ$29), MAX($BJ$7:$BJ$29), AG188)), $BK$7:$BK$29, "Error", 0)</f>
        <v/>
      </c>
      <c r="AH189" s="171">
        <f>_xlfn.XLOOKUP(MIN(ABS($BJ$7:$BJ$29 - MEDIAN(MIN($BJ$7:$BJ$29), MAX($BJ$7:$BJ$29), AH188))), ABS($BJ$7:$BJ$29 - MEDIAN(MIN($BJ$7:$BJ$29), MAX($BJ$7:$BJ$29), AH188)), $BK$7:$BK$29, "Error", 0)</f>
        <v/>
      </c>
      <c r="AI189" s="171">
        <f>_xlfn.XLOOKUP(MIN(ABS($BJ$7:$BJ$29 - MEDIAN(MIN($BJ$7:$BJ$29), MAX($BJ$7:$BJ$29), AI188))), ABS($BJ$7:$BJ$29 - MEDIAN(MIN($BJ$7:$BJ$29), MAX($BJ$7:$BJ$29), AI188)), $BK$7:$BK$29, "Error", 0)</f>
        <v/>
      </c>
      <c r="AJ189" s="171">
        <f>_xlfn.XLOOKUP(MIN(ABS($BJ$7:$BJ$29 - MEDIAN(MIN($BJ$7:$BJ$29), MAX($BJ$7:$BJ$29), AJ188))), ABS($BJ$7:$BJ$29 - MEDIAN(MIN($BJ$7:$BJ$29), MAX($BJ$7:$BJ$29), AJ188)), $BK$7:$BK$29, "Error", 0)</f>
        <v/>
      </c>
      <c r="AK189" s="171">
        <f>_xlfn.XLOOKUP(MIN(ABS($BJ$7:$BJ$29 - MEDIAN(MIN($BJ$7:$BJ$29), MAX($BJ$7:$BJ$29), AK188))), ABS($BJ$7:$BJ$29 - MEDIAN(MIN($BJ$7:$BJ$29), MAX($BJ$7:$BJ$29), AK188)), $BK$7:$BK$29, "Error", 0)</f>
        <v/>
      </c>
      <c r="AL189" s="171">
        <f>_xlfn.XLOOKUP(MIN(ABS($BJ$7:$BJ$29 - MEDIAN(MIN($BJ$7:$BJ$29), MAX($BJ$7:$BJ$29), AL188))), ABS($BJ$7:$BJ$29 - MEDIAN(MIN($BJ$7:$BJ$29), MAX($BJ$7:$BJ$29), AL188)), $BK$7:$BK$29, "Error", 0)</f>
        <v/>
      </c>
      <c r="AM189" s="171">
        <f>_xlfn.XLOOKUP(MIN(ABS($BJ$7:$BJ$29 - MEDIAN(MIN($BJ$7:$BJ$29), MAX($BJ$7:$BJ$29), AM188))), ABS($BJ$7:$BJ$29 - MEDIAN(MIN($BJ$7:$BJ$29), MAX($BJ$7:$BJ$29), AM188)), $BK$7:$BK$29, "Error", 0)</f>
        <v/>
      </c>
      <c r="AN189" s="171">
        <f>_xlfn.XLOOKUP(MIN(ABS($BJ$7:$BJ$29 - MEDIAN(MIN($BJ$7:$BJ$29), MAX($BJ$7:$BJ$29), AN188))), ABS($BJ$7:$BJ$29 - MEDIAN(MIN($BJ$7:$BJ$29), MAX($BJ$7:$BJ$29), AN188)), $BK$7:$BK$29, "Error", 0)</f>
        <v/>
      </c>
      <c r="AO189" s="171">
        <f>_xlfn.XLOOKUP(MIN(ABS($BJ$7:$BJ$29 - MEDIAN(MIN($BJ$7:$BJ$29), MAX($BJ$7:$BJ$29), AO188))), ABS($BJ$7:$BJ$29 - MEDIAN(MIN($BJ$7:$BJ$29), MAX($BJ$7:$BJ$29), AO188)), $BK$7:$BK$29, "Error", 0)</f>
        <v/>
      </c>
      <c r="AP189" s="171">
        <f>_xlfn.XLOOKUP(MIN(ABS($BJ$7:$BJ$29 - MEDIAN(MIN($BJ$7:$BJ$29), MAX($BJ$7:$BJ$29), AP188))), ABS($BJ$7:$BJ$29 - MEDIAN(MIN($BJ$7:$BJ$29), MAX($BJ$7:$BJ$29), AP188)), $BK$7:$BK$29, "Error", 0)</f>
        <v/>
      </c>
      <c r="AQ189" s="171">
        <f>_xlfn.XLOOKUP(MIN(ABS($BJ$7:$BJ$29 - MEDIAN(MIN($BJ$7:$BJ$29), MAX($BJ$7:$BJ$29), AQ188))), ABS($BJ$7:$BJ$29 - MEDIAN(MIN($BJ$7:$BJ$29), MAX($BJ$7:$BJ$29), AQ188)), $BK$7:$BK$29, "Error", 0)</f>
        <v/>
      </c>
      <c r="AR189" s="171">
        <f>_xlfn.XLOOKUP(MIN(ABS($BJ$7:$BJ$29 - MEDIAN(MIN($BJ$7:$BJ$29), MAX($BJ$7:$BJ$29), AR188))), ABS($BJ$7:$BJ$29 - MEDIAN(MIN($BJ$7:$BJ$29), MAX($BJ$7:$BJ$29), AR188)), $BK$7:$BK$29, "Error", 0)</f>
        <v/>
      </c>
      <c r="AS189" s="171">
        <f>_xlfn.XLOOKUP(MIN(ABS($BJ$7:$BJ$29 - MEDIAN(MIN($BJ$7:$BJ$29), MAX($BJ$7:$BJ$29), AS188))), ABS($BJ$7:$BJ$29 - MEDIAN(MIN($BJ$7:$BJ$29), MAX($BJ$7:$BJ$29), AS188)), $BK$7:$BK$29, "Error", 0)</f>
        <v/>
      </c>
      <c r="AT189" s="171">
        <f>_xlfn.XLOOKUP(MIN(ABS($BJ$7:$BJ$29 - MEDIAN(MIN($BJ$7:$BJ$29), MAX($BJ$7:$BJ$29), AT188))), ABS($BJ$7:$BJ$29 - MEDIAN(MIN($BJ$7:$BJ$29), MAX($BJ$7:$BJ$29), AT188)), $BK$7:$BK$29, "Error", 0)</f>
        <v/>
      </c>
      <c r="AU189" s="171">
        <f>_xlfn.XLOOKUP(MIN(ABS($BJ$7:$BJ$29 - MEDIAN(MIN($BJ$7:$BJ$29), MAX($BJ$7:$BJ$29), AU188))), ABS($BJ$7:$BJ$29 - MEDIAN(MIN($BJ$7:$BJ$29), MAX($BJ$7:$BJ$29), AU188)), $BK$7:$BK$29, "Error", 0)</f>
        <v/>
      </c>
      <c r="AV189" s="206">
        <f>_xlfn.XLOOKUP(MIN(ABS($BJ$7:$BJ$29 - MEDIAN(MIN($BJ$7:$BJ$29), MAX($BJ$7:$BJ$29), AV188))), ABS($BJ$7:$BJ$29 - MEDIAN(MIN($BJ$7:$BJ$29), MAX($BJ$7:$BJ$29), AV188)), $BK$7:$BK$29, "Error", 0)</f>
        <v/>
      </c>
      <c r="AW189" s="184">
        <f>_xlfn.XLOOKUP(MIN(ABS($BJ$7:$BJ$29 - MEDIAN(MIN($BJ$7:$BJ$29), MAX($BJ$7:$BJ$29), AW188))), ABS($BJ$7:$BJ$29 - MEDIAN(MIN($BJ$7:$BJ$29), MAX($BJ$7:$BJ$29), AW188)), $BK$7:$BK$29, "Error", 0)</f>
        <v/>
      </c>
      <c r="AX189" s="184">
        <f>_xlfn.XLOOKUP(MIN(ABS($BJ$7:$BJ$29 - MEDIAN(MIN($BJ$7:$BJ$29), MAX($BJ$7:$BJ$29), AX188))), ABS($BJ$7:$BJ$29 - MEDIAN(MIN($BJ$7:$BJ$29), MAX($BJ$7:$BJ$29), AX188)), $BK$7:$BK$29, "Error", 0)</f>
        <v/>
      </c>
      <c r="AY189" s="184" t="n"/>
    </row>
    <row r="190" ht="22" customHeight="1">
      <c r="AU190" s="205">
        <f>+AU186-AU189</f>
        <v/>
      </c>
    </row>
    <row r="191" ht="22" customHeight="1">
      <c r="AU191" s="171">
        <f t="array" ref="AU191">_xlfn.XLOOKUP(MIN(ABS($BJ$7:$BJ$29 - MEDIAN(MIN($BJ$7:$BJ$29), MAX($BJ$7:$BJ$29), AU190))), ABS($BJ$7:$BJ$29 - MEDIAN(MIN($BJ$7:$BJ$29), MAX($BJ$7:$BJ$29), AU190)), $BK$7:$BK$29, "Error", 0)</f>
        <v/>
      </c>
    </row>
    <row r="192" ht="22" customHeight="1">
      <c r="AU192" s="204" t="n">
        <v>24939.6649646913</v>
      </c>
    </row>
    <row r="193" ht="22" customHeight="1">
      <c r="AU193" s="204" t="n">
        <v>24234</v>
      </c>
    </row>
    <row r="194" ht="22" customHeight="1">
      <c r="AU194" s="205">
        <f>+(AU193-AU192)/AU192</f>
        <v/>
      </c>
    </row>
    <row r="195" ht="22" customHeight="1">
      <c r="AU195" s="203" t="n">
        <v>10934.900390625</v>
      </c>
    </row>
    <row r="196" ht="22" customHeight="1">
      <c r="AU196" s="203" t="n">
        <v>10498</v>
      </c>
    </row>
    <row r="197" ht="22" customHeight="1">
      <c r="AU197" s="205">
        <f>+(AU196-AU195)/AU195</f>
        <v/>
      </c>
    </row>
    <row r="198" ht="22" customHeight="1">
      <c r="AU198" s="205">
        <f>+AU194-AU197</f>
        <v/>
      </c>
    </row>
    <row r="199" ht="22" customHeight="1">
      <c r="AU199" s="171">
        <f t="array" ref="AU199">_xlfn.XLOOKUP(MIN(ABS($BJ$7:$BJ$29 - MEDIAN(MIN($BJ$7:$BJ$29), MAX($BJ$7:$BJ$29), AU198))), ABS($BJ$7:$BJ$29 - MEDIAN(MIN($BJ$7:$BJ$29), MAX($BJ$7:$BJ$29), AU198)), $BK$7:$BK$29, "Error", 0)</f>
        <v/>
      </c>
    </row>
    <row r="200" ht="22" customHeight="1">
      <c r="AU200" s="204" t="n">
        <v>2915653</v>
      </c>
    </row>
    <row r="201" ht="22" customHeight="1">
      <c r="AU201" s="204" t="n">
        <v>2915653</v>
      </c>
    </row>
    <row r="202" ht="22" customHeight="1">
      <c r="AU202" s="205">
        <f>+(AU201-AU200)/AU200</f>
        <v/>
      </c>
    </row>
    <row r="203" ht="22" customHeight="1">
      <c r="AU203" s="203" t="n">
        <v>14464</v>
      </c>
    </row>
    <row r="204" ht="22" customHeight="1">
      <c r="AU204" s="203" t="n">
        <v>14464</v>
      </c>
    </row>
    <row r="205" ht="22" customHeight="1">
      <c r="AU205" s="205">
        <f>+(AU204-AU203)/AU203</f>
        <v/>
      </c>
    </row>
    <row r="206" ht="22" customHeight="1">
      <c r="AU206" s="205">
        <f>+AU202-AU205</f>
        <v/>
      </c>
    </row>
    <row r="207" ht="22" customHeight="1">
      <c r="AU207" s="171">
        <f t="array" ref="AU207">_xlfn.XLOOKUP(MIN(ABS($BJ$7:$BJ$29 - MEDIAN(MIN($BJ$7:$BJ$29), MAX($BJ$7:$BJ$29), AU206))), ABS($BJ$7:$BJ$29 - MEDIAN(MIN($BJ$7:$BJ$29), MAX($BJ$7:$BJ$29), AU206)), $BK$7:$BK$29, "Error", 0)</f>
        <v/>
      </c>
    </row>
    <row r="208" ht="22" customHeight="1">
      <c r="AU208" s="204" t="n">
        <v>6577.58757456264</v>
      </c>
    </row>
    <row r="209" ht="22" customHeight="1">
      <c r="AU209" s="204" t="n">
        <v>6167</v>
      </c>
    </row>
    <row r="210" ht="22" customHeight="1">
      <c r="AU210" s="205">
        <f>+(AU209-AU208)/AU208</f>
        <v/>
      </c>
    </row>
    <row r="211" ht="22" customHeight="1">
      <c r="AU211" s="203" t="n">
        <v>9202.900390625</v>
      </c>
    </row>
    <row r="212" ht="22" customHeight="1">
      <c r="AU212" s="203" t="n">
        <v>8841</v>
      </c>
    </row>
    <row r="213" ht="22" customHeight="1">
      <c r="AU213" s="205">
        <f>+(AU212-AU211)/AU211</f>
        <v/>
      </c>
    </row>
    <row r="214" ht="22" customHeight="1">
      <c r="AU214" s="205">
        <f>+AU210-AU213</f>
        <v/>
      </c>
    </row>
    <row r="215" ht="22" customHeight="1">
      <c r="AU215" s="171">
        <f t="array" ref="AU215">_xlfn.XLOOKUP(MIN(ABS($BJ$7:$BJ$29 - MEDIAN(MIN($BJ$7:$BJ$29), MAX($BJ$7:$BJ$29), AU214))), ABS($BJ$7:$BJ$29 - MEDIAN(MIN($BJ$7:$BJ$29), MAX($BJ$7:$BJ$29), AU214)), $BK$7:$BK$29, "Error", 0)</f>
        <v/>
      </c>
    </row>
    <row r="216" ht="22" customHeight="1">
      <c r="AU216" s="204" t="n">
        <v>5340.70260387394</v>
      </c>
    </row>
    <row r="217" ht="22" customHeight="1">
      <c r="AU217" s="204" t="n">
        <v>4989</v>
      </c>
    </row>
    <row r="218" ht="22" customHeight="1">
      <c r="AU218" s="205">
        <f>+(AU217-AU216)/AU216</f>
        <v/>
      </c>
    </row>
    <row r="219" ht="22" customHeight="1">
      <c r="AU219" s="203" t="n">
        <v>9202.900390625</v>
      </c>
    </row>
    <row r="220" ht="22" customHeight="1">
      <c r="AU220" s="203" t="n">
        <v>8841</v>
      </c>
    </row>
    <row r="221" ht="22" customHeight="1">
      <c r="AU221" s="205">
        <f>+(AU220-AU219)/AU219</f>
        <v/>
      </c>
    </row>
    <row r="222" ht="22" customHeight="1">
      <c r="AU222" s="205">
        <f>+AU218-AU221</f>
        <v/>
      </c>
    </row>
    <row r="223" ht="22" customHeight="1">
      <c r="AU223" s="171">
        <f t="array" ref="AU223">_xlfn.XLOOKUP(MIN(ABS($BJ$7:$BJ$29 - MEDIAN(MIN($BJ$7:$BJ$29), MAX($BJ$7:$BJ$29), AU222))), ABS($BJ$7:$BJ$29 - MEDIAN(MIN($BJ$7:$BJ$29), MAX($BJ$7:$BJ$29), AU222)), $BK$7:$BK$29, "Error", 0)</f>
        <v/>
      </c>
    </row>
    <row r="224" ht="22" customHeight="1">
      <c r="AU224" s="204" t="n">
        <v>1034775</v>
      </c>
    </row>
    <row r="225" ht="22" customHeight="1">
      <c r="AU225" s="204" t="n">
        <v>1000308</v>
      </c>
    </row>
    <row r="226" ht="22" customHeight="1">
      <c r="AU226" s="205">
        <f>+(AU225-AU224)/AU224</f>
        <v/>
      </c>
    </row>
    <row r="227" ht="22" customHeight="1">
      <c r="AU227" s="203" t="n">
        <v>9202.900390625</v>
      </c>
    </row>
    <row r="228" ht="22" customHeight="1">
      <c r="AU228" s="203" t="n">
        <v>8841</v>
      </c>
    </row>
    <row r="229" ht="22" customHeight="1">
      <c r="AU229" s="205">
        <f>+(AU228-AU227)/AU227</f>
        <v/>
      </c>
    </row>
    <row r="230" ht="22" customHeight="1">
      <c r="AU230" s="205">
        <f>+AU226-AU229</f>
        <v/>
      </c>
    </row>
    <row r="231" ht="22" customHeight="1">
      <c r="AU231" s="171">
        <f t="array" ref="AU231">_xlfn.XLOOKUP(MIN(ABS($BJ$7:$BJ$29 - MEDIAN(MIN($BJ$7:$BJ$29), MAX($BJ$7:$BJ$29), AU230))), ABS($BJ$7:$BJ$29 - MEDIAN(MIN($BJ$7:$BJ$29), MAX($BJ$7:$BJ$29), AU230)), $BK$7:$BK$29, "Error", 0)</f>
        <v/>
      </c>
    </row>
    <row r="232" ht="22" customHeight="1">
      <c r="AU232" s="204" t="n">
        <v>11066</v>
      </c>
    </row>
    <row r="233" ht="22" customHeight="1">
      <c r="AU233" s="204" t="n">
        <v>10609</v>
      </c>
    </row>
    <row r="234" ht="22" customHeight="1">
      <c r="AU234" s="205">
        <f>+(AU233-AU232)/AU232</f>
        <v/>
      </c>
    </row>
    <row r="235" ht="22" customHeight="1">
      <c r="AU235" s="203" t="n">
        <v>9202.900390625</v>
      </c>
    </row>
    <row r="236" ht="22" customHeight="1">
      <c r="AU236" s="203" t="n">
        <v>8841</v>
      </c>
    </row>
    <row r="237" ht="22" customHeight="1">
      <c r="AU237" s="205">
        <f>+(AU236-AU235)/AU235</f>
        <v/>
      </c>
    </row>
    <row r="238" ht="22" customHeight="1">
      <c r="AU238" s="205">
        <f>+AU234-AU237</f>
        <v/>
      </c>
    </row>
    <row r="239" ht="22" customHeight="1">
      <c r="AU239" s="171">
        <f t="array" ref="AU239">_xlfn.XLOOKUP(MIN(ABS($BJ$7:$BJ$29 - MEDIAN(MIN($BJ$7:$BJ$29), MAX($BJ$7:$BJ$29), AU238))), ABS($BJ$7:$BJ$29 - MEDIAN(MIN($BJ$7:$BJ$29), MAX($BJ$7:$BJ$29), AU238)), $BK$7:$BK$29, "Error", 0)</f>
        <v/>
      </c>
    </row>
    <row r="240" ht="22" customHeight="1">
      <c r="AU240" s="204" t="n">
        <v>8973.251021227919</v>
      </c>
    </row>
    <row r="241" ht="22" customHeight="1">
      <c r="AU241" s="204" t="n">
        <v>8666</v>
      </c>
    </row>
    <row r="242" ht="22" customHeight="1">
      <c r="AU242" s="205">
        <f>+(AU241-AU240)/AU240</f>
        <v/>
      </c>
    </row>
    <row r="243" ht="22" customHeight="1">
      <c r="AU243" s="203" t="n">
        <v>9202.900390625</v>
      </c>
    </row>
    <row r="244" ht="22" customHeight="1">
      <c r="AU244" s="203" t="n">
        <v>8841</v>
      </c>
    </row>
    <row r="245" ht="22" customHeight="1">
      <c r="AU245" s="205">
        <f>+(AU244-AU243)/AU243</f>
        <v/>
      </c>
    </row>
    <row r="246" ht="22" customHeight="1">
      <c r="AU246" s="205">
        <f>+AU242-AU245</f>
        <v/>
      </c>
    </row>
    <row r="247" ht="22" customHeight="1">
      <c r="AU247" s="171">
        <f t="array" ref="AU247">_xlfn.XLOOKUP(MIN(ABS($BJ$7:$BJ$29 - MEDIAN(MIN($BJ$7:$BJ$29), MAX($BJ$7:$BJ$29), AU246))), ABS($BJ$7:$BJ$29 - MEDIAN(MIN($BJ$7:$BJ$29), MAX($BJ$7:$BJ$29), AU246)), $BK$7:$BK$29, "Error", 0)</f>
        <v/>
      </c>
    </row>
    <row r="248" ht="22" customHeight="1">
      <c r="AU248" s="204" t="n">
        <v>4101567</v>
      </c>
    </row>
    <row r="249" ht="22" customHeight="1">
      <c r="AU249" s="204" t="n">
        <v>4101567</v>
      </c>
    </row>
    <row r="250" ht="22" customHeight="1">
      <c r="AU250" s="205">
        <f>+(AU249-AU248)/AU248</f>
        <v/>
      </c>
    </row>
    <row r="251" ht="22" customHeight="1">
      <c r="AU251" s="203" t="n">
        <v>35629</v>
      </c>
    </row>
    <row r="252" ht="22" customHeight="1">
      <c r="AU252" s="203" t="n">
        <v>35416</v>
      </c>
    </row>
    <row r="253" ht="22" customHeight="1">
      <c r="AU253" s="205">
        <f>+(AU252-AU251)/AU251</f>
        <v/>
      </c>
    </row>
    <row r="254" ht="22" customHeight="1">
      <c r="AU254" s="205">
        <f>+AU250-AU253</f>
        <v/>
      </c>
    </row>
    <row r="255" ht="22" customHeight="1">
      <c r="AU255" s="171">
        <f t="array" ref="AU255">_xlfn.XLOOKUP(MIN(ABS($BJ$7:$BJ$29 - MEDIAN(MIN($BJ$7:$BJ$29), MAX($BJ$7:$BJ$29), AU254))), ABS($BJ$7:$BJ$29 - MEDIAN(MIN($BJ$7:$BJ$29), MAX($BJ$7:$BJ$29), AU254)), $BK$7:$BK$29, "Error", 0)</f>
        <v/>
      </c>
    </row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</sheetData>
  <mergeCells count="23">
    <mergeCell ref="A102:A109"/>
    <mergeCell ref="A182:A189"/>
    <mergeCell ref="A142:A149"/>
    <mergeCell ref="A30:A37"/>
    <mergeCell ref="A110:A117"/>
    <mergeCell ref="A166:A173"/>
    <mergeCell ref="A70:A77"/>
    <mergeCell ref="A78:A85"/>
    <mergeCell ref="A94:A101"/>
    <mergeCell ref="A174:A181"/>
    <mergeCell ref="A54:A61"/>
    <mergeCell ref="A6:A13"/>
    <mergeCell ref="A118:A125"/>
    <mergeCell ref="A158:A165"/>
    <mergeCell ref="A86:A93"/>
    <mergeCell ref="A46:A53"/>
    <mergeCell ref="A126:A133"/>
    <mergeCell ref="A62:A69"/>
    <mergeCell ref="A134:A141"/>
    <mergeCell ref="A38:A45"/>
    <mergeCell ref="A14:A21"/>
    <mergeCell ref="A22:A29"/>
    <mergeCell ref="A150:A157"/>
  </mergeCells>
  <pageMargins left="0.7" right="0.7" top="0.75" bottom="0.75" header="0.39" footer="0.39"/>
  <pageSetup orientation="portrait" paperSize="9" fitToHeight="0" fitToWidth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0747D"/>
    <outlinePr summaryBelow="1" summaryRight="1"/>
    <pageSetUpPr/>
  </sheetPr>
  <dimension ref="A2:BF221"/>
  <sheetViews>
    <sheetView tabSelected="1" topLeftCell="AS169" zoomScale="150" zoomScaleNormal="67" workbookViewId="0">
      <selection activeCell="AU176" sqref="AU176"/>
    </sheetView>
  </sheetViews>
  <sheetFormatPr baseColWidth="10" defaultColWidth="9.1640625" defaultRowHeight="15"/>
  <cols>
    <col width="5.33203125" customWidth="1" min="4" max="4"/>
    <col width="51" customWidth="1" min="5" max="5"/>
    <col width="20.83203125" customWidth="1" min="6" max="29"/>
    <col width="20.83203125" customWidth="1" style="2" min="30" max="30"/>
    <col width="20.83203125" customWidth="1" min="31" max="35"/>
    <col width="18.83203125" customWidth="1" min="36" max="53"/>
    <col width="12.83203125" customWidth="1" min="54" max="54"/>
    <col width="17.33203125" customWidth="1" min="55" max="55"/>
    <col width="12.83203125" customWidth="1" min="56" max="57"/>
    <col width="16.1640625" customWidth="1" min="58" max="58"/>
  </cols>
  <sheetData>
    <row r="2" ht="21" customHeight="1">
      <c r="E2" s="2" t="inlineStr">
        <is>
          <t>FX pairs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154" t="inlineStr">
        <is>
          <t>USD JPY</t>
        </is>
      </c>
      <c r="AE2" s="282" t="inlineStr">
        <is>
          <t>USD CHF</t>
        </is>
      </c>
      <c r="AF2" s="282" t="inlineStr">
        <is>
          <t>USD CAD</t>
        </is>
      </c>
      <c r="AG2" s="160" t="inlineStr">
        <is>
          <t>EUR USD</t>
        </is>
      </c>
      <c r="AH2" s="160" t="inlineStr">
        <is>
          <t>EUR JPY</t>
        </is>
      </c>
      <c r="AI2" s="160" t="inlineStr">
        <is>
          <t>EUR CHF</t>
        </is>
      </c>
      <c r="AJ2" s="160" t="inlineStr">
        <is>
          <t>EUR GBP</t>
        </is>
      </c>
      <c r="AK2" s="162" t="inlineStr">
        <is>
          <t>EUR CAD</t>
        </is>
      </c>
      <c r="AL2" s="160" t="inlineStr">
        <is>
          <t>EUR AUD</t>
        </is>
      </c>
      <c r="AM2" s="162" t="inlineStr">
        <is>
          <t>EUR NZD</t>
        </is>
      </c>
      <c r="AN2" s="163" t="inlineStr">
        <is>
          <t>GBP USD</t>
        </is>
      </c>
      <c r="AO2" s="163" t="inlineStr">
        <is>
          <t>GBP JPY</t>
        </is>
      </c>
      <c r="AP2" s="163" t="inlineStr">
        <is>
          <t>GBP CHF</t>
        </is>
      </c>
      <c r="AQ2" s="163" t="inlineStr">
        <is>
          <t>GBP CAD</t>
        </is>
      </c>
      <c r="AR2" s="163" t="inlineStr">
        <is>
          <t>GBP AUD</t>
        </is>
      </c>
      <c r="AS2" s="164" t="inlineStr">
        <is>
          <t>GBP NZD</t>
        </is>
      </c>
      <c r="AT2" s="165" t="inlineStr">
        <is>
          <t xml:space="preserve">CHF JPY </t>
        </is>
      </c>
      <c r="AU2" s="168" t="inlineStr">
        <is>
          <t>AUD USD</t>
        </is>
      </c>
      <c r="AV2" s="168" t="inlineStr">
        <is>
          <t>AUD CHF</t>
        </is>
      </c>
      <c r="AW2" s="168" t="inlineStr">
        <is>
          <t>AUD JPY</t>
        </is>
      </c>
      <c r="AX2" s="168" t="n"/>
      <c r="AY2" s="169" t="inlineStr">
        <is>
          <t>AUD NZD</t>
        </is>
      </c>
      <c r="AZ2" s="169" t="inlineStr">
        <is>
          <t>AUD CAD</t>
        </is>
      </c>
      <c r="BA2" s="170" t="inlineStr">
        <is>
          <t>CAD JPY</t>
        </is>
      </c>
    </row>
    <row r="3">
      <c r="E3" s="4" t="inlineStr">
        <is>
          <t>Comparative indicators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10" t="inlineStr">
        <is>
          <t>Note</t>
        </is>
      </c>
      <c r="AE3" s="10" t="inlineStr">
        <is>
          <t>Note</t>
        </is>
      </c>
      <c r="AF3" s="10" t="inlineStr">
        <is>
          <t>Note</t>
        </is>
      </c>
      <c r="AG3" s="10" t="inlineStr">
        <is>
          <t>Note</t>
        </is>
      </c>
      <c r="AH3" s="10" t="inlineStr">
        <is>
          <t>Note</t>
        </is>
      </c>
      <c r="AI3" s="10" t="inlineStr">
        <is>
          <t>Note</t>
        </is>
      </c>
      <c r="AJ3" s="10" t="inlineStr">
        <is>
          <t>Note</t>
        </is>
      </c>
      <c r="AK3" s="10" t="inlineStr">
        <is>
          <t>Note</t>
        </is>
      </c>
      <c r="AL3" s="10" t="inlineStr">
        <is>
          <t>Note</t>
        </is>
      </c>
      <c r="AM3" s="10" t="inlineStr">
        <is>
          <t>Note</t>
        </is>
      </c>
      <c r="AN3" s="10" t="inlineStr">
        <is>
          <t>Note</t>
        </is>
      </c>
    </row>
    <row r="4" ht="17.25" customHeight="1">
      <c r="D4" t="inlineStr">
        <is>
          <t>Q</t>
        </is>
      </c>
      <c r="E4" s="3" t="inlineStr">
        <is>
          <t>Relative GDP growth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286">
        <f>'GDP data'!AK38</f>
        <v/>
      </c>
      <c r="AE4" s="286">
        <f>'GDP data'!AK39</f>
        <v/>
      </c>
      <c r="AF4" s="286">
        <f>'GDP data'!AK40</f>
        <v/>
      </c>
      <c r="AG4" s="286" t="n"/>
      <c r="AH4" s="286" t="n"/>
      <c r="AI4" s="286" t="n"/>
      <c r="AJ4" s="286" t="n">
        <v>2</v>
      </c>
      <c r="AK4" s="286" t="n">
        <v>4</v>
      </c>
      <c r="AL4" s="286" t="n">
        <v>4</v>
      </c>
      <c r="AM4" s="286" t="n">
        <v>2</v>
      </c>
      <c r="AN4" s="286" t="n">
        <v>-2</v>
      </c>
      <c r="AO4" s="286" t="n">
        <v>-2</v>
      </c>
      <c r="AP4" s="286" t="n">
        <v>-2</v>
      </c>
      <c r="AQ4" s="286" t="n">
        <v>-2</v>
      </c>
      <c r="AR4" s="286" t="n">
        <v>-2</v>
      </c>
      <c r="AS4" s="286" t="n">
        <v>-2</v>
      </c>
      <c r="AT4" s="286" t="n">
        <v>-2</v>
      </c>
      <c r="AU4" s="286" t="n">
        <v>-2</v>
      </c>
      <c r="AV4" s="286" t="n">
        <v>-2</v>
      </c>
      <c r="AW4" s="286" t="n">
        <v>-2</v>
      </c>
      <c r="AX4" s="286" t="n"/>
      <c r="AY4" s="286" t="n">
        <v>-2</v>
      </c>
      <c r="AZ4" s="286" t="n">
        <v>-2</v>
      </c>
      <c r="BA4" s="286" t="n">
        <v>-2</v>
      </c>
    </row>
    <row r="5" ht="17.25" customHeight="1" thickBot="1"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7.25" customHeight="1" thickBot="1">
      <c r="D6" t="inlineStr">
        <is>
          <t>Q</t>
        </is>
      </c>
      <c r="E6" s="3" t="inlineStr">
        <is>
          <t>Current account to GDP spread</t>
        </is>
      </c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4" t="n"/>
      <c r="T6" s="234" t="n"/>
      <c r="U6" s="234" t="n"/>
      <c r="V6" s="234" t="n"/>
      <c r="W6" s="234" t="n"/>
      <c r="X6" s="234" t="n"/>
      <c r="Y6" s="234" t="n"/>
      <c r="Z6" s="234" t="n"/>
      <c r="AA6" s="234" t="n"/>
      <c r="AB6" s="234" t="n"/>
      <c r="AC6" s="234" t="n"/>
      <c r="AD6" s="11" t="n"/>
      <c r="AE6" s="11" t="n"/>
      <c r="AF6" s="11" t="n"/>
      <c r="AG6" s="11" t="n"/>
      <c r="AH6" s="11" t="n">
        <v>-2</v>
      </c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</row>
    <row r="7" ht="17.25" customHeight="1" thickBot="1"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7.25" customHeight="1" thickBot="1">
      <c r="D8" t="inlineStr">
        <is>
          <t>M</t>
        </is>
      </c>
      <c r="E8" s="3" t="inlineStr">
        <is>
          <t>Currency reserves excluding Gold spreqd</t>
        </is>
      </c>
      <c r="F8" s="234" t="n"/>
      <c r="G8" s="234" t="n"/>
      <c r="H8" s="234" t="n"/>
      <c r="I8" s="234" t="n"/>
      <c r="J8" s="234" t="n"/>
      <c r="K8" s="234" t="n"/>
      <c r="L8" s="234" t="n"/>
      <c r="M8" s="234" t="n"/>
      <c r="N8" s="234" t="n"/>
      <c r="O8" s="234" t="n"/>
      <c r="P8" s="234" t="n"/>
      <c r="Q8" s="234" t="n"/>
      <c r="R8" s="234" t="n"/>
      <c r="S8" s="234" t="n"/>
      <c r="T8" s="234" t="n"/>
      <c r="U8" s="234" t="n"/>
      <c r="V8" s="234" t="n"/>
      <c r="W8" s="234" t="n"/>
      <c r="X8" s="234" t="n"/>
      <c r="Y8" s="234" t="n"/>
      <c r="Z8" s="234" t="n"/>
      <c r="AA8" s="234" t="n"/>
      <c r="AB8" s="234" t="n"/>
      <c r="AC8" s="234" t="n"/>
      <c r="AD8" s="11" t="n"/>
      <c r="AE8" s="11" t="n"/>
      <c r="AF8" s="11" t="n"/>
      <c r="AG8" s="11" t="n"/>
      <c r="AH8" s="11" t="n">
        <v>-1</v>
      </c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</row>
    <row r="9" ht="17.25" customHeight="1" thickBot="1"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7.25" customHeight="1" thickBot="1">
      <c r="D10" t="inlineStr">
        <is>
          <t>W</t>
        </is>
      </c>
      <c r="E10" s="3" t="inlineStr">
        <is>
          <t>Interest rate differentials and carry</t>
        </is>
      </c>
      <c r="F10" s="234" t="n"/>
      <c r="G10" s="234" t="n"/>
      <c r="H10" s="234" t="n"/>
      <c r="I10" s="234" t="n"/>
      <c r="J10" s="234" t="n"/>
      <c r="K10" s="234" t="n"/>
      <c r="L10" s="234" t="n"/>
      <c r="M10" s="234" t="n"/>
      <c r="N10" s="234" t="n"/>
      <c r="O10" s="234" t="n"/>
      <c r="P10" s="234" t="n"/>
      <c r="Q10" s="234" t="n"/>
      <c r="R10" s="234" t="n"/>
      <c r="S10" s="234" t="n"/>
      <c r="T10" s="234" t="n"/>
      <c r="U10" s="234" t="n"/>
      <c r="V10" s="234" t="n"/>
      <c r="W10" s="234" t="n"/>
      <c r="X10" s="234" t="n"/>
      <c r="Y10" s="234" t="n"/>
      <c r="Z10" s="234" t="n"/>
      <c r="AA10" s="234" t="n"/>
      <c r="AB10" s="234" t="n"/>
      <c r="AC10" s="234" t="n"/>
      <c r="AD10" s="11" t="n"/>
      <c r="AE10" s="11" t="n"/>
      <c r="AF10" s="11" t="n"/>
      <c r="AG10" s="11" t="n"/>
      <c r="AH10" s="11" t="n">
        <v>-1</v>
      </c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</row>
    <row r="11" ht="17.25" customHeight="1" thickBot="1">
      <c r="AE11" s="2" t="n"/>
      <c r="AF11" s="2" t="n"/>
      <c r="AG11" s="2" t="n"/>
      <c r="AH11" s="2" t="n"/>
      <c r="AI11" s="2" t="n"/>
      <c r="AJ11" s="2" t="n"/>
      <c r="AL11" s="2" t="n"/>
      <c r="AM11" s="2" t="n"/>
      <c r="AN11" s="2" t="n"/>
    </row>
    <row r="12" ht="17.25" customHeight="1" thickBot="1">
      <c r="D12" t="inlineStr">
        <is>
          <t>M</t>
        </is>
      </c>
      <c r="E12" s="3" t="inlineStr">
        <is>
          <t>Inflation differential</t>
        </is>
      </c>
      <c r="F12" s="234" t="n"/>
      <c r="G12" s="234" t="n"/>
      <c r="H12" s="234" t="n"/>
      <c r="I12" s="234" t="n"/>
      <c r="J12" s="234" t="n"/>
      <c r="K12" s="234" t="n"/>
      <c r="L12" s="234" t="n"/>
      <c r="M12" s="234" t="n"/>
      <c r="N12" s="234" t="n"/>
      <c r="O12" s="234" t="n"/>
      <c r="P12" s="234" t="n"/>
      <c r="Q12" s="234" t="n"/>
      <c r="R12" s="234" t="n"/>
      <c r="S12" s="234" t="n"/>
      <c r="T12" s="234" t="n"/>
      <c r="U12" s="234" t="n"/>
      <c r="V12" s="234" t="n"/>
      <c r="W12" s="234" t="n"/>
      <c r="X12" s="234" t="n"/>
      <c r="Y12" s="234" t="n"/>
      <c r="Z12" s="234" t="n"/>
      <c r="AA12" s="234" t="n"/>
      <c r="AB12" s="234" t="n"/>
      <c r="AC12" s="234" t="n"/>
      <c r="AD12" s="11" t="n"/>
      <c r="AE12" s="11" t="n"/>
      <c r="AF12" s="11" t="n"/>
      <c r="AG12" s="11" t="n"/>
      <c r="AH12" s="11" t="n">
        <v>10</v>
      </c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</row>
    <row r="13" ht="17.25" customHeight="1" thickBot="1"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7.25" customHeight="1" thickBot="1">
      <c r="D14" t="inlineStr">
        <is>
          <t>W</t>
        </is>
      </c>
      <c r="E14" s="3" t="inlineStr">
        <is>
          <t>Equity index return</t>
        </is>
      </c>
      <c r="F14" s="234" t="n"/>
      <c r="G14" s="234" t="n"/>
      <c r="H14" s="234" t="n"/>
      <c r="I14" s="234" t="n"/>
      <c r="J14" s="234" t="n"/>
      <c r="K14" s="234" t="n"/>
      <c r="L14" s="234" t="n"/>
      <c r="M14" s="234" t="n"/>
      <c r="N14" s="234" t="n"/>
      <c r="O14" s="234" t="n"/>
      <c r="P14" s="234" t="n"/>
      <c r="Q14" s="234" t="n"/>
      <c r="R14" s="234" t="n"/>
      <c r="S14" s="234" t="n"/>
      <c r="T14" s="234" t="n"/>
      <c r="U14" s="234" t="n"/>
      <c r="V14" s="234" t="n"/>
      <c r="W14" s="234" t="n"/>
      <c r="X14" s="234" t="n"/>
      <c r="Y14" s="234" t="n"/>
      <c r="Z14" s="234" t="n"/>
      <c r="AA14" s="234" t="n"/>
      <c r="AB14" s="234" t="n"/>
      <c r="AC14" s="234" t="n"/>
      <c r="AD14" s="11" t="n"/>
      <c r="AE14" s="11" t="n"/>
      <c r="AF14" s="11" t="n"/>
      <c r="AG14" s="11" t="n"/>
      <c r="AH14" s="11" t="n">
        <v>-2</v>
      </c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</row>
    <row r="15" ht="17.25" customHeight="1" thickBot="1">
      <c r="E15" s="7" t="inlineStr">
        <is>
          <t>BETWEEN 60 &amp; -60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R15" s="2" t="n"/>
      <c r="AS15" s="5" t="n"/>
    </row>
    <row r="16" ht="17.25" customHeight="1" thickBot="1">
      <c r="E16" s="3" t="inlineStr">
        <is>
          <t>TOTAL</t>
        </is>
      </c>
      <c r="F16" s="234" t="n"/>
      <c r="G16" s="234" t="n"/>
      <c r="H16" s="234" t="n"/>
      <c r="I16" s="234" t="n"/>
      <c r="J16" s="234" t="n"/>
      <c r="K16" s="234" t="n"/>
      <c r="L16" s="234" t="n"/>
      <c r="M16" s="234" t="n"/>
      <c r="N16" s="234" t="n"/>
      <c r="O16" s="234" t="n"/>
      <c r="P16" s="234" t="n"/>
      <c r="Q16" s="234" t="n"/>
      <c r="R16" s="234" t="n"/>
      <c r="S16" s="234" t="n"/>
      <c r="T16" s="234" t="n"/>
      <c r="U16" s="234" t="n"/>
      <c r="V16" s="234" t="n"/>
      <c r="W16" s="234" t="n"/>
      <c r="X16" s="234" t="n"/>
      <c r="Y16" s="234" t="n"/>
      <c r="Z16" s="234" t="n"/>
      <c r="AA16" s="234" t="n"/>
      <c r="AB16" s="234" t="n"/>
      <c r="AC16" s="234" t="n"/>
      <c r="AD16" s="1">
        <f>AD4+AD6+AD10+AD12+AD14+AD8</f>
        <v/>
      </c>
      <c r="AE16" s="1">
        <f>AE4+AE6+AE10+AE12+AE14+AE8</f>
        <v/>
      </c>
      <c r="AF16" s="1">
        <f>AF4+AF6+AF10+AF12+AF14+AF8</f>
        <v/>
      </c>
      <c r="AG16" s="1">
        <f>AG4+AG6+AG10+AG12+AG14+AG8</f>
        <v/>
      </c>
      <c r="AH16" s="1">
        <f>AH4+AH6+AH10+AH12+AH14+AH8</f>
        <v/>
      </c>
      <c r="AI16" s="1">
        <f>AI4+AI6+AI10+AI12+AI14+AI8</f>
        <v/>
      </c>
      <c r="AJ16" s="1">
        <f>AJ4+AJ6+AJ10+AJ12+AJ14+AJ8</f>
        <v/>
      </c>
      <c r="AK16" s="1">
        <f>AK4+AK6+AK10+AK12+AK14+AK8</f>
        <v/>
      </c>
      <c r="AL16" s="1">
        <f>AL4+AL6+AL10+AL12+AL14+AL8</f>
        <v/>
      </c>
      <c r="AM16" s="1">
        <f>AM4+AM6+AM10+AM12+AM14+AM8</f>
        <v/>
      </c>
      <c r="AN16" s="1">
        <f>AN4+AN6+AN10+AN12+AN14+AN8</f>
        <v/>
      </c>
      <c r="AR16" s="2" t="n"/>
      <c r="AS16" s="5" t="n"/>
    </row>
    <row r="17" ht="17.25" customHeight="1">
      <c r="AD17" s="306">
        <f>+AD16/60</f>
        <v/>
      </c>
      <c r="AE17" s="306">
        <f>+AE16/60</f>
        <v/>
      </c>
      <c r="AF17" s="306">
        <f>+AF16/60</f>
        <v/>
      </c>
      <c r="AG17" s="306">
        <f>+AG16/60</f>
        <v/>
      </c>
      <c r="AH17" s="306">
        <f>+AH16/60</f>
        <v/>
      </c>
      <c r="AI17" s="306">
        <f>+AI16/60</f>
        <v/>
      </c>
      <c r="AJ17" s="306">
        <f>+AJ16/60</f>
        <v/>
      </c>
      <c r="AK17" s="306">
        <f>+AK16/60</f>
        <v/>
      </c>
      <c r="AL17" s="306">
        <f>+AL16/60</f>
        <v/>
      </c>
      <c r="AM17" s="306">
        <f>+AM16/60</f>
        <v/>
      </c>
      <c r="AN17" s="306">
        <f>+AN16/60</f>
        <v/>
      </c>
      <c r="AR17" s="2" t="n"/>
    </row>
    <row r="18" ht="16" customHeight="1">
      <c r="E18" s="235" t="inlineStr">
        <is>
          <t>Relative GDP growth</t>
        </is>
      </c>
      <c r="F18" s="249" t="n">
        <v>44927</v>
      </c>
      <c r="G18" s="208" t="n">
        <v>44958</v>
      </c>
      <c r="H18" s="208" t="n">
        <v>44986</v>
      </c>
      <c r="I18" s="249" t="n">
        <v>45017</v>
      </c>
      <c r="J18" s="208" t="n">
        <v>45047</v>
      </c>
      <c r="K18" s="208" t="n">
        <v>45078</v>
      </c>
      <c r="L18" s="249" t="n">
        <v>45108</v>
      </c>
      <c r="M18" s="208" t="n">
        <v>45139</v>
      </c>
      <c r="N18" s="208" t="n">
        <v>45170</v>
      </c>
      <c r="O18" s="249" t="n">
        <v>45200</v>
      </c>
      <c r="P18" s="208" t="n">
        <v>45231</v>
      </c>
      <c r="Q18" s="208" t="n">
        <v>45261</v>
      </c>
      <c r="R18" s="249" t="n">
        <v>45292</v>
      </c>
      <c r="S18" s="208" t="n">
        <v>45323</v>
      </c>
      <c r="T18" s="208" t="n">
        <v>45352</v>
      </c>
      <c r="U18" s="249" t="n">
        <v>45383</v>
      </c>
      <c r="V18" s="208" t="n">
        <v>45413</v>
      </c>
      <c r="W18" s="208" t="n">
        <v>45444</v>
      </c>
      <c r="X18" s="249" t="n">
        <v>45474</v>
      </c>
      <c r="Y18" s="208" t="n">
        <v>45505</v>
      </c>
      <c r="Z18" s="208" t="n">
        <v>45536</v>
      </c>
      <c r="AA18" s="249" t="n">
        <v>45566</v>
      </c>
      <c r="AB18" s="208" t="n">
        <v>45597</v>
      </c>
      <c r="AC18" s="208" t="n">
        <v>45627</v>
      </c>
      <c r="AD18" s="249" t="n">
        <v>45658</v>
      </c>
      <c r="AE18" s="208" t="n">
        <v>45689</v>
      </c>
      <c r="AF18" s="208" t="n">
        <v>45717</v>
      </c>
      <c r="AG18" s="208" t="n">
        <v>45748</v>
      </c>
      <c r="AH18" s="208" t="n">
        <v>45778</v>
      </c>
      <c r="AI18" s="208" t="n">
        <v>45809</v>
      </c>
      <c r="AJ18" s="208" t="n">
        <v>45839</v>
      </c>
      <c r="AK18" s="208" t="n">
        <v>45870</v>
      </c>
      <c r="AL18" s="208" t="n">
        <v>45901</v>
      </c>
      <c r="AM18" s="208" t="n">
        <v>45931</v>
      </c>
      <c r="AN18" s="208" t="n">
        <v>45962</v>
      </c>
      <c r="AO18" s="208" t="n">
        <v>45992</v>
      </c>
      <c r="AP18" s="208" t="n">
        <v>46023</v>
      </c>
      <c r="AQ18" s="208" t="n">
        <v>46054</v>
      </c>
      <c r="AR18" s="208" t="n">
        <v>46082</v>
      </c>
      <c r="AS18" s="208" t="n">
        <v>46113</v>
      </c>
      <c r="AT18" s="208" t="n">
        <v>46143</v>
      </c>
      <c r="AU18" s="208" t="n">
        <v>46174</v>
      </c>
      <c r="AV18" s="208" t="n">
        <v>46204</v>
      </c>
      <c r="AW18" s="208" t="n">
        <v>46235</v>
      </c>
      <c r="AX18" s="208" t="n">
        <v>46266</v>
      </c>
    </row>
    <row r="19" ht="21" customHeight="1">
      <c r="E19" s="236" t="inlineStr">
        <is>
          <t>USD JPY</t>
        </is>
      </c>
      <c r="F19" s="2">
        <f>'GDP data'!B38</f>
        <v/>
      </c>
      <c r="G19" s="2">
        <f>'GDP data'!C38</f>
        <v/>
      </c>
      <c r="H19" s="2">
        <f>'GDP data'!D38</f>
        <v/>
      </c>
      <c r="I19" s="2">
        <f>'GDP data'!E38</f>
        <v/>
      </c>
      <c r="J19" s="2">
        <f>'GDP data'!F38</f>
        <v/>
      </c>
      <c r="K19" s="2">
        <f>'GDP data'!G38</f>
        <v/>
      </c>
      <c r="L19" s="2">
        <f>'GDP data'!H38</f>
        <v/>
      </c>
      <c r="M19" s="2">
        <f>'GDP data'!I38</f>
        <v/>
      </c>
      <c r="N19" s="2">
        <f>'GDP data'!J38</f>
        <v/>
      </c>
      <c r="O19" s="2">
        <f>'GDP data'!K38</f>
        <v/>
      </c>
      <c r="P19" s="2">
        <f>'GDP data'!L38</f>
        <v/>
      </c>
      <c r="Q19" s="2">
        <f>'GDP data'!M38</f>
        <v/>
      </c>
      <c r="R19" s="2">
        <f>'GDP data'!N38</f>
        <v/>
      </c>
      <c r="S19" s="2">
        <f>'GDP data'!O38</f>
        <v/>
      </c>
      <c r="T19" s="2">
        <f>'GDP data'!P38</f>
        <v/>
      </c>
      <c r="U19" s="2">
        <f>'GDP data'!Q38</f>
        <v/>
      </c>
      <c r="V19" s="2">
        <f>'GDP data'!R38</f>
        <v/>
      </c>
      <c r="W19" s="2">
        <f>'GDP data'!S38</f>
        <v/>
      </c>
      <c r="X19" s="2">
        <f>'GDP data'!T38</f>
        <v/>
      </c>
      <c r="Y19" s="2">
        <f>'GDP data'!U38</f>
        <v/>
      </c>
      <c r="Z19" s="2">
        <f>'GDP data'!V38</f>
        <v/>
      </c>
      <c r="AA19" s="2">
        <f>'GDP data'!W38</f>
        <v/>
      </c>
      <c r="AB19" s="2">
        <f>'GDP data'!X38</f>
        <v/>
      </c>
      <c r="AC19" s="2">
        <f>'GDP data'!Y38</f>
        <v/>
      </c>
      <c r="AD19" s="2">
        <f>'GDP data'!Z38</f>
        <v/>
      </c>
      <c r="AE19" s="2">
        <f>'GDP data'!AA38</f>
        <v/>
      </c>
      <c r="AF19" s="2">
        <f>'GDP data'!AB38</f>
        <v/>
      </c>
      <c r="AG19" s="2">
        <f>'GDP data'!AC38</f>
        <v/>
      </c>
      <c r="AH19" s="2">
        <f>'GDP data'!AD38</f>
        <v/>
      </c>
      <c r="AI19" s="2">
        <f>'GDP data'!AE38</f>
        <v/>
      </c>
      <c r="AJ19" s="2">
        <f>'GDP data'!AF38</f>
        <v/>
      </c>
      <c r="AK19" s="2">
        <f>'GDP data'!AG38</f>
        <v/>
      </c>
      <c r="AL19" s="2">
        <f>'GDP data'!AH38</f>
        <v/>
      </c>
      <c r="AM19" s="2">
        <f>'GDP data'!AI38</f>
        <v/>
      </c>
      <c r="AN19" s="2">
        <f>'GDP data'!AJ38</f>
        <v/>
      </c>
      <c r="AO19" s="2">
        <f>'GDP data'!AK38</f>
        <v/>
      </c>
      <c r="AP19" s="2">
        <f>'GDP data'!AL38</f>
        <v/>
      </c>
      <c r="AQ19" s="2">
        <f>'GDP data'!AM38</f>
        <v/>
      </c>
      <c r="AR19" s="2">
        <f>'GDP data'!AN38</f>
        <v/>
      </c>
      <c r="AS19" s="2">
        <f>'GDP data'!AO38</f>
        <v/>
      </c>
      <c r="AT19" s="2">
        <f>'GDP data'!AP38</f>
        <v/>
      </c>
      <c r="AU19" s="2">
        <f>'GDP data'!AQ38</f>
        <v/>
      </c>
      <c r="AV19" s="2">
        <f>'GDP data'!AR38</f>
        <v/>
      </c>
      <c r="AW19" s="2">
        <f>'GDP data'!AS38</f>
        <v/>
      </c>
      <c r="AX19" s="2">
        <f>'GDP data'!AT38</f>
        <v/>
      </c>
    </row>
    <row r="20" ht="21" customHeight="1">
      <c r="E20" s="237" t="inlineStr">
        <is>
          <t>USD CHF</t>
        </is>
      </c>
      <c r="F20" s="2">
        <f>'GDP data'!B39</f>
        <v/>
      </c>
      <c r="G20" s="2">
        <f>'GDP data'!C39</f>
        <v/>
      </c>
      <c r="H20" s="2">
        <f>'GDP data'!D39</f>
        <v/>
      </c>
      <c r="I20" s="2">
        <f>'GDP data'!E39</f>
        <v/>
      </c>
      <c r="J20" s="2">
        <f>'GDP data'!F39</f>
        <v/>
      </c>
      <c r="K20" s="2">
        <f>'GDP data'!G39</f>
        <v/>
      </c>
      <c r="L20" s="2">
        <f>'GDP data'!H39</f>
        <v/>
      </c>
      <c r="M20" s="2">
        <f>'GDP data'!I39</f>
        <v/>
      </c>
      <c r="N20" s="2">
        <f>'GDP data'!J39</f>
        <v/>
      </c>
      <c r="O20" s="2">
        <f>'GDP data'!K39</f>
        <v/>
      </c>
      <c r="P20" s="2">
        <f>'GDP data'!L39</f>
        <v/>
      </c>
      <c r="Q20" s="2">
        <f>'GDP data'!M39</f>
        <v/>
      </c>
      <c r="R20" s="2">
        <f>'GDP data'!N39</f>
        <v/>
      </c>
      <c r="S20" s="2">
        <f>'GDP data'!O39</f>
        <v/>
      </c>
      <c r="T20" s="2">
        <f>'GDP data'!P39</f>
        <v/>
      </c>
      <c r="U20" s="2">
        <f>'GDP data'!Q39</f>
        <v/>
      </c>
      <c r="V20" s="2">
        <f>'GDP data'!R39</f>
        <v/>
      </c>
      <c r="W20" s="2">
        <f>'GDP data'!S39</f>
        <v/>
      </c>
      <c r="X20" s="2">
        <f>'GDP data'!T39</f>
        <v/>
      </c>
      <c r="Y20" s="2">
        <f>'GDP data'!U39</f>
        <v/>
      </c>
      <c r="Z20" s="2">
        <f>'GDP data'!V39</f>
        <v/>
      </c>
      <c r="AA20" s="2">
        <f>'GDP data'!W39</f>
        <v/>
      </c>
      <c r="AB20" s="2">
        <f>'GDP data'!X39</f>
        <v/>
      </c>
      <c r="AC20" s="2">
        <f>'GDP data'!Y39</f>
        <v/>
      </c>
      <c r="AD20" s="2">
        <f>'GDP data'!Z39</f>
        <v/>
      </c>
      <c r="AE20" s="2">
        <f>'GDP data'!AA39</f>
        <v/>
      </c>
      <c r="AF20" s="2">
        <f>'GDP data'!AB39</f>
        <v/>
      </c>
      <c r="AG20" s="2">
        <f>'GDP data'!AC39</f>
        <v/>
      </c>
      <c r="AH20" s="2">
        <f>'GDP data'!AD39</f>
        <v/>
      </c>
      <c r="AI20" s="2">
        <f>'GDP data'!AE39</f>
        <v/>
      </c>
      <c r="AJ20" s="2">
        <f>'GDP data'!AF39</f>
        <v/>
      </c>
      <c r="AK20" s="2">
        <f>'GDP data'!AG39</f>
        <v/>
      </c>
      <c r="AL20" s="2">
        <f>'GDP data'!AH39</f>
        <v/>
      </c>
      <c r="AM20" s="2">
        <f>'GDP data'!AI39</f>
        <v/>
      </c>
      <c r="AN20" s="2">
        <f>'GDP data'!AJ39</f>
        <v/>
      </c>
      <c r="AO20" s="2">
        <f>'GDP data'!AK39</f>
        <v/>
      </c>
      <c r="AP20" s="2">
        <f>'GDP data'!AL39</f>
        <v/>
      </c>
      <c r="AQ20" s="2">
        <f>'GDP data'!AM39</f>
        <v/>
      </c>
      <c r="AR20" s="2">
        <f>'GDP data'!AN39</f>
        <v/>
      </c>
      <c r="AS20" s="2">
        <f>'GDP data'!AO39</f>
        <v/>
      </c>
      <c r="AT20" s="2">
        <f>'GDP data'!AP39</f>
        <v/>
      </c>
      <c r="AU20" s="2">
        <f>'GDP data'!AQ39</f>
        <v/>
      </c>
      <c r="AV20" s="2">
        <f>'GDP data'!AR39</f>
        <v/>
      </c>
      <c r="AW20" s="2">
        <f>'GDP data'!AS39</f>
        <v/>
      </c>
      <c r="AX20" s="2">
        <f>'GDP data'!AT39</f>
        <v/>
      </c>
    </row>
    <row r="21" ht="21" customHeight="1">
      <c r="E21" s="237" t="inlineStr">
        <is>
          <t>USD CAD</t>
        </is>
      </c>
      <c r="F21" s="2">
        <f>'GDP data'!B40</f>
        <v/>
      </c>
      <c r="G21" s="2">
        <f>'GDP data'!C40</f>
        <v/>
      </c>
      <c r="H21" s="2">
        <f>'GDP data'!D40</f>
        <v/>
      </c>
      <c r="I21" s="2">
        <f>'GDP data'!E40</f>
        <v/>
      </c>
      <c r="J21" s="2">
        <f>'GDP data'!F40</f>
        <v/>
      </c>
      <c r="K21" s="2">
        <f>'GDP data'!G40</f>
        <v/>
      </c>
      <c r="L21" s="2">
        <f>'GDP data'!H40</f>
        <v/>
      </c>
      <c r="M21" s="2">
        <f>'GDP data'!I40</f>
        <v/>
      </c>
      <c r="N21" s="2">
        <f>'GDP data'!J40</f>
        <v/>
      </c>
      <c r="O21" s="2">
        <f>'GDP data'!K40</f>
        <v/>
      </c>
      <c r="P21" s="2">
        <f>'GDP data'!L40</f>
        <v/>
      </c>
      <c r="Q21" s="2">
        <f>'GDP data'!M40</f>
        <v/>
      </c>
      <c r="R21" s="2">
        <f>'GDP data'!N40</f>
        <v/>
      </c>
      <c r="S21" s="2">
        <f>'GDP data'!O40</f>
        <v/>
      </c>
      <c r="T21" s="2">
        <f>'GDP data'!P40</f>
        <v/>
      </c>
      <c r="U21" s="2">
        <f>'GDP data'!Q40</f>
        <v/>
      </c>
      <c r="V21" s="2">
        <f>'GDP data'!R40</f>
        <v/>
      </c>
      <c r="W21" s="2">
        <f>'GDP data'!S40</f>
        <v/>
      </c>
      <c r="X21" s="2">
        <f>'GDP data'!T40</f>
        <v/>
      </c>
      <c r="Y21" s="2">
        <f>'GDP data'!U40</f>
        <v/>
      </c>
      <c r="Z21" s="2">
        <f>'GDP data'!V40</f>
        <v/>
      </c>
      <c r="AA21" s="2">
        <f>'GDP data'!W40</f>
        <v/>
      </c>
      <c r="AB21" s="2">
        <f>'GDP data'!X40</f>
        <v/>
      </c>
      <c r="AC21" s="2">
        <f>'GDP data'!Y40</f>
        <v/>
      </c>
      <c r="AD21" s="2">
        <f>'GDP data'!Z40</f>
        <v/>
      </c>
      <c r="AE21" s="2">
        <f>'GDP data'!AA40</f>
        <v/>
      </c>
      <c r="AF21" s="2">
        <f>'GDP data'!AB40</f>
        <v/>
      </c>
      <c r="AG21" s="2">
        <f>'GDP data'!AC40</f>
        <v/>
      </c>
      <c r="AH21" s="2">
        <f>'GDP data'!AD40</f>
        <v/>
      </c>
      <c r="AI21" s="2">
        <f>'GDP data'!AE40</f>
        <v/>
      </c>
      <c r="AJ21" s="2">
        <f>'GDP data'!AF40</f>
        <v/>
      </c>
      <c r="AK21" s="2">
        <f>'GDP data'!AG40</f>
        <v/>
      </c>
      <c r="AL21" s="2">
        <f>'GDP data'!AH40</f>
        <v/>
      </c>
      <c r="AM21" s="2">
        <f>'GDP data'!AI40</f>
        <v/>
      </c>
      <c r="AN21" s="2">
        <f>'GDP data'!AJ40</f>
        <v/>
      </c>
      <c r="AO21" s="2">
        <f>'GDP data'!AK40</f>
        <v/>
      </c>
      <c r="AP21" s="2">
        <f>'GDP data'!AL40</f>
        <v/>
      </c>
      <c r="AQ21" s="2">
        <f>'GDP data'!AM40</f>
        <v/>
      </c>
      <c r="AR21" s="2">
        <f>'GDP data'!AN40</f>
        <v/>
      </c>
      <c r="AS21" s="2">
        <f>'GDP data'!AO40</f>
        <v/>
      </c>
      <c r="AT21" s="2">
        <f>'GDP data'!AP40</f>
        <v/>
      </c>
      <c r="AU21" s="2">
        <f>'GDP data'!AQ40</f>
        <v/>
      </c>
      <c r="AV21" s="2">
        <f>'GDP data'!AR40</f>
        <v/>
      </c>
      <c r="AW21" s="2">
        <f>'GDP data'!AS40</f>
        <v/>
      </c>
      <c r="AX21" s="2">
        <f>'GDP data'!AT40</f>
        <v/>
      </c>
    </row>
    <row r="22" ht="21" customHeight="1">
      <c r="E22" s="238" t="inlineStr">
        <is>
          <t>EUR USD</t>
        </is>
      </c>
      <c r="F22" s="2">
        <f>'GDP data'!B41</f>
        <v/>
      </c>
      <c r="G22" s="2">
        <f>'GDP data'!C41</f>
        <v/>
      </c>
      <c r="H22" s="2">
        <f>'GDP data'!D41</f>
        <v/>
      </c>
      <c r="I22" s="2">
        <f>'GDP data'!E41</f>
        <v/>
      </c>
      <c r="J22" s="2">
        <f>'GDP data'!F41</f>
        <v/>
      </c>
      <c r="K22" s="2">
        <f>'GDP data'!G41</f>
        <v/>
      </c>
      <c r="L22" s="2">
        <f>'GDP data'!H41</f>
        <v/>
      </c>
      <c r="M22" s="2">
        <f>'GDP data'!I41</f>
        <v/>
      </c>
      <c r="N22" s="2">
        <f>'GDP data'!J41</f>
        <v/>
      </c>
      <c r="O22" s="2">
        <f>'GDP data'!K41</f>
        <v/>
      </c>
      <c r="P22" s="2">
        <f>'GDP data'!L41</f>
        <v/>
      </c>
      <c r="Q22" s="2">
        <f>'GDP data'!M41</f>
        <v/>
      </c>
      <c r="R22" s="2">
        <f>'GDP data'!N41</f>
        <v/>
      </c>
      <c r="S22" s="2">
        <f>'GDP data'!O41</f>
        <v/>
      </c>
      <c r="T22" s="2">
        <f>'GDP data'!P41</f>
        <v/>
      </c>
      <c r="U22" s="2">
        <f>'GDP data'!Q41</f>
        <v/>
      </c>
      <c r="V22" s="2">
        <f>'GDP data'!R41</f>
        <v/>
      </c>
      <c r="W22" s="2">
        <f>'GDP data'!S41</f>
        <v/>
      </c>
      <c r="X22" s="2">
        <f>'GDP data'!T41</f>
        <v/>
      </c>
      <c r="Y22" s="2">
        <f>'GDP data'!U41</f>
        <v/>
      </c>
      <c r="Z22" s="2">
        <f>'GDP data'!V41</f>
        <v/>
      </c>
      <c r="AA22" s="2">
        <f>'GDP data'!W41</f>
        <v/>
      </c>
      <c r="AB22" s="2">
        <f>'GDP data'!X41</f>
        <v/>
      </c>
      <c r="AC22" s="2">
        <f>'GDP data'!Y41</f>
        <v/>
      </c>
      <c r="AD22" s="2">
        <f>'GDP data'!Z41</f>
        <v/>
      </c>
      <c r="AE22" s="2">
        <f>'GDP data'!AA41</f>
        <v/>
      </c>
      <c r="AF22" s="2">
        <f>'GDP data'!AB41</f>
        <v/>
      </c>
      <c r="AG22" s="2">
        <f>'GDP data'!AC41</f>
        <v/>
      </c>
      <c r="AH22" s="2">
        <f>'GDP data'!AD41</f>
        <v/>
      </c>
      <c r="AI22" s="2">
        <f>'GDP data'!AE41</f>
        <v/>
      </c>
      <c r="AJ22" s="2">
        <f>'GDP data'!AF41</f>
        <v/>
      </c>
      <c r="AK22" s="2">
        <f>'GDP data'!AG41</f>
        <v/>
      </c>
      <c r="AL22" s="2">
        <f>'GDP data'!AH41</f>
        <v/>
      </c>
      <c r="AM22" s="2">
        <f>'GDP data'!AI41</f>
        <v/>
      </c>
      <c r="AN22" s="2">
        <f>'GDP data'!AJ41</f>
        <v/>
      </c>
      <c r="AO22" s="2">
        <f>'GDP data'!AK41</f>
        <v/>
      </c>
      <c r="AP22" s="2">
        <f>'GDP data'!AL41</f>
        <v/>
      </c>
      <c r="AQ22" s="2">
        <f>'GDP data'!AM41</f>
        <v/>
      </c>
      <c r="AR22" s="2">
        <f>'GDP data'!AN41</f>
        <v/>
      </c>
      <c r="AS22" s="2">
        <f>'GDP data'!AO41</f>
        <v/>
      </c>
      <c r="AT22" s="2">
        <f>'GDP data'!AP41</f>
        <v/>
      </c>
      <c r="AU22" s="2">
        <f>'GDP data'!AQ41</f>
        <v/>
      </c>
      <c r="AV22" s="2">
        <f>'GDP data'!AR41</f>
        <v/>
      </c>
      <c r="AW22" s="2">
        <f>'GDP data'!AS41</f>
        <v/>
      </c>
      <c r="AX22" s="2">
        <f>'GDP data'!AT41</f>
        <v/>
      </c>
    </row>
    <row r="23" ht="21" customHeight="1">
      <c r="E23" s="238" t="inlineStr">
        <is>
          <t>EUR JPY</t>
        </is>
      </c>
      <c r="F23" s="2">
        <f>'GDP data'!B42</f>
        <v/>
      </c>
      <c r="G23" s="2">
        <f>'GDP data'!C42</f>
        <v/>
      </c>
      <c r="H23" s="2">
        <f>'GDP data'!D42</f>
        <v/>
      </c>
      <c r="I23" s="2">
        <f>'GDP data'!E42</f>
        <v/>
      </c>
      <c r="J23" s="2">
        <f>'GDP data'!F42</f>
        <v/>
      </c>
      <c r="K23" s="2">
        <f>'GDP data'!G42</f>
        <v/>
      </c>
      <c r="L23" s="2">
        <f>'GDP data'!H42</f>
        <v/>
      </c>
      <c r="M23" s="2">
        <f>'GDP data'!I42</f>
        <v/>
      </c>
      <c r="N23" s="2">
        <f>'GDP data'!J42</f>
        <v/>
      </c>
      <c r="O23" s="2">
        <f>'GDP data'!K42</f>
        <v/>
      </c>
      <c r="P23" s="2">
        <f>'GDP data'!L42</f>
        <v/>
      </c>
      <c r="Q23" s="2">
        <f>'GDP data'!M42</f>
        <v/>
      </c>
      <c r="R23" s="2">
        <f>'GDP data'!N42</f>
        <v/>
      </c>
      <c r="S23" s="2">
        <f>'GDP data'!O42</f>
        <v/>
      </c>
      <c r="T23" s="2">
        <f>'GDP data'!P42</f>
        <v/>
      </c>
      <c r="U23" s="2">
        <f>'GDP data'!Q42</f>
        <v/>
      </c>
      <c r="V23" s="2">
        <f>'GDP data'!R42</f>
        <v/>
      </c>
      <c r="W23" s="2">
        <f>'GDP data'!S42</f>
        <v/>
      </c>
      <c r="X23" s="2">
        <f>'GDP data'!T42</f>
        <v/>
      </c>
      <c r="Y23" s="2">
        <f>'GDP data'!U42</f>
        <v/>
      </c>
      <c r="Z23" s="2">
        <f>'GDP data'!V42</f>
        <v/>
      </c>
      <c r="AA23" s="2">
        <f>'GDP data'!W42</f>
        <v/>
      </c>
      <c r="AB23" s="2">
        <f>'GDP data'!X42</f>
        <v/>
      </c>
      <c r="AC23" s="2">
        <f>'GDP data'!Y42</f>
        <v/>
      </c>
      <c r="AD23" s="2">
        <f>'GDP data'!Z42</f>
        <v/>
      </c>
      <c r="AE23" s="2">
        <f>'GDP data'!AA42</f>
        <v/>
      </c>
      <c r="AF23" s="2">
        <f>'GDP data'!AB42</f>
        <v/>
      </c>
      <c r="AG23" s="2">
        <f>'GDP data'!AC42</f>
        <v/>
      </c>
      <c r="AH23" s="2">
        <f>'GDP data'!AD42</f>
        <v/>
      </c>
      <c r="AI23" s="2">
        <f>'GDP data'!AE42</f>
        <v/>
      </c>
      <c r="AJ23" s="2">
        <f>'GDP data'!AF42</f>
        <v/>
      </c>
      <c r="AK23" s="2">
        <f>'GDP data'!AG42</f>
        <v/>
      </c>
      <c r="AL23" s="2">
        <f>'GDP data'!AH42</f>
        <v/>
      </c>
      <c r="AM23" s="2">
        <f>'GDP data'!AI42</f>
        <v/>
      </c>
      <c r="AN23" s="2">
        <f>'GDP data'!AJ42</f>
        <v/>
      </c>
      <c r="AO23" s="2">
        <f>'GDP data'!AK42</f>
        <v/>
      </c>
      <c r="AP23" s="2">
        <f>'GDP data'!AL42</f>
        <v/>
      </c>
      <c r="AQ23" s="2">
        <f>'GDP data'!AM42</f>
        <v/>
      </c>
      <c r="AR23" s="2">
        <f>'GDP data'!AN42</f>
        <v/>
      </c>
      <c r="AS23" s="2">
        <f>'GDP data'!AO42</f>
        <v/>
      </c>
      <c r="AT23" s="2">
        <f>'GDP data'!AP42</f>
        <v/>
      </c>
      <c r="AU23" s="2">
        <f>'GDP data'!AQ42</f>
        <v/>
      </c>
      <c r="AV23" s="2">
        <f>'GDP data'!AR42</f>
        <v/>
      </c>
      <c r="AW23" s="2">
        <f>'GDP data'!AS42</f>
        <v/>
      </c>
      <c r="AX23" s="2">
        <f>'GDP data'!AT42</f>
        <v/>
      </c>
    </row>
    <row r="24" ht="21" customHeight="1">
      <c r="E24" s="238" t="inlineStr">
        <is>
          <t>EUR CHF</t>
        </is>
      </c>
      <c r="F24" s="2">
        <f>'GDP data'!B43</f>
        <v/>
      </c>
      <c r="G24" s="2">
        <f>'GDP data'!C43</f>
        <v/>
      </c>
      <c r="H24" s="2">
        <f>'GDP data'!D43</f>
        <v/>
      </c>
      <c r="I24" s="2">
        <f>'GDP data'!E43</f>
        <v/>
      </c>
      <c r="J24" s="2">
        <f>'GDP data'!F43</f>
        <v/>
      </c>
      <c r="K24" s="2">
        <f>'GDP data'!G43</f>
        <v/>
      </c>
      <c r="L24" s="2">
        <f>'GDP data'!H43</f>
        <v/>
      </c>
      <c r="M24" s="2">
        <f>'GDP data'!I43</f>
        <v/>
      </c>
      <c r="N24" s="2">
        <f>'GDP data'!J43</f>
        <v/>
      </c>
      <c r="O24" s="2">
        <f>'GDP data'!K43</f>
        <v/>
      </c>
      <c r="P24" s="2">
        <f>'GDP data'!L43</f>
        <v/>
      </c>
      <c r="Q24" s="2">
        <f>'GDP data'!M43</f>
        <v/>
      </c>
      <c r="R24" s="2">
        <f>'GDP data'!N43</f>
        <v/>
      </c>
      <c r="S24" s="2">
        <f>'GDP data'!O43</f>
        <v/>
      </c>
      <c r="T24" s="2">
        <f>'GDP data'!P43</f>
        <v/>
      </c>
      <c r="U24" s="2">
        <f>'GDP data'!Q43</f>
        <v/>
      </c>
      <c r="V24" s="2">
        <f>'GDP data'!R43</f>
        <v/>
      </c>
      <c r="W24" s="2">
        <f>'GDP data'!S43</f>
        <v/>
      </c>
      <c r="X24" s="2">
        <f>'GDP data'!T43</f>
        <v/>
      </c>
      <c r="Y24" s="2">
        <f>'GDP data'!U43</f>
        <v/>
      </c>
      <c r="Z24" s="2">
        <f>'GDP data'!V43</f>
        <v/>
      </c>
      <c r="AA24" s="2">
        <f>'GDP data'!W43</f>
        <v/>
      </c>
      <c r="AB24" s="2">
        <f>'GDP data'!X43</f>
        <v/>
      </c>
      <c r="AC24" s="2">
        <f>'GDP data'!Y43</f>
        <v/>
      </c>
      <c r="AD24" s="2">
        <f>'GDP data'!Z43</f>
        <v/>
      </c>
      <c r="AE24" s="2">
        <f>'GDP data'!AA43</f>
        <v/>
      </c>
      <c r="AF24" s="2">
        <f>'GDP data'!AB43</f>
        <v/>
      </c>
      <c r="AG24" s="2">
        <f>'GDP data'!AC43</f>
        <v/>
      </c>
      <c r="AH24" s="2">
        <f>'GDP data'!AD43</f>
        <v/>
      </c>
      <c r="AI24" s="2">
        <f>'GDP data'!AE43</f>
        <v/>
      </c>
      <c r="AJ24" s="2">
        <f>'GDP data'!AF43</f>
        <v/>
      </c>
      <c r="AK24" s="2">
        <f>'GDP data'!AG43</f>
        <v/>
      </c>
      <c r="AL24" s="2">
        <f>'GDP data'!AH43</f>
        <v/>
      </c>
      <c r="AM24" s="2">
        <f>'GDP data'!AI43</f>
        <v/>
      </c>
      <c r="AN24" s="2">
        <f>'GDP data'!AJ43</f>
        <v/>
      </c>
      <c r="AO24" s="2">
        <f>'GDP data'!AK43</f>
        <v/>
      </c>
      <c r="AP24" s="2">
        <f>'GDP data'!AL43</f>
        <v/>
      </c>
      <c r="AQ24" s="2">
        <f>'GDP data'!AM43</f>
        <v/>
      </c>
      <c r="AR24" s="2">
        <f>'GDP data'!AN43</f>
        <v/>
      </c>
      <c r="AS24" s="2">
        <f>'GDP data'!AO43</f>
        <v/>
      </c>
      <c r="AT24" s="2">
        <f>'GDP data'!AP43</f>
        <v/>
      </c>
      <c r="AU24" s="2">
        <f>'GDP data'!AQ43</f>
        <v/>
      </c>
      <c r="AV24" s="2">
        <f>'GDP data'!AR43</f>
        <v/>
      </c>
      <c r="AW24" s="2">
        <f>'GDP data'!AS43</f>
        <v/>
      </c>
      <c r="AX24" s="2">
        <f>'GDP data'!AT43</f>
        <v/>
      </c>
    </row>
    <row r="25" ht="21" customHeight="1">
      <c r="E25" s="238" t="inlineStr">
        <is>
          <t>EUR GBP</t>
        </is>
      </c>
      <c r="F25" s="2">
        <f>'GDP data'!B44</f>
        <v/>
      </c>
      <c r="G25" s="2">
        <f>'GDP data'!C44</f>
        <v/>
      </c>
      <c r="H25" s="2">
        <f>'GDP data'!D44</f>
        <v/>
      </c>
      <c r="I25" s="2">
        <f>'GDP data'!E44</f>
        <v/>
      </c>
      <c r="J25" s="2">
        <f>'GDP data'!F44</f>
        <v/>
      </c>
      <c r="K25" s="2">
        <f>'GDP data'!G44</f>
        <v/>
      </c>
      <c r="L25" s="2">
        <f>'GDP data'!H44</f>
        <v/>
      </c>
      <c r="M25" s="2">
        <f>'GDP data'!I44</f>
        <v/>
      </c>
      <c r="N25" s="2">
        <f>'GDP data'!J44</f>
        <v/>
      </c>
      <c r="O25" s="2">
        <f>'GDP data'!K44</f>
        <v/>
      </c>
      <c r="P25" s="2">
        <f>'GDP data'!L44</f>
        <v/>
      </c>
      <c r="Q25" s="2">
        <f>'GDP data'!M44</f>
        <v/>
      </c>
      <c r="R25" s="2">
        <f>'GDP data'!N44</f>
        <v/>
      </c>
      <c r="S25" s="2">
        <f>'GDP data'!O44</f>
        <v/>
      </c>
      <c r="T25" s="2">
        <f>'GDP data'!P44</f>
        <v/>
      </c>
      <c r="U25" s="2">
        <f>'GDP data'!Q44</f>
        <v/>
      </c>
      <c r="V25" s="2">
        <f>'GDP data'!R44</f>
        <v/>
      </c>
      <c r="W25" s="2">
        <f>'GDP data'!S44</f>
        <v/>
      </c>
      <c r="X25" s="2">
        <f>'GDP data'!T44</f>
        <v/>
      </c>
      <c r="Y25" s="2">
        <f>'GDP data'!U44</f>
        <v/>
      </c>
      <c r="Z25" s="2">
        <f>'GDP data'!V44</f>
        <v/>
      </c>
      <c r="AA25" s="2">
        <f>'GDP data'!W44</f>
        <v/>
      </c>
      <c r="AB25" s="2">
        <f>'GDP data'!X44</f>
        <v/>
      </c>
      <c r="AC25" s="2">
        <f>'GDP data'!Y44</f>
        <v/>
      </c>
      <c r="AD25" s="2">
        <f>'GDP data'!Z44</f>
        <v/>
      </c>
      <c r="AE25" s="2">
        <f>'GDP data'!AA44</f>
        <v/>
      </c>
      <c r="AF25" s="2">
        <f>'GDP data'!AB44</f>
        <v/>
      </c>
      <c r="AG25" s="2">
        <f>'GDP data'!AC44</f>
        <v/>
      </c>
      <c r="AH25" s="2">
        <f>'GDP data'!AD44</f>
        <v/>
      </c>
      <c r="AI25" s="2">
        <f>'GDP data'!AE44</f>
        <v/>
      </c>
      <c r="AJ25" s="2">
        <f>'GDP data'!AF44</f>
        <v/>
      </c>
      <c r="AK25" s="2">
        <f>'GDP data'!AG44</f>
        <v/>
      </c>
      <c r="AL25" s="2">
        <f>'GDP data'!AH44</f>
        <v/>
      </c>
      <c r="AM25" s="2">
        <f>'GDP data'!AI44</f>
        <v/>
      </c>
      <c r="AN25" s="2">
        <f>'GDP data'!AJ44</f>
        <v/>
      </c>
      <c r="AO25" s="2">
        <f>'GDP data'!AK44</f>
        <v/>
      </c>
      <c r="AP25" s="2">
        <f>'GDP data'!AL44</f>
        <v/>
      </c>
      <c r="AQ25" s="2">
        <f>'GDP data'!AM44</f>
        <v/>
      </c>
      <c r="AR25" s="2">
        <f>'GDP data'!AN44</f>
        <v/>
      </c>
      <c r="AS25" s="2">
        <f>'GDP data'!AO44</f>
        <v/>
      </c>
      <c r="AT25" s="2">
        <f>'GDP data'!AP44</f>
        <v/>
      </c>
      <c r="AU25" s="2">
        <f>'GDP data'!AQ44</f>
        <v/>
      </c>
      <c r="AV25" s="2">
        <f>'GDP data'!AR44</f>
        <v/>
      </c>
      <c r="AW25" s="2">
        <f>'GDP data'!AS44</f>
        <v/>
      </c>
      <c r="AX25" s="2">
        <f>'GDP data'!AT44</f>
        <v/>
      </c>
    </row>
    <row r="26" ht="21" customHeight="1">
      <c r="E26" s="239" t="inlineStr">
        <is>
          <t>EUR CAD</t>
        </is>
      </c>
      <c r="F26" s="2">
        <f>'GDP data'!B45</f>
        <v/>
      </c>
      <c r="G26" s="2">
        <f>'GDP data'!C45</f>
        <v/>
      </c>
      <c r="H26" s="2">
        <f>'GDP data'!D45</f>
        <v/>
      </c>
      <c r="I26" s="2">
        <f>'GDP data'!E45</f>
        <v/>
      </c>
      <c r="J26" s="2">
        <f>'GDP data'!F45</f>
        <v/>
      </c>
      <c r="K26" s="2">
        <f>'GDP data'!G45</f>
        <v/>
      </c>
      <c r="L26" s="2">
        <f>'GDP data'!H45</f>
        <v/>
      </c>
      <c r="M26" s="2">
        <f>'GDP data'!I45</f>
        <v/>
      </c>
      <c r="N26" s="2">
        <f>'GDP data'!J45</f>
        <v/>
      </c>
      <c r="O26" s="2">
        <f>'GDP data'!K45</f>
        <v/>
      </c>
      <c r="P26" s="2">
        <f>'GDP data'!L45</f>
        <v/>
      </c>
      <c r="Q26" s="2">
        <f>'GDP data'!M45</f>
        <v/>
      </c>
      <c r="R26" s="2">
        <f>'GDP data'!N45</f>
        <v/>
      </c>
      <c r="S26" s="2">
        <f>'GDP data'!O45</f>
        <v/>
      </c>
      <c r="T26" s="2">
        <f>'GDP data'!P45</f>
        <v/>
      </c>
      <c r="U26" s="2">
        <f>'GDP data'!Q45</f>
        <v/>
      </c>
      <c r="V26" s="2">
        <f>'GDP data'!R45</f>
        <v/>
      </c>
      <c r="W26" s="2">
        <f>'GDP data'!S45</f>
        <v/>
      </c>
      <c r="X26" s="2">
        <f>'GDP data'!T45</f>
        <v/>
      </c>
      <c r="Y26" s="2">
        <f>'GDP data'!U45</f>
        <v/>
      </c>
      <c r="Z26" s="2">
        <f>'GDP data'!V45</f>
        <v/>
      </c>
      <c r="AA26" s="2">
        <f>'GDP data'!W45</f>
        <v/>
      </c>
      <c r="AB26" s="2">
        <f>'GDP data'!X45</f>
        <v/>
      </c>
      <c r="AC26" s="2">
        <f>'GDP data'!Y45</f>
        <v/>
      </c>
      <c r="AD26" s="2">
        <f>'GDP data'!Z45</f>
        <v/>
      </c>
      <c r="AE26" s="2">
        <f>'GDP data'!AA45</f>
        <v/>
      </c>
      <c r="AF26" s="2">
        <f>'GDP data'!AB45</f>
        <v/>
      </c>
      <c r="AG26" s="2">
        <f>'GDP data'!AC45</f>
        <v/>
      </c>
      <c r="AH26" s="2">
        <f>'GDP data'!AD45</f>
        <v/>
      </c>
      <c r="AI26" s="2">
        <f>'GDP data'!AE45</f>
        <v/>
      </c>
      <c r="AJ26" s="2">
        <f>'GDP data'!AF45</f>
        <v/>
      </c>
      <c r="AK26" s="2">
        <f>'GDP data'!AG45</f>
        <v/>
      </c>
      <c r="AL26" s="2">
        <f>'GDP data'!AH45</f>
        <v/>
      </c>
      <c r="AM26" s="2">
        <f>'GDP data'!AI45</f>
        <v/>
      </c>
      <c r="AN26" s="2">
        <f>'GDP data'!AJ45</f>
        <v/>
      </c>
      <c r="AO26" s="2">
        <f>'GDP data'!AK45</f>
        <v/>
      </c>
      <c r="AP26" s="2">
        <f>'GDP data'!AL45</f>
        <v/>
      </c>
      <c r="AQ26" s="2">
        <f>'GDP data'!AM45</f>
        <v/>
      </c>
      <c r="AR26" s="2">
        <f>'GDP data'!AN45</f>
        <v/>
      </c>
      <c r="AS26" s="2">
        <f>'GDP data'!AO45</f>
        <v/>
      </c>
      <c r="AT26" s="2">
        <f>'GDP data'!AP45</f>
        <v/>
      </c>
      <c r="AU26" s="2">
        <f>'GDP data'!AQ45</f>
        <v/>
      </c>
      <c r="AV26" s="2">
        <f>'GDP data'!AR45</f>
        <v/>
      </c>
      <c r="AW26" s="2">
        <f>'GDP data'!AS45</f>
        <v/>
      </c>
      <c r="AX26" s="2">
        <f>'GDP data'!AT45</f>
        <v/>
      </c>
    </row>
    <row r="27" ht="21" customHeight="1">
      <c r="E27" s="238" t="inlineStr">
        <is>
          <t>EUR AUD</t>
        </is>
      </c>
      <c r="F27" s="2">
        <f>'GDP data'!B46</f>
        <v/>
      </c>
      <c r="G27" s="2">
        <f>'GDP data'!C46</f>
        <v/>
      </c>
      <c r="H27" s="2">
        <f>'GDP data'!D46</f>
        <v/>
      </c>
      <c r="I27" s="2">
        <f>'GDP data'!E46</f>
        <v/>
      </c>
      <c r="J27" s="2">
        <f>'GDP data'!F46</f>
        <v/>
      </c>
      <c r="K27" s="2">
        <f>'GDP data'!G46</f>
        <v/>
      </c>
      <c r="L27" s="2">
        <f>'GDP data'!H46</f>
        <v/>
      </c>
      <c r="M27" s="2">
        <f>'GDP data'!I46</f>
        <v/>
      </c>
      <c r="N27" s="2">
        <f>'GDP data'!J46</f>
        <v/>
      </c>
      <c r="O27" s="2">
        <f>'GDP data'!K46</f>
        <v/>
      </c>
      <c r="P27" s="2">
        <f>'GDP data'!L46</f>
        <v/>
      </c>
      <c r="Q27" s="2">
        <f>'GDP data'!M46</f>
        <v/>
      </c>
      <c r="R27" s="2">
        <f>'GDP data'!N46</f>
        <v/>
      </c>
      <c r="S27" s="2">
        <f>'GDP data'!O46</f>
        <v/>
      </c>
      <c r="T27" s="2">
        <f>'GDP data'!P46</f>
        <v/>
      </c>
      <c r="U27" s="2">
        <f>'GDP data'!Q46</f>
        <v/>
      </c>
      <c r="V27" s="2">
        <f>'GDP data'!R46</f>
        <v/>
      </c>
      <c r="W27" s="2">
        <f>'GDP data'!S46</f>
        <v/>
      </c>
      <c r="X27" s="2">
        <f>'GDP data'!T46</f>
        <v/>
      </c>
      <c r="Y27" s="2">
        <f>'GDP data'!U46</f>
        <v/>
      </c>
      <c r="Z27" s="2">
        <f>'GDP data'!V46</f>
        <v/>
      </c>
      <c r="AA27" s="2">
        <f>'GDP data'!W46</f>
        <v/>
      </c>
      <c r="AB27" s="2">
        <f>'GDP data'!X46</f>
        <v/>
      </c>
      <c r="AC27" s="2">
        <f>'GDP data'!Y46</f>
        <v/>
      </c>
      <c r="AD27" s="2">
        <f>'GDP data'!Z46</f>
        <v/>
      </c>
      <c r="AE27" s="2">
        <f>'GDP data'!AA46</f>
        <v/>
      </c>
      <c r="AF27" s="2">
        <f>'GDP data'!AB46</f>
        <v/>
      </c>
      <c r="AG27" s="2">
        <f>'GDP data'!AC46</f>
        <v/>
      </c>
      <c r="AH27" s="2">
        <f>'GDP data'!AD46</f>
        <v/>
      </c>
      <c r="AI27" s="2">
        <f>'GDP data'!AE46</f>
        <v/>
      </c>
      <c r="AJ27" s="2">
        <f>'GDP data'!AF46</f>
        <v/>
      </c>
      <c r="AK27" s="2">
        <f>'GDP data'!AG46</f>
        <v/>
      </c>
      <c r="AL27" s="2">
        <f>'GDP data'!AH46</f>
        <v/>
      </c>
      <c r="AM27" s="2">
        <f>'GDP data'!AI46</f>
        <v/>
      </c>
      <c r="AN27" s="2">
        <f>'GDP data'!AJ46</f>
        <v/>
      </c>
      <c r="AO27" s="2">
        <f>'GDP data'!AK46</f>
        <v/>
      </c>
      <c r="AP27" s="2">
        <f>'GDP data'!AL46</f>
        <v/>
      </c>
      <c r="AQ27" s="2">
        <f>'GDP data'!AM46</f>
        <v/>
      </c>
      <c r="AR27" s="2">
        <f>'GDP data'!AN46</f>
        <v/>
      </c>
      <c r="AS27" s="2">
        <f>'GDP data'!AO46</f>
        <v/>
      </c>
      <c r="AT27" s="2">
        <f>'GDP data'!AP46</f>
        <v/>
      </c>
      <c r="AU27" s="2">
        <f>'GDP data'!AQ46</f>
        <v/>
      </c>
      <c r="AV27" s="2">
        <f>'GDP data'!AR46</f>
        <v/>
      </c>
      <c r="AW27" s="2">
        <f>'GDP data'!AS46</f>
        <v/>
      </c>
      <c r="AX27" s="2">
        <f>'GDP data'!AT46</f>
        <v/>
      </c>
    </row>
    <row r="28" ht="21" customHeight="1">
      <c r="E28" s="239" t="inlineStr">
        <is>
          <t>EUR NZD</t>
        </is>
      </c>
      <c r="F28" s="2">
        <f>'GDP data'!B47</f>
        <v/>
      </c>
      <c r="G28" s="2">
        <f>'GDP data'!C47</f>
        <v/>
      </c>
      <c r="H28" s="2">
        <f>'GDP data'!D47</f>
        <v/>
      </c>
      <c r="I28" s="2">
        <f>'GDP data'!E47</f>
        <v/>
      </c>
      <c r="J28" s="2">
        <f>'GDP data'!F47</f>
        <v/>
      </c>
      <c r="K28" s="2">
        <f>'GDP data'!G47</f>
        <v/>
      </c>
      <c r="L28" s="2">
        <f>'GDP data'!H47</f>
        <v/>
      </c>
      <c r="M28" s="2">
        <f>'GDP data'!I47</f>
        <v/>
      </c>
      <c r="N28" s="2">
        <f>'GDP data'!J47</f>
        <v/>
      </c>
      <c r="O28" s="2">
        <f>'GDP data'!K47</f>
        <v/>
      </c>
      <c r="P28" s="2">
        <f>'GDP data'!L47</f>
        <v/>
      </c>
      <c r="Q28" s="2">
        <f>'GDP data'!M47</f>
        <v/>
      </c>
      <c r="R28" s="2">
        <f>'GDP data'!N47</f>
        <v/>
      </c>
      <c r="S28" s="2">
        <f>'GDP data'!O47</f>
        <v/>
      </c>
      <c r="T28" s="2">
        <f>'GDP data'!P47</f>
        <v/>
      </c>
      <c r="U28" s="2">
        <f>'GDP data'!Q47</f>
        <v/>
      </c>
      <c r="V28" s="2">
        <f>'GDP data'!R47</f>
        <v/>
      </c>
      <c r="W28" s="2">
        <f>'GDP data'!S47</f>
        <v/>
      </c>
      <c r="X28" s="2">
        <f>'GDP data'!T47</f>
        <v/>
      </c>
      <c r="Y28" s="2">
        <f>'GDP data'!U47</f>
        <v/>
      </c>
      <c r="Z28" s="2">
        <f>'GDP data'!V47</f>
        <v/>
      </c>
      <c r="AA28" s="2">
        <f>'GDP data'!W47</f>
        <v/>
      </c>
      <c r="AB28" s="2">
        <f>'GDP data'!X47</f>
        <v/>
      </c>
      <c r="AC28" s="2">
        <f>'GDP data'!Y47</f>
        <v/>
      </c>
      <c r="AD28" s="2">
        <f>'GDP data'!Z47</f>
        <v/>
      </c>
      <c r="AE28" s="2">
        <f>'GDP data'!AA47</f>
        <v/>
      </c>
      <c r="AF28" s="2">
        <f>'GDP data'!AB47</f>
        <v/>
      </c>
      <c r="AG28" s="2">
        <f>'GDP data'!AC47</f>
        <v/>
      </c>
      <c r="AH28" s="2">
        <f>'GDP data'!AD47</f>
        <v/>
      </c>
      <c r="AI28" s="2">
        <f>'GDP data'!AE47</f>
        <v/>
      </c>
      <c r="AJ28" s="2">
        <f>'GDP data'!AF47</f>
        <v/>
      </c>
      <c r="AK28" s="2">
        <f>'GDP data'!AG47</f>
        <v/>
      </c>
      <c r="AL28" s="2">
        <f>'GDP data'!AH47</f>
        <v/>
      </c>
      <c r="AM28" s="2">
        <f>'GDP data'!AI47</f>
        <v/>
      </c>
      <c r="AN28" s="2">
        <f>'GDP data'!AJ47</f>
        <v/>
      </c>
      <c r="AO28" s="2">
        <f>'GDP data'!AK47</f>
        <v/>
      </c>
      <c r="AP28" s="2">
        <f>'GDP data'!AL47</f>
        <v/>
      </c>
      <c r="AQ28" s="2">
        <f>'GDP data'!AM47</f>
        <v/>
      </c>
      <c r="AR28" s="2">
        <f>'GDP data'!AN47</f>
        <v/>
      </c>
      <c r="AS28" s="2">
        <f>'GDP data'!AO47</f>
        <v/>
      </c>
      <c r="AT28" s="2">
        <f>'GDP data'!AP47</f>
        <v/>
      </c>
      <c r="AU28" s="2">
        <f>'GDP data'!AQ47</f>
        <v/>
      </c>
      <c r="AV28" s="2">
        <f>'GDP data'!AR47</f>
        <v/>
      </c>
      <c r="AW28" s="2">
        <f>'GDP data'!AS47</f>
        <v/>
      </c>
      <c r="AX28" s="2">
        <f>'GDP data'!AT47</f>
        <v/>
      </c>
    </row>
    <row r="29" ht="21" customHeight="1">
      <c r="E29" s="240" t="inlineStr">
        <is>
          <t>GBP USD</t>
        </is>
      </c>
      <c r="F29" s="2">
        <f>'GDP data'!B48</f>
        <v/>
      </c>
      <c r="G29" s="2">
        <f>'GDP data'!C48</f>
        <v/>
      </c>
      <c r="H29" s="2">
        <f>'GDP data'!D48</f>
        <v/>
      </c>
      <c r="I29" s="2">
        <f>'GDP data'!E48</f>
        <v/>
      </c>
      <c r="J29" s="2">
        <f>'GDP data'!F48</f>
        <v/>
      </c>
      <c r="K29" s="2">
        <f>'GDP data'!G48</f>
        <v/>
      </c>
      <c r="L29" s="2">
        <f>'GDP data'!H48</f>
        <v/>
      </c>
      <c r="M29" s="2">
        <f>'GDP data'!I48</f>
        <v/>
      </c>
      <c r="N29" s="2">
        <f>'GDP data'!J48</f>
        <v/>
      </c>
      <c r="O29" s="2">
        <f>'GDP data'!K48</f>
        <v/>
      </c>
      <c r="P29" s="2">
        <f>'GDP data'!L48</f>
        <v/>
      </c>
      <c r="Q29" s="2">
        <f>'GDP data'!M48</f>
        <v/>
      </c>
      <c r="R29" s="2">
        <f>'GDP data'!N48</f>
        <v/>
      </c>
      <c r="S29" s="2">
        <f>'GDP data'!O48</f>
        <v/>
      </c>
      <c r="T29" s="2">
        <f>'GDP data'!P48</f>
        <v/>
      </c>
      <c r="U29" s="2">
        <f>'GDP data'!Q48</f>
        <v/>
      </c>
      <c r="V29" s="2">
        <f>'GDP data'!R48</f>
        <v/>
      </c>
      <c r="W29" s="2">
        <f>'GDP data'!S48</f>
        <v/>
      </c>
      <c r="X29" s="2">
        <f>'GDP data'!T48</f>
        <v/>
      </c>
      <c r="Y29" s="2">
        <f>'GDP data'!U48</f>
        <v/>
      </c>
      <c r="Z29" s="2">
        <f>'GDP data'!V48</f>
        <v/>
      </c>
      <c r="AA29" s="2">
        <f>'GDP data'!W48</f>
        <v/>
      </c>
      <c r="AB29" s="2">
        <f>'GDP data'!X48</f>
        <v/>
      </c>
      <c r="AC29" s="2">
        <f>'GDP data'!Y48</f>
        <v/>
      </c>
      <c r="AD29" s="2">
        <f>'GDP data'!Z48</f>
        <v/>
      </c>
      <c r="AE29" s="2">
        <f>'GDP data'!AA48</f>
        <v/>
      </c>
      <c r="AF29" s="2">
        <f>'GDP data'!AB48</f>
        <v/>
      </c>
      <c r="AG29" s="2">
        <f>'GDP data'!AC48</f>
        <v/>
      </c>
      <c r="AH29" s="2">
        <f>'GDP data'!AD48</f>
        <v/>
      </c>
      <c r="AI29" s="2">
        <f>'GDP data'!AE48</f>
        <v/>
      </c>
      <c r="AJ29" s="2">
        <f>'GDP data'!AF48</f>
        <v/>
      </c>
      <c r="AK29" s="2">
        <f>'GDP data'!AG48</f>
        <v/>
      </c>
      <c r="AL29" s="2">
        <f>'GDP data'!AH48</f>
        <v/>
      </c>
      <c r="AM29" s="2">
        <f>'GDP data'!AI48</f>
        <v/>
      </c>
      <c r="AN29" s="2">
        <f>'GDP data'!AJ48</f>
        <v/>
      </c>
      <c r="AO29" s="2">
        <f>'GDP data'!AK48</f>
        <v/>
      </c>
      <c r="AP29" s="2">
        <f>'GDP data'!AL48</f>
        <v/>
      </c>
      <c r="AQ29" s="2">
        <f>'GDP data'!AM48</f>
        <v/>
      </c>
      <c r="AR29" s="2">
        <f>'GDP data'!AN48</f>
        <v/>
      </c>
      <c r="AS29" s="2">
        <f>'GDP data'!AO48</f>
        <v/>
      </c>
      <c r="AT29" s="2">
        <f>'GDP data'!AP48</f>
        <v/>
      </c>
      <c r="AU29" s="2">
        <f>'GDP data'!AQ48</f>
        <v/>
      </c>
      <c r="AV29" s="2">
        <f>'GDP data'!AR48</f>
        <v/>
      </c>
      <c r="AW29" s="2">
        <f>'GDP data'!AS48</f>
        <v/>
      </c>
      <c r="AX29" s="2">
        <f>'GDP data'!AT48</f>
        <v/>
      </c>
    </row>
    <row r="30" ht="21" customHeight="1">
      <c r="E30" s="240" t="inlineStr">
        <is>
          <t>GBP JPY</t>
        </is>
      </c>
      <c r="F30" s="2">
        <f>'GDP data'!B49</f>
        <v/>
      </c>
      <c r="G30" s="2">
        <f>'GDP data'!C49</f>
        <v/>
      </c>
      <c r="H30" s="2">
        <f>'GDP data'!D49</f>
        <v/>
      </c>
      <c r="I30" s="2">
        <f>'GDP data'!E49</f>
        <v/>
      </c>
      <c r="J30" s="2">
        <f>'GDP data'!F49</f>
        <v/>
      </c>
      <c r="K30" s="2">
        <f>'GDP data'!G49</f>
        <v/>
      </c>
      <c r="L30" s="2">
        <f>'GDP data'!H49</f>
        <v/>
      </c>
      <c r="M30" s="2">
        <f>'GDP data'!I49</f>
        <v/>
      </c>
      <c r="N30" s="2">
        <f>'GDP data'!J49</f>
        <v/>
      </c>
      <c r="O30" s="2">
        <f>'GDP data'!K49</f>
        <v/>
      </c>
      <c r="P30" s="2">
        <f>'GDP data'!L49</f>
        <v/>
      </c>
      <c r="Q30" s="2">
        <f>'GDP data'!M49</f>
        <v/>
      </c>
      <c r="R30" s="2">
        <f>'GDP data'!N49</f>
        <v/>
      </c>
      <c r="S30" s="2">
        <f>'GDP data'!O49</f>
        <v/>
      </c>
      <c r="T30" s="2">
        <f>'GDP data'!P49</f>
        <v/>
      </c>
      <c r="U30" s="2">
        <f>'GDP data'!Q49</f>
        <v/>
      </c>
      <c r="V30" s="2">
        <f>'GDP data'!R49</f>
        <v/>
      </c>
      <c r="W30" s="2">
        <f>'GDP data'!S49</f>
        <v/>
      </c>
      <c r="X30" s="2">
        <f>'GDP data'!T49</f>
        <v/>
      </c>
      <c r="Y30" s="2">
        <f>'GDP data'!U49</f>
        <v/>
      </c>
      <c r="Z30" s="2">
        <f>'GDP data'!V49</f>
        <v/>
      </c>
      <c r="AA30" s="2">
        <f>'GDP data'!W49</f>
        <v/>
      </c>
      <c r="AB30" s="2">
        <f>'GDP data'!X49</f>
        <v/>
      </c>
      <c r="AC30" s="2">
        <f>'GDP data'!Y49</f>
        <v/>
      </c>
      <c r="AD30" s="2">
        <f>'GDP data'!Z49</f>
        <v/>
      </c>
      <c r="AE30" s="2">
        <f>'GDP data'!AA49</f>
        <v/>
      </c>
      <c r="AF30" s="2">
        <f>'GDP data'!AB49</f>
        <v/>
      </c>
      <c r="AG30" s="2">
        <f>'GDP data'!AC49</f>
        <v/>
      </c>
      <c r="AH30" s="2">
        <f>'GDP data'!AD49</f>
        <v/>
      </c>
      <c r="AI30" s="2">
        <f>'GDP data'!AE49</f>
        <v/>
      </c>
      <c r="AJ30" s="2">
        <f>'GDP data'!AF49</f>
        <v/>
      </c>
      <c r="AK30" s="2">
        <f>'GDP data'!AG49</f>
        <v/>
      </c>
      <c r="AL30" s="2">
        <f>'GDP data'!AH49</f>
        <v/>
      </c>
      <c r="AM30" s="2">
        <f>'GDP data'!AI49</f>
        <v/>
      </c>
      <c r="AN30" s="2">
        <f>'GDP data'!AJ49</f>
        <v/>
      </c>
      <c r="AO30" s="2">
        <f>'GDP data'!AK49</f>
        <v/>
      </c>
      <c r="AP30" s="2">
        <f>'GDP data'!AL49</f>
        <v/>
      </c>
      <c r="AQ30" s="2">
        <f>'GDP data'!AM49</f>
        <v/>
      </c>
      <c r="AR30" s="2">
        <f>'GDP data'!AN49</f>
        <v/>
      </c>
      <c r="AS30" s="2">
        <f>'GDP data'!AO49</f>
        <v/>
      </c>
      <c r="AT30" s="2">
        <f>'GDP data'!AP49</f>
        <v/>
      </c>
      <c r="AU30" s="2">
        <f>'GDP data'!AQ49</f>
        <v/>
      </c>
      <c r="AV30" s="2">
        <f>'GDP data'!AR49</f>
        <v/>
      </c>
      <c r="AW30" s="2">
        <f>'GDP data'!AS49</f>
        <v/>
      </c>
      <c r="AX30" s="2">
        <f>'GDP data'!AT49</f>
        <v/>
      </c>
    </row>
    <row r="31" ht="21" customHeight="1">
      <c r="E31" s="240" t="inlineStr">
        <is>
          <t>GBP CHF</t>
        </is>
      </c>
      <c r="F31" s="2">
        <f>'GDP data'!B50</f>
        <v/>
      </c>
      <c r="G31" s="2">
        <f>'GDP data'!C50</f>
        <v/>
      </c>
      <c r="H31" s="2">
        <f>'GDP data'!D50</f>
        <v/>
      </c>
      <c r="I31" s="2">
        <f>'GDP data'!E50</f>
        <v/>
      </c>
      <c r="J31" s="2">
        <f>'GDP data'!F50</f>
        <v/>
      </c>
      <c r="K31" s="2">
        <f>'GDP data'!G50</f>
        <v/>
      </c>
      <c r="L31" s="2">
        <f>'GDP data'!H50</f>
        <v/>
      </c>
      <c r="M31" s="2">
        <f>'GDP data'!I50</f>
        <v/>
      </c>
      <c r="N31" s="2">
        <f>'GDP data'!J50</f>
        <v/>
      </c>
      <c r="O31" s="2">
        <f>'GDP data'!K50</f>
        <v/>
      </c>
      <c r="P31" s="2">
        <f>'GDP data'!L50</f>
        <v/>
      </c>
      <c r="Q31" s="2">
        <f>'GDP data'!M50</f>
        <v/>
      </c>
      <c r="R31" s="2">
        <f>'GDP data'!N50</f>
        <v/>
      </c>
      <c r="S31" s="2">
        <f>'GDP data'!O50</f>
        <v/>
      </c>
      <c r="T31" s="2">
        <f>'GDP data'!P50</f>
        <v/>
      </c>
      <c r="U31" s="2">
        <f>'GDP data'!Q50</f>
        <v/>
      </c>
      <c r="V31" s="2">
        <f>'GDP data'!R50</f>
        <v/>
      </c>
      <c r="W31" s="2">
        <f>'GDP data'!S50</f>
        <v/>
      </c>
      <c r="X31" s="2">
        <f>'GDP data'!T50</f>
        <v/>
      </c>
      <c r="Y31" s="2">
        <f>'GDP data'!U50</f>
        <v/>
      </c>
      <c r="Z31" s="2">
        <f>'GDP data'!V50</f>
        <v/>
      </c>
      <c r="AA31" s="2">
        <f>'GDP data'!W50</f>
        <v/>
      </c>
      <c r="AB31" s="2">
        <f>'GDP data'!X50</f>
        <v/>
      </c>
      <c r="AC31" s="2">
        <f>'GDP data'!Y50</f>
        <v/>
      </c>
      <c r="AD31" s="2">
        <f>'GDP data'!Z50</f>
        <v/>
      </c>
      <c r="AE31" s="2">
        <f>'GDP data'!AA50</f>
        <v/>
      </c>
      <c r="AF31" s="2">
        <f>'GDP data'!AB50</f>
        <v/>
      </c>
      <c r="AG31" s="2">
        <f>'GDP data'!AC50</f>
        <v/>
      </c>
      <c r="AH31" s="2">
        <f>'GDP data'!AD50</f>
        <v/>
      </c>
      <c r="AI31" s="2">
        <f>'GDP data'!AE50</f>
        <v/>
      </c>
      <c r="AJ31" s="2">
        <f>'GDP data'!AF50</f>
        <v/>
      </c>
      <c r="AK31" s="2">
        <f>'GDP data'!AG50</f>
        <v/>
      </c>
      <c r="AL31" s="2">
        <f>'GDP data'!AH50</f>
        <v/>
      </c>
      <c r="AM31" s="2">
        <f>'GDP data'!AI50</f>
        <v/>
      </c>
      <c r="AN31" s="2">
        <f>'GDP data'!AJ50</f>
        <v/>
      </c>
      <c r="AO31" s="2">
        <f>'GDP data'!AK50</f>
        <v/>
      </c>
      <c r="AP31" s="2">
        <f>'GDP data'!AL50</f>
        <v/>
      </c>
      <c r="AQ31" s="2">
        <f>'GDP data'!AM50</f>
        <v/>
      </c>
      <c r="AR31" s="2">
        <f>'GDP data'!AN50</f>
        <v/>
      </c>
      <c r="AS31" s="2">
        <f>'GDP data'!AO50</f>
        <v/>
      </c>
      <c r="AT31" s="2">
        <f>'GDP data'!AP50</f>
        <v/>
      </c>
      <c r="AU31" s="2">
        <f>'GDP data'!AQ50</f>
        <v/>
      </c>
      <c r="AV31" s="2">
        <f>'GDP data'!AR50</f>
        <v/>
      </c>
      <c r="AW31" s="2">
        <f>'GDP data'!AS50</f>
        <v/>
      </c>
      <c r="AX31" s="2">
        <f>'GDP data'!AT50</f>
        <v/>
      </c>
    </row>
    <row r="32" ht="21" customHeight="1">
      <c r="E32" s="240" t="inlineStr">
        <is>
          <t>GBP CAD</t>
        </is>
      </c>
      <c r="F32" s="2">
        <f>'GDP data'!B51</f>
        <v/>
      </c>
      <c r="G32" s="2">
        <f>'GDP data'!C51</f>
        <v/>
      </c>
      <c r="H32" s="2">
        <f>'GDP data'!D51</f>
        <v/>
      </c>
      <c r="I32" s="2">
        <f>'GDP data'!E51</f>
        <v/>
      </c>
      <c r="J32" s="2">
        <f>'GDP data'!F51</f>
        <v/>
      </c>
      <c r="K32" s="2">
        <f>'GDP data'!G51</f>
        <v/>
      </c>
      <c r="L32" s="2">
        <f>'GDP data'!H51</f>
        <v/>
      </c>
      <c r="M32" s="2">
        <f>'GDP data'!I51</f>
        <v/>
      </c>
      <c r="N32" s="2">
        <f>'GDP data'!J51</f>
        <v/>
      </c>
      <c r="O32" s="2">
        <f>'GDP data'!K51</f>
        <v/>
      </c>
      <c r="P32" s="2">
        <f>'GDP data'!L51</f>
        <v/>
      </c>
      <c r="Q32" s="2">
        <f>'GDP data'!M51</f>
        <v/>
      </c>
      <c r="R32" s="2">
        <f>'GDP data'!N51</f>
        <v/>
      </c>
      <c r="S32" s="2">
        <f>'GDP data'!O51</f>
        <v/>
      </c>
      <c r="T32" s="2">
        <f>'GDP data'!P51</f>
        <v/>
      </c>
      <c r="U32" s="2">
        <f>'GDP data'!Q51</f>
        <v/>
      </c>
      <c r="V32" s="2">
        <f>'GDP data'!R51</f>
        <v/>
      </c>
      <c r="W32" s="2">
        <f>'GDP data'!S51</f>
        <v/>
      </c>
      <c r="X32" s="2">
        <f>'GDP data'!T51</f>
        <v/>
      </c>
      <c r="Y32" s="2">
        <f>'GDP data'!U51</f>
        <v/>
      </c>
      <c r="Z32" s="2">
        <f>'GDP data'!V51</f>
        <v/>
      </c>
      <c r="AA32" s="2">
        <f>'GDP data'!W51</f>
        <v/>
      </c>
      <c r="AB32" s="2">
        <f>'GDP data'!X51</f>
        <v/>
      </c>
      <c r="AC32" s="2">
        <f>'GDP data'!Y51</f>
        <v/>
      </c>
      <c r="AD32" s="2">
        <f>'GDP data'!Z51</f>
        <v/>
      </c>
      <c r="AE32" s="2">
        <f>'GDP data'!AA51</f>
        <v/>
      </c>
      <c r="AF32" s="2">
        <f>'GDP data'!AB51</f>
        <v/>
      </c>
      <c r="AG32" s="2">
        <f>'GDP data'!AC51</f>
        <v/>
      </c>
      <c r="AH32" s="2">
        <f>'GDP data'!AD51</f>
        <v/>
      </c>
      <c r="AI32" s="2">
        <f>'GDP data'!AE51</f>
        <v/>
      </c>
      <c r="AJ32" s="2">
        <f>'GDP data'!AF51</f>
        <v/>
      </c>
      <c r="AK32" s="2">
        <f>'GDP data'!AG51</f>
        <v/>
      </c>
      <c r="AL32" s="2">
        <f>'GDP data'!AH51</f>
        <v/>
      </c>
      <c r="AM32" s="2">
        <f>'GDP data'!AI51</f>
        <v/>
      </c>
      <c r="AN32" s="2">
        <f>'GDP data'!AJ51</f>
        <v/>
      </c>
      <c r="AO32" s="2">
        <f>'GDP data'!AK51</f>
        <v/>
      </c>
      <c r="AP32" s="2">
        <f>'GDP data'!AL51</f>
        <v/>
      </c>
      <c r="AQ32" s="2">
        <f>'GDP data'!AM51</f>
        <v/>
      </c>
      <c r="AR32" s="2">
        <f>'GDP data'!AN51</f>
        <v/>
      </c>
      <c r="AS32" s="2">
        <f>'GDP data'!AO51</f>
        <v/>
      </c>
      <c r="AT32" s="2">
        <f>'GDP data'!AP51</f>
        <v/>
      </c>
      <c r="AU32" s="2">
        <f>'GDP data'!AQ51</f>
        <v/>
      </c>
      <c r="AV32" s="2">
        <f>'GDP data'!AR51</f>
        <v/>
      </c>
      <c r="AW32" s="2">
        <f>'GDP data'!AS51</f>
        <v/>
      </c>
      <c r="AX32" s="2">
        <f>'GDP data'!AT51</f>
        <v/>
      </c>
    </row>
    <row r="33" ht="21" customHeight="1">
      <c r="E33" s="240" t="inlineStr">
        <is>
          <t>GBP AUD</t>
        </is>
      </c>
      <c r="F33" s="2">
        <f>'GDP data'!B52</f>
        <v/>
      </c>
      <c r="G33" s="2">
        <f>'GDP data'!C52</f>
        <v/>
      </c>
      <c r="H33" s="2">
        <f>'GDP data'!D52</f>
        <v/>
      </c>
      <c r="I33" s="2">
        <f>'GDP data'!E52</f>
        <v/>
      </c>
      <c r="J33" s="2">
        <f>'GDP data'!F52</f>
        <v/>
      </c>
      <c r="K33" s="2">
        <f>'GDP data'!G52</f>
        <v/>
      </c>
      <c r="L33" s="2">
        <f>'GDP data'!H52</f>
        <v/>
      </c>
      <c r="M33" s="2">
        <f>'GDP data'!I52</f>
        <v/>
      </c>
      <c r="N33" s="2">
        <f>'GDP data'!J52</f>
        <v/>
      </c>
      <c r="O33" s="2">
        <f>'GDP data'!K52</f>
        <v/>
      </c>
      <c r="P33" s="2">
        <f>'GDP data'!L52</f>
        <v/>
      </c>
      <c r="Q33" s="2">
        <f>'GDP data'!M52</f>
        <v/>
      </c>
      <c r="R33" s="2">
        <f>'GDP data'!N52</f>
        <v/>
      </c>
      <c r="S33" s="2">
        <f>'GDP data'!O52</f>
        <v/>
      </c>
      <c r="T33" s="2">
        <f>'GDP data'!P52</f>
        <v/>
      </c>
      <c r="U33" s="2">
        <f>'GDP data'!Q52</f>
        <v/>
      </c>
      <c r="V33" s="2">
        <f>'GDP data'!R52</f>
        <v/>
      </c>
      <c r="W33" s="2">
        <f>'GDP data'!S52</f>
        <v/>
      </c>
      <c r="X33" s="2">
        <f>'GDP data'!T52</f>
        <v/>
      </c>
      <c r="Y33" s="2">
        <f>'GDP data'!U52</f>
        <v/>
      </c>
      <c r="Z33" s="2">
        <f>'GDP data'!V52</f>
        <v/>
      </c>
      <c r="AA33" s="2">
        <f>'GDP data'!W52</f>
        <v/>
      </c>
      <c r="AB33" s="2">
        <f>'GDP data'!X52</f>
        <v/>
      </c>
      <c r="AC33" s="2">
        <f>'GDP data'!Y52</f>
        <v/>
      </c>
      <c r="AD33" s="2">
        <f>'GDP data'!Z52</f>
        <v/>
      </c>
      <c r="AE33" s="2">
        <f>'GDP data'!AA52</f>
        <v/>
      </c>
      <c r="AF33" s="2">
        <f>'GDP data'!AB52</f>
        <v/>
      </c>
      <c r="AG33" s="2">
        <f>'GDP data'!AC52</f>
        <v/>
      </c>
      <c r="AH33" s="2">
        <f>'GDP data'!AD52</f>
        <v/>
      </c>
      <c r="AI33" s="2">
        <f>'GDP data'!AE52</f>
        <v/>
      </c>
      <c r="AJ33" s="2">
        <f>'GDP data'!AF52</f>
        <v/>
      </c>
      <c r="AK33" s="2">
        <f>'GDP data'!AG52</f>
        <v/>
      </c>
      <c r="AL33" s="2">
        <f>'GDP data'!AH52</f>
        <v/>
      </c>
      <c r="AM33" s="2">
        <f>'GDP data'!AI52</f>
        <v/>
      </c>
      <c r="AN33" s="2">
        <f>'GDP data'!AJ52</f>
        <v/>
      </c>
      <c r="AO33" s="2">
        <f>'GDP data'!AK52</f>
        <v/>
      </c>
      <c r="AP33" s="2">
        <f>'GDP data'!AL52</f>
        <v/>
      </c>
      <c r="AQ33" s="2">
        <f>'GDP data'!AM52</f>
        <v/>
      </c>
      <c r="AR33" s="2">
        <f>'GDP data'!AN52</f>
        <v/>
      </c>
      <c r="AS33" s="2">
        <f>'GDP data'!AO52</f>
        <v/>
      </c>
      <c r="AT33" s="2">
        <f>'GDP data'!AP52</f>
        <v/>
      </c>
      <c r="AU33" s="2">
        <f>'GDP data'!AQ52</f>
        <v/>
      </c>
      <c r="AV33" s="2">
        <f>'GDP data'!AR52</f>
        <v/>
      </c>
      <c r="AW33" s="2">
        <f>'GDP data'!AS52</f>
        <v/>
      </c>
      <c r="AX33" s="2">
        <f>'GDP data'!AT52</f>
        <v/>
      </c>
    </row>
    <row r="34" ht="21" customHeight="1">
      <c r="E34" s="241" t="inlineStr">
        <is>
          <t>GBP NZD</t>
        </is>
      </c>
      <c r="F34" s="2">
        <f>'GDP data'!B53</f>
        <v/>
      </c>
      <c r="G34" s="2">
        <f>'GDP data'!C53</f>
        <v/>
      </c>
      <c r="H34" s="2">
        <f>'GDP data'!D53</f>
        <v/>
      </c>
      <c r="I34" s="2">
        <f>'GDP data'!E53</f>
        <v/>
      </c>
      <c r="J34" s="2">
        <f>'GDP data'!F53</f>
        <v/>
      </c>
      <c r="K34" s="2">
        <f>'GDP data'!G53</f>
        <v/>
      </c>
      <c r="L34" s="2">
        <f>'GDP data'!H53</f>
        <v/>
      </c>
      <c r="M34" s="2">
        <f>'GDP data'!I53</f>
        <v/>
      </c>
      <c r="N34" s="2">
        <f>'GDP data'!J53</f>
        <v/>
      </c>
      <c r="O34" s="2">
        <f>'GDP data'!K53</f>
        <v/>
      </c>
      <c r="P34" s="2">
        <f>'GDP data'!L53</f>
        <v/>
      </c>
      <c r="Q34" s="2">
        <f>'GDP data'!M53</f>
        <v/>
      </c>
      <c r="R34" s="2">
        <f>'GDP data'!N53</f>
        <v/>
      </c>
      <c r="S34" s="2">
        <f>'GDP data'!O53</f>
        <v/>
      </c>
      <c r="T34" s="2">
        <f>'GDP data'!P53</f>
        <v/>
      </c>
      <c r="U34" s="2">
        <f>'GDP data'!Q53</f>
        <v/>
      </c>
      <c r="V34" s="2">
        <f>'GDP data'!R53</f>
        <v/>
      </c>
      <c r="W34" s="2">
        <f>'GDP data'!S53</f>
        <v/>
      </c>
      <c r="X34" s="2">
        <f>'GDP data'!T53</f>
        <v/>
      </c>
      <c r="Y34" s="2">
        <f>'GDP data'!U53</f>
        <v/>
      </c>
      <c r="Z34" s="2">
        <f>'GDP data'!V53</f>
        <v/>
      </c>
      <c r="AA34" s="2">
        <f>'GDP data'!W53</f>
        <v/>
      </c>
      <c r="AB34" s="2">
        <f>'GDP data'!X53</f>
        <v/>
      </c>
      <c r="AC34" s="2">
        <f>'GDP data'!Y53</f>
        <v/>
      </c>
      <c r="AD34" s="2">
        <f>'GDP data'!Z53</f>
        <v/>
      </c>
      <c r="AE34" s="2">
        <f>'GDP data'!AA53</f>
        <v/>
      </c>
      <c r="AF34" s="2">
        <f>'GDP data'!AB53</f>
        <v/>
      </c>
      <c r="AG34" s="2">
        <f>'GDP data'!AC53</f>
        <v/>
      </c>
      <c r="AH34" s="2">
        <f>'GDP data'!AD53</f>
        <v/>
      </c>
      <c r="AI34" s="2">
        <f>'GDP data'!AE53</f>
        <v/>
      </c>
      <c r="AJ34" s="2">
        <f>'GDP data'!AF53</f>
        <v/>
      </c>
      <c r="AK34" s="2">
        <f>'GDP data'!AG53</f>
        <v/>
      </c>
      <c r="AL34" s="2">
        <f>'GDP data'!AH53</f>
        <v/>
      </c>
      <c r="AM34" s="2">
        <f>'GDP data'!AI53</f>
        <v/>
      </c>
      <c r="AN34" s="2">
        <f>'GDP data'!AJ53</f>
        <v/>
      </c>
      <c r="AO34" s="2">
        <f>'GDP data'!AK53</f>
        <v/>
      </c>
      <c r="AP34" s="2">
        <f>'GDP data'!AL53</f>
        <v/>
      </c>
      <c r="AQ34" s="2">
        <f>'GDP data'!AM53</f>
        <v/>
      </c>
      <c r="AR34" s="2">
        <f>'GDP data'!AN53</f>
        <v/>
      </c>
      <c r="AS34" s="2">
        <f>'GDP data'!AO53</f>
        <v/>
      </c>
      <c r="AT34" s="2">
        <f>'GDP data'!AP53</f>
        <v/>
      </c>
      <c r="AU34" s="2">
        <f>'GDP data'!AQ53</f>
        <v/>
      </c>
      <c r="AV34" s="2">
        <f>'GDP data'!AR53</f>
        <v/>
      </c>
      <c r="AW34" s="2">
        <f>'GDP data'!AS53</f>
        <v/>
      </c>
      <c r="AX34" s="2">
        <f>'GDP data'!AT53</f>
        <v/>
      </c>
    </row>
    <row r="35" ht="21" customHeight="1">
      <c r="E35" s="242" t="inlineStr">
        <is>
          <t xml:space="preserve">CHF JPY </t>
        </is>
      </c>
      <c r="F35" s="2">
        <f>'GDP data'!B54</f>
        <v/>
      </c>
      <c r="G35" s="2">
        <f>'GDP data'!C54</f>
        <v/>
      </c>
      <c r="H35" s="2">
        <f>'GDP data'!D54</f>
        <v/>
      </c>
      <c r="I35" s="2">
        <f>'GDP data'!E54</f>
        <v/>
      </c>
      <c r="J35" s="2">
        <f>'GDP data'!F54</f>
        <v/>
      </c>
      <c r="K35" s="2">
        <f>'GDP data'!G54</f>
        <v/>
      </c>
      <c r="L35" s="2">
        <f>'GDP data'!H54</f>
        <v/>
      </c>
      <c r="M35" s="2">
        <f>'GDP data'!I54</f>
        <v/>
      </c>
      <c r="N35" s="2">
        <f>'GDP data'!J54</f>
        <v/>
      </c>
      <c r="O35" s="2">
        <f>'GDP data'!K54</f>
        <v/>
      </c>
      <c r="P35" s="2">
        <f>'GDP data'!L54</f>
        <v/>
      </c>
      <c r="Q35" s="2">
        <f>'GDP data'!M54</f>
        <v/>
      </c>
      <c r="R35" s="2">
        <f>'GDP data'!N54</f>
        <v/>
      </c>
      <c r="S35" s="2">
        <f>'GDP data'!O54</f>
        <v/>
      </c>
      <c r="T35" s="2">
        <f>'GDP data'!P54</f>
        <v/>
      </c>
      <c r="U35" s="2">
        <f>'GDP data'!Q54</f>
        <v/>
      </c>
      <c r="V35" s="2">
        <f>'GDP data'!R54</f>
        <v/>
      </c>
      <c r="W35" s="2">
        <f>'GDP data'!S54</f>
        <v/>
      </c>
      <c r="X35" s="2">
        <f>'GDP data'!T54</f>
        <v/>
      </c>
      <c r="Y35" s="2">
        <f>'GDP data'!U54</f>
        <v/>
      </c>
      <c r="Z35" s="2">
        <f>'GDP data'!V54</f>
        <v/>
      </c>
      <c r="AA35" s="2">
        <f>'GDP data'!W54</f>
        <v/>
      </c>
      <c r="AB35" s="2">
        <f>'GDP data'!X54</f>
        <v/>
      </c>
      <c r="AC35" s="2">
        <f>'GDP data'!Y54</f>
        <v/>
      </c>
      <c r="AD35" s="2">
        <f>'GDP data'!Z54</f>
        <v/>
      </c>
      <c r="AE35" s="2">
        <f>'GDP data'!AA54</f>
        <v/>
      </c>
      <c r="AF35" s="2">
        <f>'GDP data'!AB54</f>
        <v/>
      </c>
      <c r="AG35" s="2">
        <f>'GDP data'!AC54</f>
        <v/>
      </c>
      <c r="AH35" s="2">
        <f>'GDP data'!AD54</f>
        <v/>
      </c>
      <c r="AI35" s="2">
        <f>'GDP data'!AE54</f>
        <v/>
      </c>
      <c r="AJ35" s="2">
        <f>'GDP data'!AF54</f>
        <v/>
      </c>
      <c r="AK35" s="2">
        <f>'GDP data'!AG54</f>
        <v/>
      </c>
      <c r="AL35" s="2">
        <f>'GDP data'!AH54</f>
        <v/>
      </c>
      <c r="AM35" s="2">
        <f>'GDP data'!AI54</f>
        <v/>
      </c>
      <c r="AN35" s="2">
        <f>'GDP data'!AJ54</f>
        <v/>
      </c>
      <c r="AO35" s="2">
        <f>'GDP data'!AK54</f>
        <v/>
      </c>
      <c r="AP35" s="2">
        <f>'GDP data'!AL54</f>
        <v/>
      </c>
      <c r="AQ35" s="2">
        <f>'GDP data'!AM54</f>
        <v/>
      </c>
      <c r="AR35" s="2">
        <f>'GDP data'!AN54</f>
        <v/>
      </c>
      <c r="AS35" s="2">
        <f>'GDP data'!AO54</f>
        <v/>
      </c>
      <c r="AT35" s="2">
        <f>'GDP data'!AP54</f>
        <v/>
      </c>
      <c r="AU35" s="2">
        <f>'GDP data'!AQ54</f>
        <v/>
      </c>
      <c r="AV35" s="2">
        <f>'GDP data'!AR54</f>
        <v/>
      </c>
      <c r="AW35" s="2">
        <f>'GDP data'!AS54</f>
        <v/>
      </c>
      <c r="AX35" s="2">
        <f>'GDP data'!AT54</f>
        <v/>
      </c>
    </row>
    <row r="36" ht="21" customHeight="1">
      <c r="E36" s="243" t="inlineStr">
        <is>
          <t>AUD USD</t>
        </is>
      </c>
      <c r="F36" s="2">
        <f>'GDP data'!B55</f>
        <v/>
      </c>
      <c r="G36" s="2">
        <f>'GDP data'!C55</f>
        <v/>
      </c>
      <c r="H36" s="2">
        <f>'GDP data'!D55</f>
        <v/>
      </c>
      <c r="I36" s="2">
        <f>'GDP data'!E55</f>
        <v/>
      </c>
      <c r="J36" s="2">
        <f>'GDP data'!F55</f>
        <v/>
      </c>
      <c r="K36" s="2">
        <f>'GDP data'!G55</f>
        <v/>
      </c>
      <c r="L36" s="2">
        <f>'GDP data'!H55</f>
        <v/>
      </c>
      <c r="M36" s="2">
        <f>'GDP data'!I55</f>
        <v/>
      </c>
      <c r="N36" s="2">
        <f>'GDP data'!J55</f>
        <v/>
      </c>
      <c r="O36" s="2">
        <f>'GDP data'!K55</f>
        <v/>
      </c>
      <c r="P36" s="2">
        <f>'GDP data'!L55</f>
        <v/>
      </c>
      <c r="Q36" s="2">
        <f>'GDP data'!M55</f>
        <v/>
      </c>
      <c r="R36" s="2">
        <f>'GDP data'!N55</f>
        <v/>
      </c>
      <c r="S36" s="2">
        <f>'GDP data'!O55</f>
        <v/>
      </c>
      <c r="T36" s="2">
        <f>'GDP data'!P55</f>
        <v/>
      </c>
      <c r="U36" s="2">
        <f>'GDP data'!Q55</f>
        <v/>
      </c>
      <c r="V36" s="2">
        <f>'GDP data'!R55</f>
        <v/>
      </c>
      <c r="W36" s="2">
        <f>'GDP data'!S55</f>
        <v/>
      </c>
      <c r="X36" s="2">
        <f>'GDP data'!T55</f>
        <v/>
      </c>
      <c r="Y36" s="2">
        <f>'GDP data'!U55</f>
        <v/>
      </c>
      <c r="Z36" s="2">
        <f>'GDP data'!V55</f>
        <v/>
      </c>
      <c r="AA36" s="2">
        <f>'GDP data'!W55</f>
        <v/>
      </c>
      <c r="AB36" s="2">
        <f>'GDP data'!X55</f>
        <v/>
      </c>
      <c r="AC36" s="2">
        <f>'GDP data'!Y55</f>
        <v/>
      </c>
      <c r="AD36" s="2">
        <f>'GDP data'!Z55</f>
        <v/>
      </c>
      <c r="AE36" s="2">
        <f>'GDP data'!AA55</f>
        <v/>
      </c>
      <c r="AF36" s="2">
        <f>'GDP data'!AB55</f>
        <v/>
      </c>
      <c r="AG36" s="2">
        <f>'GDP data'!AC55</f>
        <v/>
      </c>
      <c r="AH36" s="2">
        <f>'GDP data'!AD55</f>
        <v/>
      </c>
      <c r="AI36" s="2">
        <f>'GDP data'!AE55</f>
        <v/>
      </c>
      <c r="AJ36" s="2">
        <f>'GDP data'!AF55</f>
        <v/>
      </c>
      <c r="AK36" s="2">
        <f>'GDP data'!AG55</f>
        <v/>
      </c>
      <c r="AL36" s="2">
        <f>'GDP data'!AH55</f>
        <v/>
      </c>
      <c r="AM36" s="2">
        <f>'GDP data'!AI55</f>
        <v/>
      </c>
      <c r="AN36" s="2">
        <f>'GDP data'!AJ55</f>
        <v/>
      </c>
      <c r="AO36" s="2">
        <f>'GDP data'!AK55</f>
        <v/>
      </c>
      <c r="AP36" s="2">
        <f>'GDP data'!AL55</f>
        <v/>
      </c>
      <c r="AQ36" s="2">
        <f>'GDP data'!AM55</f>
        <v/>
      </c>
      <c r="AR36" s="2">
        <f>'GDP data'!AN55</f>
        <v/>
      </c>
      <c r="AS36" s="2">
        <f>'GDP data'!AO55</f>
        <v/>
      </c>
      <c r="AT36" s="2">
        <f>'GDP data'!AP55</f>
        <v/>
      </c>
      <c r="AU36" s="2">
        <f>'GDP data'!AQ55</f>
        <v/>
      </c>
      <c r="AV36" s="2">
        <f>'GDP data'!AR55</f>
        <v/>
      </c>
      <c r="AW36" s="2">
        <f>'GDP data'!AS55</f>
        <v/>
      </c>
      <c r="AX36" s="2">
        <f>'GDP data'!AT55</f>
        <v/>
      </c>
    </row>
    <row r="37" ht="21" customHeight="1">
      <c r="E37" s="243" t="inlineStr">
        <is>
          <t>AUD CHF</t>
        </is>
      </c>
      <c r="F37" s="2">
        <f>'GDP data'!B56</f>
        <v/>
      </c>
      <c r="G37" s="2">
        <f>'GDP data'!C56</f>
        <v/>
      </c>
      <c r="H37" s="2">
        <f>'GDP data'!D56</f>
        <v/>
      </c>
      <c r="I37" s="2">
        <f>'GDP data'!E56</f>
        <v/>
      </c>
      <c r="J37" s="2">
        <f>'GDP data'!F56</f>
        <v/>
      </c>
      <c r="K37" s="2">
        <f>'GDP data'!G56</f>
        <v/>
      </c>
      <c r="L37" s="2">
        <f>'GDP data'!H56</f>
        <v/>
      </c>
      <c r="M37" s="2">
        <f>'GDP data'!I56</f>
        <v/>
      </c>
      <c r="N37" s="2">
        <f>'GDP data'!J56</f>
        <v/>
      </c>
      <c r="O37" s="2">
        <f>'GDP data'!K56</f>
        <v/>
      </c>
      <c r="P37" s="2">
        <f>'GDP data'!L56</f>
        <v/>
      </c>
      <c r="Q37" s="2">
        <f>'GDP data'!M56</f>
        <v/>
      </c>
      <c r="R37" s="2">
        <f>'GDP data'!N56</f>
        <v/>
      </c>
      <c r="S37" s="2">
        <f>'GDP data'!O56</f>
        <v/>
      </c>
      <c r="T37" s="2">
        <f>'GDP data'!P56</f>
        <v/>
      </c>
      <c r="U37" s="2">
        <f>'GDP data'!Q56</f>
        <v/>
      </c>
      <c r="V37" s="2">
        <f>'GDP data'!R56</f>
        <v/>
      </c>
      <c r="W37" s="2">
        <f>'GDP data'!S56</f>
        <v/>
      </c>
      <c r="X37" s="2">
        <f>'GDP data'!T56</f>
        <v/>
      </c>
      <c r="Y37" s="2">
        <f>'GDP data'!U56</f>
        <v/>
      </c>
      <c r="Z37" s="2">
        <f>'GDP data'!V56</f>
        <v/>
      </c>
      <c r="AA37" s="2">
        <f>'GDP data'!W56</f>
        <v/>
      </c>
      <c r="AB37" s="2">
        <f>'GDP data'!X56</f>
        <v/>
      </c>
      <c r="AC37" s="2">
        <f>'GDP data'!Y56</f>
        <v/>
      </c>
      <c r="AD37" s="2">
        <f>'GDP data'!Z56</f>
        <v/>
      </c>
      <c r="AE37" s="2">
        <f>'GDP data'!AA56</f>
        <v/>
      </c>
      <c r="AF37" s="2">
        <f>'GDP data'!AB56</f>
        <v/>
      </c>
      <c r="AG37" s="2">
        <f>'GDP data'!AC56</f>
        <v/>
      </c>
      <c r="AH37" s="2">
        <f>'GDP data'!AD56</f>
        <v/>
      </c>
      <c r="AI37" s="2">
        <f>'GDP data'!AE56</f>
        <v/>
      </c>
      <c r="AJ37" s="2">
        <f>'GDP data'!AF56</f>
        <v/>
      </c>
      <c r="AK37" s="2">
        <f>'GDP data'!AG56</f>
        <v/>
      </c>
      <c r="AL37" s="2">
        <f>'GDP data'!AH56</f>
        <v/>
      </c>
      <c r="AM37" s="2">
        <f>'GDP data'!AI56</f>
        <v/>
      </c>
      <c r="AN37" s="2">
        <f>'GDP data'!AJ56</f>
        <v/>
      </c>
      <c r="AO37" s="2">
        <f>'GDP data'!AK56</f>
        <v/>
      </c>
      <c r="AP37" s="2">
        <f>'GDP data'!AL56</f>
        <v/>
      </c>
      <c r="AQ37" s="2">
        <f>'GDP data'!AM56</f>
        <v/>
      </c>
      <c r="AR37" s="2">
        <f>'GDP data'!AN56</f>
        <v/>
      </c>
      <c r="AS37" s="2">
        <f>'GDP data'!AO56</f>
        <v/>
      </c>
      <c r="AT37" s="2">
        <f>'GDP data'!AP56</f>
        <v/>
      </c>
      <c r="AU37" s="2">
        <f>'GDP data'!AQ56</f>
        <v/>
      </c>
      <c r="AV37" s="2">
        <f>'GDP data'!AR56</f>
        <v/>
      </c>
      <c r="AW37" s="2">
        <f>'GDP data'!AS56</f>
        <v/>
      </c>
      <c r="AX37" s="2">
        <f>'GDP data'!AT56</f>
        <v/>
      </c>
    </row>
    <row r="38" ht="21" customHeight="1">
      <c r="E38" s="243" t="inlineStr">
        <is>
          <t>AUD JPY</t>
        </is>
      </c>
      <c r="F38" s="2">
        <f>'GDP data'!B57</f>
        <v/>
      </c>
      <c r="G38" s="2">
        <f>'GDP data'!C57</f>
        <v/>
      </c>
      <c r="H38" s="2">
        <f>'GDP data'!D57</f>
        <v/>
      </c>
      <c r="I38" s="2">
        <f>'GDP data'!E57</f>
        <v/>
      </c>
      <c r="J38" s="2">
        <f>'GDP data'!F57</f>
        <v/>
      </c>
      <c r="K38" s="2">
        <f>'GDP data'!G57</f>
        <v/>
      </c>
      <c r="L38" s="2">
        <f>'GDP data'!H57</f>
        <v/>
      </c>
      <c r="M38" s="2">
        <f>'GDP data'!I57</f>
        <v/>
      </c>
      <c r="N38" s="2">
        <f>'GDP data'!J57</f>
        <v/>
      </c>
      <c r="O38" s="2">
        <f>'GDP data'!K57</f>
        <v/>
      </c>
      <c r="P38" s="2">
        <f>'GDP data'!L57</f>
        <v/>
      </c>
      <c r="Q38" s="2">
        <f>'GDP data'!M57</f>
        <v/>
      </c>
      <c r="R38" s="2">
        <f>'GDP data'!N57</f>
        <v/>
      </c>
      <c r="S38" s="2">
        <f>'GDP data'!O57</f>
        <v/>
      </c>
      <c r="T38" s="2">
        <f>'GDP data'!P57</f>
        <v/>
      </c>
      <c r="U38" s="2">
        <f>'GDP data'!Q57</f>
        <v/>
      </c>
      <c r="V38" s="2">
        <f>'GDP data'!R57</f>
        <v/>
      </c>
      <c r="W38" s="2">
        <f>'GDP data'!S57</f>
        <v/>
      </c>
      <c r="X38" s="2">
        <f>'GDP data'!T57</f>
        <v/>
      </c>
      <c r="Y38" s="2">
        <f>'GDP data'!U57</f>
        <v/>
      </c>
      <c r="Z38" s="2">
        <f>'GDP data'!V57</f>
        <v/>
      </c>
      <c r="AA38" s="2">
        <f>'GDP data'!W57</f>
        <v/>
      </c>
      <c r="AB38" s="2">
        <f>'GDP data'!X57</f>
        <v/>
      </c>
      <c r="AC38" s="2">
        <f>'GDP data'!Y57</f>
        <v/>
      </c>
      <c r="AD38" s="2">
        <f>'GDP data'!Z57</f>
        <v/>
      </c>
      <c r="AE38" s="2">
        <f>'GDP data'!AA57</f>
        <v/>
      </c>
      <c r="AF38" s="2">
        <f>'GDP data'!AB57</f>
        <v/>
      </c>
      <c r="AG38" s="2">
        <f>'GDP data'!AC57</f>
        <v/>
      </c>
      <c r="AH38" s="2">
        <f>'GDP data'!AD57</f>
        <v/>
      </c>
      <c r="AI38" s="2">
        <f>'GDP data'!AE57</f>
        <v/>
      </c>
      <c r="AJ38" s="2">
        <f>'GDP data'!AF57</f>
        <v/>
      </c>
      <c r="AK38" s="2">
        <f>'GDP data'!AG57</f>
        <v/>
      </c>
      <c r="AL38" s="2">
        <f>'GDP data'!AH57</f>
        <v/>
      </c>
      <c r="AM38" s="2">
        <f>'GDP data'!AI57</f>
        <v/>
      </c>
      <c r="AN38" s="2">
        <f>'GDP data'!AJ57</f>
        <v/>
      </c>
      <c r="AO38" s="2">
        <f>'GDP data'!AK57</f>
        <v/>
      </c>
      <c r="AP38" s="2">
        <f>'GDP data'!AL57</f>
        <v/>
      </c>
      <c r="AQ38" s="2">
        <f>'GDP data'!AM57</f>
        <v/>
      </c>
      <c r="AR38" s="2">
        <f>'GDP data'!AN57</f>
        <v/>
      </c>
      <c r="AS38" s="2">
        <f>'GDP data'!AO57</f>
        <v/>
      </c>
      <c r="AT38" s="2">
        <f>'GDP data'!AP57</f>
        <v/>
      </c>
      <c r="AU38" s="2">
        <f>'GDP data'!AQ57</f>
        <v/>
      </c>
      <c r="AV38" s="2">
        <f>'GDP data'!AR57</f>
        <v/>
      </c>
      <c r="AW38" s="2">
        <f>'GDP data'!AS57</f>
        <v/>
      </c>
      <c r="AX38" s="2">
        <f>'GDP data'!AT57</f>
        <v/>
      </c>
    </row>
    <row r="39" ht="21" customHeight="1">
      <c r="E39" s="244" t="inlineStr">
        <is>
          <t>AUD NZD</t>
        </is>
      </c>
      <c r="F39" s="2">
        <f>'GDP data'!B58</f>
        <v/>
      </c>
      <c r="G39" s="2">
        <f>'GDP data'!C58</f>
        <v/>
      </c>
      <c r="H39" s="2">
        <f>'GDP data'!D58</f>
        <v/>
      </c>
      <c r="I39" s="2">
        <f>'GDP data'!E58</f>
        <v/>
      </c>
      <c r="J39" s="2">
        <f>'GDP data'!F58</f>
        <v/>
      </c>
      <c r="K39" s="2">
        <f>'GDP data'!G58</f>
        <v/>
      </c>
      <c r="L39" s="2">
        <f>'GDP data'!H58</f>
        <v/>
      </c>
      <c r="M39" s="2">
        <f>'GDP data'!I58</f>
        <v/>
      </c>
      <c r="N39" s="2">
        <f>'GDP data'!J58</f>
        <v/>
      </c>
      <c r="O39" s="2">
        <f>'GDP data'!K58</f>
        <v/>
      </c>
      <c r="P39" s="2">
        <f>'GDP data'!L58</f>
        <v/>
      </c>
      <c r="Q39" s="2">
        <f>'GDP data'!M58</f>
        <v/>
      </c>
      <c r="R39" s="2">
        <f>'GDP data'!N58</f>
        <v/>
      </c>
      <c r="S39" s="2">
        <f>'GDP data'!O58</f>
        <v/>
      </c>
      <c r="T39" s="2">
        <f>'GDP data'!P58</f>
        <v/>
      </c>
      <c r="U39" s="2">
        <f>'GDP data'!Q58</f>
        <v/>
      </c>
      <c r="V39" s="2">
        <f>'GDP data'!R58</f>
        <v/>
      </c>
      <c r="W39" s="2">
        <f>'GDP data'!S58</f>
        <v/>
      </c>
      <c r="X39" s="2">
        <f>'GDP data'!T58</f>
        <v/>
      </c>
      <c r="Y39" s="2">
        <f>'GDP data'!U58</f>
        <v/>
      </c>
      <c r="Z39" s="2">
        <f>'GDP data'!V58</f>
        <v/>
      </c>
      <c r="AA39" s="2">
        <f>'GDP data'!W58</f>
        <v/>
      </c>
      <c r="AB39" s="2">
        <f>'GDP data'!X58</f>
        <v/>
      </c>
      <c r="AC39" s="2">
        <f>'GDP data'!Y58</f>
        <v/>
      </c>
      <c r="AD39" s="2">
        <f>'GDP data'!Z58</f>
        <v/>
      </c>
      <c r="AE39" s="2">
        <f>'GDP data'!AA58</f>
        <v/>
      </c>
      <c r="AF39" s="2">
        <f>'GDP data'!AB58</f>
        <v/>
      </c>
      <c r="AG39" s="2">
        <f>'GDP data'!AC58</f>
        <v/>
      </c>
      <c r="AH39" s="2">
        <f>'GDP data'!AD58</f>
        <v/>
      </c>
      <c r="AI39" s="2">
        <f>'GDP data'!AE58</f>
        <v/>
      </c>
      <c r="AJ39" s="2">
        <f>'GDP data'!AF58</f>
        <v/>
      </c>
      <c r="AK39" s="2">
        <f>'GDP data'!AG58</f>
        <v/>
      </c>
      <c r="AL39" s="2">
        <f>'GDP data'!AH58</f>
        <v/>
      </c>
      <c r="AM39" s="2">
        <f>'GDP data'!AI58</f>
        <v/>
      </c>
      <c r="AN39" s="2">
        <f>'GDP data'!AJ58</f>
        <v/>
      </c>
      <c r="AO39" s="2">
        <f>'GDP data'!AK58</f>
        <v/>
      </c>
      <c r="AP39" s="2">
        <f>'GDP data'!AL58</f>
        <v/>
      </c>
      <c r="AQ39" s="2">
        <f>'GDP data'!AM58</f>
        <v/>
      </c>
      <c r="AR39" s="2">
        <f>'GDP data'!AN58</f>
        <v/>
      </c>
      <c r="AS39" s="2">
        <f>'GDP data'!AO58</f>
        <v/>
      </c>
      <c r="AT39" s="2">
        <f>'GDP data'!AP58</f>
        <v/>
      </c>
      <c r="AU39" s="2">
        <f>'GDP data'!AQ58</f>
        <v/>
      </c>
      <c r="AV39" s="2">
        <f>'GDP data'!AR58</f>
        <v/>
      </c>
      <c r="AW39" s="2">
        <f>'GDP data'!AS58</f>
        <v/>
      </c>
      <c r="AX39" s="2">
        <f>'GDP data'!AT58</f>
        <v/>
      </c>
    </row>
    <row r="40" ht="21" customHeight="1">
      <c r="E40" s="244" t="inlineStr">
        <is>
          <t>AUD CAD</t>
        </is>
      </c>
      <c r="F40" s="2">
        <f>'GDP data'!B59</f>
        <v/>
      </c>
      <c r="G40" s="2">
        <f>'GDP data'!C59</f>
        <v/>
      </c>
      <c r="H40" s="2">
        <f>'GDP data'!D59</f>
        <v/>
      </c>
      <c r="I40" s="2">
        <f>'GDP data'!E59</f>
        <v/>
      </c>
      <c r="J40" s="2">
        <f>'GDP data'!F59</f>
        <v/>
      </c>
      <c r="K40" s="2">
        <f>'GDP data'!G59</f>
        <v/>
      </c>
      <c r="L40" s="2">
        <f>'GDP data'!H59</f>
        <v/>
      </c>
      <c r="M40" s="2">
        <f>'GDP data'!I59</f>
        <v/>
      </c>
      <c r="N40" s="2">
        <f>'GDP data'!J59</f>
        <v/>
      </c>
      <c r="O40" s="2">
        <f>'GDP data'!K59</f>
        <v/>
      </c>
      <c r="P40" s="2">
        <f>'GDP data'!L59</f>
        <v/>
      </c>
      <c r="Q40" s="2">
        <f>'GDP data'!M59</f>
        <v/>
      </c>
      <c r="R40" s="2">
        <f>'GDP data'!N59</f>
        <v/>
      </c>
      <c r="S40" s="2">
        <f>'GDP data'!O59</f>
        <v/>
      </c>
      <c r="T40" s="2">
        <f>'GDP data'!P59</f>
        <v/>
      </c>
      <c r="U40" s="2">
        <f>'GDP data'!Q59</f>
        <v/>
      </c>
      <c r="V40" s="2">
        <f>'GDP data'!R59</f>
        <v/>
      </c>
      <c r="W40" s="2">
        <f>'GDP data'!S59</f>
        <v/>
      </c>
      <c r="X40" s="2">
        <f>'GDP data'!T59</f>
        <v/>
      </c>
      <c r="Y40" s="2">
        <f>'GDP data'!U59</f>
        <v/>
      </c>
      <c r="Z40" s="2">
        <f>'GDP data'!V59</f>
        <v/>
      </c>
      <c r="AA40" s="2">
        <f>'GDP data'!W59</f>
        <v/>
      </c>
      <c r="AB40" s="2">
        <f>'GDP data'!X59</f>
        <v/>
      </c>
      <c r="AC40" s="2">
        <f>'GDP data'!Y59</f>
        <v/>
      </c>
      <c r="AD40" s="2">
        <f>'GDP data'!Z59</f>
        <v/>
      </c>
      <c r="AE40" s="2">
        <f>'GDP data'!AA59</f>
        <v/>
      </c>
      <c r="AF40" s="2">
        <f>'GDP data'!AB59</f>
        <v/>
      </c>
      <c r="AG40" s="2">
        <f>'GDP data'!AC59</f>
        <v/>
      </c>
      <c r="AH40" s="2">
        <f>'GDP data'!AD59</f>
        <v/>
      </c>
      <c r="AI40" s="2">
        <f>'GDP data'!AE59</f>
        <v/>
      </c>
      <c r="AJ40" s="2">
        <f>'GDP data'!AF59</f>
        <v/>
      </c>
      <c r="AK40" s="2">
        <f>'GDP data'!AG59</f>
        <v/>
      </c>
      <c r="AL40" s="2">
        <f>'GDP data'!AH59</f>
        <v/>
      </c>
      <c r="AM40" s="2">
        <f>'GDP data'!AI59</f>
        <v/>
      </c>
      <c r="AN40" s="2">
        <f>'GDP data'!AJ59</f>
        <v/>
      </c>
      <c r="AO40" s="2">
        <f>'GDP data'!AK59</f>
        <v/>
      </c>
      <c r="AP40" s="2">
        <f>'GDP data'!AL59</f>
        <v/>
      </c>
      <c r="AQ40" s="2">
        <f>'GDP data'!AM59</f>
        <v/>
      </c>
      <c r="AR40" s="2">
        <f>'GDP data'!AN59</f>
        <v/>
      </c>
      <c r="AS40" s="2">
        <f>'GDP data'!AO59</f>
        <v/>
      </c>
      <c r="AT40" s="2">
        <f>'GDP data'!AP59</f>
        <v/>
      </c>
      <c r="AU40" s="2">
        <f>'GDP data'!AQ59</f>
        <v/>
      </c>
      <c r="AV40" s="2">
        <f>'GDP data'!AR59</f>
        <v/>
      </c>
      <c r="AW40" s="2">
        <f>'GDP data'!AS59</f>
        <v/>
      </c>
      <c r="AX40" s="2">
        <f>'GDP data'!AT59</f>
        <v/>
      </c>
    </row>
    <row r="41" ht="21" customHeight="1">
      <c r="E41" s="245" t="inlineStr">
        <is>
          <t>CAD JPY</t>
        </is>
      </c>
      <c r="F41" s="2">
        <f>'GDP data'!B60</f>
        <v/>
      </c>
      <c r="G41" s="2">
        <f>'GDP data'!C60</f>
        <v/>
      </c>
      <c r="H41" s="2">
        <f>'GDP data'!D60</f>
        <v/>
      </c>
      <c r="I41" s="2">
        <f>'GDP data'!E60</f>
        <v/>
      </c>
      <c r="J41" s="2">
        <f>'GDP data'!F60</f>
        <v/>
      </c>
      <c r="K41" s="2">
        <f>'GDP data'!G60</f>
        <v/>
      </c>
      <c r="L41" s="2">
        <f>'GDP data'!H60</f>
        <v/>
      </c>
      <c r="M41" s="2">
        <f>'GDP data'!I60</f>
        <v/>
      </c>
      <c r="N41" s="2">
        <f>'GDP data'!J60</f>
        <v/>
      </c>
      <c r="O41" s="2">
        <f>'GDP data'!K60</f>
        <v/>
      </c>
      <c r="P41" s="2">
        <f>'GDP data'!L60</f>
        <v/>
      </c>
      <c r="Q41" s="2">
        <f>'GDP data'!M60</f>
        <v/>
      </c>
      <c r="R41" s="2">
        <f>'GDP data'!N60</f>
        <v/>
      </c>
      <c r="S41" s="2">
        <f>'GDP data'!O60</f>
        <v/>
      </c>
      <c r="T41" s="2">
        <f>'GDP data'!P60</f>
        <v/>
      </c>
      <c r="U41" s="2">
        <f>'GDP data'!Q60</f>
        <v/>
      </c>
      <c r="V41" s="2">
        <f>'GDP data'!R60</f>
        <v/>
      </c>
      <c r="W41" s="2">
        <f>'GDP data'!S60</f>
        <v/>
      </c>
      <c r="X41" s="2">
        <f>'GDP data'!T60</f>
        <v/>
      </c>
      <c r="Y41" s="2">
        <f>'GDP data'!U60</f>
        <v/>
      </c>
      <c r="Z41" s="2">
        <f>'GDP data'!V60</f>
        <v/>
      </c>
      <c r="AA41" s="2">
        <f>'GDP data'!W60</f>
        <v/>
      </c>
      <c r="AB41" s="2">
        <f>'GDP data'!X60</f>
        <v/>
      </c>
      <c r="AC41" s="2">
        <f>'GDP data'!Y60</f>
        <v/>
      </c>
      <c r="AD41" s="2">
        <f>'GDP data'!Z60</f>
        <v/>
      </c>
      <c r="AE41" s="2">
        <f>'GDP data'!AA60</f>
        <v/>
      </c>
      <c r="AF41" s="2">
        <f>'GDP data'!AB60</f>
        <v/>
      </c>
      <c r="AG41" s="2">
        <f>'GDP data'!AC60</f>
        <v/>
      </c>
      <c r="AH41" s="2">
        <f>'GDP data'!AD60</f>
        <v/>
      </c>
      <c r="AI41" s="2">
        <f>'GDP data'!AE60</f>
        <v/>
      </c>
      <c r="AJ41" s="2">
        <f>'GDP data'!AF60</f>
        <v/>
      </c>
      <c r="AK41" s="2">
        <f>'GDP data'!AG60</f>
        <v/>
      </c>
      <c r="AL41" s="2">
        <f>'GDP data'!AH60</f>
        <v/>
      </c>
      <c r="AM41" s="2">
        <f>'GDP data'!AI60</f>
        <v/>
      </c>
      <c r="AN41" s="2">
        <f>'GDP data'!AJ60</f>
        <v/>
      </c>
      <c r="AO41" s="2">
        <f>'GDP data'!AK60</f>
        <v/>
      </c>
      <c r="AP41" s="2">
        <f>'GDP data'!AL60</f>
        <v/>
      </c>
      <c r="AQ41" s="2">
        <f>'GDP data'!AM60</f>
        <v/>
      </c>
      <c r="AR41" s="2">
        <f>'GDP data'!AN60</f>
        <v/>
      </c>
      <c r="AS41" s="2">
        <f>'GDP data'!AO60</f>
        <v/>
      </c>
      <c r="AT41" s="2">
        <f>'GDP data'!AP60</f>
        <v/>
      </c>
      <c r="AU41" s="2">
        <f>'GDP data'!AQ60</f>
        <v/>
      </c>
      <c r="AV41" s="2">
        <f>'GDP data'!AR60</f>
        <v/>
      </c>
      <c r="AW41" s="2">
        <f>'GDP data'!AS60</f>
        <v/>
      </c>
      <c r="AX41" s="2">
        <f>'GDP data'!AT60</f>
        <v/>
      </c>
    </row>
    <row r="42"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R42" s="2" t="n"/>
    </row>
    <row r="43"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R43" s="2" t="n"/>
    </row>
    <row r="44">
      <c r="E44" s="246" t="inlineStr">
        <is>
          <t>Current account to GDP spread</t>
        </is>
      </c>
      <c r="F44" s="249" t="n">
        <v>44927</v>
      </c>
      <c r="G44" s="208" t="n">
        <v>44958</v>
      </c>
      <c r="H44" s="208" t="n">
        <v>44986</v>
      </c>
      <c r="I44" s="249" t="n">
        <v>45017</v>
      </c>
      <c r="J44" s="208" t="n">
        <v>45047</v>
      </c>
      <c r="K44" s="208" t="n">
        <v>45078</v>
      </c>
      <c r="L44" s="249" t="n">
        <v>45108</v>
      </c>
      <c r="M44" s="208" t="n">
        <v>45139</v>
      </c>
      <c r="N44" s="208" t="n">
        <v>45170</v>
      </c>
      <c r="O44" s="249" t="n">
        <v>45200</v>
      </c>
      <c r="P44" s="208" t="n">
        <v>45231</v>
      </c>
      <c r="Q44" s="208" t="n">
        <v>45261</v>
      </c>
      <c r="R44" s="249" t="n">
        <v>45292</v>
      </c>
      <c r="S44" s="208" t="n">
        <v>45323</v>
      </c>
      <c r="T44" s="208" t="n">
        <v>45352</v>
      </c>
      <c r="U44" s="249" t="n">
        <v>45383</v>
      </c>
      <c r="V44" s="208" t="n">
        <v>45413</v>
      </c>
      <c r="W44" s="208" t="n">
        <v>45444</v>
      </c>
      <c r="X44" s="249" t="n">
        <v>45474</v>
      </c>
      <c r="Y44" s="208" t="n">
        <v>45505</v>
      </c>
      <c r="Z44" s="208" t="n">
        <v>45536</v>
      </c>
      <c r="AA44" s="249" t="n">
        <v>45566</v>
      </c>
      <c r="AB44" s="208" t="n">
        <v>45597</v>
      </c>
      <c r="AC44" s="208" t="n">
        <v>45627</v>
      </c>
      <c r="AD44" s="249" t="n">
        <v>45658</v>
      </c>
      <c r="AE44" s="208" t="n">
        <v>45689</v>
      </c>
      <c r="AF44" s="208" t="n">
        <v>45717</v>
      </c>
      <c r="AG44" s="208" t="n">
        <v>45748</v>
      </c>
      <c r="AH44" s="208" t="n">
        <v>45778</v>
      </c>
      <c r="AI44" s="208" t="n">
        <v>45809</v>
      </c>
      <c r="AJ44" s="208" t="n">
        <v>45839</v>
      </c>
      <c r="AK44" s="208" t="n">
        <v>45870</v>
      </c>
      <c r="AL44" s="208" t="n">
        <v>45901</v>
      </c>
      <c r="AM44" s="208" t="n">
        <v>45931</v>
      </c>
      <c r="AN44" s="208" t="n">
        <v>45962</v>
      </c>
      <c r="AO44" s="208" t="n">
        <v>45992</v>
      </c>
      <c r="AP44" s="208" t="n">
        <v>46023</v>
      </c>
      <c r="AQ44" s="208" t="n">
        <v>46054</v>
      </c>
      <c r="AR44" s="208" t="n">
        <v>46082</v>
      </c>
      <c r="AS44" s="208" t="n">
        <v>46113</v>
      </c>
      <c r="AT44" s="208" t="n">
        <v>46143</v>
      </c>
      <c r="AU44" s="208" t="n">
        <v>46174</v>
      </c>
      <c r="AV44" s="208" t="n">
        <v>46204</v>
      </c>
      <c r="AW44" s="208" t="n">
        <v>46235</v>
      </c>
      <c r="AX44" s="208" t="n">
        <v>46266</v>
      </c>
    </row>
    <row r="45" ht="21" customHeight="1">
      <c r="E45" s="236" t="inlineStr">
        <is>
          <t>USD JPY</t>
        </is>
      </c>
      <c r="F45" s="187">
        <f>'CA GDP DATA'!B44</f>
        <v/>
      </c>
      <c r="G45" s="187">
        <f>'CA GDP DATA'!C44</f>
        <v/>
      </c>
      <c r="H45" s="187">
        <f>'CA GDP DATA'!D44</f>
        <v/>
      </c>
      <c r="I45" s="187">
        <f>'CA GDP DATA'!E44</f>
        <v/>
      </c>
      <c r="J45" s="187">
        <f>'CA GDP DATA'!F44</f>
        <v/>
      </c>
      <c r="K45" s="187">
        <f>'CA GDP DATA'!G44</f>
        <v/>
      </c>
      <c r="L45" s="187">
        <f>'CA GDP DATA'!H44</f>
        <v/>
      </c>
      <c r="M45" s="187">
        <f>'CA GDP DATA'!I44</f>
        <v/>
      </c>
      <c r="N45" s="187">
        <f>'CA GDP DATA'!J44</f>
        <v/>
      </c>
      <c r="O45" s="187">
        <f>'CA GDP DATA'!K44</f>
        <v/>
      </c>
      <c r="P45" s="187">
        <f>'CA GDP DATA'!L44</f>
        <v/>
      </c>
      <c r="Q45" s="187">
        <f>'CA GDP DATA'!M44</f>
        <v/>
      </c>
      <c r="R45" s="187">
        <f>'CA GDP DATA'!N44</f>
        <v/>
      </c>
      <c r="S45" s="187">
        <f>'CA GDP DATA'!O44</f>
        <v/>
      </c>
      <c r="T45" s="187">
        <f>'CA GDP DATA'!P44</f>
        <v/>
      </c>
      <c r="U45" s="187">
        <f>'CA GDP DATA'!Q44</f>
        <v/>
      </c>
      <c r="V45" s="187">
        <f>'CA GDP DATA'!R44</f>
        <v/>
      </c>
      <c r="W45" s="187">
        <f>'CA GDP DATA'!S44</f>
        <v/>
      </c>
      <c r="X45" s="187">
        <f>'CA GDP DATA'!T44</f>
        <v/>
      </c>
      <c r="Y45" s="187">
        <f>'CA GDP DATA'!U44</f>
        <v/>
      </c>
      <c r="Z45" s="187">
        <f>'CA GDP DATA'!V44</f>
        <v/>
      </c>
      <c r="AA45" s="187">
        <f>'CA GDP DATA'!W44</f>
        <v/>
      </c>
      <c r="AB45" s="187">
        <f>'CA GDP DATA'!X44</f>
        <v/>
      </c>
      <c r="AC45" s="187">
        <f>'CA GDP DATA'!Y44</f>
        <v/>
      </c>
      <c r="AD45" s="187">
        <f>'CA GDP DATA'!Z44</f>
        <v/>
      </c>
      <c r="AE45" s="187">
        <f>'CA GDP DATA'!AA44</f>
        <v/>
      </c>
      <c r="AF45" s="187">
        <f>'CA GDP DATA'!AB44</f>
        <v/>
      </c>
      <c r="AG45" s="187">
        <f>'CA GDP DATA'!AC44</f>
        <v/>
      </c>
      <c r="AH45" s="187">
        <f>'CA GDP DATA'!AD44</f>
        <v/>
      </c>
      <c r="AI45" s="187">
        <f>'CA GDP DATA'!AE44</f>
        <v/>
      </c>
      <c r="AJ45" s="187">
        <f>'CA GDP DATA'!AF44</f>
        <v/>
      </c>
      <c r="AK45" s="187">
        <f>'CA GDP DATA'!AG44</f>
        <v/>
      </c>
      <c r="AL45" s="187">
        <f>'CA GDP DATA'!AH44</f>
        <v/>
      </c>
      <c r="AM45" s="187">
        <f>'CA GDP DATA'!AI44</f>
        <v/>
      </c>
      <c r="AN45" s="187">
        <f>'CA GDP DATA'!AJ44</f>
        <v/>
      </c>
      <c r="AO45" s="187">
        <f>'CA GDP DATA'!AK44</f>
        <v/>
      </c>
      <c r="AP45" s="187">
        <f>'CA GDP DATA'!AL44</f>
        <v/>
      </c>
      <c r="AQ45" s="187">
        <f>'CA GDP DATA'!AM44</f>
        <v/>
      </c>
      <c r="AR45" s="187">
        <f>'CA GDP DATA'!AN44</f>
        <v/>
      </c>
      <c r="AS45" s="187">
        <f>'CA GDP DATA'!AO44</f>
        <v/>
      </c>
      <c r="AT45" s="187">
        <f>'CA GDP DATA'!AP44</f>
        <v/>
      </c>
      <c r="AU45" s="187">
        <f>'CA GDP DATA'!AQ44</f>
        <v/>
      </c>
      <c r="AV45" s="187">
        <f>'CA GDP DATA'!AR44</f>
        <v/>
      </c>
      <c r="AW45" s="187">
        <f>'CA GDP DATA'!AS44</f>
        <v/>
      </c>
      <c r="AX45" s="187">
        <f>'CA GDP DATA'!AT44</f>
        <v/>
      </c>
    </row>
    <row r="46" ht="21" customHeight="1">
      <c r="E46" s="237" t="inlineStr">
        <is>
          <t>USD CHF</t>
        </is>
      </c>
      <c r="F46" s="187">
        <f>'CA GDP DATA'!B45</f>
        <v/>
      </c>
      <c r="G46" s="187">
        <f>'CA GDP DATA'!C45</f>
        <v/>
      </c>
      <c r="H46" s="187">
        <f>'CA GDP DATA'!D45</f>
        <v/>
      </c>
      <c r="I46" s="187">
        <f>'CA GDP DATA'!E45</f>
        <v/>
      </c>
      <c r="J46" s="187">
        <f>'CA GDP DATA'!F45</f>
        <v/>
      </c>
      <c r="K46" s="187">
        <f>'CA GDP DATA'!G45</f>
        <v/>
      </c>
      <c r="L46" s="187">
        <f>'CA GDP DATA'!H45</f>
        <v/>
      </c>
      <c r="M46" s="187">
        <f>'CA GDP DATA'!I45</f>
        <v/>
      </c>
      <c r="N46" s="187">
        <f>'CA GDP DATA'!J45</f>
        <v/>
      </c>
      <c r="O46" s="187">
        <f>'CA GDP DATA'!K45</f>
        <v/>
      </c>
      <c r="P46" s="187">
        <f>'CA GDP DATA'!L45</f>
        <v/>
      </c>
      <c r="Q46" s="187">
        <f>'CA GDP DATA'!M45</f>
        <v/>
      </c>
      <c r="R46" s="187">
        <f>'CA GDP DATA'!N45</f>
        <v/>
      </c>
      <c r="S46" s="187">
        <f>'CA GDP DATA'!O45</f>
        <v/>
      </c>
      <c r="T46" s="187">
        <f>'CA GDP DATA'!P45</f>
        <v/>
      </c>
      <c r="U46" s="187">
        <f>'CA GDP DATA'!Q45</f>
        <v/>
      </c>
      <c r="V46" s="187">
        <f>'CA GDP DATA'!R45</f>
        <v/>
      </c>
      <c r="W46" s="187">
        <f>'CA GDP DATA'!S45</f>
        <v/>
      </c>
      <c r="X46" s="187">
        <f>'CA GDP DATA'!T45</f>
        <v/>
      </c>
      <c r="Y46" s="187">
        <f>'CA GDP DATA'!U45</f>
        <v/>
      </c>
      <c r="Z46" s="187">
        <f>'CA GDP DATA'!V45</f>
        <v/>
      </c>
      <c r="AA46" s="187">
        <f>'CA GDP DATA'!W45</f>
        <v/>
      </c>
      <c r="AB46" s="187">
        <f>'CA GDP DATA'!X45</f>
        <v/>
      </c>
      <c r="AC46" s="187">
        <f>'CA GDP DATA'!Y45</f>
        <v/>
      </c>
      <c r="AD46" s="187">
        <f>'CA GDP DATA'!Z45</f>
        <v/>
      </c>
      <c r="AE46" s="187">
        <f>'CA GDP DATA'!AA45</f>
        <v/>
      </c>
      <c r="AF46" s="187">
        <f>'CA GDP DATA'!AB45</f>
        <v/>
      </c>
      <c r="AG46" s="187">
        <f>'CA GDP DATA'!AC45</f>
        <v/>
      </c>
      <c r="AH46" s="187">
        <f>'CA GDP DATA'!AD45</f>
        <v/>
      </c>
      <c r="AI46" s="187">
        <f>'CA GDP DATA'!AE45</f>
        <v/>
      </c>
      <c r="AJ46" s="187">
        <f>'CA GDP DATA'!AF45</f>
        <v/>
      </c>
      <c r="AK46" s="187">
        <f>'CA GDP DATA'!AG45</f>
        <v/>
      </c>
      <c r="AL46" s="187">
        <f>'CA GDP DATA'!AH45</f>
        <v/>
      </c>
      <c r="AM46" s="187">
        <f>'CA GDP DATA'!AI45</f>
        <v/>
      </c>
      <c r="AN46" s="187">
        <f>'CA GDP DATA'!AJ45</f>
        <v/>
      </c>
      <c r="AO46" s="187">
        <f>'CA GDP DATA'!AK45</f>
        <v/>
      </c>
      <c r="AP46" s="187">
        <f>'CA GDP DATA'!AL45</f>
        <v/>
      </c>
      <c r="AQ46" s="187">
        <f>'CA GDP DATA'!AM45</f>
        <v/>
      </c>
      <c r="AR46" s="187">
        <f>'CA GDP DATA'!AN45</f>
        <v/>
      </c>
      <c r="AS46" s="187">
        <f>'CA GDP DATA'!AO45</f>
        <v/>
      </c>
      <c r="AT46" s="187">
        <f>'CA GDP DATA'!AP45</f>
        <v/>
      </c>
      <c r="AU46" s="187">
        <f>'CA GDP DATA'!AQ45</f>
        <v/>
      </c>
      <c r="AV46" s="187">
        <f>'CA GDP DATA'!AR45</f>
        <v/>
      </c>
      <c r="AW46" s="187">
        <f>'CA GDP DATA'!AS45</f>
        <v/>
      </c>
      <c r="AX46" s="187">
        <f>'CA GDP DATA'!AT45</f>
        <v/>
      </c>
    </row>
    <row r="47" ht="21" customHeight="1">
      <c r="E47" s="237" t="inlineStr">
        <is>
          <t>USD CAD</t>
        </is>
      </c>
      <c r="F47" s="187">
        <f>'CA GDP DATA'!B46</f>
        <v/>
      </c>
      <c r="G47" s="187">
        <f>'CA GDP DATA'!C46</f>
        <v/>
      </c>
      <c r="H47" s="187">
        <f>'CA GDP DATA'!D46</f>
        <v/>
      </c>
      <c r="I47" s="187">
        <f>'CA GDP DATA'!E46</f>
        <v/>
      </c>
      <c r="J47" s="187">
        <f>'CA GDP DATA'!F46</f>
        <v/>
      </c>
      <c r="K47" s="187">
        <f>'CA GDP DATA'!G46</f>
        <v/>
      </c>
      <c r="L47" s="187">
        <f>'CA GDP DATA'!H46</f>
        <v/>
      </c>
      <c r="M47" s="187">
        <f>'CA GDP DATA'!I46</f>
        <v/>
      </c>
      <c r="N47" s="187">
        <f>'CA GDP DATA'!J46</f>
        <v/>
      </c>
      <c r="O47" s="187">
        <f>'CA GDP DATA'!K46</f>
        <v/>
      </c>
      <c r="P47" s="187">
        <f>'CA GDP DATA'!L46</f>
        <v/>
      </c>
      <c r="Q47" s="187">
        <f>'CA GDP DATA'!M46</f>
        <v/>
      </c>
      <c r="R47" s="187">
        <f>'CA GDP DATA'!N46</f>
        <v/>
      </c>
      <c r="S47" s="187">
        <f>'CA GDP DATA'!O46</f>
        <v/>
      </c>
      <c r="T47" s="187">
        <f>'CA GDP DATA'!P46</f>
        <v/>
      </c>
      <c r="U47" s="187">
        <f>'CA GDP DATA'!Q46</f>
        <v/>
      </c>
      <c r="V47" s="187">
        <f>'CA GDP DATA'!R46</f>
        <v/>
      </c>
      <c r="W47" s="187">
        <f>'CA GDP DATA'!S46</f>
        <v/>
      </c>
      <c r="X47" s="187">
        <f>'CA GDP DATA'!T46</f>
        <v/>
      </c>
      <c r="Y47" s="187">
        <f>'CA GDP DATA'!U46</f>
        <v/>
      </c>
      <c r="Z47" s="187">
        <f>'CA GDP DATA'!V46</f>
        <v/>
      </c>
      <c r="AA47" s="187">
        <f>'CA GDP DATA'!W46</f>
        <v/>
      </c>
      <c r="AB47" s="187">
        <f>'CA GDP DATA'!X46</f>
        <v/>
      </c>
      <c r="AC47" s="187">
        <f>'CA GDP DATA'!Y46</f>
        <v/>
      </c>
      <c r="AD47" s="187">
        <f>'CA GDP DATA'!Z46</f>
        <v/>
      </c>
      <c r="AE47" s="187">
        <f>'CA GDP DATA'!AA46</f>
        <v/>
      </c>
      <c r="AF47" s="187">
        <f>'CA GDP DATA'!AB46</f>
        <v/>
      </c>
      <c r="AG47" s="187">
        <f>'CA GDP DATA'!AC46</f>
        <v/>
      </c>
      <c r="AH47" s="187">
        <f>'CA GDP DATA'!AD46</f>
        <v/>
      </c>
      <c r="AI47" s="187">
        <f>'CA GDP DATA'!AE46</f>
        <v/>
      </c>
      <c r="AJ47" s="187">
        <f>'CA GDP DATA'!AF46</f>
        <v/>
      </c>
      <c r="AK47" s="187">
        <f>'CA GDP DATA'!AG46</f>
        <v/>
      </c>
      <c r="AL47" s="187">
        <f>'CA GDP DATA'!AH46</f>
        <v/>
      </c>
      <c r="AM47" s="187">
        <f>'CA GDP DATA'!AI46</f>
        <v/>
      </c>
      <c r="AN47" s="187">
        <f>'CA GDP DATA'!AJ46</f>
        <v/>
      </c>
      <c r="AO47" s="187">
        <f>'CA GDP DATA'!AK46</f>
        <v/>
      </c>
      <c r="AP47" s="187">
        <f>'CA GDP DATA'!AL46</f>
        <v/>
      </c>
      <c r="AQ47" s="187">
        <f>'CA GDP DATA'!AM46</f>
        <v/>
      </c>
      <c r="AR47" s="187">
        <f>'CA GDP DATA'!AN46</f>
        <v/>
      </c>
      <c r="AS47" s="187">
        <f>'CA GDP DATA'!AO46</f>
        <v/>
      </c>
      <c r="AT47" s="187">
        <f>'CA GDP DATA'!AP46</f>
        <v/>
      </c>
      <c r="AU47" s="187">
        <f>'CA GDP DATA'!AQ46</f>
        <v/>
      </c>
      <c r="AV47" s="187">
        <f>'CA GDP DATA'!AR46</f>
        <v/>
      </c>
      <c r="AW47" s="187">
        <f>'CA GDP DATA'!AS46</f>
        <v/>
      </c>
      <c r="AX47" s="187">
        <f>'CA GDP DATA'!AT46</f>
        <v/>
      </c>
    </row>
    <row r="48" ht="21" customHeight="1">
      <c r="E48" s="238" t="inlineStr">
        <is>
          <t>EUR USD</t>
        </is>
      </c>
      <c r="F48" s="187">
        <f>'CA GDP DATA'!B47</f>
        <v/>
      </c>
      <c r="G48" s="187">
        <f>'CA GDP DATA'!C47</f>
        <v/>
      </c>
      <c r="H48" s="187">
        <f>'CA GDP DATA'!D47</f>
        <v/>
      </c>
      <c r="I48" s="187">
        <f>'CA GDP DATA'!E47</f>
        <v/>
      </c>
      <c r="J48" s="187">
        <f>'CA GDP DATA'!F47</f>
        <v/>
      </c>
      <c r="K48" s="187">
        <f>'CA GDP DATA'!G47</f>
        <v/>
      </c>
      <c r="L48" s="187">
        <f>'CA GDP DATA'!H47</f>
        <v/>
      </c>
      <c r="M48" s="187">
        <f>'CA GDP DATA'!I47</f>
        <v/>
      </c>
      <c r="N48" s="187">
        <f>'CA GDP DATA'!J47</f>
        <v/>
      </c>
      <c r="O48" s="187">
        <f>'CA GDP DATA'!K47</f>
        <v/>
      </c>
      <c r="P48" s="187">
        <f>'CA GDP DATA'!L47</f>
        <v/>
      </c>
      <c r="Q48" s="187">
        <f>'CA GDP DATA'!M47</f>
        <v/>
      </c>
      <c r="R48" s="187">
        <f>'CA GDP DATA'!N47</f>
        <v/>
      </c>
      <c r="S48" s="187">
        <f>'CA GDP DATA'!O47</f>
        <v/>
      </c>
      <c r="T48" s="187">
        <f>'CA GDP DATA'!P47</f>
        <v/>
      </c>
      <c r="U48" s="187">
        <f>'CA GDP DATA'!Q47</f>
        <v/>
      </c>
      <c r="V48" s="187">
        <f>'CA GDP DATA'!R47</f>
        <v/>
      </c>
      <c r="W48" s="187">
        <f>'CA GDP DATA'!S47</f>
        <v/>
      </c>
      <c r="X48" s="187">
        <f>'CA GDP DATA'!T47</f>
        <v/>
      </c>
      <c r="Y48" s="187">
        <f>'CA GDP DATA'!U47</f>
        <v/>
      </c>
      <c r="Z48" s="187">
        <f>'CA GDP DATA'!V47</f>
        <v/>
      </c>
      <c r="AA48" s="187">
        <f>'CA GDP DATA'!W47</f>
        <v/>
      </c>
      <c r="AB48" s="187">
        <f>'CA GDP DATA'!X47</f>
        <v/>
      </c>
      <c r="AC48" s="187">
        <f>'CA GDP DATA'!Y47</f>
        <v/>
      </c>
      <c r="AD48" s="187">
        <f>'CA GDP DATA'!Z47</f>
        <v/>
      </c>
      <c r="AE48" s="187">
        <f>'CA GDP DATA'!AA47</f>
        <v/>
      </c>
      <c r="AF48" s="187">
        <f>'CA GDP DATA'!AB47</f>
        <v/>
      </c>
      <c r="AG48" s="187">
        <f>'CA GDP DATA'!AC47</f>
        <v/>
      </c>
      <c r="AH48" s="187">
        <f>'CA GDP DATA'!AD47</f>
        <v/>
      </c>
      <c r="AI48" s="187">
        <f>'CA GDP DATA'!AE47</f>
        <v/>
      </c>
      <c r="AJ48" s="187">
        <f>'CA GDP DATA'!AF47</f>
        <v/>
      </c>
      <c r="AK48" s="187">
        <f>'CA GDP DATA'!AG47</f>
        <v/>
      </c>
      <c r="AL48" s="187">
        <f>'CA GDP DATA'!AH47</f>
        <v/>
      </c>
      <c r="AM48" s="187">
        <f>'CA GDP DATA'!AI47</f>
        <v/>
      </c>
      <c r="AN48" s="187">
        <f>'CA GDP DATA'!AJ47</f>
        <v/>
      </c>
      <c r="AO48" s="187">
        <f>'CA GDP DATA'!AK47</f>
        <v/>
      </c>
      <c r="AP48" s="187">
        <f>'CA GDP DATA'!AL47</f>
        <v/>
      </c>
      <c r="AQ48" s="187">
        <f>'CA GDP DATA'!AM47</f>
        <v/>
      </c>
      <c r="AR48" s="187">
        <f>'CA GDP DATA'!AN47</f>
        <v/>
      </c>
      <c r="AS48" s="187">
        <f>'CA GDP DATA'!AO47</f>
        <v/>
      </c>
      <c r="AT48" s="187">
        <f>'CA GDP DATA'!AP47</f>
        <v/>
      </c>
      <c r="AU48" s="187">
        <f>'CA GDP DATA'!AQ47</f>
        <v/>
      </c>
      <c r="AV48" s="187">
        <f>'CA GDP DATA'!AR47</f>
        <v/>
      </c>
      <c r="AW48" s="187">
        <f>'CA GDP DATA'!AS47</f>
        <v/>
      </c>
      <c r="AX48" s="187">
        <f>'CA GDP DATA'!AT47</f>
        <v/>
      </c>
    </row>
    <row r="49" ht="21" customHeight="1">
      <c r="E49" s="238" t="inlineStr">
        <is>
          <t>EUR JPY</t>
        </is>
      </c>
      <c r="F49" s="187">
        <f>'CA GDP DATA'!B48</f>
        <v/>
      </c>
      <c r="G49" s="187">
        <f>'CA GDP DATA'!C48</f>
        <v/>
      </c>
      <c r="H49" s="187">
        <f>'CA GDP DATA'!D48</f>
        <v/>
      </c>
      <c r="I49" s="187">
        <f>'CA GDP DATA'!E48</f>
        <v/>
      </c>
      <c r="J49" s="187">
        <f>'CA GDP DATA'!F48</f>
        <v/>
      </c>
      <c r="K49" s="187">
        <f>'CA GDP DATA'!G48</f>
        <v/>
      </c>
      <c r="L49" s="187">
        <f>'CA GDP DATA'!H48</f>
        <v/>
      </c>
      <c r="M49" s="187">
        <f>'CA GDP DATA'!I48</f>
        <v/>
      </c>
      <c r="N49" s="187">
        <f>'CA GDP DATA'!J48</f>
        <v/>
      </c>
      <c r="O49" s="187">
        <f>'CA GDP DATA'!K48</f>
        <v/>
      </c>
      <c r="P49" s="187">
        <f>'CA GDP DATA'!L48</f>
        <v/>
      </c>
      <c r="Q49" s="187">
        <f>'CA GDP DATA'!M48</f>
        <v/>
      </c>
      <c r="R49" s="187">
        <f>'CA GDP DATA'!N48</f>
        <v/>
      </c>
      <c r="S49" s="187">
        <f>'CA GDP DATA'!O48</f>
        <v/>
      </c>
      <c r="T49" s="187">
        <f>'CA GDP DATA'!P48</f>
        <v/>
      </c>
      <c r="U49" s="187">
        <f>'CA GDP DATA'!Q48</f>
        <v/>
      </c>
      <c r="V49" s="187">
        <f>'CA GDP DATA'!R48</f>
        <v/>
      </c>
      <c r="W49" s="187">
        <f>'CA GDP DATA'!S48</f>
        <v/>
      </c>
      <c r="X49" s="187">
        <f>'CA GDP DATA'!T48</f>
        <v/>
      </c>
      <c r="Y49" s="187">
        <f>'CA GDP DATA'!U48</f>
        <v/>
      </c>
      <c r="Z49" s="187">
        <f>'CA GDP DATA'!V48</f>
        <v/>
      </c>
      <c r="AA49" s="187">
        <f>'CA GDP DATA'!W48</f>
        <v/>
      </c>
      <c r="AB49" s="187">
        <f>'CA GDP DATA'!X48</f>
        <v/>
      </c>
      <c r="AC49" s="187">
        <f>'CA GDP DATA'!Y48</f>
        <v/>
      </c>
      <c r="AD49" s="187">
        <f>'CA GDP DATA'!Z48</f>
        <v/>
      </c>
      <c r="AE49" s="187">
        <f>'CA GDP DATA'!AA48</f>
        <v/>
      </c>
      <c r="AF49" s="187">
        <f>'CA GDP DATA'!AB48</f>
        <v/>
      </c>
      <c r="AG49" s="187">
        <f>'CA GDP DATA'!AC48</f>
        <v/>
      </c>
      <c r="AH49" s="187">
        <f>'CA GDP DATA'!AD48</f>
        <v/>
      </c>
      <c r="AI49" s="187">
        <f>'CA GDP DATA'!AE48</f>
        <v/>
      </c>
      <c r="AJ49" s="187">
        <f>'CA GDP DATA'!AF48</f>
        <v/>
      </c>
      <c r="AK49" s="187">
        <f>'CA GDP DATA'!AG48</f>
        <v/>
      </c>
      <c r="AL49" s="187">
        <f>'CA GDP DATA'!AH48</f>
        <v/>
      </c>
      <c r="AM49" s="187">
        <f>'CA GDP DATA'!AI48</f>
        <v/>
      </c>
      <c r="AN49" s="187">
        <f>'CA GDP DATA'!AJ48</f>
        <v/>
      </c>
      <c r="AO49" s="187">
        <f>'CA GDP DATA'!AK48</f>
        <v/>
      </c>
      <c r="AP49" s="187">
        <f>'CA GDP DATA'!AL48</f>
        <v/>
      </c>
      <c r="AQ49" s="187">
        <f>'CA GDP DATA'!AM48</f>
        <v/>
      </c>
      <c r="AR49" s="187">
        <f>'CA GDP DATA'!AN48</f>
        <v/>
      </c>
      <c r="AS49" s="187">
        <f>'CA GDP DATA'!AO48</f>
        <v/>
      </c>
      <c r="AT49" s="187">
        <f>'CA GDP DATA'!AP48</f>
        <v/>
      </c>
      <c r="AU49" s="187">
        <f>'CA GDP DATA'!AQ48</f>
        <v/>
      </c>
      <c r="AV49" s="187">
        <f>'CA GDP DATA'!AR48</f>
        <v/>
      </c>
      <c r="AW49" s="187">
        <f>'CA GDP DATA'!AS48</f>
        <v/>
      </c>
      <c r="AX49" s="187">
        <f>'CA GDP DATA'!AT48</f>
        <v/>
      </c>
    </row>
    <row r="50" ht="21" customHeight="1">
      <c r="E50" s="238" t="inlineStr">
        <is>
          <t>EUR CHF</t>
        </is>
      </c>
      <c r="F50" s="187">
        <f>'CA GDP DATA'!B49</f>
        <v/>
      </c>
      <c r="G50" s="187">
        <f>'CA GDP DATA'!C49</f>
        <v/>
      </c>
      <c r="H50" s="187">
        <f>'CA GDP DATA'!D49</f>
        <v/>
      </c>
      <c r="I50" s="187">
        <f>'CA GDP DATA'!E49</f>
        <v/>
      </c>
      <c r="J50" s="187">
        <f>'CA GDP DATA'!F49</f>
        <v/>
      </c>
      <c r="K50" s="187">
        <f>'CA GDP DATA'!G49</f>
        <v/>
      </c>
      <c r="L50" s="187">
        <f>'CA GDP DATA'!H49</f>
        <v/>
      </c>
      <c r="M50" s="187">
        <f>'CA GDP DATA'!I49</f>
        <v/>
      </c>
      <c r="N50" s="187">
        <f>'CA GDP DATA'!J49</f>
        <v/>
      </c>
      <c r="O50" s="187">
        <f>'CA GDP DATA'!K49</f>
        <v/>
      </c>
      <c r="P50" s="187">
        <f>'CA GDP DATA'!L49</f>
        <v/>
      </c>
      <c r="Q50" s="187">
        <f>'CA GDP DATA'!M49</f>
        <v/>
      </c>
      <c r="R50" s="187">
        <f>'CA GDP DATA'!N49</f>
        <v/>
      </c>
      <c r="S50" s="187">
        <f>'CA GDP DATA'!O49</f>
        <v/>
      </c>
      <c r="T50" s="187">
        <f>'CA GDP DATA'!P49</f>
        <v/>
      </c>
      <c r="U50" s="187">
        <f>'CA GDP DATA'!Q49</f>
        <v/>
      </c>
      <c r="V50" s="187">
        <f>'CA GDP DATA'!R49</f>
        <v/>
      </c>
      <c r="W50" s="187">
        <f>'CA GDP DATA'!S49</f>
        <v/>
      </c>
      <c r="X50" s="187">
        <f>'CA GDP DATA'!T49</f>
        <v/>
      </c>
      <c r="Y50" s="187">
        <f>'CA GDP DATA'!U49</f>
        <v/>
      </c>
      <c r="Z50" s="187">
        <f>'CA GDP DATA'!V49</f>
        <v/>
      </c>
      <c r="AA50" s="187">
        <f>'CA GDP DATA'!W49</f>
        <v/>
      </c>
      <c r="AB50" s="187">
        <f>'CA GDP DATA'!X49</f>
        <v/>
      </c>
      <c r="AC50" s="187">
        <f>'CA GDP DATA'!Y49</f>
        <v/>
      </c>
      <c r="AD50" s="187">
        <f>'CA GDP DATA'!Z49</f>
        <v/>
      </c>
      <c r="AE50" s="187">
        <f>'CA GDP DATA'!AA49</f>
        <v/>
      </c>
      <c r="AF50" s="187">
        <f>'CA GDP DATA'!AB49</f>
        <v/>
      </c>
      <c r="AG50" s="187">
        <f>'CA GDP DATA'!AC49</f>
        <v/>
      </c>
      <c r="AH50" s="187">
        <f>'CA GDP DATA'!AD49</f>
        <v/>
      </c>
      <c r="AI50" s="187">
        <f>'CA GDP DATA'!AE49</f>
        <v/>
      </c>
      <c r="AJ50" s="187">
        <f>'CA GDP DATA'!AF49</f>
        <v/>
      </c>
      <c r="AK50" s="187">
        <f>'CA GDP DATA'!AG49</f>
        <v/>
      </c>
      <c r="AL50" s="187">
        <f>'CA GDP DATA'!AH49</f>
        <v/>
      </c>
      <c r="AM50" s="187">
        <f>'CA GDP DATA'!AI49</f>
        <v/>
      </c>
      <c r="AN50" s="187">
        <f>'CA GDP DATA'!AJ49</f>
        <v/>
      </c>
      <c r="AO50" s="187">
        <f>'CA GDP DATA'!AK49</f>
        <v/>
      </c>
      <c r="AP50" s="187">
        <f>'CA GDP DATA'!AL49</f>
        <v/>
      </c>
      <c r="AQ50" s="187">
        <f>'CA GDP DATA'!AM49</f>
        <v/>
      </c>
      <c r="AR50" s="187">
        <f>'CA GDP DATA'!AN49</f>
        <v/>
      </c>
      <c r="AS50" s="187">
        <f>'CA GDP DATA'!AO49</f>
        <v/>
      </c>
      <c r="AT50" s="187">
        <f>'CA GDP DATA'!AP49</f>
        <v/>
      </c>
      <c r="AU50" s="187">
        <f>'CA GDP DATA'!AQ49</f>
        <v/>
      </c>
      <c r="AV50" s="187">
        <f>'CA GDP DATA'!AR49</f>
        <v/>
      </c>
      <c r="AW50" s="187">
        <f>'CA GDP DATA'!AS49</f>
        <v/>
      </c>
      <c r="AX50" s="187">
        <f>'CA GDP DATA'!AT49</f>
        <v/>
      </c>
    </row>
    <row r="51" ht="21" customHeight="1">
      <c r="E51" s="238" t="inlineStr">
        <is>
          <t>EUR GBP</t>
        </is>
      </c>
      <c r="F51" s="187">
        <f>'CA GDP DATA'!B50</f>
        <v/>
      </c>
      <c r="G51" s="187">
        <f>'CA GDP DATA'!C50</f>
        <v/>
      </c>
      <c r="H51" s="187">
        <f>'CA GDP DATA'!D50</f>
        <v/>
      </c>
      <c r="I51" s="187">
        <f>'CA GDP DATA'!E50</f>
        <v/>
      </c>
      <c r="J51" s="187">
        <f>'CA GDP DATA'!F50</f>
        <v/>
      </c>
      <c r="K51" s="187">
        <f>'CA GDP DATA'!G50</f>
        <v/>
      </c>
      <c r="L51" s="187">
        <f>'CA GDP DATA'!H50</f>
        <v/>
      </c>
      <c r="M51" s="187">
        <f>'CA GDP DATA'!I50</f>
        <v/>
      </c>
      <c r="N51" s="187">
        <f>'CA GDP DATA'!J50</f>
        <v/>
      </c>
      <c r="O51" s="187">
        <f>'CA GDP DATA'!K50</f>
        <v/>
      </c>
      <c r="P51" s="187">
        <f>'CA GDP DATA'!L50</f>
        <v/>
      </c>
      <c r="Q51" s="187">
        <f>'CA GDP DATA'!M50</f>
        <v/>
      </c>
      <c r="R51" s="187">
        <f>'CA GDP DATA'!N50</f>
        <v/>
      </c>
      <c r="S51" s="187">
        <f>'CA GDP DATA'!O50</f>
        <v/>
      </c>
      <c r="T51" s="187">
        <f>'CA GDP DATA'!P50</f>
        <v/>
      </c>
      <c r="U51" s="187">
        <f>'CA GDP DATA'!Q50</f>
        <v/>
      </c>
      <c r="V51" s="187">
        <f>'CA GDP DATA'!R50</f>
        <v/>
      </c>
      <c r="W51" s="187">
        <f>'CA GDP DATA'!S50</f>
        <v/>
      </c>
      <c r="X51" s="187">
        <f>'CA GDP DATA'!T50</f>
        <v/>
      </c>
      <c r="Y51" s="187">
        <f>'CA GDP DATA'!U50</f>
        <v/>
      </c>
      <c r="Z51" s="187">
        <f>'CA GDP DATA'!V50</f>
        <v/>
      </c>
      <c r="AA51" s="187">
        <f>'CA GDP DATA'!W50</f>
        <v/>
      </c>
      <c r="AB51" s="187">
        <f>'CA GDP DATA'!X50</f>
        <v/>
      </c>
      <c r="AC51" s="187">
        <f>'CA GDP DATA'!Y50</f>
        <v/>
      </c>
      <c r="AD51" s="187">
        <f>'CA GDP DATA'!Z50</f>
        <v/>
      </c>
      <c r="AE51" s="187">
        <f>'CA GDP DATA'!AA50</f>
        <v/>
      </c>
      <c r="AF51" s="187">
        <f>'CA GDP DATA'!AB50</f>
        <v/>
      </c>
      <c r="AG51" s="187">
        <f>'CA GDP DATA'!AC50</f>
        <v/>
      </c>
      <c r="AH51" s="187">
        <f>'CA GDP DATA'!AD50</f>
        <v/>
      </c>
      <c r="AI51" s="187">
        <f>'CA GDP DATA'!AE50</f>
        <v/>
      </c>
      <c r="AJ51" s="187">
        <f>'CA GDP DATA'!AF50</f>
        <v/>
      </c>
      <c r="AK51" s="187">
        <f>'CA GDP DATA'!AG50</f>
        <v/>
      </c>
      <c r="AL51" s="187">
        <f>'CA GDP DATA'!AH50</f>
        <v/>
      </c>
      <c r="AM51" s="187">
        <f>'CA GDP DATA'!AI50</f>
        <v/>
      </c>
      <c r="AN51" s="187">
        <f>'CA GDP DATA'!AJ50</f>
        <v/>
      </c>
      <c r="AO51" s="187">
        <f>'CA GDP DATA'!AK50</f>
        <v/>
      </c>
      <c r="AP51" s="187">
        <f>'CA GDP DATA'!AL50</f>
        <v/>
      </c>
      <c r="AQ51" s="187">
        <f>'CA GDP DATA'!AM50</f>
        <v/>
      </c>
      <c r="AR51" s="187">
        <f>'CA GDP DATA'!AN50</f>
        <v/>
      </c>
      <c r="AS51" s="187">
        <f>'CA GDP DATA'!AO50</f>
        <v/>
      </c>
      <c r="AT51" s="187">
        <f>'CA GDP DATA'!AP50</f>
        <v/>
      </c>
      <c r="AU51" s="187">
        <f>'CA GDP DATA'!AQ50</f>
        <v/>
      </c>
      <c r="AV51" s="187">
        <f>'CA GDP DATA'!AR50</f>
        <v/>
      </c>
      <c r="AW51" s="187">
        <f>'CA GDP DATA'!AS50</f>
        <v/>
      </c>
      <c r="AX51" s="187">
        <f>'CA GDP DATA'!AT50</f>
        <v/>
      </c>
    </row>
    <row r="52" ht="21" customHeight="1">
      <c r="E52" s="239" t="inlineStr">
        <is>
          <t>EUR CAD</t>
        </is>
      </c>
      <c r="F52" s="187">
        <f>'CA GDP DATA'!B51</f>
        <v/>
      </c>
      <c r="G52" s="187">
        <f>'CA GDP DATA'!C51</f>
        <v/>
      </c>
      <c r="H52" s="187">
        <f>'CA GDP DATA'!D51</f>
        <v/>
      </c>
      <c r="I52" s="187">
        <f>'CA GDP DATA'!E51</f>
        <v/>
      </c>
      <c r="J52" s="187">
        <f>'CA GDP DATA'!F51</f>
        <v/>
      </c>
      <c r="K52" s="187">
        <f>'CA GDP DATA'!G51</f>
        <v/>
      </c>
      <c r="L52" s="187">
        <f>'CA GDP DATA'!H51</f>
        <v/>
      </c>
      <c r="M52" s="187">
        <f>'CA GDP DATA'!I51</f>
        <v/>
      </c>
      <c r="N52" s="187">
        <f>'CA GDP DATA'!J51</f>
        <v/>
      </c>
      <c r="O52" s="187">
        <f>'CA GDP DATA'!K51</f>
        <v/>
      </c>
      <c r="P52" s="187">
        <f>'CA GDP DATA'!L51</f>
        <v/>
      </c>
      <c r="Q52" s="187">
        <f>'CA GDP DATA'!M51</f>
        <v/>
      </c>
      <c r="R52" s="187">
        <f>'CA GDP DATA'!N51</f>
        <v/>
      </c>
      <c r="S52" s="187">
        <f>'CA GDP DATA'!O51</f>
        <v/>
      </c>
      <c r="T52" s="187">
        <f>'CA GDP DATA'!P51</f>
        <v/>
      </c>
      <c r="U52" s="187">
        <f>'CA GDP DATA'!Q51</f>
        <v/>
      </c>
      <c r="V52" s="187">
        <f>'CA GDP DATA'!R51</f>
        <v/>
      </c>
      <c r="W52" s="187">
        <f>'CA GDP DATA'!S51</f>
        <v/>
      </c>
      <c r="X52" s="187">
        <f>'CA GDP DATA'!T51</f>
        <v/>
      </c>
      <c r="Y52" s="187">
        <f>'CA GDP DATA'!U51</f>
        <v/>
      </c>
      <c r="Z52" s="187">
        <f>'CA GDP DATA'!V51</f>
        <v/>
      </c>
      <c r="AA52" s="187">
        <f>'CA GDP DATA'!W51</f>
        <v/>
      </c>
      <c r="AB52" s="187">
        <f>'CA GDP DATA'!X51</f>
        <v/>
      </c>
      <c r="AC52" s="187">
        <f>'CA GDP DATA'!Y51</f>
        <v/>
      </c>
      <c r="AD52" s="187">
        <f>'CA GDP DATA'!Z51</f>
        <v/>
      </c>
      <c r="AE52" s="187">
        <f>'CA GDP DATA'!AA51</f>
        <v/>
      </c>
      <c r="AF52" s="187">
        <f>'CA GDP DATA'!AB51</f>
        <v/>
      </c>
      <c r="AG52" s="187">
        <f>'CA GDP DATA'!AC51</f>
        <v/>
      </c>
      <c r="AH52" s="187">
        <f>'CA GDP DATA'!AD51</f>
        <v/>
      </c>
      <c r="AI52" s="187">
        <f>'CA GDP DATA'!AE51</f>
        <v/>
      </c>
      <c r="AJ52" s="187">
        <f>'CA GDP DATA'!AF51</f>
        <v/>
      </c>
      <c r="AK52" s="187">
        <f>'CA GDP DATA'!AG51</f>
        <v/>
      </c>
      <c r="AL52" s="187">
        <f>'CA GDP DATA'!AH51</f>
        <v/>
      </c>
      <c r="AM52" s="187">
        <f>'CA GDP DATA'!AI51</f>
        <v/>
      </c>
      <c r="AN52" s="187">
        <f>'CA GDP DATA'!AJ51</f>
        <v/>
      </c>
      <c r="AO52" s="187">
        <f>'CA GDP DATA'!AK51</f>
        <v/>
      </c>
      <c r="AP52" s="187">
        <f>'CA GDP DATA'!AL51</f>
        <v/>
      </c>
      <c r="AQ52" s="187">
        <f>'CA GDP DATA'!AM51</f>
        <v/>
      </c>
      <c r="AR52" s="187">
        <f>'CA GDP DATA'!AN51</f>
        <v/>
      </c>
      <c r="AS52" s="187">
        <f>'CA GDP DATA'!AO51</f>
        <v/>
      </c>
      <c r="AT52" s="187">
        <f>'CA GDP DATA'!AP51</f>
        <v/>
      </c>
      <c r="AU52" s="187">
        <f>'CA GDP DATA'!AQ51</f>
        <v/>
      </c>
      <c r="AV52" s="187">
        <f>'CA GDP DATA'!AR51</f>
        <v/>
      </c>
      <c r="AW52" s="187">
        <f>'CA GDP DATA'!AS51</f>
        <v/>
      </c>
      <c r="AX52" s="187">
        <f>'CA GDP DATA'!AT51</f>
        <v/>
      </c>
    </row>
    <row r="53" ht="21" customHeight="1">
      <c r="E53" s="238" t="inlineStr">
        <is>
          <t>EUR AUD</t>
        </is>
      </c>
      <c r="F53" s="187">
        <f>'CA GDP DATA'!B52</f>
        <v/>
      </c>
      <c r="G53" s="187">
        <f>'CA GDP DATA'!C52</f>
        <v/>
      </c>
      <c r="H53" s="187">
        <f>'CA GDP DATA'!D52</f>
        <v/>
      </c>
      <c r="I53" s="187">
        <f>'CA GDP DATA'!E52</f>
        <v/>
      </c>
      <c r="J53" s="187">
        <f>'CA GDP DATA'!F52</f>
        <v/>
      </c>
      <c r="K53" s="187">
        <f>'CA GDP DATA'!G52</f>
        <v/>
      </c>
      <c r="L53" s="187">
        <f>'CA GDP DATA'!H52</f>
        <v/>
      </c>
      <c r="M53" s="187">
        <f>'CA GDP DATA'!I52</f>
        <v/>
      </c>
      <c r="N53" s="187">
        <f>'CA GDP DATA'!J52</f>
        <v/>
      </c>
      <c r="O53" s="187">
        <f>'CA GDP DATA'!K52</f>
        <v/>
      </c>
      <c r="P53" s="187">
        <f>'CA GDP DATA'!L52</f>
        <v/>
      </c>
      <c r="Q53" s="187">
        <f>'CA GDP DATA'!M52</f>
        <v/>
      </c>
      <c r="R53" s="187">
        <f>'CA GDP DATA'!N52</f>
        <v/>
      </c>
      <c r="S53" s="187">
        <f>'CA GDP DATA'!O52</f>
        <v/>
      </c>
      <c r="T53" s="187">
        <f>'CA GDP DATA'!P52</f>
        <v/>
      </c>
      <c r="U53" s="187">
        <f>'CA GDP DATA'!Q52</f>
        <v/>
      </c>
      <c r="V53" s="187">
        <f>'CA GDP DATA'!R52</f>
        <v/>
      </c>
      <c r="W53" s="187">
        <f>'CA GDP DATA'!S52</f>
        <v/>
      </c>
      <c r="X53" s="187">
        <f>'CA GDP DATA'!T52</f>
        <v/>
      </c>
      <c r="Y53" s="187">
        <f>'CA GDP DATA'!U52</f>
        <v/>
      </c>
      <c r="Z53" s="187">
        <f>'CA GDP DATA'!V52</f>
        <v/>
      </c>
      <c r="AA53" s="187">
        <f>'CA GDP DATA'!W52</f>
        <v/>
      </c>
      <c r="AB53" s="187">
        <f>'CA GDP DATA'!X52</f>
        <v/>
      </c>
      <c r="AC53" s="187">
        <f>'CA GDP DATA'!Y52</f>
        <v/>
      </c>
      <c r="AD53" s="187">
        <f>'CA GDP DATA'!Z52</f>
        <v/>
      </c>
      <c r="AE53" s="187">
        <f>'CA GDP DATA'!AA52</f>
        <v/>
      </c>
      <c r="AF53" s="187">
        <f>'CA GDP DATA'!AB52</f>
        <v/>
      </c>
      <c r="AG53" s="187">
        <f>'CA GDP DATA'!AC52</f>
        <v/>
      </c>
      <c r="AH53" s="187">
        <f>'CA GDP DATA'!AD52</f>
        <v/>
      </c>
      <c r="AI53" s="187">
        <f>'CA GDP DATA'!AE52</f>
        <v/>
      </c>
      <c r="AJ53" s="187">
        <f>'CA GDP DATA'!AF52</f>
        <v/>
      </c>
      <c r="AK53" s="187">
        <f>'CA GDP DATA'!AG52</f>
        <v/>
      </c>
      <c r="AL53" s="187">
        <f>'CA GDP DATA'!AH52</f>
        <v/>
      </c>
      <c r="AM53" s="187">
        <f>'CA GDP DATA'!AI52</f>
        <v/>
      </c>
      <c r="AN53" s="187">
        <f>'CA GDP DATA'!AJ52</f>
        <v/>
      </c>
      <c r="AO53" s="187">
        <f>'CA GDP DATA'!AK52</f>
        <v/>
      </c>
      <c r="AP53" s="187">
        <f>'CA GDP DATA'!AL52</f>
        <v/>
      </c>
      <c r="AQ53" s="187">
        <f>'CA GDP DATA'!AM52</f>
        <v/>
      </c>
      <c r="AR53" s="187">
        <f>'CA GDP DATA'!AN52</f>
        <v/>
      </c>
      <c r="AS53" s="187">
        <f>'CA GDP DATA'!AO52</f>
        <v/>
      </c>
      <c r="AT53" s="187">
        <f>'CA GDP DATA'!AP52</f>
        <v/>
      </c>
      <c r="AU53" s="187">
        <f>'CA GDP DATA'!AQ52</f>
        <v/>
      </c>
      <c r="AV53" s="187">
        <f>'CA GDP DATA'!AR52</f>
        <v/>
      </c>
      <c r="AW53" s="187">
        <f>'CA GDP DATA'!AS52</f>
        <v/>
      </c>
      <c r="AX53" s="187">
        <f>'CA GDP DATA'!AT52</f>
        <v/>
      </c>
    </row>
    <row r="54" ht="21" customHeight="1">
      <c r="E54" s="239" t="inlineStr">
        <is>
          <t>EUR NZD</t>
        </is>
      </c>
      <c r="F54" s="187">
        <f>'CA GDP DATA'!B53</f>
        <v/>
      </c>
      <c r="G54" s="187">
        <f>'CA GDP DATA'!C53</f>
        <v/>
      </c>
      <c r="H54" s="187">
        <f>'CA GDP DATA'!D53</f>
        <v/>
      </c>
      <c r="I54" s="187">
        <f>'CA GDP DATA'!E53</f>
        <v/>
      </c>
      <c r="J54" s="187">
        <f>'CA GDP DATA'!F53</f>
        <v/>
      </c>
      <c r="K54" s="187">
        <f>'CA GDP DATA'!G53</f>
        <v/>
      </c>
      <c r="L54" s="187">
        <f>'CA GDP DATA'!H53</f>
        <v/>
      </c>
      <c r="M54" s="187">
        <f>'CA GDP DATA'!I53</f>
        <v/>
      </c>
      <c r="N54" s="187">
        <f>'CA GDP DATA'!J53</f>
        <v/>
      </c>
      <c r="O54" s="187">
        <f>'CA GDP DATA'!K53</f>
        <v/>
      </c>
      <c r="P54" s="187">
        <f>'CA GDP DATA'!L53</f>
        <v/>
      </c>
      <c r="Q54" s="187">
        <f>'CA GDP DATA'!M53</f>
        <v/>
      </c>
      <c r="R54" s="187">
        <f>'CA GDP DATA'!N53</f>
        <v/>
      </c>
      <c r="S54" s="187">
        <f>'CA GDP DATA'!O53</f>
        <v/>
      </c>
      <c r="T54" s="187">
        <f>'CA GDP DATA'!P53</f>
        <v/>
      </c>
      <c r="U54" s="187">
        <f>'CA GDP DATA'!Q53</f>
        <v/>
      </c>
      <c r="V54" s="187">
        <f>'CA GDP DATA'!R53</f>
        <v/>
      </c>
      <c r="W54" s="187">
        <f>'CA GDP DATA'!S53</f>
        <v/>
      </c>
      <c r="X54" s="187">
        <f>'CA GDP DATA'!T53</f>
        <v/>
      </c>
      <c r="Y54" s="187">
        <f>'CA GDP DATA'!U53</f>
        <v/>
      </c>
      <c r="Z54" s="187">
        <f>'CA GDP DATA'!V53</f>
        <v/>
      </c>
      <c r="AA54" s="187">
        <f>'CA GDP DATA'!W53</f>
        <v/>
      </c>
      <c r="AB54" s="187">
        <f>'CA GDP DATA'!X53</f>
        <v/>
      </c>
      <c r="AC54" s="187">
        <f>'CA GDP DATA'!Y53</f>
        <v/>
      </c>
      <c r="AD54" s="187">
        <f>'CA GDP DATA'!Z53</f>
        <v/>
      </c>
      <c r="AE54" s="187">
        <f>'CA GDP DATA'!AA53</f>
        <v/>
      </c>
      <c r="AF54" s="187">
        <f>'CA GDP DATA'!AB53</f>
        <v/>
      </c>
      <c r="AG54" s="187">
        <f>'CA GDP DATA'!AC53</f>
        <v/>
      </c>
      <c r="AH54" s="187">
        <f>'CA GDP DATA'!AD53</f>
        <v/>
      </c>
      <c r="AI54" s="187">
        <f>'CA GDP DATA'!AE53</f>
        <v/>
      </c>
      <c r="AJ54" s="187">
        <f>'CA GDP DATA'!AF53</f>
        <v/>
      </c>
      <c r="AK54" s="187">
        <f>'CA GDP DATA'!AG53</f>
        <v/>
      </c>
      <c r="AL54" s="187">
        <f>'CA GDP DATA'!AH53</f>
        <v/>
      </c>
      <c r="AM54" s="187">
        <f>'CA GDP DATA'!AI53</f>
        <v/>
      </c>
      <c r="AN54" s="187">
        <f>'CA GDP DATA'!AJ53</f>
        <v/>
      </c>
      <c r="AO54" s="187">
        <f>'CA GDP DATA'!AK53</f>
        <v/>
      </c>
      <c r="AP54" s="187">
        <f>'CA GDP DATA'!AL53</f>
        <v/>
      </c>
      <c r="AQ54" s="187">
        <f>'CA GDP DATA'!AM53</f>
        <v/>
      </c>
      <c r="AR54" s="187">
        <f>'CA GDP DATA'!AN53</f>
        <v/>
      </c>
      <c r="AS54" s="187">
        <f>'CA GDP DATA'!AO53</f>
        <v/>
      </c>
      <c r="AT54" s="187">
        <f>'CA GDP DATA'!AP53</f>
        <v/>
      </c>
      <c r="AU54" s="187">
        <f>'CA GDP DATA'!AQ53</f>
        <v/>
      </c>
      <c r="AV54" s="187">
        <f>'CA GDP DATA'!AR53</f>
        <v/>
      </c>
      <c r="AW54" s="187">
        <f>'CA GDP DATA'!AS53</f>
        <v/>
      </c>
      <c r="AX54" s="187">
        <f>'CA GDP DATA'!AT53</f>
        <v/>
      </c>
    </row>
    <row r="55" ht="21" customHeight="1">
      <c r="E55" s="240" t="inlineStr">
        <is>
          <t>GBP USD</t>
        </is>
      </c>
      <c r="F55" s="187">
        <f>'CA GDP DATA'!B54</f>
        <v/>
      </c>
      <c r="G55" s="187">
        <f>'CA GDP DATA'!C54</f>
        <v/>
      </c>
      <c r="H55" s="187">
        <f>'CA GDP DATA'!D54</f>
        <v/>
      </c>
      <c r="I55" s="187">
        <f>'CA GDP DATA'!E54</f>
        <v/>
      </c>
      <c r="J55" s="187">
        <f>'CA GDP DATA'!F54</f>
        <v/>
      </c>
      <c r="K55" s="187">
        <f>'CA GDP DATA'!G54</f>
        <v/>
      </c>
      <c r="L55" s="187">
        <f>'CA GDP DATA'!H54</f>
        <v/>
      </c>
      <c r="M55" s="187">
        <f>'CA GDP DATA'!I54</f>
        <v/>
      </c>
      <c r="N55" s="187">
        <f>'CA GDP DATA'!J54</f>
        <v/>
      </c>
      <c r="O55" s="187">
        <f>'CA GDP DATA'!K54</f>
        <v/>
      </c>
      <c r="P55" s="187">
        <f>'CA GDP DATA'!L54</f>
        <v/>
      </c>
      <c r="Q55" s="187">
        <f>'CA GDP DATA'!M54</f>
        <v/>
      </c>
      <c r="R55" s="187">
        <f>'CA GDP DATA'!N54</f>
        <v/>
      </c>
      <c r="S55" s="187">
        <f>'CA GDP DATA'!O54</f>
        <v/>
      </c>
      <c r="T55" s="187">
        <f>'CA GDP DATA'!P54</f>
        <v/>
      </c>
      <c r="U55" s="187">
        <f>'CA GDP DATA'!Q54</f>
        <v/>
      </c>
      <c r="V55" s="187">
        <f>'CA GDP DATA'!R54</f>
        <v/>
      </c>
      <c r="W55" s="187">
        <f>'CA GDP DATA'!S54</f>
        <v/>
      </c>
      <c r="X55" s="187">
        <f>'CA GDP DATA'!T54</f>
        <v/>
      </c>
      <c r="Y55" s="187">
        <f>'CA GDP DATA'!U54</f>
        <v/>
      </c>
      <c r="Z55" s="187">
        <f>'CA GDP DATA'!V54</f>
        <v/>
      </c>
      <c r="AA55" s="187">
        <f>'CA GDP DATA'!W54</f>
        <v/>
      </c>
      <c r="AB55" s="187">
        <f>'CA GDP DATA'!X54</f>
        <v/>
      </c>
      <c r="AC55" s="187">
        <f>'CA GDP DATA'!Y54</f>
        <v/>
      </c>
      <c r="AD55" s="187">
        <f>'CA GDP DATA'!Z54</f>
        <v/>
      </c>
      <c r="AE55" s="187">
        <f>'CA GDP DATA'!AA54</f>
        <v/>
      </c>
      <c r="AF55" s="187">
        <f>'CA GDP DATA'!AB54</f>
        <v/>
      </c>
      <c r="AG55" s="187">
        <f>'CA GDP DATA'!AC54</f>
        <v/>
      </c>
      <c r="AH55" s="187">
        <f>'CA GDP DATA'!AD54</f>
        <v/>
      </c>
      <c r="AI55" s="187">
        <f>'CA GDP DATA'!AE54</f>
        <v/>
      </c>
      <c r="AJ55" s="187">
        <f>'CA GDP DATA'!AF54</f>
        <v/>
      </c>
      <c r="AK55" s="187">
        <f>'CA GDP DATA'!AG54</f>
        <v/>
      </c>
      <c r="AL55" s="187">
        <f>'CA GDP DATA'!AH54</f>
        <v/>
      </c>
      <c r="AM55" s="187">
        <f>'CA GDP DATA'!AI54</f>
        <v/>
      </c>
      <c r="AN55" s="187">
        <f>'CA GDP DATA'!AJ54</f>
        <v/>
      </c>
      <c r="AO55" s="187">
        <f>'CA GDP DATA'!AK54</f>
        <v/>
      </c>
      <c r="AP55" s="187">
        <f>'CA GDP DATA'!AL54</f>
        <v/>
      </c>
      <c r="AQ55" s="187">
        <f>'CA GDP DATA'!AM54</f>
        <v/>
      </c>
      <c r="AR55" s="187">
        <f>'CA GDP DATA'!AN54</f>
        <v/>
      </c>
      <c r="AS55" s="187">
        <f>'CA GDP DATA'!AO54</f>
        <v/>
      </c>
      <c r="AT55" s="187">
        <f>'CA GDP DATA'!AP54</f>
        <v/>
      </c>
      <c r="AU55" s="187">
        <f>'CA GDP DATA'!AQ54</f>
        <v/>
      </c>
      <c r="AV55" s="187">
        <f>'CA GDP DATA'!AR54</f>
        <v/>
      </c>
      <c r="AW55" s="187">
        <f>'CA GDP DATA'!AS54</f>
        <v/>
      </c>
      <c r="AX55" s="187">
        <f>'CA GDP DATA'!AT54</f>
        <v/>
      </c>
    </row>
    <row r="56" ht="21" customHeight="1">
      <c r="E56" s="240" t="inlineStr">
        <is>
          <t>GBP JPY</t>
        </is>
      </c>
      <c r="F56" s="187">
        <f>'CA GDP DATA'!B55</f>
        <v/>
      </c>
      <c r="G56" s="187">
        <f>'CA GDP DATA'!C55</f>
        <v/>
      </c>
      <c r="H56" s="187">
        <f>'CA GDP DATA'!D55</f>
        <v/>
      </c>
      <c r="I56" s="187">
        <f>'CA GDP DATA'!E55</f>
        <v/>
      </c>
      <c r="J56" s="187">
        <f>'CA GDP DATA'!F55</f>
        <v/>
      </c>
      <c r="K56" s="187">
        <f>'CA GDP DATA'!G55</f>
        <v/>
      </c>
      <c r="L56" s="187">
        <f>'CA GDP DATA'!H55</f>
        <v/>
      </c>
      <c r="M56" s="187">
        <f>'CA GDP DATA'!I55</f>
        <v/>
      </c>
      <c r="N56" s="187">
        <f>'CA GDP DATA'!J55</f>
        <v/>
      </c>
      <c r="O56" s="187">
        <f>'CA GDP DATA'!K55</f>
        <v/>
      </c>
      <c r="P56" s="187">
        <f>'CA GDP DATA'!L55</f>
        <v/>
      </c>
      <c r="Q56" s="187">
        <f>'CA GDP DATA'!M55</f>
        <v/>
      </c>
      <c r="R56" s="187">
        <f>'CA GDP DATA'!N55</f>
        <v/>
      </c>
      <c r="S56" s="187">
        <f>'CA GDP DATA'!O55</f>
        <v/>
      </c>
      <c r="T56" s="187">
        <f>'CA GDP DATA'!P55</f>
        <v/>
      </c>
      <c r="U56" s="187">
        <f>'CA GDP DATA'!Q55</f>
        <v/>
      </c>
      <c r="V56" s="187">
        <f>'CA GDP DATA'!R55</f>
        <v/>
      </c>
      <c r="W56" s="187">
        <f>'CA GDP DATA'!S55</f>
        <v/>
      </c>
      <c r="X56" s="187">
        <f>'CA GDP DATA'!T55</f>
        <v/>
      </c>
      <c r="Y56" s="187">
        <f>'CA GDP DATA'!U55</f>
        <v/>
      </c>
      <c r="Z56" s="187">
        <f>'CA GDP DATA'!V55</f>
        <v/>
      </c>
      <c r="AA56" s="187">
        <f>'CA GDP DATA'!W55</f>
        <v/>
      </c>
      <c r="AB56" s="187">
        <f>'CA GDP DATA'!X55</f>
        <v/>
      </c>
      <c r="AC56" s="187">
        <f>'CA GDP DATA'!Y55</f>
        <v/>
      </c>
      <c r="AD56" s="187">
        <f>'CA GDP DATA'!Z55</f>
        <v/>
      </c>
      <c r="AE56" s="187">
        <f>'CA GDP DATA'!AA55</f>
        <v/>
      </c>
      <c r="AF56" s="187">
        <f>'CA GDP DATA'!AB55</f>
        <v/>
      </c>
      <c r="AG56" s="187">
        <f>'CA GDP DATA'!AC55</f>
        <v/>
      </c>
      <c r="AH56" s="187">
        <f>'CA GDP DATA'!AD55</f>
        <v/>
      </c>
      <c r="AI56" s="187">
        <f>'CA GDP DATA'!AE55</f>
        <v/>
      </c>
      <c r="AJ56" s="187">
        <f>'CA GDP DATA'!AF55</f>
        <v/>
      </c>
      <c r="AK56" s="187">
        <f>'CA GDP DATA'!AG55</f>
        <v/>
      </c>
      <c r="AL56" s="187">
        <f>'CA GDP DATA'!AH55</f>
        <v/>
      </c>
      <c r="AM56" s="187">
        <f>'CA GDP DATA'!AI55</f>
        <v/>
      </c>
      <c r="AN56" s="187">
        <f>'CA GDP DATA'!AJ55</f>
        <v/>
      </c>
      <c r="AO56" s="187">
        <f>'CA GDP DATA'!AK55</f>
        <v/>
      </c>
      <c r="AP56" s="187">
        <f>'CA GDP DATA'!AL55</f>
        <v/>
      </c>
      <c r="AQ56" s="187">
        <f>'CA GDP DATA'!AM55</f>
        <v/>
      </c>
      <c r="AR56" s="187">
        <f>'CA GDP DATA'!AN55</f>
        <v/>
      </c>
      <c r="AS56" s="187">
        <f>'CA GDP DATA'!AO55</f>
        <v/>
      </c>
      <c r="AT56" s="187">
        <f>'CA GDP DATA'!AP55</f>
        <v/>
      </c>
      <c r="AU56" s="187">
        <f>'CA GDP DATA'!AQ55</f>
        <v/>
      </c>
      <c r="AV56" s="187">
        <f>'CA GDP DATA'!AR55</f>
        <v/>
      </c>
      <c r="AW56" s="187">
        <f>'CA GDP DATA'!AS55</f>
        <v/>
      </c>
      <c r="AX56" s="187">
        <f>'CA GDP DATA'!AT55</f>
        <v/>
      </c>
    </row>
    <row r="57" ht="21" customHeight="1">
      <c r="E57" s="240" t="inlineStr">
        <is>
          <t>GBP CHF</t>
        </is>
      </c>
      <c r="F57" s="187">
        <f>'CA GDP DATA'!B56</f>
        <v/>
      </c>
      <c r="G57" s="187">
        <f>'CA GDP DATA'!C56</f>
        <v/>
      </c>
      <c r="H57" s="187">
        <f>'CA GDP DATA'!D56</f>
        <v/>
      </c>
      <c r="I57" s="187">
        <f>'CA GDP DATA'!E56</f>
        <v/>
      </c>
      <c r="J57" s="187">
        <f>'CA GDP DATA'!F56</f>
        <v/>
      </c>
      <c r="K57" s="187">
        <f>'CA GDP DATA'!G56</f>
        <v/>
      </c>
      <c r="L57" s="187">
        <f>'CA GDP DATA'!H56</f>
        <v/>
      </c>
      <c r="M57" s="187">
        <f>'CA GDP DATA'!I56</f>
        <v/>
      </c>
      <c r="N57" s="187">
        <f>'CA GDP DATA'!J56</f>
        <v/>
      </c>
      <c r="O57" s="187">
        <f>'CA GDP DATA'!K56</f>
        <v/>
      </c>
      <c r="P57" s="187">
        <f>'CA GDP DATA'!L56</f>
        <v/>
      </c>
      <c r="Q57" s="187">
        <f>'CA GDP DATA'!M56</f>
        <v/>
      </c>
      <c r="R57" s="187">
        <f>'CA GDP DATA'!N56</f>
        <v/>
      </c>
      <c r="S57" s="187">
        <f>'CA GDP DATA'!O56</f>
        <v/>
      </c>
      <c r="T57" s="187">
        <f>'CA GDP DATA'!P56</f>
        <v/>
      </c>
      <c r="U57" s="187">
        <f>'CA GDP DATA'!Q56</f>
        <v/>
      </c>
      <c r="V57" s="187">
        <f>'CA GDP DATA'!R56</f>
        <v/>
      </c>
      <c r="W57" s="187">
        <f>'CA GDP DATA'!S56</f>
        <v/>
      </c>
      <c r="X57" s="187">
        <f>'CA GDP DATA'!T56</f>
        <v/>
      </c>
      <c r="Y57" s="187">
        <f>'CA GDP DATA'!U56</f>
        <v/>
      </c>
      <c r="Z57" s="187">
        <f>'CA GDP DATA'!V56</f>
        <v/>
      </c>
      <c r="AA57" s="187">
        <f>'CA GDP DATA'!W56</f>
        <v/>
      </c>
      <c r="AB57" s="187">
        <f>'CA GDP DATA'!X56</f>
        <v/>
      </c>
      <c r="AC57" s="187">
        <f>'CA GDP DATA'!Y56</f>
        <v/>
      </c>
      <c r="AD57" s="187">
        <f>'CA GDP DATA'!Z56</f>
        <v/>
      </c>
      <c r="AE57" s="187">
        <f>'CA GDP DATA'!AA56</f>
        <v/>
      </c>
      <c r="AF57" s="187">
        <f>'CA GDP DATA'!AB56</f>
        <v/>
      </c>
      <c r="AG57" s="187">
        <f>'CA GDP DATA'!AC56</f>
        <v/>
      </c>
      <c r="AH57" s="187">
        <f>'CA GDP DATA'!AD56</f>
        <v/>
      </c>
      <c r="AI57" s="187">
        <f>'CA GDP DATA'!AE56</f>
        <v/>
      </c>
      <c r="AJ57" s="187">
        <f>'CA GDP DATA'!AF56</f>
        <v/>
      </c>
      <c r="AK57" s="187">
        <f>'CA GDP DATA'!AG56</f>
        <v/>
      </c>
      <c r="AL57" s="187">
        <f>'CA GDP DATA'!AH56</f>
        <v/>
      </c>
      <c r="AM57" s="187">
        <f>'CA GDP DATA'!AI56</f>
        <v/>
      </c>
      <c r="AN57" s="187">
        <f>'CA GDP DATA'!AJ56</f>
        <v/>
      </c>
      <c r="AO57" s="187">
        <f>'CA GDP DATA'!AK56</f>
        <v/>
      </c>
      <c r="AP57" s="187">
        <f>'CA GDP DATA'!AL56</f>
        <v/>
      </c>
      <c r="AQ57" s="187">
        <f>'CA GDP DATA'!AM56</f>
        <v/>
      </c>
      <c r="AR57" s="187">
        <f>'CA GDP DATA'!AN56</f>
        <v/>
      </c>
      <c r="AS57" s="187">
        <f>'CA GDP DATA'!AO56</f>
        <v/>
      </c>
      <c r="AT57" s="187">
        <f>'CA GDP DATA'!AP56</f>
        <v/>
      </c>
      <c r="AU57" s="187">
        <f>'CA GDP DATA'!AQ56</f>
        <v/>
      </c>
      <c r="AV57" s="187">
        <f>'CA GDP DATA'!AR56</f>
        <v/>
      </c>
      <c r="AW57" s="187">
        <f>'CA GDP DATA'!AS56</f>
        <v/>
      </c>
      <c r="AX57" s="187">
        <f>'CA GDP DATA'!AT56</f>
        <v/>
      </c>
    </row>
    <row r="58" ht="21" customHeight="1">
      <c r="E58" s="240" t="inlineStr">
        <is>
          <t>GBP CAD</t>
        </is>
      </c>
      <c r="F58" s="187">
        <f>'CA GDP DATA'!B57</f>
        <v/>
      </c>
      <c r="G58" s="187">
        <f>'CA GDP DATA'!C57</f>
        <v/>
      </c>
      <c r="H58" s="187">
        <f>'CA GDP DATA'!D57</f>
        <v/>
      </c>
      <c r="I58" s="187">
        <f>'CA GDP DATA'!E57</f>
        <v/>
      </c>
      <c r="J58" s="187">
        <f>'CA GDP DATA'!F57</f>
        <v/>
      </c>
      <c r="K58" s="187">
        <f>'CA GDP DATA'!G57</f>
        <v/>
      </c>
      <c r="L58" s="187">
        <f>'CA GDP DATA'!H57</f>
        <v/>
      </c>
      <c r="M58" s="187">
        <f>'CA GDP DATA'!I57</f>
        <v/>
      </c>
      <c r="N58" s="187">
        <f>'CA GDP DATA'!J57</f>
        <v/>
      </c>
      <c r="O58" s="187">
        <f>'CA GDP DATA'!K57</f>
        <v/>
      </c>
      <c r="P58" s="187">
        <f>'CA GDP DATA'!L57</f>
        <v/>
      </c>
      <c r="Q58" s="187">
        <f>'CA GDP DATA'!M57</f>
        <v/>
      </c>
      <c r="R58" s="187">
        <f>'CA GDP DATA'!N57</f>
        <v/>
      </c>
      <c r="S58" s="187">
        <f>'CA GDP DATA'!O57</f>
        <v/>
      </c>
      <c r="T58" s="187">
        <f>'CA GDP DATA'!P57</f>
        <v/>
      </c>
      <c r="U58" s="187">
        <f>'CA GDP DATA'!Q57</f>
        <v/>
      </c>
      <c r="V58" s="187">
        <f>'CA GDP DATA'!R57</f>
        <v/>
      </c>
      <c r="W58" s="187">
        <f>'CA GDP DATA'!S57</f>
        <v/>
      </c>
      <c r="X58" s="187">
        <f>'CA GDP DATA'!T57</f>
        <v/>
      </c>
      <c r="Y58" s="187">
        <f>'CA GDP DATA'!U57</f>
        <v/>
      </c>
      <c r="Z58" s="187">
        <f>'CA GDP DATA'!V57</f>
        <v/>
      </c>
      <c r="AA58" s="187">
        <f>'CA GDP DATA'!W57</f>
        <v/>
      </c>
      <c r="AB58" s="187">
        <f>'CA GDP DATA'!X57</f>
        <v/>
      </c>
      <c r="AC58" s="187">
        <f>'CA GDP DATA'!Y57</f>
        <v/>
      </c>
      <c r="AD58" s="187">
        <f>'CA GDP DATA'!Z57</f>
        <v/>
      </c>
      <c r="AE58" s="187">
        <f>'CA GDP DATA'!AA57</f>
        <v/>
      </c>
      <c r="AF58" s="187">
        <f>'CA GDP DATA'!AB57</f>
        <v/>
      </c>
      <c r="AG58" s="187">
        <f>'CA GDP DATA'!AC57</f>
        <v/>
      </c>
      <c r="AH58" s="187">
        <f>'CA GDP DATA'!AD57</f>
        <v/>
      </c>
      <c r="AI58" s="187">
        <f>'CA GDP DATA'!AE57</f>
        <v/>
      </c>
      <c r="AJ58" s="187">
        <f>'CA GDP DATA'!AF57</f>
        <v/>
      </c>
      <c r="AK58" s="187">
        <f>'CA GDP DATA'!AG57</f>
        <v/>
      </c>
      <c r="AL58" s="187">
        <f>'CA GDP DATA'!AH57</f>
        <v/>
      </c>
      <c r="AM58" s="187">
        <f>'CA GDP DATA'!AI57</f>
        <v/>
      </c>
      <c r="AN58" s="187">
        <f>'CA GDP DATA'!AJ57</f>
        <v/>
      </c>
      <c r="AO58" s="187">
        <f>'CA GDP DATA'!AK57</f>
        <v/>
      </c>
      <c r="AP58" s="187">
        <f>'CA GDP DATA'!AL57</f>
        <v/>
      </c>
      <c r="AQ58" s="187">
        <f>'CA GDP DATA'!AM57</f>
        <v/>
      </c>
      <c r="AR58" s="187">
        <f>'CA GDP DATA'!AN57</f>
        <v/>
      </c>
      <c r="AS58" s="187">
        <f>'CA GDP DATA'!AO57</f>
        <v/>
      </c>
      <c r="AT58" s="187">
        <f>'CA GDP DATA'!AP57</f>
        <v/>
      </c>
      <c r="AU58" s="187">
        <f>'CA GDP DATA'!AQ57</f>
        <v/>
      </c>
      <c r="AV58" s="187">
        <f>'CA GDP DATA'!AR57</f>
        <v/>
      </c>
      <c r="AW58" s="187">
        <f>'CA GDP DATA'!AS57</f>
        <v/>
      </c>
      <c r="AX58" s="187">
        <f>'CA GDP DATA'!AT57</f>
        <v/>
      </c>
    </row>
    <row r="59" ht="21" customHeight="1">
      <c r="E59" s="240" t="inlineStr">
        <is>
          <t>GBP AUD</t>
        </is>
      </c>
      <c r="F59" s="187">
        <f>'CA GDP DATA'!B58</f>
        <v/>
      </c>
      <c r="G59" s="187">
        <f>'CA GDP DATA'!C58</f>
        <v/>
      </c>
      <c r="H59" s="187">
        <f>'CA GDP DATA'!D58</f>
        <v/>
      </c>
      <c r="I59" s="187">
        <f>'CA GDP DATA'!E58</f>
        <v/>
      </c>
      <c r="J59" s="187">
        <f>'CA GDP DATA'!F58</f>
        <v/>
      </c>
      <c r="K59" s="187">
        <f>'CA GDP DATA'!G58</f>
        <v/>
      </c>
      <c r="L59" s="187">
        <f>'CA GDP DATA'!H58</f>
        <v/>
      </c>
      <c r="M59" s="187">
        <f>'CA GDP DATA'!I58</f>
        <v/>
      </c>
      <c r="N59" s="187">
        <f>'CA GDP DATA'!J58</f>
        <v/>
      </c>
      <c r="O59" s="187">
        <f>'CA GDP DATA'!K58</f>
        <v/>
      </c>
      <c r="P59" s="187">
        <f>'CA GDP DATA'!L58</f>
        <v/>
      </c>
      <c r="Q59" s="187">
        <f>'CA GDP DATA'!M58</f>
        <v/>
      </c>
      <c r="R59" s="187">
        <f>'CA GDP DATA'!N58</f>
        <v/>
      </c>
      <c r="S59" s="187">
        <f>'CA GDP DATA'!O58</f>
        <v/>
      </c>
      <c r="T59" s="187">
        <f>'CA GDP DATA'!P58</f>
        <v/>
      </c>
      <c r="U59" s="187">
        <f>'CA GDP DATA'!Q58</f>
        <v/>
      </c>
      <c r="V59" s="187">
        <f>'CA GDP DATA'!R58</f>
        <v/>
      </c>
      <c r="W59" s="187">
        <f>'CA GDP DATA'!S58</f>
        <v/>
      </c>
      <c r="X59" s="187">
        <f>'CA GDP DATA'!T58</f>
        <v/>
      </c>
      <c r="Y59" s="187">
        <f>'CA GDP DATA'!U58</f>
        <v/>
      </c>
      <c r="Z59" s="187">
        <f>'CA GDP DATA'!V58</f>
        <v/>
      </c>
      <c r="AA59" s="187">
        <f>'CA GDP DATA'!W58</f>
        <v/>
      </c>
      <c r="AB59" s="187">
        <f>'CA GDP DATA'!X58</f>
        <v/>
      </c>
      <c r="AC59" s="187">
        <f>'CA GDP DATA'!Y58</f>
        <v/>
      </c>
      <c r="AD59" s="187">
        <f>'CA GDP DATA'!Z58</f>
        <v/>
      </c>
      <c r="AE59" s="187">
        <f>'CA GDP DATA'!AA58</f>
        <v/>
      </c>
      <c r="AF59" s="187">
        <f>'CA GDP DATA'!AB58</f>
        <v/>
      </c>
      <c r="AG59" s="187">
        <f>'CA GDP DATA'!AC58</f>
        <v/>
      </c>
      <c r="AH59" s="187">
        <f>'CA GDP DATA'!AD58</f>
        <v/>
      </c>
      <c r="AI59" s="187">
        <f>'CA GDP DATA'!AE58</f>
        <v/>
      </c>
      <c r="AJ59" s="187">
        <f>'CA GDP DATA'!AF58</f>
        <v/>
      </c>
      <c r="AK59" s="187">
        <f>'CA GDP DATA'!AG58</f>
        <v/>
      </c>
      <c r="AL59" s="187">
        <f>'CA GDP DATA'!AH58</f>
        <v/>
      </c>
      <c r="AM59" s="187">
        <f>'CA GDP DATA'!AI58</f>
        <v/>
      </c>
      <c r="AN59" s="187">
        <f>'CA GDP DATA'!AJ58</f>
        <v/>
      </c>
      <c r="AO59" s="187">
        <f>'CA GDP DATA'!AK58</f>
        <v/>
      </c>
      <c r="AP59" s="187">
        <f>'CA GDP DATA'!AL58</f>
        <v/>
      </c>
      <c r="AQ59" s="187">
        <f>'CA GDP DATA'!AM58</f>
        <v/>
      </c>
      <c r="AR59" s="187">
        <f>'CA GDP DATA'!AN58</f>
        <v/>
      </c>
      <c r="AS59" s="187">
        <f>'CA GDP DATA'!AO58</f>
        <v/>
      </c>
      <c r="AT59" s="187">
        <f>'CA GDP DATA'!AP58</f>
        <v/>
      </c>
      <c r="AU59" s="187">
        <f>'CA GDP DATA'!AQ58</f>
        <v/>
      </c>
      <c r="AV59" s="187">
        <f>'CA GDP DATA'!AR58</f>
        <v/>
      </c>
      <c r="AW59" s="187">
        <f>'CA GDP DATA'!AS58</f>
        <v/>
      </c>
      <c r="AX59" s="187">
        <f>'CA GDP DATA'!AT58</f>
        <v/>
      </c>
    </row>
    <row r="60" ht="21" customHeight="1">
      <c r="E60" s="241" t="inlineStr">
        <is>
          <t>GBP NZD</t>
        </is>
      </c>
      <c r="F60" s="187">
        <f>'CA GDP DATA'!B59</f>
        <v/>
      </c>
      <c r="G60" s="187">
        <f>'CA GDP DATA'!C59</f>
        <v/>
      </c>
      <c r="H60" s="187">
        <f>'CA GDP DATA'!D59</f>
        <v/>
      </c>
      <c r="I60" s="187">
        <f>'CA GDP DATA'!E59</f>
        <v/>
      </c>
      <c r="J60" s="187">
        <f>'CA GDP DATA'!F59</f>
        <v/>
      </c>
      <c r="K60" s="187">
        <f>'CA GDP DATA'!G59</f>
        <v/>
      </c>
      <c r="L60" s="187">
        <f>'CA GDP DATA'!H59</f>
        <v/>
      </c>
      <c r="M60" s="187">
        <f>'CA GDP DATA'!I59</f>
        <v/>
      </c>
      <c r="N60" s="187">
        <f>'CA GDP DATA'!J59</f>
        <v/>
      </c>
      <c r="O60" s="187">
        <f>'CA GDP DATA'!K59</f>
        <v/>
      </c>
      <c r="P60" s="187">
        <f>'CA GDP DATA'!L59</f>
        <v/>
      </c>
      <c r="Q60" s="187">
        <f>'CA GDP DATA'!M59</f>
        <v/>
      </c>
      <c r="R60" s="187">
        <f>'CA GDP DATA'!N59</f>
        <v/>
      </c>
      <c r="S60" s="187">
        <f>'CA GDP DATA'!O59</f>
        <v/>
      </c>
      <c r="T60" s="187">
        <f>'CA GDP DATA'!P59</f>
        <v/>
      </c>
      <c r="U60" s="187">
        <f>'CA GDP DATA'!Q59</f>
        <v/>
      </c>
      <c r="V60" s="187">
        <f>'CA GDP DATA'!R59</f>
        <v/>
      </c>
      <c r="W60" s="187">
        <f>'CA GDP DATA'!S59</f>
        <v/>
      </c>
      <c r="X60" s="187">
        <f>'CA GDP DATA'!T59</f>
        <v/>
      </c>
      <c r="Y60" s="187">
        <f>'CA GDP DATA'!U59</f>
        <v/>
      </c>
      <c r="Z60" s="187">
        <f>'CA GDP DATA'!V59</f>
        <v/>
      </c>
      <c r="AA60" s="187">
        <f>'CA GDP DATA'!W59</f>
        <v/>
      </c>
      <c r="AB60" s="187">
        <f>'CA GDP DATA'!X59</f>
        <v/>
      </c>
      <c r="AC60" s="187">
        <f>'CA GDP DATA'!Y59</f>
        <v/>
      </c>
      <c r="AD60" s="187">
        <f>'CA GDP DATA'!Z59</f>
        <v/>
      </c>
      <c r="AE60" s="187">
        <f>'CA GDP DATA'!AA59</f>
        <v/>
      </c>
      <c r="AF60" s="187">
        <f>'CA GDP DATA'!AB59</f>
        <v/>
      </c>
      <c r="AG60" s="187">
        <f>'CA GDP DATA'!AC59</f>
        <v/>
      </c>
      <c r="AH60" s="187">
        <f>'CA GDP DATA'!AD59</f>
        <v/>
      </c>
      <c r="AI60" s="187">
        <f>'CA GDP DATA'!AE59</f>
        <v/>
      </c>
      <c r="AJ60" s="187">
        <f>'CA GDP DATA'!AF59</f>
        <v/>
      </c>
      <c r="AK60" s="187">
        <f>'CA GDP DATA'!AG59</f>
        <v/>
      </c>
      <c r="AL60" s="187">
        <f>'CA GDP DATA'!AH59</f>
        <v/>
      </c>
      <c r="AM60" s="187">
        <f>'CA GDP DATA'!AI59</f>
        <v/>
      </c>
      <c r="AN60" s="187">
        <f>'CA GDP DATA'!AJ59</f>
        <v/>
      </c>
      <c r="AO60" s="187">
        <f>'CA GDP DATA'!AK59</f>
        <v/>
      </c>
      <c r="AP60" s="187">
        <f>'CA GDP DATA'!AL59</f>
        <v/>
      </c>
      <c r="AQ60" s="187">
        <f>'CA GDP DATA'!AM59</f>
        <v/>
      </c>
      <c r="AR60" s="187">
        <f>'CA GDP DATA'!AN59</f>
        <v/>
      </c>
      <c r="AS60" s="187">
        <f>'CA GDP DATA'!AO59</f>
        <v/>
      </c>
      <c r="AT60" s="187">
        <f>'CA GDP DATA'!AP59</f>
        <v/>
      </c>
      <c r="AU60" s="187">
        <f>'CA GDP DATA'!AQ59</f>
        <v/>
      </c>
      <c r="AV60" s="187">
        <f>'CA GDP DATA'!AR59</f>
        <v/>
      </c>
      <c r="AW60" s="187">
        <f>'CA GDP DATA'!AS59</f>
        <v/>
      </c>
      <c r="AX60" s="187">
        <f>'CA GDP DATA'!AT59</f>
        <v/>
      </c>
    </row>
    <row r="61" ht="21" customHeight="1">
      <c r="E61" s="242" t="inlineStr">
        <is>
          <t xml:space="preserve">CHF JPY </t>
        </is>
      </c>
      <c r="F61" s="187">
        <f>'CA GDP DATA'!B60</f>
        <v/>
      </c>
      <c r="G61" s="187">
        <f>'CA GDP DATA'!C60</f>
        <v/>
      </c>
      <c r="H61" s="187">
        <f>'CA GDP DATA'!D60</f>
        <v/>
      </c>
      <c r="I61" s="187">
        <f>'CA GDP DATA'!E60</f>
        <v/>
      </c>
      <c r="J61" s="187">
        <f>'CA GDP DATA'!F60</f>
        <v/>
      </c>
      <c r="K61" s="187">
        <f>'CA GDP DATA'!G60</f>
        <v/>
      </c>
      <c r="L61" s="187">
        <f>'CA GDP DATA'!H60</f>
        <v/>
      </c>
      <c r="M61" s="187">
        <f>'CA GDP DATA'!I60</f>
        <v/>
      </c>
      <c r="N61" s="187">
        <f>'CA GDP DATA'!J60</f>
        <v/>
      </c>
      <c r="O61" s="187">
        <f>'CA GDP DATA'!K60</f>
        <v/>
      </c>
      <c r="P61" s="187">
        <f>'CA GDP DATA'!L60</f>
        <v/>
      </c>
      <c r="Q61" s="187">
        <f>'CA GDP DATA'!M60</f>
        <v/>
      </c>
      <c r="R61" s="187">
        <f>'CA GDP DATA'!N60</f>
        <v/>
      </c>
      <c r="S61" s="187">
        <f>'CA GDP DATA'!O60</f>
        <v/>
      </c>
      <c r="T61" s="187">
        <f>'CA GDP DATA'!P60</f>
        <v/>
      </c>
      <c r="U61" s="187">
        <f>'CA GDP DATA'!Q60</f>
        <v/>
      </c>
      <c r="V61" s="187">
        <f>'CA GDP DATA'!R60</f>
        <v/>
      </c>
      <c r="W61" s="187">
        <f>'CA GDP DATA'!S60</f>
        <v/>
      </c>
      <c r="X61" s="187">
        <f>'CA GDP DATA'!T60</f>
        <v/>
      </c>
      <c r="Y61" s="187">
        <f>'CA GDP DATA'!U60</f>
        <v/>
      </c>
      <c r="Z61" s="187">
        <f>'CA GDP DATA'!V60</f>
        <v/>
      </c>
      <c r="AA61" s="187">
        <f>'CA GDP DATA'!W60</f>
        <v/>
      </c>
      <c r="AB61" s="187">
        <f>'CA GDP DATA'!X60</f>
        <v/>
      </c>
      <c r="AC61" s="187">
        <f>'CA GDP DATA'!Y60</f>
        <v/>
      </c>
      <c r="AD61" s="187">
        <f>'CA GDP DATA'!Z60</f>
        <v/>
      </c>
      <c r="AE61" s="187">
        <f>'CA GDP DATA'!AA60</f>
        <v/>
      </c>
      <c r="AF61" s="187">
        <f>'CA GDP DATA'!AB60</f>
        <v/>
      </c>
      <c r="AG61" s="187">
        <f>'CA GDP DATA'!AC60</f>
        <v/>
      </c>
      <c r="AH61" s="187">
        <f>'CA GDP DATA'!AD60</f>
        <v/>
      </c>
      <c r="AI61" s="187">
        <f>'CA GDP DATA'!AE60</f>
        <v/>
      </c>
      <c r="AJ61" s="187">
        <f>'CA GDP DATA'!AF60</f>
        <v/>
      </c>
      <c r="AK61" s="187">
        <f>'CA GDP DATA'!AG60</f>
        <v/>
      </c>
      <c r="AL61" s="187">
        <f>'CA GDP DATA'!AH60</f>
        <v/>
      </c>
      <c r="AM61" s="187">
        <f>'CA GDP DATA'!AI60</f>
        <v/>
      </c>
      <c r="AN61" s="187">
        <f>'CA GDP DATA'!AJ60</f>
        <v/>
      </c>
      <c r="AO61" s="187">
        <f>'CA GDP DATA'!AK60</f>
        <v/>
      </c>
      <c r="AP61" s="187">
        <f>'CA GDP DATA'!AL60</f>
        <v/>
      </c>
      <c r="AQ61" s="187">
        <f>'CA GDP DATA'!AM60</f>
        <v/>
      </c>
      <c r="AR61" s="187">
        <f>'CA GDP DATA'!AN60</f>
        <v/>
      </c>
      <c r="AS61" s="187">
        <f>'CA GDP DATA'!AO60</f>
        <v/>
      </c>
      <c r="AT61" s="187">
        <f>'CA GDP DATA'!AP60</f>
        <v/>
      </c>
      <c r="AU61" s="187">
        <f>'CA GDP DATA'!AQ60</f>
        <v/>
      </c>
      <c r="AV61" s="187">
        <f>'CA GDP DATA'!AR60</f>
        <v/>
      </c>
      <c r="AW61" s="187">
        <f>'CA GDP DATA'!AS60</f>
        <v/>
      </c>
      <c r="AX61" s="187">
        <f>'CA GDP DATA'!AT60</f>
        <v/>
      </c>
    </row>
    <row r="62" ht="21" customHeight="1">
      <c r="E62" s="243" t="inlineStr">
        <is>
          <t>AUD USD</t>
        </is>
      </c>
      <c r="F62" s="187">
        <f>'CA GDP DATA'!B61</f>
        <v/>
      </c>
      <c r="G62" s="187">
        <f>'CA GDP DATA'!C61</f>
        <v/>
      </c>
      <c r="H62" s="187">
        <f>'CA GDP DATA'!D61</f>
        <v/>
      </c>
      <c r="I62" s="187">
        <f>'CA GDP DATA'!E61</f>
        <v/>
      </c>
      <c r="J62" s="187">
        <f>'CA GDP DATA'!F61</f>
        <v/>
      </c>
      <c r="K62" s="187">
        <f>'CA GDP DATA'!G61</f>
        <v/>
      </c>
      <c r="L62" s="187">
        <f>'CA GDP DATA'!H61</f>
        <v/>
      </c>
      <c r="M62" s="187">
        <f>'CA GDP DATA'!I61</f>
        <v/>
      </c>
      <c r="N62" s="187">
        <f>'CA GDP DATA'!J61</f>
        <v/>
      </c>
      <c r="O62" s="187">
        <f>'CA GDP DATA'!K61</f>
        <v/>
      </c>
      <c r="P62" s="187">
        <f>'CA GDP DATA'!L61</f>
        <v/>
      </c>
      <c r="Q62" s="187">
        <f>'CA GDP DATA'!M61</f>
        <v/>
      </c>
      <c r="R62" s="187">
        <f>'CA GDP DATA'!N61</f>
        <v/>
      </c>
      <c r="S62" s="187">
        <f>'CA GDP DATA'!O61</f>
        <v/>
      </c>
      <c r="T62" s="187">
        <f>'CA GDP DATA'!P61</f>
        <v/>
      </c>
      <c r="U62" s="187">
        <f>'CA GDP DATA'!Q61</f>
        <v/>
      </c>
      <c r="V62" s="187">
        <f>'CA GDP DATA'!R61</f>
        <v/>
      </c>
      <c r="W62" s="187">
        <f>'CA GDP DATA'!S61</f>
        <v/>
      </c>
      <c r="X62" s="187">
        <f>'CA GDP DATA'!T61</f>
        <v/>
      </c>
      <c r="Y62" s="187">
        <f>'CA GDP DATA'!U61</f>
        <v/>
      </c>
      <c r="Z62" s="187">
        <f>'CA GDP DATA'!V61</f>
        <v/>
      </c>
      <c r="AA62" s="187">
        <f>'CA GDP DATA'!W61</f>
        <v/>
      </c>
      <c r="AB62" s="187">
        <f>'CA GDP DATA'!X61</f>
        <v/>
      </c>
      <c r="AC62" s="187">
        <f>'CA GDP DATA'!Y61</f>
        <v/>
      </c>
      <c r="AD62" s="187">
        <f>'CA GDP DATA'!Z61</f>
        <v/>
      </c>
      <c r="AE62" s="187">
        <f>'CA GDP DATA'!AA61</f>
        <v/>
      </c>
      <c r="AF62" s="187">
        <f>'CA GDP DATA'!AB61</f>
        <v/>
      </c>
      <c r="AG62" s="187">
        <f>'CA GDP DATA'!AC61</f>
        <v/>
      </c>
      <c r="AH62" s="187">
        <f>'CA GDP DATA'!AD61</f>
        <v/>
      </c>
      <c r="AI62" s="187">
        <f>'CA GDP DATA'!AE61</f>
        <v/>
      </c>
      <c r="AJ62" s="187">
        <f>'CA GDP DATA'!AF61</f>
        <v/>
      </c>
      <c r="AK62" s="187">
        <f>'CA GDP DATA'!AG61</f>
        <v/>
      </c>
      <c r="AL62" s="187">
        <f>'CA GDP DATA'!AH61</f>
        <v/>
      </c>
      <c r="AM62" s="187">
        <f>'CA GDP DATA'!AI61</f>
        <v/>
      </c>
      <c r="AN62" s="187">
        <f>'CA GDP DATA'!AJ61</f>
        <v/>
      </c>
      <c r="AO62" s="187">
        <f>'CA GDP DATA'!AK61</f>
        <v/>
      </c>
      <c r="AP62" s="187">
        <f>'CA GDP DATA'!AL61</f>
        <v/>
      </c>
      <c r="AQ62" s="187">
        <f>'CA GDP DATA'!AM61</f>
        <v/>
      </c>
      <c r="AR62" s="187">
        <f>'CA GDP DATA'!AN61</f>
        <v/>
      </c>
      <c r="AS62" s="187">
        <f>'CA GDP DATA'!AO61</f>
        <v/>
      </c>
      <c r="AT62" s="187">
        <f>'CA GDP DATA'!AP61</f>
        <v/>
      </c>
      <c r="AU62" s="187">
        <f>'CA GDP DATA'!AQ61</f>
        <v/>
      </c>
      <c r="AV62" s="187">
        <f>'CA GDP DATA'!AR61</f>
        <v/>
      </c>
      <c r="AW62" s="187">
        <f>'CA GDP DATA'!AS61</f>
        <v/>
      </c>
      <c r="AX62" s="187">
        <f>'CA GDP DATA'!AT61</f>
        <v/>
      </c>
    </row>
    <row r="63" ht="21" customHeight="1">
      <c r="E63" s="243" t="inlineStr">
        <is>
          <t>AUD CHF</t>
        </is>
      </c>
      <c r="F63" s="187">
        <f>'CA GDP DATA'!B62</f>
        <v/>
      </c>
      <c r="G63" s="187">
        <f>'CA GDP DATA'!C62</f>
        <v/>
      </c>
      <c r="H63" s="187">
        <f>'CA GDP DATA'!D62</f>
        <v/>
      </c>
      <c r="I63" s="187">
        <f>'CA GDP DATA'!E62</f>
        <v/>
      </c>
      <c r="J63" s="187">
        <f>'CA GDP DATA'!F62</f>
        <v/>
      </c>
      <c r="K63" s="187">
        <f>'CA GDP DATA'!G62</f>
        <v/>
      </c>
      <c r="L63" s="187">
        <f>'CA GDP DATA'!H62</f>
        <v/>
      </c>
      <c r="M63" s="187">
        <f>'CA GDP DATA'!I62</f>
        <v/>
      </c>
      <c r="N63" s="187">
        <f>'CA GDP DATA'!J62</f>
        <v/>
      </c>
      <c r="O63" s="187">
        <f>'CA GDP DATA'!K62</f>
        <v/>
      </c>
      <c r="P63" s="187">
        <f>'CA GDP DATA'!L62</f>
        <v/>
      </c>
      <c r="Q63" s="187">
        <f>'CA GDP DATA'!M62</f>
        <v/>
      </c>
      <c r="R63" s="187">
        <f>'CA GDP DATA'!N62</f>
        <v/>
      </c>
      <c r="S63" s="187">
        <f>'CA GDP DATA'!O62</f>
        <v/>
      </c>
      <c r="T63" s="187">
        <f>'CA GDP DATA'!P62</f>
        <v/>
      </c>
      <c r="U63" s="187">
        <f>'CA GDP DATA'!Q62</f>
        <v/>
      </c>
      <c r="V63" s="187">
        <f>'CA GDP DATA'!R62</f>
        <v/>
      </c>
      <c r="W63" s="187">
        <f>'CA GDP DATA'!S62</f>
        <v/>
      </c>
      <c r="X63" s="187">
        <f>'CA GDP DATA'!T62</f>
        <v/>
      </c>
      <c r="Y63" s="187">
        <f>'CA GDP DATA'!U62</f>
        <v/>
      </c>
      <c r="Z63" s="187">
        <f>'CA GDP DATA'!V62</f>
        <v/>
      </c>
      <c r="AA63" s="187">
        <f>'CA GDP DATA'!W62</f>
        <v/>
      </c>
      <c r="AB63" s="187">
        <f>'CA GDP DATA'!X62</f>
        <v/>
      </c>
      <c r="AC63" s="187">
        <f>'CA GDP DATA'!Y62</f>
        <v/>
      </c>
      <c r="AD63" s="187">
        <f>'CA GDP DATA'!Z62</f>
        <v/>
      </c>
      <c r="AE63" s="187">
        <f>'CA GDP DATA'!AA62</f>
        <v/>
      </c>
      <c r="AF63" s="187">
        <f>'CA GDP DATA'!AB62</f>
        <v/>
      </c>
      <c r="AG63" s="187">
        <f>'CA GDP DATA'!AC62</f>
        <v/>
      </c>
      <c r="AH63" s="187">
        <f>'CA GDP DATA'!AD62</f>
        <v/>
      </c>
      <c r="AI63" s="187">
        <f>'CA GDP DATA'!AE62</f>
        <v/>
      </c>
      <c r="AJ63" s="187">
        <f>'CA GDP DATA'!AF62</f>
        <v/>
      </c>
      <c r="AK63" s="187">
        <f>'CA GDP DATA'!AG62</f>
        <v/>
      </c>
      <c r="AL63" s="187">
        <f>'CA GDP DATA'!AH62</f>
        <v/>
      </c>
      <c r="AM63" s="187">
        <f>'CA GDP DATA'!AI62</f>
        <v/>
      </c>
      <c r="AN63" s="187">
        <f>'CA GDP DATA'!AJ62</f>
        <v/>
      </c>
      <c r="AO63" s="187">
        <f>'CA GDP DATA'!AK62</f>
        <v/>
      </c>
      <c r="AP63" s="187">
        <f>'CA GDP DATA'!AL62</f>
        <v/>
      </c>
      <c r="AQ63" s="187">
        <f>'CA GDP DATA'!AM62</f>
        <v/>
      </c>
      <c r="AR63" s="187">
        <f>'CA GDP DATA'!AN62</f>
        <v/>
      </c>
      <c r="AS63" s="187">
        <f>'CA GDP DATA'!AO62</f>
        <v/>
      </c>
      <c r="AT63" s="187">
        <f>'CA GDP DATA'!AP62</f>
        <v/>
      </c>
      <c r="AU63" s="187">
        <f>'CA GDP DATA'!AQ62</f>
        <v/>
      </c>
      <c r="AV63" s="187">
        <f>'CA GDP DATA'!AR62</f>
        <v/>
      </c>
      <c r="AW63" s="187">
        <f>'CA GDP DATA'!AS62</f>
        <v/>
      </c>
      <c r="AX63" s="187">
        <f>'CA GDP DATA'!AT62</f>
        <v/>
      </c>
    </row>
    <row r="64" ht="21" customHeight="1">
      <c r="E64" s="243" t="inlineStr">
        <is>
          <t>AUD JPY</t>
        </is>
      </c>
      <c r="F64" s="187">
        <f>'CA GDP DATA'!B63</f>
        <v/>
      </c>
      <c r="G64" s="187">
        <f>'CA GDP DATA'!C63</f>
        <v/>
      </c>
      <c r="H64" s="187">
        <f>'CA GDP DATA'!D63</f>
        <v/>
      </c>
      <c r="I64" s="187">
        <f>'CA GDP DATA'!E63</f>
        <v/>
      </c>
      <c r="J64" s="187">
        <f>'CA GDP DATA'!F63</f>
        <v/>
      </c>
      <c r="K64" s="187">
        <f>'CA GDP DATA'!G63</f>
        <v/>
      </c>
      <c r="L64" s="187">
        <f>'CA GDP DATA'!H63</f>
        <v/>
      </c>
      <c r="M64" s="187">
        <f>'CA GDP DATA'!I63</f>
        <v/>
      </c>
      <c r="N64" s="187">
        <f>'CA GDP DATA'!J63</f>
        <v/>
      </c>
      <c r="O64" s="187">
        <f>'CA GDP DATA'!K63</f>
        <v/>
      </c>
      <c r="P64" s="187">
        <f>'CA GDP DATA'!L63</f>
        <v/>
      </c>
      <c r="Q64" s="187">
        <f>'CA GDP DATA'!M63</f>
        <v/>
      </c>
      <c r="R64" s="187">
        <f>'CA GDP DATA'!N63</f>
        <v/>
      </c>
      <c r="S64" s="187">
        <f>'CA GDP DATA'!O63</f>
        <v/>
      </c>
      <c r="T64" s="187">
        <f>'CA GDP DATA'!P63</f>
        <v/>
      </c>
      <c r="U64" s="187">
        <f>'CA GDP DATA'!Q63</f>
        <v/>
      </c>
      <c r="V64" s="187">
        <f>'CA GDP DATA'!R63</f>
        <v/>
      </c>
      <c r="W64" s="187">
        <f>'CA GDP DATA'!S63</f>
        <v/>
      </c>
      <c r="X64" s="187">
        <f>'CA GDP DATA'!T63</f>
        <v/>
      </c>
      <c r="Y64" s="187">
        <f>'CA GDP DATA'!U63</f>
        <v/>
      </c>
      <c r="Z64" s="187">
        <f>'CA GDP DATA'!V63</f>
        <v/>
      </c>
      <c r="AA64" s="187">
        <f>'CA GDP DATA'!W63</f>
        <v/>
      </c>
      <c r="AB64" s="187">
        <f>'CA GDP DATA'!X63</f>
        <v/>
      </c>
      <c r="AC64" s="187">
        <f>'CA GDP DATA'!Y63</f>
        <v/>
      </c>
      <c r="AD64" s="187">
        <f>'CA GDP DATA'!Z63</f>
        <v/>
      </c>
      <c r="AE64" s="187">
        <f>'CA GDP DATA'!AA63</f>
        <v/>
      </c>
      <c r="AF64" s="187">
        <f>'CA GDP DATA'!AB63</f>
        <v/>
      </c>
      <c r="AG64" s="187">
        <f>'CA GDP DATA'!AC63</f>
        <v/>
      </c>
      <c r="AH64" s="187">
        <f>'CA GDP DATA'!AD63</f>
        <v/>
      </c>
      <c r="AI64" s="187">
        <f>'CA GDP DATA'!AE63</f>
        <v/>
      </c>
      <c r="AJ64" s="187">
        <f>'CA GDP DATA'!AF63</f>
        <v/>
      </c>
      <c r="AK64" s="187">
        <f>'CA GDP DATA'!AG63</f>
        <v/>
      </c>
      <c r="AL64" s="187">
        <f>'CA GDP DATA'!AH63</f>
        <v/>
      </c>
      <c r="AM64" s="187">
        <f>'CA GDP DATA'!AI63</f>
        <v/>
      </c>
      <c r="AN64" s="187">
        <f>'CA GDP DATA'!AJ63</f>
        <v/>
      </c>
      <c r="AO64" s="187">
        <f>'CA GDP DATA'!AK63</f>
        <v/>
      </c>
      <c r="AP64" s="187">
        <f>'CA GDP DATA'!AL63</f>
        <v/>
      </c>
      <c r="AQ64" s="187">
        <f>'CA GDP DATA'!AM63</f>
        <v/>
      </c>
      <c r="AR64" s="187">
        <f>'CA GDP DATA'!AN63</f>
        <v/>
      </c>
      <c r="AS64" s="187">
        <f>'CA GDP DATA'!AO63</f>
        <v/>
      </c>
      <c r="AT64" s="187">
        <f>'CA GDP DATA'!AP63</f>
        <v/>
      </c>
      <c r="AU64" s="187">
        <f>'CA GDP DATA'!AQ63</f>
        <v/>
      </c>
      <c r="AV64" s="187">
        <f>'CA GDP DATA'!AR63</f>
        <v/>
      </c>
      <c r="AW64" s="187">
        <f>'CA GDP DATA'!AS63</f>
        <v/>
      </c>
      <c r="AX64" s="187">
        <f>'CA GDP DATA'!AT63</f>
        <v/>
      </c>
    </row>
    <row r="65" ht="21" customHeight="1">
      <c r="E65" s="244" t="inlineStr">
        <is>
          <t>AUD NZD</t>
        </is>
      </c>
      <c r="F65" s="187">
        <f>'CA GDP DATA'!B64</f>
        <v/>
      </c>
      <c r="G65" s="187">
        <f>'CA GDP DATA'!C64</f>
        <v/>
      </c>
      <c r="H65" s="187">
        <f>'CA GDP DATA'!D64</f>
        <v/>
      </c>
      <c r="I65" s="187">
        <f>'CA GDP DATA'!E64</f>
        <v/>
      </c>
      <c r="J65" s="187">
        <f>'CA GDP DATA'!F64</f>
        <v/>
      </c>
      <c r="K65" s="187">
        <f>'CA GDP DATA'!G64</f>
        <v/>
      </c>
      <c r="L65" s="187">
        <f>'CA GDP DATA'!H64</f>
        <v/>
      </c>
      <c r="M65" s="187">
        <f>'CA GDP DATA'!I64</f>
        <v/>
      </c>
      <c r="N65" s="187">
        <f>'CA GDP DATA'!J64</f>
        <v/>
      </c>
      <c r="O65" s="187">
        <f>'CA GDP DATA'!K64</f>
        <v/>
      </c>
      <c r="P65" s="187">
        <f>'CA GDP DATA'!L64</f>
        <v/>
      </c>
      <c r="Q65" s="187">
        <f>'CA GDP DATA'!M64</f>
        <v/>
      </c>
      <c r="R65" s="187">
        <f>'CA GDP DATA'!N64</f>
        <v/>
      </c>
      <c r="S65" s="187">
        <f>'CA GDP DATA'!O64</f>
        <v/>
      </c>
      <c r="T65" s="187">
        <f>'CA GDP DATA'!P64</f>
        <v/>
      </c>
      <c r="U65" s="187">
        <f>'CA GDP DATA'!Q64</f>
        <v/>
      </c>
      <c r="V65" s="187">
        <f>'CA GDP DATA'!R64</f>
        <v/>
      </c>
      <c r="W65" s="187">
        <f>'CA GDP DATA'!S64</f>
        <v/>
      </c>
      <c r="X65" s="187">
        <f>'CA GDP DATA'!T64</f>
        <v/>
      </c>
      <c r="Y65" s="187">
        <f>'CA GDP DATA'!U64</f>
        <v/>
      </c>
      <c r="Z65" s="187">
        <f>'CA GDP DATA'!V64</f>
        <v/>
      </c>
      <c r="AA65" s="187">
        <f>'CA GDP DATA'!W64</f>
        <v/>
      </c>
      <c r="AB65" s="187">
        <f>'CA GDP DATA'!X64</f>
        <v/>
      </c>
      <c r="AC65" s="187">
        <f>'CA GDP DATA'!Y64</f>
        <v/>
      </c>
      <c r="AD65" s="187">
        <f>'CA GDP DATA'!Z64</f>
        <v/>
      </c>
      <c r="AE65" s="187">
        <f>'CA GDP DATA'!AA64</f>
        <v/>
      </c>
      <c r="AF65" s="187">
        <f>'CA GDP DATA'!AB64</f>
        <v/>
      </c>
      <c r="AG65" s="187">
        <f>'CA GDP DATA'!AC64</f>
        <v/>
      </c>
      <c r="AH65" s="187">
        <f>'CA GDP DATA'!AD64</f>
        <v/>
      </c>
      <c r="AI65" s="187">
        <f>'CA GDP DATA'!AE64</f>
        <v/>
      </c>
      <c r="AJ65" s="187">
        <f>'CA GDP DATA'!AF64</f>
        <v/>
      </c>
      <c r="AK65" s="187">
        <f>'CA GDP DATA'!AG64</f>
        <v/>
      </c>
      <c r="AL65" s="187">
        <f>'CA GDP DATA'!AH64</f>
        <v/>
      </c>
      <c r="AM65" s="187">
        <f>'CA GDP DATA'!AI64</f>
        <v/>
      </c>
      <c r="AN65" s="187">
        <f>'CA GDP DATA'!AJ64</f>
        <v/>
      </c>
      <c r="AO65" s="187">
        <f>'CA GDP DATA'!AK64</f>
        <v/>
      </c>
      <c r="AP65" s="187">
        <f>'CA GDP DATA'!AL64</f>
        <v/>
      </c>
      <c r="AQ65" s="187">
        <f>'CA GDP DATA'!AM64</f>
        <v/>
      </c>
      <c r="AR65" s="187">
        <f>'CA GDP DATA'!AN64</f>
        <v/>
      </c>
      <c r="AS65" s="187">
        <f>'CA GDP DATA'!AO64</f>
        <v/>
      </c>
      <c r="AT65" s="187">
        <f>'CA GDP DATA'!AP64</f>
        <v/>
      </c>
      <c r="AU65" s="187">
        <f>'CA GDP DATA'!AQ64</f>
        <v/>
      </c>
      <c r="AV65" s="187">
        <f>'CA GDP DATA'!AR64</f>
        <v/>
      </c>
      <c r="AW65" s="187">
        <f>'CA GDP DATA'!AS64</f>
        <v/>
      </c>
      <c r="AX65" s="187">
        <f>'CA GDP DATA'!AT64</f>
        <v/>
      </c>
    </row>
    <row r="66" ht="21" customHeight="1">
      <c r="E66" s="244" t="inlineStr">
        <is>
          <t>AUD CAD</t>
        </is>
      </c>
      <c r="F66" s="187">
        <f>'CA GDP DATA'!B65</f>
        <v/>
      </c>
      <c r="G66" s="187">
        <f>'CA GDP DATA'!C65</f>
        <v/>
      </c>
      <c r="H66" s="187">
        <f>'CA GDP DATA'!D65</f>
        <v/>
      </c>
      <c r="I66" s="187">
        <f>'CA GDP DATA'!E65</f>
        <v/>
      </c>
      <c r="J66" s="187">
        <f>'CA GDP DATA'!F65</f>
        <v/>
      </c>
      <c r="K66" s="187">
        <f>'CA GDP DATA'!G65</f>
        <v/>
      </c>
      <c r="L66" s="187">
        <f>'CA GDP DATA'!H65</f>
        <v/>
      </c>
      <c r="M66" s="187">
        <f>'CA GDP DATA'!I65</f>
        <v/>
      </c>
      <c r="N66" s="187">
        <f>'CA GDP DATA'!J65</f>
        <v/>
      </c>
      <c r="O66" s="187">
        <f>'CA GDP DATA'!K65</f>
        <v/>
      </c>
      <c r="P66" s="187">
        <f>'CA GDP DATA'!L65</f>
        <v/>
      </c>
      <c r="Q66" s="187">
        <f>'CA GDP DATA'!M65</f>
        <v/>
      </c>
      <c r="R66" s="187">
        <f>'CA GDP DATA'!N65</f>
        <v/>
      </c>
      <c r="S66" s="187">
        <f>'CA GDP DATA'!O65</f>
        <v/>
      </c>
      <c r="T66" s="187">
        <f>'CA GDP DATA'!P65</f>
        <v/>
      </c>
      <c r="U66" s="187">
        <f>'CA GDP DATA'!Q65</f>
        <v/>
      </c>
      <c r="V66" s="187">
        <f>'CA GDP DATA'!R65</f>
        <v/>
      </c>
      <c r="W66" s="187">
        <f>'CA GDP DATA'!S65</f>
        <v/>
      </c>
      <c r="X66" s="187">
        <f>'CA GDP DATA'!T65</f>
        <v/>
      </c>
      <c r="Y66" s="187">
        <f>'CA GDP DATA'!U65</f>
        <v/>
      </c>
      <c r="Z66" s="187">
        <f>'CA GDP DATA'!V65</f>
        <v/>
      </c>
      <c r="AA66" s="187">
        <f>'CA GDP DATA'!W65</f>
        <v/>
      </c>
      <c r="AB66" s="187">
        <f>'CA GDP DATA'!X65</f>
        <v/>
      </c>
      <c r="AC66" s="187">
        <f>'CA GDP DATA'!Y65</f>
        <v/>
      </c>
      <c r="AD66" s="187">
        <f>'CA GDP DATA'!Z65</f>
        <v/>
      </c>
      <c r="AE66" s="187">
        <f>'CA GDP DATA'!AA65</f>
        <v/>
      </c>
      <c r="AF66" s="187">
        <f>'CA GDP DATA'!AB65</f>
        <v/>
      </c>
      <c r="AG66" s="187">
        <f>'CA GDP DATA'!AC65</f>
        <v/>
      </c>
      <c r="AH66" s="187">
        <f>'CA GDP DATA'!AD65</f>
        <v/>
      </c>
      <c r="AI66" s="187">
        <f>'CA GDP DATA'!AE65</f>
        <v/>
      </c>
      <c r="AJ66" s="187">
        <f>'CA GDP DATA'!AF65</f>
        <v/>
      </c>
      <c r="AK66" s="187">
        <f>'CA GDP DATA'!AG65</f>
        <v/>
      </c>
      <c r="AL66" s="187">
        <f>'CA GDP DATA'!AH65</f>
        <v/>
      </c>
      <c r="AM66" s="187">
        <f>'CA GDP DATA'!AI65</f>
        <v/>
      </c>
      <c r="AN66" s="187">
        <f>'CA GDP DATA'!AJ65</f>
        <v/>
      </c>
      <c r="AO66" s="187">
        <f>'CA GDP DATA'!AK65</f>
        <v/>
      </c>
      <c r="AP66" s="187">
        <f>'CA GDP DATA'!AL65</f>
        <v/>
      </c>
      <c r="AQ66" s="187">
        <f>'CA GDP DATA'!AM65</f>
        <v/>
      </c>
      <c r="AR66" s="187">
        <f>'CA GDP DATA'!AN65</f>
        <v/>
      </c>
      <c r="AS66" s="187">
        <f>'CA GDP DATA'!AO65</f>
        <v/>
      </c>
      <c r="AT66" s="187">
        <f>'CA GDP DATA'!AP65</f>
        <v/>
      </c>
      <c r="AU66" s="187">
        <f>'CA GDP DATA'!AQ65</f>
        <v/>
      </c>
      <c r="AV66" s="187">
        <f>'CA GDP DATA'!AR65</f>
        <v/>
      </c>
      <c r="AW66" s="187">
        <f>'CA GDP DATA'!AS65</f>
        <v/>
      </c>
      <c r="AX66" s="187">
        <f>'CA GDP DATA'!AT65</f>
        <v/>
      </c>
    </row>
    <row r="67" ht="21" customHeight="1">
      <c r="E67" s="245" t="inlineStr">
        <is>
          <t>CAD JPY</t>
        </is>
      </c>
      <c r="F67" s="187">
        <f>'CA GDP DATA'!B66</f>
        <v/>
      </c>
      <c r="G67" s="187">
        <f>'CA GDP DATA'!C66</f>
        <v/>
      </c>
      <c r="H67" s="187">
        <f>'CA GDP DATA'!D66</f>
        <v/>
      </c>
      <c r="I67" s="187">
        <f>'CA GDP DATA'!E66</f>
        <v/>
      </c>
      <c r="J67" s="187">
        <f>'CA GDP DATA'!F66</f>
        <v/>
      </c>
      <c r="K67" s="187">
        <f>'CA GDP DATA'!G66</f>
        <v/>
      </c>
      <c r="L67" s="187">
        <f>'CA GDP DATA'!H66</f>
        <v/>
      </c>
      <c r="M67" s="187">
        <f>'CA GDP DATA'!I66</f>
        <v/>
      </c>
      <c r="N67" s="187">
        <f>'CA GDP DATA'!J66</f>
        <v/>
      </c>
      <c r="O67" s="187">
        <f>'CA GDP DATA'!K66</f>
        <v/>
      </c>
      <c r="P67" s="187">
        <f>'CA GDP DATA'!L66</f>
        <v/>
      </c>
      <c r="Q67" s="187">
        <f>'CA GDP DATA'!M66</f>
        <v/>
      </c>
      <c r="R67" s="187">
        <f>'CA GDP DATA'!N66</f>
        <v/>
      </c>
      <c r="S67" s="187">
        <f>'CA GDP DATA'!O66</f>
        <v/>
      </c>
      <c r="T67" s="187">
        <f>'CA GDP DATA'!P66</f>
        <v/>
      </c>
      <c r="U67" s="187">
        <f>'CA GDP DATA'!Q66</f>
        <v/>
      </c>
      <c r="V67" s="187">
        <f>'CA GDP DATA'!R66</f>
        <v/>
      </c>
      <c r="W67" s="187">
        <f>'CA GDP DATA'!S66</f>
        <v/>
      </c>
      <c r="X67" s="187">
        <f>'CA GDP DATA'!T66</f>
        <v/>
      </c>
      <c r="Y67" s="187">
        <f>'CA GDP DATA'!U66</f>
        <v/>
      </c>
      <c r="Z67" s="187">
        <f>'CA GDP DATA'!V66</f>
        <v/>
      </c>
      <c r="AA67" s="187">
        <f>'CA GDP DATA'!W66</f>
        <v/>
      </c>
      <c r="AB67" s="187">
        <f>'CA GDP DATA'!X66</f>
        <v/>
      </c>
      <c r="AC67" s="187">
        <f>'CA GDP DATA'!Y66</f>
        <v/>
      </c>
      <c r="AD67" s="187">
        <f>'CA GDP DATA'!Z66</f>
        <v/>
      </c>
      <c r="AE67" s="187">
        <f>'CA GDP DATA'!AA66</f>
        <v/>
      </c>
      <c r="AF67" s="187">
        <f>'CA GDP DATA'!AB66</f>
        <v/>
      </c>
      <c r="AG67" s="187">
        <f>'CA GDP DATA'!AC66</f>
        <v/>
      </c>
      <c r="AH67" s="187">
        <f>'CA GDP DATA'!AD66</f>
        <v/>
      </c>
      <c r="AI67" s="187">
        <f>'CA GDP DATA'!AE66</f>
        <v/>
      </c>
      <c r="AJ67" s="187">
        <f>'CA GDP DATA'!AF66</f>
        <v/>
      </c>
      <c r="AK67" s="187">
        <f>'CA GDP DATA'!AG66</f>
        <v/>
      </c>
      <c r="AL67" s="187">
        <f>'CA GDP DATA'!AH66</f>
        <v/>
      </c>
      <c r="AM67" s="187">
        <f>'CA GDP DATA'!AI66</f>
        <v/>
      </c>
      <c r="AN67" s="187">
        <f>'CA GDP DATA'!AJ66</f>
        <v/>
      </c>
      <c r="AO67" s="187">
        <f>'CA GDP DATA'!AK66</f>
        <v/>
      </c>
      <c r="AP67" s="187">
        <f>'CA GDP DATA'!AL66</f>
        <v/>
      </c>
      <c r="AQ67" s="187">
        <f>'CA GDP DATA'!AM66</f>
        <v/>
      </c>
      <c r="AR67" s="187">
        <f>'CA GDP DATA'!AN66</f>
        <v/>
      </c>
      <c r="AS67" s="187">
        <f>'CA GDP DATA'!AO66</f>
        <v/>
      </c>
      <c r="AT67" s="187">
        <f>'CA GDP DATA'!AP66</f>
        <v/>
      </c>
      <c r="AU67" s="187">
        <f>'CA GDP DATA'!AQ66</f>
        <v/>
      </c>
      <c r="AV67" s="187">
        <f>'CA GDP DATA'!AR66</f>
        <v/>
      </c>
      <c r="AW67" s="187">
        <f>'CA GDP DATA'!AS66</f>
        <v/>
      </c>
      <c r="AX67" s="187">
        <f>'CA GDP DATA'!AT66</f>
        <v/>
      </c>
    </row>
    <row r="68"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</row>
    <row r="69"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</row>
    <row r="70"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</row>
    <row r="71">
      <c r="E71" s="247" t="inlineStr">
        <is>
          <t>Inflation differential</t>
        </is>
      </c>
      <c r="F71" s="249" t="n">
        <v>44927</v>
      </c>
      <c r="G71" s="208" t="n">
        <v>44958</v>
      </c>
      <c r="H71" s="208" t="n">
        <v>44986</v>
      </c>
      <c r="I71" s="249" t="n">
        <v>45017</v>
      </c>
      <c r="J71" s="208" t="n">
        <v>45047</v>
      </c>
      <c r="K71" s="208" t="n">
        <v>45078</v>
      </c>
      <c r="L71" s="249" t="n">
        <v>45108</v>
      </c>
      <c r="M71" s="208" t="n">
        <v>45139</v>
      </c>
      <c r="N71" s="208" t="n">
        <v>45170</v>
      </c>
      <c r="O71" s="249" t="n">
        <v>45200</v>
      </c>
      <c r="P71" s="208" t="n">
        <v>45231</v>
      </c>
      <c r="Q71" s="208" t="n">
        <v>45261</v>
      </c>
      <c r="R71" s="249" t="n">
        <v>45292</v>
      </c>
      <c r="S71" s="208" t="n">
        <v>45323</v>
      </c>
      <c r="T71" s="208" t="n">
        <v>45352</v>
      </c>
      <c r="U71" s="249" t="n">
        <v>45383</v>
      </c>
      <c r="V71" s="208" t="n">
        <v>45413</v>
      </c>
      <c r="W71" s="208" t="n">
        <v>45444</v>
      </c>
      <c r="X71" s="249" t="n">
        <v>45474</v>
      </c>
      <c r="Y71" s="208" t="n">
        <v>45505</v>
      </c>
      <c r="Z71" s="208" t="n">
        <v>45536</v>
      </c>
      <c r="AA71" s="249" t="n">
        <v>45566</v>
      </c>
      <c r="AB71" s="208" t="n">
        <v>45597</v>
      </c>
      <c r="AC71" s="208" t="n">
        <v>45627</v>
      </c>
      <c r="AD71" s="249" t="n">
        <v>45658</v>
      </c>
      <c r="AE71" s="208" t="n">
        <v>45689</v>
      </c>
      <c r="AF71" s="208" t="n">
        <v>45717</v>
      </c>
      <c r="AG71" s="208" t="n">
        <v>45748</v>
      </c>
      <c r="AH71" s="208" t="n">
        <v>45778</v>
      </c>
      <c r="AI71" s="208" t="n">
        <v>45809</v>
      </c>
      <c r="AJ71" s="208" t="n">
        <v>45839</v>
      </c>
      <c r="AK71" s="208" t="n">
        <v>45870</v>
      </c>
      <c r="AL71" s="208" t="n">
        <v>45901</v>
      </c>
      <c r="AM71" s="208" t="n">
        <v>45931</v>
      </c>
      <c r="AN71" s="208" t="n">
        <v>45962</v>
      </c>
      <c r="AO71" s="208" t="n">
        <v>45992</v>
      </c>
      <c r="AP71" s="208" t="n">
        <v>46023</v>
      </c>
      <c r="AQ71" s="208" t="n">
        <v>46054</v>
      </c>
      <c r="AR71" s="208" t="n">
        <v>46082</v>
      </c>
      <c r="AS71" s="208" t="n">
        <v>46113</v>
      </c>
      <c r="AT71" s="208" t="n">
        <v>46143</v>
      </c>
      <c r="AU71" s="208" t="n">
        <v>46174</v>
      </c>
      <c r="AV71" s="208" t="n">
        <v>46204</v>
      </c>
      <c r="AW71" s="208" t="n">
        <v>46235</v>
      </c>
      <c r="AX71" s="208" t="n">
        <v>46266</v>
      </c>
    </row>
    <row r="72" ht="21" customHeight="1">
      <c r="E72" s="236" t="inlineStr">
        <is>
          <t>USD JPY</t>
        </is>
      </c>
      <c r="F72" s="187">
        <f>'CPI data'!B44</f>
        <v/>
      </c>
      <c r="G72" s="187">
        <f>'CPI data'!C44</f>
        <v/>
      </c>
      <c r="H72" s="187">
        <f>'CPI data'!D44</f>
        <v/>
      </c>
      <c r="I72" s="187">
        <f>'CPI data'!E44</f>
        <v/>
      </c>
      <c r="J72" s="187">
        <f>'CPI data'!F44</f>
        <v/>
      </c>
      <c r="K72" s="187">
        <f>'CPI data'!G44</f>
        <v/>
      </c>
      <c r="L72" s="187">
        <f>'CPI data'!H44</f>
        <v/>
      </c>
      <c r="M72" s="187">
        <f>'CPI data'!I44</f>
        <v/>
      </c>
      <c r="N72" s="187">
        <f>'CPI data'!J44</f>
        <v/>
      </c>
      <c r="O72" s="187">
        <f>'CPI data'!K44</f>
        <v/>
      </c>
      <c r="P72" s="187">
        <f>'CPI data'!L44</f>
        <v/>
      </c>
      <c r="Q72" s="187">
        <f>'CPI data'!M44</f>
        <v/>
      </c>
      <c r="R72" s="187">
        <f>'CPI data'!N44</f>
        <v/>
      </c>
      <c r="S72" s="187">
        <f>'CPI data'!O44</f>
        <v/>
      </c>
      <c r="T72" s="187">
        <f>'CPI data'!P44</f>
        <v/>
      </c>
      <c r="U72" s="187">
        <f>'CPI data'!Q44</f>
        <v/>
      </c>
      <c r="V72" s="187">
        <f>'CPI data'!R44</f>
        <v/>
      </c>
      <c r="W72" s="187">
        <f>'CPI data'!S44</f>
        <v/>
      </c>
      <c r="X72" s="187">
        <f>'CPI data'!T44</f>
        <v/>
      </c>
      <c r="Y72" s="187">
        <f>'CPI data'!U44</f>
        <v/>
      </c>
      <c r="Z72" s="187">
        <f>'CPI data'!V44</f>
        <v/>
      </c>
      <c r="AA72" s="187">
        <f>'CPI data'!W44</f>
        <v/>
      </c>
      <c r="AB72" s="187">
        <f>'CPI data'!X44</f>
        <v/>
      </c>
      <c r="AC72" s="187">
        <f>'CPI data'!Y44</f>
        <v/>
      </c>
      <c r="AD72" s="187">
        <f>'CPI data'!Z44</f>
        <v/>
      </c>
      <c r="AE72" s="187">
        <f>'CPI data'!AA44</f>
        <v/>
      </c>
      <c r="AF72" s="187">
        <f>'CPI data'!AB44</f>
        <v/>
      </c>
      <c r="AG72" s="187">
        <f>'CPI data'!AC44</f>
        <v/>
      </c>
      <c r="AH72" s="187">
        <f>'CPI data'!AD44</f>
        <v/>
      </c>
      <c r="AI72" s="187">
        <f>'CPI data'!AE44</f>
        <v/>
      </c>
      <c r="AJ72" s="187">
        <f>'CPI data'!AF44</f>
        <v/>
      </c>
      <c r="AK72" s="187">
        <f>'CPI data'!AG44</f>
        <v/>
      </c>
      <c r="AL72" s="187">
        <f>'CPI data'!AH44</f>
        <v/>
      </c>
      <c r="AM72" s="187">
        <f>'CPI data'!AI44</f>
        <v/>
      </c>
      <c r="AN72" s="187">
        <f>'CPI data'!AJ44</f>
        <v/>
      </c>
      <c r="AO72" s="187">
        <f>'CPI data'!AK44</f>
        <v/>
      </c>
      <c r="AP72" s="187">
        <f>'CPI data'!AL44</f>
        <v/>
      </c>
      <c r="AQ72" s="187">
        <f>'CPI data'!AM44</f>
        <v/>
      </c>
      <c r="AR72" s="187">
        <f>'CPI data'!AN44</f>
        <v/>
      </c>
      <c r="AS72" s="187">
        <f>'CPI data'!AO44</f>
        <v/>
      </c>
      <c r="AT72" s="187">
        <f>'CPI data'!AP44</f>
        <v/>
      </c>
      <c r="AU72" s="187">
        <f>'CPI data'!AQ44</f>
        <v/>
      </c>
      <c r="AV72" s="187">
        <f>'CPI data'!AR44</f>
        <v/>
      </c>
      <c r="AW72" s="187">
        <f>'CPI data'!AS44</f>
        <v/>
      </c>
      <c r="AX72" s="187">
        <f>'CPI data'!AT44</f>
        <v/>
      </c>
    </row>
    <row r="73" ht="21" customHeight="1">
      <c r="E73" s="237" t="inlineStr">
        <is>
          <t>USD CHF</t>
        </is>
      </c>
      <c r="F73" s="187">
        <f>'CPI data'!B45</f>
        <v/>
      </c>
      <c r="G73" s="187">
        <f>'CPI data'!C45</f>
        <v/>
      </c>
      <c r="H73" s="187">
        <f>'CPI data'!D45</f>
        <v/>
      </c>
      <c r="I73" s="187">
        <f>'CPI data'!E45</f>
        <v/>
      </c>
      <c r="J73" s="187">
        <f>'CPI data'!F45</f>
        <v/>
      </c>
      <c r="K73" s="187">
        <f>'CPI data'!G45</f>
        <v/>
      </c>
      <c r="L73" s="187">
        <f>'CPI data'!H45</f>
        <v/>
      </c>
      <c r="M73" s="187">
        <f>'CPI data'!I45</f>
        <v/>
      </c>
      <c r="N73" s="187">
        <f>'CPI data'!J45</f>
        <v/>
      </c>
      <c r="O73" s="187">
        <f>'CPI data'!K45</f>
        <v/>
      </c>
      <c r="P73" s="187">
        <f>'CPI data'!L45</f>
        <v/>
      </c>
      <c r="Q73" s="187">
        <f>'CPI data'!M45</f>
        <v/>
      </c>
      <c r="R73" s="187">
        <f>'CPI data'!N45</f>
        <v/>
      </c>
      <c r="S73" s="187">
        <f>'CPI data'!O45</f>
        <v/>
      </c>
      <c r="T73" s="187">
        <f>'CPI data'!P45</f>
        <v/>
      </c>
      <c r="U73" s="187">
        <f>'CPI data'!Q45</f>
        <v/>
      </c>
      <c r="V73" s="187">
        <f>'CPI data'!R45</f>
        <v/>
      </c>
      <c r="W73" s="187">
        <f>'CPI data'!S45</f>
        <v/>
      </c>
      <c r="X73" s="187">
        <f>'CPI data'!T45</f>
        <v/>
      </c>
      <c r="Y73" s="187">
        <f>'CPI data'!U45</f>
        <v/>
      </c>
      <c r="Z73" s="187">
        <f>'CPI data'!V45</f>
        <v/>
      </c>
      <c r="AA73" s="187">
        <f>'CPI data'!W45</f>
        <v/>
      </c>
      <c r="AB73" s="187">
        <f>'CPI data'!X45</f>
        <v/>
      </c>
      <c r="AC73" s="187">
        <f>'CPI data'!Y45</f>
        <v/>
      </c>
      <c r="AD73" s="187">
        <f>'CPI data'!Z45</f>
        <v/>
      </c>
      <c r="AE73" s="187">
        <f>'CPI data'!AA45</f>
        <v/>
      </c>
      <c r="AF73" s="187">
        <f>'CPI data'!AB45</f>
        <v/>
      </c>
      <c r="AG73" s="187">
        <f>'CPI data'!AC45</f>
        <v/>
      </c>
      <c r="AH73" s="187">
        <f>'CPI data'!AD45</f>
        <v/>
      </c>
      <c r="AI73" s="187">
        <f>'CPI data'!AE45</f>
        <v/>
      </c>
      <c r="AJ73" s="187">
        <f>'CPI data'!AF45</f>
        <v/>
      </c>
      <c r="AK73" s="187">
        <f>'CPI data'!AG45</f>
        <v/>
      </c>
      <c r="AL73" s="187">
        <f>'CPI data'!AH45</f>
        <v/>
      </c>
      <c r="AM73" s="187">
        <f>'CPI data'!AI45</f>
        <v/>
      </c>
      <c r="AN73" s="187">
        <f>'CPI data'!AJ45</f>
        <v/>
      </c>
      <c r="AO73" s="187">
        <f>'CPI data'!AK45</f>
        <v/>
      </c>
      <c r="AP73" s="187">
        <f>'CPI data'!AL45</f>
        <v/>
      </c>
      <c r="AQ73" s="187">
        <f>'CPI data'!AM45</f>
        <v/>
      </c>
      <c r="AR73" s="187">
        <f>'CPI data'!AN45</f>
        <v/>
      </c>
      <c r="AS73" s="187">
        <f>'CPI data'!AO45</f>
        <v/>
      </c>
      <c r="AT73" s="187">
        <f>'CPI data'!AP45</f>
        <v/>
      </c>
      <c r="AU73" s="187">
        <f>'CPI data'!AQ45</f>
        <v/>
      </c>
      <c r="AV73" s="187">
        <f>'CPI data'!AR45</f>
        <v/>
      </c>
      <c r="AW73" s="187">
        <f>'CPI data'!AS45</f>
        <v/>
      </c>
      <c r="AX73" s="187">
        <f>'CPI data'!AT45</f>
        <v/>
      </c>
    </row>
    <row r="74" ht="21" customHeight="1">
      <c r="E74" s="237" t="inlineStr">
        <is>
          <t>USD CAD</t>
        </is>
      </c>
      <c r="F74" s="187">
        <f>'CPI data'!B46</f>
        <v/>
      </c>
      <c r="G74" s="187">
        <f>'CPI data'!C46</f>
        <v/>
      </c>
      <c r="H74" s="187">
        <f>'CPI data'!D46</f>
        <v/>
      </c>
      <c r="I74" s="187">
        <f>'CPI data'!E46</f>
        <v/>
      </c>
      <c r="J74" s="187">
        <f>'CPI data'!F46</f>
        <v/>
      </c>
      <c r="K74" s="187">
        <f>'CPI data'!G46</f>
        <v/>
      </c>
      <c r="L74" s="187">
        <f>'CPI data'!H46</f>
        <v/>
      </c>
      <c r="M74" s="187">
        <f>'CPI data'!I46</f>
        <v/>
      </c>
      <c r="N74" s="187">
        <f>'CPI data'!J46</f>
        <v/>
      </c>
      <c r="O74" s="187">
        <f>'CPI data'!K46</f>
        <v/>
      </c>
      <c r="P74" s="187">
        <f>'CPI data'!L46</f>
        <v/>
      </c>
      <c r="Q74" s="187">
        <f>'CPI data'!M46</f>
        <v/>
      </c>
      <c r="R74" s="187">
        <f>'CPI data'!N46</f>
        <v/>
      </c>
      <c r="S74" s="187">
        <f>'CPI data'!O46</f>
        <v/>
      </c>
      <c r="T74" s="187">
        <f>'CPI data'!P46</f>
        <v/>
      </c>
      <c r="U74" s="187">
        <f>'CPI data'!Q46</f>
        <v/>
      </c>
      <c r="V74" s="187">
        <f>'CPI data'!R46</f>
        <v/>
      </c>
      <c r="W74" s="187">
        <f>'CPI data'!S46</f>
        <v/>
      </c>
      <c r="X74" s="187">
        <f>'CPI data'!T46</f>
        <v/>
      </c>
      <c r="Y74" s="187">
        <f>'CPI data'!U46</f>
        <v/>
      </c>
      <c r="Z74" s="187">
        <f>'CPI data'!V46</f>
        <v/>
      </c>
      <c r="AA74" s="187">
        <f>'CPI data'!W46</f>
        <v/>
      </c>
      <c r="AB74" s="187">
        <f>'CPI data'!X46</f>
        <v/>
      </c>
      <c r="AC74" s="187">
        <f>'CPI data'!Y46</f>
        <v/>
      </c>
      <c r="AD74" s="187">
        <f>'CPI data'!Z46</f>
        <v/>
      </c>
      <c r="AE74" s="187">
        <f>'CPI data'!AA46</f>
        <v/>
      </c>
      <c r="AF74" s="187">
        <f>'CPI data'!AB46</f>
        <v/>
      </c>
      <c r="AG74" s="187">
        <f>'CPI data'!AC46</f>
        <v/>
      </c>
      <c r="AH74" s="187">
        <f>'CPI data'!AD46</f>
        <v/>
      </c>
      <c r="AI74" s="187">
        <f>'CPI data'!AE46</f>
        <v/>
      </c>
      <c r="AJ74" s="187">
        <f>'CPI data'!AF46</f>
        <v/>
      </c>
      <c r="AK74" s="187">
        <f>'CPI data'!AG46</f>
        <v/>
      </c>
      <c r="AL74" s="187">
        <f>'CPI data'!AH46</f>
        <v/>
      </c>
      <c r="AM74" s="187">
        <f>'CPI data'!AI46</f>
        <v/>
      </c>
      <c r="AN74" s="187">
        <f>'CPI data'!AJ46</f>
        <v/>
      </c>
      <c r="AO74" s="187">
        <f>'CPI data'!AK46</f>
        <v/>
      </c>
      <c r="AP74" s="187">
        <f>'CPI data'!AL46</f>
        <v/>
      </c>
      <c r="AQ74" s="187">
        <f>'CPI data'!AM46</f>
        <v/>
      </c>
      <c r="AR74" s="187">
        <f>'CPI data'!AN46</f>
        <v/>
      </c>
      <c r="AS74" s="187">
        <f>'CPI data'!AO46</f>
        <v/>
      </c>
      <c r="AT74" s="187">
        <f>'CPI data'!AP46</f>
        <v/>
      </c>
      <c r="AU74" s="187">
        <f>'CPI data'!AQ46</f>
        <v/>
      </c>
      <c r="AV74" s="187">
        <f>'CPI data'!AR46</f>
        <v/>
      </c>
      <c r="AW74" s="187">
        <f>'CPI data'!AS46</f>
        <v/>
      </c>
      <c r="AX74" s="187">
        <f>'CPI data'!AT46</f>
        <v/>
      </c>
    </row>
    <row r="75" ht="21" customHeight="1">
      <c r="E75" s="238" t="inlineStr">
        <is>
          <t>EUR USD</t>
        </is>
      </c>
      <c r="F75" s="187">
        <f>'CPI data'!B47</f>
        <v/>
      </c>
      <c r="G75" s="187">
        <f>'CPI data'!C47</f>
        <v/>
      </c>
      <c r="H75" s="187">
        <f>'CPI data'!D47</f>
        <v/>
      </c>
      <c r="I75" s="187">
        <f>'CPI data'!E47</f>
        <v/>
      </c>
      <c r="J75" s="187">
        <f>'CPI data'!F47</f>
        <v/>
      </c>
      <c r="K75" s="187">
        <f>'CPI data'!G47</f>
        <v/>
      </c>
      <c r="L75" s="187">
        <f>'CPI data'!H47</f>
        <v/>
      </c>
      <c r="M75" s="187">
        <f>'CPI data'!I47</f>
        <v/>
      </c>
      <c r="N75" s="187">
        <f>'CPI data'!J47</f>
        <v/>
      </c>
      <c r="O75" s="187">
        <f>'CPI data'!K47</f>
        <v/>
      </c>
      <c r="P75" s="187">
        <f>'CPI data'!L47</f>
        <v/>
      </c>
      <c r="Q75" s="187">
        <f>'CPI data'!M47</f>
        <v/>
      </c>
      <c r="R75" s="187">
        <f>'CPI data'!N47</f>
        <v/>
      </c>
      <c r="S75" s="187">
        <f>'CPI data'!O47</f>
        <v/>
      </c>
      <c r="T75" s="187">
        <f>'CPI data'!P47</f>
        <v/>
      </c>
      <c r="U75" s="187">
        <f>'CPI data'!Q47</f>
        <v/>
      </c>
      <c r="V75" s="187">
        <f>'CPI data'!R47</f>
        <v/>
      </c>
      <c r="W75" s="187">
        <f>'CPI data'!S47</f>
        <v/>
      </c>
      <c r="X75" s="187">
        <f>'CPI data'!T47</f>
        <v/>
      </c>
      <c r="Y75" s="187">
        <f>'CPI data'!U47</f>
        <v/>
      </c>
      <c r="Z75" s="187">
        <f>'CPI data'!V47</f>
        <v/>
      </c>
      <c r="AA75" s="187">
        <f>'CPI data'!W47</f>
        <v/>
      </c>
      <c r="AB75" s="187">
        <f>'CPI data'!X47</f>
        <v/>
      </c>
      <c r="AC75" s="187">
        <f>'CPI data'!Y47</f>
        <v/>
      </c>
      <c r="AD75" s="187">
        <f>'CPI data'!Z47</f>
        <v/>
      </c>
      <c r="AE75" s="187">
        <f>'CPI data'!AA47</f>
        <v/>
      </c>
      <c r="AF75" s="187">
        <f>'CPI data'!AB47</f>
        <v/>
      </c>
      <c r="AG75" s="187">
        <f>'CPI data'!AC47</f>
        <v/>
      </c>
      <c r="AH75" s="187">
        <f>'CPI data'!AD47</f>
        <v/>
      </c>
      <c r="AI75" s="187">
        <f>'CPI data'!AE47</f>
        <v/>
      </c>
      <c r="AJ75" s="187">
        <f>'CPI data'!AF47</f>
        <v/>
      </c>
      <c r="AK75" s="187">
        <f>'CPI data'!AG47</f>
        <v/>
      </c>
      <c r="AL75" s="187">
        <f>'CPI data'!AH47</f>
        <v/>
      </c>
      <c r="AM75" s="187">
        <f>'CPI data'!AI47</f>
        <v/>
      </c>
      <c r="AN75" s="187">
        <f>'CPI data'!AJ47</f>
        <v/>
      </c>
      <c r="AO75" s="187">
        <f>'CPI data'!AK47</f>
        <v/>
      </c>
      <c r="AP75" s="187">
        <f>'CPI data'!AL47</f>
        <v/>
      </c>
      <c r="AQ75" s="187">
        <f>'CPI data'!AM47</f>
        <v/>
      </c>
      <c r="AR75" s="187">
        <f>'CPI data'!AN47</f>
        <v/>
      </c>
      <c r="AS75" s="187">
        <f>'CPI data'!AO47</f>
        <v/>
      </c>
      <c r="AT75" s="187">
        <f>'CPI data'!AP47</f>
        <v/>
      </c>
      <c r="AU75" s="187">
        <f>'CPI data'!AQ47</f>
        <v/>
      </c>
      <c r="AV75" s="187">
        <f>'CPI data'!AR47</f>
        <v/>
      </c>
      <c r="AW75" s="187">
        <f>'CPI data'!AS47</f>
        <v/>
      </c>
      <c r="AX75" s="187">
        <f>'CPI data'!AT47</f>
        <v/>
      </c>
    </row>
    <row r="76" ht="21" customHeight="1">
      <c r="E76" s="238" t="inlineStr">
        <is>
          <t>EUR JPY</t>
        </is>
      </c>
      <c r="F76" s="187">
        <f>'CPI data'!B48</f>
        <v/>
      </c>
      <c r="G76" s="187">
        <f>'CPI data'!C48</f>
        <v/>
      </c>
      <c r="H76" s="187">
        <f>'CPI data'!D48</f>
        <v/>
      </c>
      <c r="I76" s="187">
        <f>'CPI data'!E48</f>
        <v/>
      </c>
      <c r="J76" s="187">
        <f>'CPI data'!F48</f>
        <v/>
      </c>
      <c r="K76" s="187">
        <f>'CPI data'!G48</f>
        <v/>
      </c>
      <c r="L76" s="187">
        <f>'CPI data'!H48</f>
        <v/>
      </c>
      <c r="M76" s="187">
        <f>'CPI data'!I48</f>
        <v/>
      </c>
      <c r="N76" s="187">
        <f>'CPI data'!J48</f>
        <v/>
      </c>
      <c r="O76" s="187">
        <f>'CPI data'!K48</f>
        <v/>
      </c>
      <c r="P76" s="187">
        <f>'CPI data'!L48</f>
        <v/>
      </c>
      <c r="Q76" s="187">
        <f>'CPI data'!M48</f>
        <v/>
      </c>
      <c r="R76" s="187">
        <f>'CPI data'!N48</f>
        <v/>
      </c>
      <c r="S76" s="187">
        <f>'CPI data'!O48</f>
        <v/>
      </c>
      <c r="T76" s="187">
        <f>'CPI data'!P48</f>
        <v/>
      </c>
      <c r="U76" s="187">
        <f>'CPI data'!Q48</f>
        <v/>
      </c>
      <c r="V76" s="187">
        <f>'CPI data'!R48</f>
        <v/>
      </c>
      <c r="W76" s="187">
        <f>'CPI data'!S48</f>
        <v/>
      </c>
      <c r="X76" s="187">
        <f>'CPI data'!T48</f>
        <v/>
      </c>
      <c r="Y76" s="187">
        <f>'CPI data'!U48</f>
        <v/>
      </c>
      <c r="Z76" s="187">
        <f>'CPI data'!V48</f>
        <v/>
      </c>
      <c r="AA76" s="187">
        <f>'CPI data'!W48</f>
        <v/>
      </c>
      <c r="AB76" s="187">
        <f>'CPI data'!X48</f>
        <v/>
      </c>
      <c r="AC76" s="187">
        <f>'CPI data'!Y48</f>
        <v/>
      </c>
      <c r="AD76" s="187">
        <f>'CPI data'!Z48</f>
        <v/>
      </c>
      <c r="AE76" s="187">
        <f>'CPI data'!AA48</f>
        <v/>
      </c>
      <c r="AF76" s="187">
        <f>'CPI data'!AB48</f>
        <v/>
      </c>
      <c r="AG76" s="187">
        <f>'CPI data'!AC48</f>
        <v/>
      </c>
      <c r="AH76" s="187">
        <f>'CPI data'!AD48</f>
        <v/>
      </c>
      <c r="AI76" s="187">
        <f>'CPI data'!AE48</f>
        <v/>
      </c>
      <c r="AJ76" s="187">
        <f>'CPI data'!AF48</f>
        <v/>
      </c>
      <c r="AK76" s="187">
        <f>'CPI data'!AG48</f>
        <v/>
      </c>
      <c r="AL76" s="187">
        <f>'CPI data'!AH48</f>
        <v/>
      </c>
      <c r="AM76" s="187">
        <f>'CPI data'!AI48</f>
        <v/>
      </c>
      <c r="AN76" s="187">
        <f>'CPI data'!AJ48</f>
        <v/>
      </c>
      <c r="AO76" s="187">
        <f>'CPI data'!AK48</f>
        <v/>
      </c>
      <c r="AP76" s="187">
        <f>'CPI data'!AL48</f>
        <v/>
      </c>
      <c r="AQ76" s="187">
        <f>'CPI data'!AM48</f>
        <v/>
      </c>
      <c r="AR76" s="187">
        <f>'CPI data'!AN48</f>
        <v/>
      </c>
      <c r="AS76" s="187">
        <f>'CPI data'!AO48</f>
        <v/>
      </c>
      <c r="AT76" s="187">
        <f>'CPI data'!AP48</f>
        <v/>
      </c>
      <c r="AU76" s="187">
        <f>'CPI data'!AQ48</f>
        <v/>
      </c>
      <c r="AV76" s="187">
        <f>'CPI data'!AR48</f>
        <v/>
      </c>
      <c r="AW76" s="187">
        <f>'CPI data'!AS48</f>
        <v/>
      </c>
      <c r="AX76" s="187">
        <f>'CPI data'!AT48</f>
        <v/>
      </c>
    </row>
    <row r="77" ht="21" customHeight="1">
      <c r="E77" s="238" t="inlineStr">
        <is>
          <t>EUR CHF</t>
        </is>
      </c>
      <c r="F77" s="187">
        <f>'CPI data'!B49</f>
        <v/>
      </c>
      <c r="G77" s="187">
        <f>'CPI data'!C49</f>
        <v/>
      </c>
      <c r="H77" s="187">
        <f>'CPI data'!D49</f>
        <v/>
      </c>
      <c r="I77" s="187">
        <f>'CPI data'!E49</f>
        <v/>
      </c>
      <c r="J77" s="187">
        <f>'CPI data'!F49</f>
        <v/>
      </c>
      <c r="K77" s="187">
        <f>'CPI data'!G49</f>
        <v/>
      </c>
      <c r="L77" s="187">
        <f>'CPI data'!H49</f>
        <v/>
      </c>
      <c r="M77" s="187">
        <f>'CPI data'!I49</f>
        <v/>
      </c>
      <c r="N77" s="187">
        <f>'CPI data'!J49</f>
        <v/>
      </c>
      <c r="O77" s="187">
        <f>'CPI data'!K49</f>
        <v/>
      </c>
      <c r="P77" s="187">
        <f>'CPI data'!L49</f>
        <v/>
      </c>
      <c r="Q77" s="187">
        <f>'CPI data'!M49</f>
        <v/>
      </c>
      <c r="R77" s="187">
        <f>'CPI data'!N49</f>
        <v/>
      </c>
      <c r="S77" s="187">
        <f>'CPI data'!O49</f>
        <v/>
      </c>
      <c r="T77" s="187">
        <f>'CPI data'!P49</f>
        <v/>
      </c>
      <c r="U77" s="187">
        <f>'CPI data'!Q49</f>
        <v/>
      </c>
      <c r="V77" s="187">
        <f>'CPI data'!R49</f>
        <v/>
      </c>
      <c r="W77" s="187">
        <f>'CPI data'!S49</f>
        <v/>
      </c>
      <c r="X77" s="187">
        <f>'CPI data'!T49</f>
        <v/>
      </c>
      <c r="Y77" s="187">
        <f>'CPI data'!U49</f>
        <v/>
      </c>
      <c r="Z77" s="187">
        <f>'CPI data'!V49</f>
        <v/>
      </c>
      <c r="AA77" s="187">
        <f>'CPI data'!W49</f>
        <v/>
      </c>
      <c r="AB77" s="187">
        <f>'CPI data'!X49</f>
        <v/>
      </c>
      <c r="AC77" s="187">
        <f>'CPI data'!Y49</f>
        <v/>
      </c>
      <c r="AD77" s="187">
        <f>'CPI data'!Z49</f>
        <v/>
      </c>
      <c r="AE77" s="187">
        <f>'CPI data'!AA49</f>
        <v/>
      </c>
      <c r="AF77" s="187">
        <f>'CPI data'!AB49</f>
        <v/>
      </c>
      <c r="AG77" s="187">
        <f>'CPI data'!AC49</f>
        <v/>
      </c>
      <c r="AH77" s="187">
        <f>'CPI data'!AD49</f>
        <v/>
      </c>
      <c r="AI77" s="187">
        <f>'CPI data'!AE49</f>
        <v/>
      </c>
      <c r="AJ77" s="187">
        <f>'CPI data'!AF49</f>
        <v/>
      </c>
      <c r="AK77" s="187">
        <f>'CPI data'!AG49</f>
        <v/>
      </c>
      <c r="AL77" s="187">
        <f>'CPI data'!AH49</f>
        <v/>
      </c>
      <c r="AM77" s="187">
        <f>'CPI data'!AI49</f>
        <v/>
      </c>
      <c r="AN77" s="187">
        <f>'CPI data'!AJ49</f>
        <v/>
      </c>
      <c r="AO77" s="187">
        <f>'CPI data'!AK49</f>
        <v/>
      </c>
      <c r="AP77" s="187">
        <f>'CPI data'!AL49</f>
        <v/>
      </c>
      <c r="AQ77" s="187">
        <f>'CPI data'!AM49</f>
        <v/>
      </c>
      <c r="AR77" s="187">
        <f>'CPI data'!AN49</f>
        <v/>
      </c>
      <c r="AS77" s="187">
        <f>'CPI data'!AO49</f>
        <v/>
      </c>
      <c r="AT77" s="187">
        <f>'CPI data'!AP49</f>
        <v/>
      </c>
      <c r="AU77" s="187">
        <f>'CPI data'!AQ49</f>
        <v/>
      </c>
      <c r="AV77" s="187">
        <f>'CPI data'!AR49</f>
        <v/>
      </c>
      <c r="AW77" s="187">
        <f>'CPI data'!AS49</f>
        <v/>
      </c>
      <c r="AX77" s="187">
        <f>'CPI data'!AT49</f>
        <v/>
      </c>
    </row>
    <row r="78" ht="21" customHeight="1">
      <c r="E78" s="238" t="inlineStr">
        <is>
          <t>EUR GBP</t>
        </is>
      </c>
      <c r="F78" s="187">
        <f>'CPI data'!B50</f>
        <v/>
      </c>
      <c r="G78" s="187">
        <f>'CPI data'!C50</f>
        <v/>
      </c>
      <c r="H78" s="187">
        <f>'CPI data'!D50</f>
        <v/>
      </c>
      <c r="I78" s="187">
        <f>'CPI data'!E50</f>
        <v/>
      </c>
      <c r="J78" s="187">
        <f>'CPI data'!F50</f>
        <v/>
      </c>
      <c r="K78" s="187">
        <f>'CPI data'!G50</f>
        <v/>
      </c>
      <c r="L78" s="187">
        <f>'CPI data'!H50</f>
        <v/>
      </c>
      <c r="M78" s="187">
        <f>'CPI data'!I50</f>
        <v/>
      </c>
      <c r="N78" s="187">
        <f>'CPI data'!J50</f>
        <v/>
      </c>
      <c r="O78" s="187">
        <f>'CPI data'!K50</f>
        <v/>
      </c>
      <c r="P78" s="187">
        <f>'CPI data'!L50</f>
        <v/>
      </c>
      <c r="Q78" s="187">
        <f>'CPI data'!M50</f>
        <v/>
      </c>
      <c r="R78" s="187">
        <f>'CPI data'!N50</f>
        <v/>
      </c>
      <c r="S78" s="187">
        <f>'CPI data'!O50</f>
        <v/>
      </c>
      <c r="T78" s="187">
        <f>'CPI data'!P50</f>
        <v/>
      </c>
      <c r="U78" s="187">
        <f>'CPI data'!Q50</f>
        <v/>
      </c>
      <c r="V78" s="187">
        <f>'CPI data'!R50</f>
        <v/>
      </c>
      <c r="W78" s="187">
        <f>'CPI data'!S50</f>
        <v/>
      </c>
      <c r="X78" s="187">
        <f>'CPI data'!T50</f>
        <v/>
      </c>
      <c r="Y78" s="187">
        <f>'CPI data'!U50</f>
        <v/>
      </c>
      <c r="Z78" s="187">
        <f>'CPI data'!V50</f>
        <v/>
      </c>
      <c r="AA78" s="187">
        <f>'CPI data'!W50</f>
        <v/>
      </c>
      <c r="AB78" s="187">
        <f>'CPI data'!X50</f>
        <v/>
      </c>
      <c r="AC78" s="187">
        <f>'CPI data'!Y50</f>
        <v/>
      </c>
      <c r="AD78" s="187">
        <f>'CPI data'!Z50</f>
        <v/>
      </c>
      <c r="AE78" s="187">
        <f>'CPI data'!AA50</f>
        <v/>
      </c>
      <c r="AF78" s="187">
        <f>'CPI data'!AB50</f>
        <v/>
      </c>
      <c r="AG78" s="187">
        <f>'CPI data'!AC50</f>
        <v/>
      </c>
      <c r="AH78" s="187">
        <f>'CPI data'!AD50</f>
        <v/>
      </c>
      <c r="AI78" s="187">
        <f>'CPI data'!AE50</f>
        <v/>
      </c>
      <c r="AJ78" s="187">
        <f>'CPI data'!AF50</f>
        <v/>
      </c>
      <c r="AK78" s="187">
        <f>'CPI data'!AG50</f>
        <v/>
      </c>
      <c r="AL78" s="187">
        <f>'CPI data'!AH50</f>
        <v/>
      </c>
      <c r="AM78" s="187">
        <f>'CPI data'!AI50</f>
        <v/>
      </c>
      <c r="AN78" s="187">
        <f>'CPI data'!AJ50</f>
        <v/>
      </c>
      <c r="AO78" s="187">
        <f>'CPI data'!AK50</f>
        <v/>
      </c>
      <c r="AP78" s="187">
        <f>'CPI data'!AL50</f>
        <v/>
      </c>
      <c r="AQ78" s="187">
        <f>'CPI data'!AM50</f>
        <v/>
      </c>
      <c r="AR78" s="187">
        <f>'CPI data'!AN50</f>
        <v/>
      </c>
      <c r="AS78" s="187">
        <f>'CPI data'!AO50</f>
        <v/>
      </c>
      <c r="AT78" s="187">
        <f>'CPI data'!AP50</f>
        <v/>
      </c>
      <c r="AU78" s="187">
        <f>'CPI data'!AQ50</f>
        <v/>
      </c>
      <c r="AV78" s="187">
        <f>'CPI data'!AR50</f>
        <v/>
      </c>
      <c r="AW78" s="187">
        <f>'CPI data'!AS50</f>
        <v/>
      </c>
      <c r="AX78" s="187">
        <f>'CPI data'!AT50</f>
        <v/>
      </c>
    </row>
    <row r="79" ht="21" customHeight="1">
      <c r="E79" s="239" t="inlineStr">
        <is>
          <t>EUR CAD</t>
        </is>
      </c>
      <c r="F79" s="187">
        <f>'CPI data'!B51</f>
        <v/>
      </c>
      <c r="G79" s="187">
        <f>'CPI data'!C51</f>
        <v/>
      </c>
      <c r="H79" s="187">
        <f>'CPI data'!D51</f>
        <v/>
      </c>
      <c r="I79" s="187">
        <f>'CPI data'!E51</f>
        <v/>
      </c>
      <c r="J79" s="187">
        <f>'CPI data'!F51</f>
        <v/>
      </c>
      <c r="K79" s="187">
        <f>'CPI data'!G51</f>
        <v/>
      </c>
      <c r="L79" s="187">
        <f>'CPI data'!H51</f>
        <v/>
      </c>
      <c r="M79" s="187">
        <f>'CPI data'!I51</f>
        <v/>
      </c>
      <c r="N79" s="187">
        <f>'CPI data'!J51</f>
        <v/>
      </c>
      <c r="O79" s="187">
        <f>'CPI data'!K51</f>
        <v/>
      </c>
      <c r="P79" s="187">
        <f>'CPI data'!L51</f>
        <v/>
      </c>
      <c r="Q79" s="187">
        <f>'CPI data'!M51</f>
        <v/>
      </c>
      <c r="R79" s="187">
        <f>'CPI data'!N51</f>
        <v/>
      </c>
      <c r="S79" s="187">
        <f>'CPI data'!O51</f>
        <v/>
      </c>
      <c r="T79" s="187">
        <f>'CPI data'!P51</f>
        <v/>
      </c>
      <c r="U79" s="187">
        <f>'CPI data'!Q51</f>
        <v/>
      </c>
      <c r="V79" s="187">
        <f>'CPI data'!R51</f>
        <v/>
      </c>
      <c r="W79" s="187">
        <f>'CPI data'!S51</f>
        <v/>
      </c>
      <c r="X79" s="187">
        <f>'CPI data'!T51</f>
        <v/>
      </c>
      <c r="Y79" s="187">
        <f>'CPI data'!U51</f>
        <v/>
      </c>
      <c r="Z79" s="187">
        <f>'CPI data'!V51</f>
        <v/>
      </c>
      <c r="AA79" s="187">
        <f>'CPI data'!W51</f>
        <v/>
      </c>
      <c r="AB79" s="187">
        <f>'CPI data'!X51</f>
        <v/>
      </c>
      <c r="AC79" s="187">
        <f>'CPI data'!Y51</f>
        <v/>
      </c>
      <c r="AD79" s="187">
        <f>'CPI data'!Z51</f>
        <v/>
      </c>
      <c r="AE79" s="187">
        <f>'CPI data'!AA51</f>
        <v/>
      </c>
      <c r="AF79" s="187">
        <f>'CPI data'!AB51</f>
        <v/>
      </c>
      <c r="AG79" s="187">
        <f>'CPI data'!AC51</f>
        <v/>
      </c>
      <c r="AH79" s="187">
        <f>'CPI data'!AD51</f>
        <v/>
      </c>
      <c r="AI79" s="187">
        <f>'CPI data'!AE51</f>
        <v/>
      </c>
      <c r="AJ79" s="187">
        <f>'CPI data'!AF51</f>
        <v/>
      </c>
      <c r="AK79" s="187">
        <f>'CPI data'!AG51</f>
        <v/>
      </c>
      <c r="AL79" s="187">
        <f>'CPI data'!AH51</f>
        <v/>
      </c>
      <c r="AM79" s="187">
        <f>'CPI data'!AI51</f>
        <v/>
      </c>
      <c r="AN79" s="187">
        <f>'CPI data'!AJ51</f>
        <v/>
      </c>
      <c r="AO79" s="187">
        <f>'CPI data'!AK51</f>
        <v/>
      </c>
      <c r="AP79" s="187">
        <f>'CPI data'!AL51</f>
        <v/>
      </c>
      <c r="AQ79" s="187">
        <f>'CPI data'!AM51</f>
        <v/>
      </c>
      <c r="AR79" s="187">
        <f>'CPI data'!AN51</f>
        <v/>
      </c>
      <c r="AS79" s="187">
        <f>'CPI data'!AO51</f>
        <v/>
      </c>
      <c r="AT79" s="187">
        <f>'CPI data'!AP51</f>
        <v/>
      </c>
      <c r="AU79" s="187">
        <f>'CPI data'!AQ51</f>
        <v/>
      </c>
      <c r="AV79" s="187">
        <f>'CPI data'!AR51</f>
        <v/>
      </c>
      <c r="AW79" s="187">
        <f>'CPI data'!AS51</f>
        <v/>
      </c>
      <c r="AX79" s="187">
        <f>'CPI data'!AT51</f>
        <v/>
      </c>
    </row>
    <row r="80" ht="21" customHeight="1">
      <c r="E80" s="238" t="inlineStr">
        <is>
          <t>EUR AUD</t>
        </is>
      </c>
      <c r="F80" s="187">
        <f>'CPI data'!B52</f>
        <v/>
      </c>
      <c r="G80" s="187">
        <f>'CPI data'!C52</f>
        <v/>
      </c>
      <c r="H80" s="187">
        <f>'CPI data'!D52</f>
        <v/>
      </c>
      <c r="I80" s="187">
        <f>'CPI data'!E52</f>
        <v/>
      </c>
      <c r="J80" s="187">
        <f>'CPI data'!F52</f>
        <v/>
      </c>
      <c r="K80" s="187">
        <f>'CPI data'!G52</f>
        <v/>
      </c>
      <c r="L80" s="187">
        <f>'CPI data'!H52</f>
        <v/>
      </c>
      <c r="M80" s="187">
        <f>'CPI data'!I52</f>
        <v/>
      </c>
      <c r="N80" s="187">
        <f>'CPI data'!J52</f>
        <v/>
      </c>
      <c r="O80" s="187">
        <f>'CPI data'!K52</f>
        <v/>
      </c>
      <c r="P80" s="187">
        <f>'CPI data'!L52</f>
        <v/>
      </c>
      <c r="Q80" s="187">
        <f>'CPI data'!M52</f>
        <v/>
      </c>
      <c r="R80" s="187">
        <f>'CPI data'!N52</f>
        <v/>
      </c>
      <c r="S80" s="187">
        <f>'CPI data'!O52</f>
        <v/>
      </c>
      <c r="T80" s="187">
        <f>'CPI data'!P52</f>
        <v/>
      </c>
      <c r="U80" s="187">
        <f>'CPI data'!Q52</f>
        <v/>
      </c>
      <c r="V80" s="187">
        <f>'CPI data'!R52</f>
        <v/>
      </c>
      <c r="W80" s="187">
        <f>'CPI data'!S52</f>
        <v/>
      </c>
      <c r="X80" s="187">
        <f>'CPI data'!T52</f>
        <v/>
      </c>
      <c r="Y80" s="187">
        <f>'CPI data'!U52</f>
        <v/>
      </c>
      <c r="Z80" s="187">
        <f>'CPI data'!V52</f>
        <v/>
      </c>
      <c r="AA80" s="187">
        <f>'CPI data'!W52</f>
        <v/>
      </c>
      <c r="AB80" s="187">
        <f>'CPI data'!X52</f>
        <v/>
      </c>
      <c r="AC80" s="187">
        <f>'CPI data'!Y52</f>
        <v/>
      </c>
      <c r="AD80" s="187">
        <f>'CPI data'!Z52</f>
        <v/>
      </c>
      <c r="AE80" s="187">
        <f>'CPI data'!AA52</f>
        <v/>
      </c>
      <c r="AF80" s="187">
        <f>'CPI data'!AB52</f>
        <v/>
      </c>
      <c r="AG80" s="187">
        <f>'CPI data'!AC52</f>
        <v/>
      </c>
      <c r="AH80" s="187">
        <f>'CPI data'!AD52</f>
        <v/>
      </c>
      <c r="AI80" s="187">
        <f>'CPI data'!AE52</f>
        <v/>
      </c>
      <c r="AJ80" s="187">
        <f>'CPI data'!AF52</f>
        <v/>
      </c>
      <c r="AK80" s="187">
        <f>'CPI data'!AG52</f>
        <v/>
      </c>
      <c r="AL80" s="187">
        <f>'CPI data'!AH52</f>
        <v/>
      </c>
      <c r="AM80" s="187">
        <f>'CPI data'!AI52</f>
        <v/>
      </c>
      <c r="AN80" s="187">
        <f>'CPI data'!AJ52</f>
        <v/>
      </c>
      <c r="AO80" s="187">
        <f>'CPI data'!AK52</f>
        <v/>
      </c>
      <c r="AP80" s="187">
        <f>'CPI data'!AL52</f>
        <v/>
      </c>
      <c r="AQ80" s="187">
        <f>'CPI data'!AM52</f>
        <v/>
      </c>
      <c r="AR80" s="187">
        <f>'CPI data'!AN52</f>
        <v/>
      </c>
      <c r="AS80" s="187">
        <f>'CPI data'!AO52</f>
        <v/>
      </c>
      <c r="AT80" s="187">
        <f>'CPI data'!AP52</f>
        <v/>
      </c>
      <c r="AU80" s="187">
        <f>'CPI data'!AQ52</f>
        <v/>
      </c>
      <c r="AV80" s="187">
        <f>'CPI data'!AR52</f>
        <v/>
      </c>
      <c r="AW80" s="187">
        <f>'CPI data'!AS52</f>
        <v/>
      </c>
      <c r="AX80" s="187">
        <f>'CPI data'!AT52</f>
        <v/>
      </c>
    </row>
    <row r="81" ht="21" customHeight="1">
      <c r="E81" s="239" t="inlineStr">
        <is>
          <t>EUR NZD</t>
        </is>
      </c>
      <c r="F81" s="187">
        <f>'CPI data'!B53</f>
        <v/>
      </c>
      <c r="G81" s="187">
        <f>'CPI data'!C53</f>
        <v/>
      </c>
      <c r="H81" s="187">
        <f>'CPI data'!D53</f>
        <v/>
      </c>
      <c r="I81" s="187">
        <f>'CPI data'!E53</f>
        <v/>
      </c>
      <c r="J81" s="187">
        <f>'CPI data'!F53</f>
        <v/>
      </c>
      <c r="K81" s="187">
        <f>'CPI data'!G53</f>
        <v/>
      </c>
      <c r="L81" s="187">
        <f>'CPI data'!H53</f>
        <v/>
      </c>
      <c r="M81" s="187">
        <f>'CPI data'!I53</f>
        <v/>
      </c>
      <c r="N81" s="187">
        <f>'CPI data'!J53</f>
        <v/>
      </c>
      <c r="O81" s="187">
        <f>'CPI data'!K53</f>
        <v/>
      </c>
      <c r="P81" s="187">
        <f>'CPI data'!L53</f>
        <v/>
      </c>
      <c r="Q81" s="187">
        <f>'CPI data'!M53</f>
        <v/>
      </c>
      <c r="R81" s="187">
        <f>'CPI data'!N53</f>
        <v/>
      </c>
      <c r="S81" s="187">
        <f>'CPI data'!O53</f>
        <v/>
      </c>
      <c r="T81" s="187">
        <f>'CPI data'!P53</f>
        <v/>
      </c>
      <c r="U81" s="187">
        <f>'CPI data'!Q53</f>
        <v/>
      </c>
      <c r="V81" s="187">
        <f>'CPI data'!R53</f>
        <v/>
      </c>
      <c r="W81" s="187">
        <f>'CPI data'!S53</f>
        <v/>
      </c>
      <c r="X81" s="187">
        <f>'CPI data'!T53</f>
        <v/>
      </c>
      <c r="Y81" s="187">
        <f>'CPI data'!U53</f>
        <v/>
      </c>
      <c r="Z81" s="187">
        <f>'CPI data'!V53</f>
        <v/>
      </c>
      <c r="AA81" s="187">
        <f>'CPI data'!W53</f>
        <v/>
      </c>
      <c r="AB81" s="187">
        <f>'CPI data'!X53</f>
        <v/>
      </c>
      <c r="AC81" s="187">
        <f>'CPI data'!Y53</f>
        <v/>
      </c>
      <c r="AD81" s="187">
        <f>'CPI data'!Z53</f>
        <v/>
      </c>
      <c r="AE81" s="187">
        <f>'CPI data'!AA53</f>
        <v/>
      </c>
      <c r="AF81" s="187">
        <f>'CPI data'!AB53</f>
        <v/>
      </c>
      <c r="AG81" s="187">
        <f>'CPI data'!AC53</f>
        <v/>
      </c>
      <c r="AH81" s="187">
        <f>'CPI data'!AD53</f>
        <v/>
      </c>
      <c r="AI81" s="187">
        <f>'CPI data'!AE53</f>
        <v/>
      </c>
      <c r="AJ81" s="187">
        <f>'CPI data'!AF53</f>
        <v/>
      </c>
      <c r="AK81" s="187">
        <f>'CPI data'!AG53</f>
        <v/>
      </c>
      <c r="AL81" s="187">
        <f>'CPI data'!AH53</f>
        <v/>
      </c>
      <c r="AM81" s="187">
        <f>'CPI data'!AI53</f>
        <v/>
      </c>
      <c r="AN81" s="187">
        <f>'CPI data'!AJ53</f>
        <v/>
      </c>
      <c r="AO81" s="187">
        <f>'CPI data'!AK53</f>
        <v/>
      </c>
      <c r="AP81" s="187">
        <f>'CPI data'!AL53</f>
        <v/>
      </c>
      <c r="AQ81" s="187">
        <f>'CPI data'!AM53</f>
        <v/>
      </c>
      <c r="AR81" s="187">
        <f>'CPI data'!AN53</f>
        <v/>
      </c>
      <c r="AS81" s="187">
        <f>'CPI data'!AO53</f>
        <v/>
      </c>
      <c r="AT81" s="187">
        <f>'CPI data'!AP53</f>
        <v/>
      </c>
      <c r="AU81" s="187">
        <f>'CPI data'!AQ53</f>
        <v/>
      </c>
      <c r="AV81" s="187">
        <f>'CPI data'!AR53</f>
        <v/>
      </c>
      <c r="AW81" s="187">
        <f>'CPI data'!AS53</f>
        <v/>
      </c>
      <c r="AX81" s="187">
        <f>'CPI data'!AT53</f>
        <v/>
      </c>
    </row>
    <row r="82" ht="21" customHeight="1">
      <c r="E82" s="240" t="inlineStr">
        <is>
          <t>GBP USD</t>
        </is>
      </c>
      <c r="F82" s="187">
        <f>'CPI data'!B54</f>
        <v/>
      </c>
      <c r="G82" s="187">
        <f>'CPI data'!C54</f>
        <v/>
      </c>
      <c r="H82" s="187">
        <f>'CPI data'!D54</f>
        <v/>
      </c>
      <c r="I82" s="187">
        <f>'CPI data'!E54</f>
        <v/>
      </c>
      <c r="J82" s="187">
        <f>'CPI data'!F54</f>
        <v/>
      </c>
      <c r="K82" s="187">
        <f>'CPI data'!G54</f>
        <v/>
      </c>
      <c r="L82" s="187">
        <f>'CPI data'!H54</f>
        <v/>
      </c>
      <c r="M82" s="187">
        <f>'CPI data'!I54</f>
        <v/>
      </c>
      <c r="N82" s="187">
        <f>'CPI data'!J54</f>
        <v/>
      </c>
      <c r="O82" s="187">
        <f>'CPI data'!K54</f>
        <v/>
      </c>
      <c r="P82" s="187">
        <f>'CPI data'!L54</f>
        <v/>
      </c>
      <c r="Q82" s="187">
        <f>'CPI data'!M54</f>
        <v/>
      </c>
      <c r="R82" s="187">
        <f>'CPI data'!N54</f>
        <v/>
      </c>
      <c r="S82" s="187">
        <f>'CPI data'!O54</f>
        <v/>
      </c>
      <c r="T82" s="187">
        <f>'CPI data'!P54</f>
        <v/>
      </c>
      <c r="U82" s="187">
        <f>'CPI data'!Q54</f>
        <v/>
      </c>
      <c r="V82" s="187">
        <f>'CPI data'!R54</f>
        <v/>
      </c>
      <c r="W82" s="187">
        <f>'CPI data'!S54</f>
        <v/>
      </c>
      <c r="X82" s="187">
        <f>'CPI data'!T54</f>
        <v/>
      </c>
      <c r="Y82" s="187">
        <f>'CPI data'!U54</f>
        <v/>
      </c>
      <c r="Z82" s="187">
        <f>'CPI data'!V54</f>
        <v/>
      </c>
      <c r="AA82" s="187">
        <f>'CPI data'!W54</f>
        <v/>
      </c>
      <c r="AB82" s="187">
        <f>'CPI data'!X54</f>
        <v/>
      </c>
      <c r="AC82" s="187">
        <f>'CPI data'!Y54</f>
        <v/>
      </c>
      <c r="AD82" s="187">
        <f>'CPI data'!Z54</f>
        <v/>
      </c>
      <c r="AE82" s="187">
        <f>'CPI data'!AA54</f>
        <v/>
      </c>
      <c r="AF82" s="187">
        <f>'CPI data'!AB54</f>
        <v/>
      </c>
      <c r="AG82" s="187">
        <f>'CPI data'!AC54</f>
        <v/>
      </c>
      <c r="AH82" s="187">
        <f>'CPI data'!AD54</f>
        <v/>
      </c>
      <c r="AI82" s="187">
        <f>'CPI data'!AE54</f>
        <v/>
      </c>
      <c r="AJ82" s="187">
        <f>'CPI data'!AF54</f>
        <v/>
      </c>
      <c r="AK82" s="187">
        <f>'CPI data'!AG54</f>
        <v/>
      </c>
      <c r="AL82" s="187">
        <f>'CPI data'!AH54</f>
        <v/>
      </c>
      <c r="AM82" s="187">
        <f>'CPI data'!AI54</f>
        <v/>
      </c>
      <c r="AN82" s="187">
        <f>'CPI data'!AJ54</f>
        <v/>
      </c>
      <c r="AO82" s="187">
        <f>'CPI data'!AK54</f>
        <v/>
      </c>
      <c r="AP82" s="187">
        <f>'CPI data'!AL54</f>
        <v/>
      </c>
      <c r="AQ82" s="187">
        <f>'CPI data'!AM54</f>
        <v/>
      </c>
      <c r="AR82" s="187">
        <f>'CPI data'!AN54</f>
        <v/>
      </c>
      <c r="AS82" s="187">
        <f>'CPI data'!AO54</f>
        <v/>
      </c>
      <c r="AT82" s="187">
        <f>'CPI data'!AP54</f>
        <v/>
      </c>
      <c r="AU82" s="187">
        <f>'CPI data'!AQ54</f>
        <v/>
      </c>
      <c r="AV82" s="187">
        <f>'CPI data'!AR54</f>
        <v/>
      </c>
      <c r="AW82" s="187">
        <f>'CPI data'!AS54</f>
        <v/>
      </c>
      <c r="AX82" s="187">
        <f>'CPI data'!AT54</f>
        <v/>
      </c>
    </row>
    <row r="83" ht="21" customHeight="1">
      <c r="E83" s="240" t="inlineStr">
        <is>
          <t>GBP JPY</t>
        </is>
      </c>
      <c r="F83" s="187">
        <f>'CPI data'!B55</f>
        <v/>
      </c>
      <c r="G83" s="187">
        <f>'CPI data'!C55</f>
        <v/>
      </c>
      <c r="H83" s="187">
        <f>'CPI data'!D55</f>
        <v/>
      </c>
      <c r="I83" s="187">
        <f>'CPI data'!E55</f>
        <v/>
      </c>
      <c r="J83" s="187">
        <f>'CPI data'!F55</f>
        <v/>
      </c>
      <c r="K83" s="187">
        <f>'CPI data'!G55</f>
        <v/>
      </c>
      <c r="L83" s="187">
        <f>'CPI data'!H55</f>
        <v/>
      </c>
      <c r="M83" s="187">
        <f>'CPI data'!I55</f>
        <v/>
      </c>
      <c r="N83" s="187">
        <f>'CPI data'!J55</f>
        <v/>
      </c>
      <c r="O83" s="187">
        <f>'CPI data'!K55</f>
        <v/>
      </c>
      <c r="P83" s="187">
        <f>'CPI data'!L55</f>
        <v/>
      </c>
      <c r="Q83" s="187">
        <f>'CPI data'!M55</f>
        <v/>
      </c>
      <c r="R83" s="187">
        <f>'CPI data'!N55</f>
        <v/>
      </c>
      <c r="S83" s="187">
        <f>'CPI data'!O55</f>
        <v/>
      </c>
      <c r="T83" s="187">
        <f>'CPI data'!P55</f>
        <v/>
      </c>
      <c r="U83" s="187">
        <f>'CPI data'!Q55</f>
        <v/>
      </c>
      <c r="V83" s="187">
        <f>'CPI data'!R55</f>
        <v/>
      </c>
      <c r="W83" s="187">
        <f>'CPI data'!S55</f>
        <v/>
      </c>
      <c r="X83" s="187">
        <f>'CPI data'!T55</f>
        <v/>
      </c>
      <c r="Y83" s="187">
        <f>'CPI data'!U55</f>
        <v/>
      </c>
      <c r="Z83" s="187">
        <f>'CPI data'!V55</f>
        <v/>
      </c>
      <c r="AA83" s="187">
        <f>'CPI data'!W55</f>
        <v/>
      </c>
      <c r="AB83" s="187">
        <f>'CPI data'!X55</f>
        <v/>
      </c>
      <c r="AC83" s="187">
        <f>'CPI data'!Y55</f>
        <v/>
      </c>
      <c r="AD83" s="187">
        <f>'CPI data'!Z55</f>
        <v/>
      </c>
      <c r="AE83" s="187">
        <f>'CPI data'!AA55</f>
        <v/>
      </c>
      <c r="AF83" s="187">
        <f>'CPI data'!AB55</f>
        <v/>
      </c>
      <c r="AG83" s="187">
        <f>'CPI data'!AC55</f>
        <v/>
      </c>
      <c r="AH83" s="187">
        <f>'CPI data'!AD55</f>
        <v/>
      </c>
      <c r="AI83" s="187">
        <f>'CPI data'!AE55</f>
        <v/>
      </c>
      <c r="AJ83" s="187">
        <f>'CPI data'!AF55</f>
        <v/>
      </c>
      <c r="AK83" s="187">
        <f>'CPI data'!AG55</f>
        <v/>
      </c>
      <c r="AL83" s="187">
        <f>'CPI data'!AH55</f>
        <v/>
      </c>
      <c r="AM83" s="187">
        <f>'CPI data'!AI55</f>
        <v/>
      </c>
      <c r="AN83" s="187">
        <f>'CPI data'!AJ55</f>
        <v/>
      </c>
      <c r="AO83" s="187">
        <f>'CPI data'!AK55</f>
        <v/>
      </c>
      <c r="AP83" s="187">
        <f>'CPI data'!AL55</f>
        <v/>
      </c>
      <c r="AQ83" s="187">
        <f>'CPI data'!AM55</f>
        <v/>
      </c>
      <c r="AR83" s="187">
        <f>'CPI data'!AN55</f>
        <v/>
      </c>
      <c r="AS83" s="187">
        <f>'CPI data'!AO55</f>
        <v/>
      </c>
      <c r="AT83" s="187">
        <f>'CPI data'!AP55</f>
        <v/>
      </c>
      <c r="AU83" s="187">
        <f>'CPI data'!AQ55</f>
        <v/>
      </c>
      <c r="AV83" s="187">
        <f>'CPI data'!AR55</f>
        <v/>
      </c>
      <c r="AW83" s="187">
        <f>'CPI data'!AS55</f>
        <v/>
      </c>
      <c r="AX83" s="187">
        <f>'CPI data'!AT55</f>
        <v/>
      </c>
    </row>
    <row r="84" ht="21" customHeight="1">
      <c r="E84" s="240" t="inlineStr">
        <is>
          <t>GBP CHF</t>
        </is>
      </c>
      <c r="F84" s="187">
        <f>'CPI data'!B56</f>
        <v/>
      </c>
      <c r="G84" s="187">
        <f>'CPI data'!C56</f>
        <v/>
      </c>
      <c r="H84" s="187">
        <f>'CPI data'!D56</f>
        <v/>
      </c>
      <c r="I84" s="187">
        <f>'CPI data'!E56</f>
        <v/>
      </c>
      <c r="J84" s="187">
        <f>'CPI data'!F56</f>
        <v/>
      </c>
      <c r="K84" s="187">
        <f>'CPI data'!G56</f>
        <v/>
      </c>
      <c r="L84" s="187">
        <f>'CPI data'!H56</f>
        <v/>
      </c>
      <c r="M84" s="187">
        <f>'CPI data'!I56</f>
        <v/>
      </c>
      <c r="N84" s="187">
        <f>'CPI data'!J56</f>
        <v/>
      </c>
      <c r="O84" s="187">
        <f>'CPI data'!K56</f>
        <v/>
      </c>
      <c r="P84" s="187">
        <f>'CPI data'!L56</f>
        <v/>
      </c>
      <c r="Q84" s="187">
        <f>'CPI data'!M56</f>
        <v/>
      </c>
      <c r="R84" s="187">
        <f>'CPI data'!N56</f>
        <v/>
      </c>
      <c r="S84" s="187">
        <f>'CPI data'!O56</f>
        <v/>
      </c>
      <c r="T84" s="187">
        <f>'CPI data'!P56</f>
        <v/>
      </c>
      <c r="U84" s="187">
        <f>'CPI data'!Q56</f>
        <v/>
      </c>
      <c r="V84" s="187">
        <f>'CPI data'!R56</f>
        <v/>
      </c>
      <c r="W84" s="187">
        <f>'CPI data'!S56</f>
        <v/>
      </c>
      <c r="X84" s="187">
        <f>'CPI data'!T56</f>
        <v/>
      </c>
      <c r="Y84" s="187">
        <f>'CPI data'!U56</f>
        <v/>
      </c>
      <c r="Z84" s="187">
        <f>'CPI data'!V56</f>
        <v/>
      </c>
      <c r="AA84" s="187">
        <f>'CPI data'!W56</f>
        <v/>
      </c>
      <c r="AB84" s="187">
        <f>'CPI data'!X56</f>
        <v/>
      </c>
      <c r="AC84" s="187">
        <f>'CPI data'!Y56</f>
        <v/>
      </c>
      <c r="AD84" s="187">
        <f>'CPI data'!Z56</f>
        <v/>
      </c>
      <c r="AE84" s="187">
        <f>'CPI data'!AA56</f>
        <v/>
      </c>
      <c r="AF84" s="187">
        <f>'CPI data'!AB56</f>
        <v/>
      </c>
      <c r="AG84" s="187">
        <f>'CPI data'!AC56</f>
        <v/>
      </c>
      <c r="AH84" s="187">
        <f>'CPI data'!AD56</f>
        <v/>
      </c>
      <c r="AI84" s="187">
        <f>'CPI data'!AE56</f>
        <v/>
      </c>
      <c r="AJ84" s="187">
        <f>'CPI data'!AF56</f>
        <v/>
      </c>
      <c r="AK84" s="187">
        <f>'CPI data'!AG56</f>
        <v/>
      </c>
      <c r="AL84" s="187">
        <f>'CPI data'!AH56</f>
        <v/>
      </c>
      <c r="AM84" s="187">
        <f>'CPI data'!AI56</f>
        <v/>
      </c>
      <c r="AN84" s="187">
        <f>'CPI data'!AJ56</f>
        <v/>
      </c>
      <c r="AO84" s="187">
        <f>'CPI data'!AK56</f>
        <v/>
      </c>
      <c r="AP84" s="187">
        <f>'CPI data'!AL56</f>
        <v/>
      </c>
      <c r="AQ84" s="187">
        <f>'CPI data'!AM56</f>
        <v/>
      </c>
      <c r="AR84" s="187">
        <f>'CPI data'!AN56</f>
        <v/>
      </c>
      <c r="AS84" s="187">
        <f>'CPI data'!AO56</f>
        <v/>
      </c>
      <c r="AT84" s="187">
        <f>'CPI data'!AP56</f>
        <v/>
      </c>
      <c r="AU84" s="187">
        <f>'CPI data'!AQ56</f>
        <v/>
      </c>
      <c r="AV84" s="187">
        <f>'CPI data'!AR56</f>
        <v/>
      </c>
      <c r="AW84" s="187">
        <f>'CPI data'!AS56</f>
        <v/>
      </c>
      <c r="AX84" s="187">
        <f>'CPI data'!AT56</f>
        <v/>
      </c>
    </row>
    <row r="85" ht="21" customHeight="1">
      <c r="E85" s="240" t="inlineStr">
        <is>
          <t>GBP CAD</t>
        </is>
      </c>
      <c r="F85" s="187">
        <f>'CPI data'!B57</f>
        <v/>
      </c>
      <c r="G85" s="187">
        <f>'CPI data'!C57</f>
        <v/>
      </c>
      <c r="H85" s="187">
        <f>'CPI data'!D57</f>
        <v/>
      </c>
      <c r="I85" s="187">
        <f>'CPI data'!E57</f>
        <v/>
      </c>
      <c r="J85" s="187">
        <f>'CPI data'!F57</f>
        <v/>
      </c>
      <c r="K85" s="187">
        <f>'CPI data'!G57</f>
        <v/>
      </c>
      <c r="L85" s="187">
        <f>'CPI data'!H57</f>
        <v/>
      </c>
      <c r="M85" s="187">
        <f>'CPI data'!I57</f>
        <v/>
      </c>
      <c r="N85" s="187">
        <f>'CPI data'!J57</f>
        <v/>
      </c>
      <c r="O85" s="187">
        <f>'CPI data'!K57</f>
        <v/>
      </c>
      <c r="P85" s="187">
        <f>'CPI data'!L57</f>
        <v/>
      </c>
      <c r="Q85" s="187">
        <f>'CPI data'!M57</f>
        <v/>
      </c>
      <c r="R85" s="187">
        <f>'CPI data'!N57</f>
        <v/>
      </c>
      <c r="S85" s="187">
        <f>'CPI data'!O57</f>
        <v/>
      </c>
      <c r="T85" s="187">
        <f>'CPI data'!P57</f>
        <v/>
      </c>
      <c r="U85" s="187">
        <f>'CPI data'!Q57</f>
        <v/>
      </c>
      <c r="V85" s="187">
        <f>'CPI data'!R57</f>
        <v/>
      </c>
      <c r="W85" s="187">
        <f>'CPI data'!S57</f>
        <v/>
      </c>
      <c r="X85" s="187">
        <f>'CPI data'!T57</f>
        <v/>
      </c>
      <c r="Y85" s="187">
        <f>'CPI data'!U57</f>
        <v/>
      </c>
      <c r="Z85" s="187">
        <f>'CPI data'!V57</f>
        <v/>
      </c>
      <c r="AA85" s="187">
        <f>'CPI data'!W57</f>
        <v/>
      </c>
      <c r="AB85" s="187">
        <f>'CPI data'!X57</f>
        <v/>
      </c>
      <c r="AC85" s="187">
        <f>'CPI data'!Y57</f>
        <v/>
      </c>
      <c r="AD85" s="187">
        <f>'CPI data'!Z57</f>
        <v/>
      </c>
      <c r="AE85" s="187">
        <f>'CPI data'!AA57</f>
        <v/>
      </c>
      <c r="AF85" s="187">
        <f>'CPI data'!AB57</f>
        <v/>
      </c>
      <c r="AG85" s="187">
        <f>'CPI data'!AC57</f>
        <v/>
      </c>
      <c r="AH85" s="187">
        <f>'CPI data'!AD57</f>
        <v/>
      </c>
      <c r="AI85" s="187">
        <f>'CPI data'!AE57</f>
        <v/>
      </c>
      <c r="AJ85" s="187">
        <f>'CPI data'!AF57</f>
        <v/>
      </c>
      <c r="AK85" s="187">
        <f>'CPI data'!AG57</f>
        <v/>
      </c>
      <c r="AL85" s="187">
        <f>'CPI data'!AH57</f>
        <v/>
      </c>
      <c r="AM85" s="187">
        <f>'CPI data'!AI57</f>
        <v/>
      </c>
      <c r="AN85" s="187">
        <f>'CPI data'!AJ57</f>
        <v/>
      </c>
      <c r="AO85" s="187">
        <f>'CPI data'!AK57</f>
        <v/>
      </c>
      <c r="AP85" s="187">
        <f>'CPI data'!AL57</f>
        <v/>
      </c>
      <c r="AQ85" s="187">
        <f>'CPI data'!AM57</f>
        <v/>
      </c>
      <c r="AR85" s="187">
        <f>'CPI data'!AN57</f>
        <v/>
      </c>
      <c r="AS85" s="187">
        <f>'CPI data'!AO57</f>
        <v/>
      </c>
      <c r="AT85" s="187">
        <f>'CPI data'!AP57</f>
        <v/>
      </c>
      <c r="AU85" s="187">
        <f>'CPI data'!AQ57</f>
        <v/>
      </c>
      <c r="AV85" s="187">
        <f>'CPI data'!AR57</f>
        <v/>
      </c>
      <c r="AW85" s="187">
        <f>'CPI data'!AS57</f>
        <v/>
      </c>
      <c r="AX85" s="187">
        <f>'CPI data'!AT57</f>
        <v/>
      </c>
    </row>
    <row r="86" ht="21" customHeight="1">
      <c r="E86" s="240" t="inlineStr">
        <is>
          <t>GBP AUD</t>
        </is>
      </c>
      <c r="F86" s="187">
        <f>'CPI data'!B58</f>
        <v/>
      </c>
      <c r="G86" s="187">
        <f>'CPI data'!C58</f>
        <v/>
      </c>
      <c r="H86" s="187">
        <f>'CPI data'!D58</f>
        <v/>
      </c>
      <c r="I86" s="187">
        <f>'CPI data'!E58</f>
        <v/>
      </c>
      <c r="J86" s="187">
        <f>'CPI data'!F58</f>
        <v/>
      </c>
      <c r="K86" s="187">
        <f>'CPI data'!G58</f>
        <v/>
      </c>
      <c r="L86" s="187">
        <f>'CPI data'!H58</f>
        <v/>
      </c>
      <c r="M86" s="187">
        <f>'CPI data'!I58</f>
        <v/>
      </c>
      <c r="N86" s="187">
        <f>'CPI data'!J58</f>
        <v/>
      </c>
      <c r="O86" s="187">
        <f>'CPI data'!K58</f>
        <v/>
      </c>
      <c r="P86" s="187">
        <f>'CPI data'!L58</f>
        <v/>
      </c>
      <c r="Q86" s="187">
        <f>'CPI data'!M58</f>
        <v/>
      </c>
      <c r="R86" s="187">
        <f>'CPI data'!N58</f>
        <v/>
      </c>
      <c r="S86" s="187">
        <f>'CPI data'!O58</f>
        <v/>
      </c>
      <c r="T86" s="187">
        <f>'CPI data'!P58</f>
        <v/>
      </c>
      <c r="U86" s="187">
        <f>'CPI data'!Q58</f>
        <v/>
      </c>
      <c r="V86" s="187">
        <f>'CPI data'!R58</f>
        <v/>
      </c>
      <c r="W86" s="187">
        <f>'CPI data'!S58</f>
        <v/>
      </c>
      <c r="X86" s="187">
        <f>'CPI data'!T58</f>
        <v/>
      </c>
      <c r="Y86" s="187">
        <f>'CPI data'!U58</f>
        <v/>
      </c>
      <c r="Z86" s="187">
        <f>'CPI data'!V58</f>
        <v/>
      </c>
      <c r="AA86" s="187">
        <f>'CPI data'!W58</f>
        <v/>
      </c>
      <c r="AB86" s="187">
        <f>'CPI data'!X58</f>
        <v/>
      </c>
      <c r="AC86" s="187">
        <f>'CPI data'!Y58</f>
        <v/>
      </c>
      <c r="AD86" s="187">
        <f>'CPI data'!Z58</f>
        <v/>
      </c>
      <c r="AE86" s="187">
        <f>'CPI data'!AA58</f>
        <v/>
      </c>
      <c r="AF86" s="187">
        <f>'CPI data'!AB58</f>
        <v/>
      </c>
      <c r="AG86" s="187">
        <f>'CPI data'!AC58</f>
        <v/>
      </c>
      <c r="AH86" s="187">
        <f>'CPI data'!AD58</f>
        <v/>
      </c>
      <c r="AI86" s="187">
        <f>'CPI data'!AE58</f>
        <v/>
      </c>
      <c r="AJ86" s="187">
        <f>'CPI data'!AF58</f>
        <v/>
      </c>
      <c r="AK86" s="187">
        <f>'CPI data'!AG58</f>
        <v/>
      </c>
      <c r="AL86" s="187">
        <f>'CPI data'!AH58</f>
        <v/>
      </c>
      <c r="AM86" s="187">
        <f>'CPI data'!AI58</f>
        <v/>
      </c>
      <c r="AN86" s="187">
        <f>'CPI data'!AJ58</f>
        <v/>
      </c>
      <c r="AO86" s="187">
        <f>'CPI data'!AK58</f>
        <v/>
      </c>
      <c r="AP86" s="187">
        <f>'CPI data'!AL58</f>
        <v/>
      </c>
      <c r="AQ86" s="187">
        <f>'CPI data'!AM58</f>
        <v/>
      </c>
      <c r="AR86" s="187">
        <f>'CPI data'!AN58</f>
        <v/>
      </c>
      <c r="AS86" s="187">
        <f>'CPI data'!AO58</f>
        <v/>
      </c>
      <c r="AT86" s="187">
        <f>'CPI data'!AP58</f>
        <v/>
      </c>
      <c r="AU86" s="187">
        <f>'CPI data'!AQ58</f>
        <v/>
      </c>
      <c r="AV86" s="187">
        <f>'CPI data'!AR58</f>
        <v/>
      </c>
      <c r="AW86" s="187">
        <f>'CPI data'!AS58</f>
        <v/>
      </c>
      <c r="AX86" s="187">
        <f>'CPI data'!AT58</f>
        <v/>
      </c>
    </row>
    <row r="87" ht="21" customHeight="1">
      <c r="E87" s="241" t="inlineStr">
        <is>
          <t>GBP NZD</t>
        </is>
      </c>
      <c r="F87" s="187">
        <f>'CPI data'!B59</f>
        <v/>
      </c>
      <c r="G87" s="187">
        <f>'CPI data'!C59</f>
        <v/>
      </c>
      <c r="H87" s="187">
        <f>'CPI data'!D59</f>
        <v/>
      </c>
      <c r="I87" s="187">
        <f>'CPI data'!E59</f>
        <v/>
      </c>
      <c r="J87" s="187">
        <f>'CPI data'!F59</f>
        <v/>
      </c>
      <c r="K87" s="187">
        <f>'CPI data'!G59</f>
        <v/>
      </c>
      <c r="L87" s="187">
        <f>'CPI data'!H59</f>
        <v/>
      </c>
      <c r="M87" s="187">
        <f>'CPI data'!I59</f>
        <v/>
      </c>
      <c r="N87" s="187">
        <f>'CPI data'!J59</f>
        <v/>
      </c>
      <c r="O87" s="187">
        <f>'CPI data'!K59</f>
        <v/>
      </c>
      <c r="P87" s="187">
        <f>'CPI data'!L59</f>
        <v/>
      </c>
      <c r="Q87" s="187">
        <f>'CPI data'!M59</f>
        <v/>
      </c>
      <c r="R87" s="187">
        <f>'CPI data'!N59</f>
        <v/>
      </c>
      <c r="S87" s="187">
        <f>'CPI data'!O59</f>
        <v/>
      </c>
      <c r="T87" s="187">
        <f>'CPI data'!P59</f>
        <v/>
      </c>
      <c r="U87" s="187">
        <f>'CPI data'!Q59</f>
        <v/>
      </c>
      <c r="V87" s="187">
        <f>'CPI data'!R59</f>
        <v/>
      </c>
      <c r="W87" s="187">
        <f>'CPI data'!S59</f>
        <v/>
      </c>
      <c r="X87" s="187">
        <f>'CPI data'!T59</f>
        <v/>
      </c>
      <c r="Y87" s="187">
        <f>'CPI data'!U59</f>
        <v/>
      </c>
      <c r="Z87" s="187">
        <f>'CPI data'!V59</f>
        <v/>
      </c>
      <c r="AA87" s="187">
        <f>'CPI data'!W59</f>
        <v/>
      </c>
      <c r="AB87" s="187">
        <f>'CPI data'!X59</f>
        <v/>
      </c>
      <c r="AC87" s="187">
        <f>'CPI data'!Y59</f>
        <v/>
      </c>
      <c r="AD87" s="187">
        <f>'CPI data'!Z59</f>
        <v/>
      </c>
      <c r="AE87" s="187">
        <f>'CPI data'!AA59</f>
        <v/>
      </c>
      <c r="AF87" s="187">
        <f>'CPI data'!AB59</f>
        <v/>
      </c>
      <c r="AG87" s="187">
        <f>'CPI data'!AC59</f>
        <v/>
      </c>
      <c r="AH87" s="187">
        <f>'CPI data'!AD59</f>
        <v/>
      </c>
      <c r="AI87" s="187">
        <f>'CPI data'!AE59</f>
        <v/>
      </c>
      <c r="AJ87" s="187">
        <f>'CPI data'!AF59</f>
        <v/>
      </c>
      <c r="AK87" s="187">
        <f>'CPI data'!AG59</f>
        <v/>
      </c>
      <c r="AL87" s="187">
        <f>'CPI data'!AH59</f>
        <v/>
      </c>
      <c r="AM87" s="187">
        <f>'CPI data'!AI59</f>
        <v/>
      </c>
      <c r="AN87" s="187">
        <f>'CPI data'!AJ59</f>
        <v/>
      </c>
      <c r="AO87" s="187">
        <f>'CPI data'!AK59</f>
        <v/>
      </c>
      <c r="AP87" s="187">
        <f>'CPI data'!AL59</f>
        <v/>
      </c>
      <c r="AQ87" s="187">
        <f>'CPI data'!AM59</f>
        <v/>
      </c>
      <c r="AR87" s="187">
        <f>'CPI data'!AN59</f>
        <v/>
      </c>
      <c r="AS87" s="187">
        <f>'CPI data'!AO59</f>
        <v/>
      </c>
      <c r="AT87" s="187">
        <f>'CPI data'!AP59</f>
        <v/>
      </c>
      <c r="AU87" s="187">
        <f>'CPI data'!AQ59</f>
        <v/>
      </c>
      <c r="AV87" s="187">
        <f>'CPI data'!AR59</f>
        <v/>
      </c>
      <c r="AW87" s="187">
        <f>'CPI data'!AS59</f>
        <v/>
      </c>
      <c r="AX87" s="187">
        <f>'CPI data'!AT59</f>
        <v/>
      </c>
    </row>
    <row r="88" ht="21" customHeight="1">
      <c r="E88" s="242" t="inlineStr">
        <is>
          <t xml:space="preserve">CHF JPY </t>
        </is>
      </c>
      <c r="F88" s="187">
        <f>'CPI data'!B60</f>
        <v/>
      </c>
      <c r="G88" s="187">
        <f>'CPI data'!C60</f>
        <v/>
      </c>
      <c r="H88" s="187">
        <f>'CPI data'!D60</f>
        <v/>
      </c>
      <c r="I88" s="187">
        <f>'CPI data'!E60</f>
        <v/>
      </c>
      <c r="J88" s="187">
        <f>'CPI data'!F60</f>
        <v/>
      </c>
      <c r="K88" s="187">
        <f>'CPI data'!G60</f>
        <v/>
      </c>
      <c r="L88" s="187">
        <f>'CPI data'!H60</f>
        <v/>
      </c>
      <c r="M88" s="187">
        <f>'CPI data'!I60</f>
        <v/>
      </c>
      <c r="N88" s="187">
        <f>'CPI data'!J60</f>
        <v/>
      </c>
      <c r="O88" s="187">
        <f>'CPI data'!K60</f>
        <v/>
      </c>
      <c r="P88" s="187">
        <f>'CPI data'!L60</f>
        <v/>
      </c>
      <c r="Q88" s="187">
        <f>'CPI data'!M60</f>
        <v/>
      </c>
      <c r="R88" s="187">
        <f>'CPI data'!N60</f>
        <v/>
      </c>
      <c r="S88" s="187">
        <f>'CPI data'!O60</f>
        <v/>
      </c>
      <c r="T88" s="187">
        <f>'CPI data'!P60</f>
        <v/>
      </c>
      <c r="U88" s="187">
        <f>'CPI data'!Q60</f>
        <v/>
      </c>
      <c r="V88" s="187">
        <f>'CPI data'!R60</f>
        <v/>
      </c>
      <c r="W88" s="187">
        <f>'CPI data'!S60</f>
        <v/>
      </c>
      <c r="X88" s="187">
        <f>'CPI data'!T60</f>
        <v/>
      </c>
      <c r="Y88" s="187">
        <f>'CPI data'!U60</f>
        <v/>
      </c>
      <c r="Z88" s="187">
        <f>'CPI data'!V60</f>
        <v/>
      </c>
      <c r="AA88" s="187">
        <f>'CPI data'!W60</f>
        <v/>
      </c>
      <c r="AB88" s="187">
        <f>'CPI data'!X60</f>
        <v/>
      </c>
      <c r="AC88" s="187">
        <f>'CPI data'!Y60</f>
        <v/>
      </c>
      <c r="AD88" s="187">
        <f>'CPI data'!Z60</f>
        <v/>
      </c>
      <c r="AE88" s="187">
        <f>'CPI data'!AA60</f>
        <v/>
      </c>
      <c r="AF88" s="187">
        <f>'CPI data'!AB60</f>
        <v/>
      </c>
      <c r="AG88" s="187">
        <f>'CPI data'!AC60</f>
        <v/>
      </c>
      <c r="AH88" s="187">
        <f>'CPI data'!AD60</f>
        <v/>
      </c>
      <c r="AI88" s="187">
        <f>'CPI data'!AE60</f>
        <v/>
      </c>
      <c r="AJ88" s="187">
        <f>'CPI data'!AF60</f>
        <v/>
      </c>
      <c r="AK88" s="187">
        <f>'CPI data'!AG60</f>
        <v/>
      </c>
      <c r="AL88" s="187">
        <f>'CPI data'!AH60</f>
        <v/>
      </c>
      <c r="AM88" s="187">
        <f>'CPI data'!AI60</f>
        <v/>
      </c>
      <c r="AN88" s="187">
        <f>'CPI data'!AJ60</f>
        <v/>
      </c>
      <c r="AO88" s="187">
        <f>'CPI data'!AK60</f>
        <v/>
      </c>
      <c r="AP88" s="187">
        <f>'CPI data'!AL60</f>
        <v/>
      </c>
      <c r="AQ88" s="187">
        <f>'CPI data'!AM60</f>
        <v/>
      </c>
      <c r="AR88" s="187">
        <f>'CPI data'!AN60</f>
        <v/>
      </c>
      <c r="AS88" s="187">
        <f>'CPI data'!AO60</f>
        <v/>
      </c>
      <c r="AT88" s="187">
        <f>'CPI data'!AP60</f>
        <v/>
      </c>
      <c r="AU88" s="187">
        <f>'CPI data'!AQ60</f>
        <v/>
      </c>
      <c r="AV88" s="187">
        <f>'CPI data'!AR60</f>
        <v/>
      </c>
      <c r="AW88" s="187">
        <f>'CPI data'!AS60</f>
        <v/>
      </c>
      <c r="AX88" s="187">
        <f>'CPI data'!AT60</f>
        <v/>
      </c>
    </row>
    <row r="89" ht="21" customHeight="1">
      <c r="E89" s="243" t="inlineStr">
        <is>
          <t>AUD USD</t>
        </is>
      </c>
      <c r="F89" s="187">
        <f>'CPI data'!B61</f>
        <v/>
      </c>
      <c r="G89" s="187">
        <f>'CPI data'!C61</f>
        <v/>
      </c>
      <c r="H89" s="187">
        <f>'CPI data'!D61</f>
        <v/>
      </c>
      <c r="I89" s="187">
        <f>'CPI data'!E61</f>
        <v/>
      </c>
      <c r="J89" s="187">
        <f>'CPI data'!F61</f>
        <v/>
      </c>
      <c r="K89" s="187">
        <f>'CPI data'!G61</f>
        <v/>
      </c>
      <c r="L89" s="187">
        <f>'CPI data'!H61</f>
        <v/>
      </c>
      <c r="M89" s="187">
        <f>'CPI data'!I61</f>
        <v/>
      </c>
      <c r="N89" s="187">
        <f>'CPI data'!J61</f>
        <v/>
      </c>
      <c r="O89" s="187">
        <f>'CPI data'!K61</f>
        <v/>
      </c>
      <c r="P89" s="187">
        <f>'CPI data'!L61</f>
        <v/>
      </c>
      <c r="Q89" s="187">
        <f>'CPI data'!M61</f>
        <v/>
      </c>
      <c r="R89" s="187">
        <f>'CPI data'!N61</f>
        <v/>
      </c>
      <c r="S89" s="187">
        <f>'CPI data'!O61</f>
        <v/>
      </c>
      <c r="T89" s="187">
        <f>'CPI data'!P61</f>
        <v/>
      </c>
      <c r="U89" s="187">
        <f>'CPI data'!Q61</f>
        <v/>
      </c>
      <c r="V89" s="187">
        <f>'CPI data'!R61</f>
        <v/>
      </c>
      <c r="W89" s="187">
        <f>'CPI data'!S61</f>
        <v/>
      </c>
      <c r="X89" s="187">
        <f>'CPI data'!T61</f>
        <v/>
      </c>
      <c r="Y89" s="187">
        <f>'CPI data'!U61</f>
        <v/>
      </c>
      <c r="Z89" s="187">
        <f>'CPI data'!V61</f>
        <v/>
      </c>
      <c r="AA89" s="187">
        <f>'CPI data'!W61</f>
        <v/>
      </c>
      <c r="AB89" s="187">
        <f>'CPI data'!X61</f>
        <v/>
      </c>
      <c r="AC89" s="187">
        <f>'CPI data'!Y61</f>
        <v/>
      </c>
      <c r="AD89" s="187">
        <f>'CPI data'!Z61</f>
        <v/>
      </c>
      <c r="AE89" s="187">
        <f>'CPI data'!AA61</f>
        <v/>
      </c>
      <c r="AF89" s="187">
        <f>'CPI data'!AB61</f>
        <v/>
      </c>
      <c r="AG89" s="187">
        <f>'CPI data'!AC61</f>
        <v/>
      </c>
      <c r="AH89" s="187">
        <f>'CPI data'!AD61</f>
        <v/>
      </c>
      <c r="AI89" s="187">
        <f>'CPI data'!AE61</f>
        <v/>
      </c>
      <c r="AJ89" s="187">
        <f>'CPI data'!AF61</f>
        <v/>
      </c>
      <c r="AK89" s="187">
        <f>'CPI data'!AG61</f>
        <v/>
      </c>
      <c r="AL89" s="187">
        <f>'CPI data'!AH61</f>
        <v/>
      </c>
      <c r="AM89" s="187">
        <f>'CPI data'!AI61</f>
        <v/>
      </c>
      <c r="AN89" s="187">
        <f>'CPI data'!AJ61</f>
        <v/>
      </c>
      <c r="AO89" s="187">
        <f>'CPI data'!AK61</f>
        <v/>
      </c>
      <c r="AP89" s="187">
        <f>'CPI data'!AL61</f>
        <v/>
      </c>
      <c r="AQ89" s="187">
        <f>'CPI data'!AM61</f>
        <v/>
      </c>
      <c r="AR89" s="187">
        <f>'CPI data'!AN61</f>
        <v/>
      </c>
      <c r="AS89" s="187">
        <f>'CPI data'!AO61</f>
        <v/>
      </c>
      <c r="AT89" s="187">
        <f>'CPI data'!AP61</f>
        <v/>
      </c>
      <c r="AU89" s="187">
        <f>'CPI data'!AQ61</f>
        <v/>
      </c>
      <c r="AV89" s="187">
        <f>'CPI data'!AR61</f>
        <v/>
      </c>
      <c r="AW89" s="187">
        <f>'CPI data'!AS61</f>
        <v/>
      </c>
      <c r="AX89" s="187">
        <f>'CPI data'!AT61</f>
        <v/>
      </c>
    </row>
    <row r="90" ht="21" customHeight="1">
      <c r="E90" s="243" t="inlineStr">
        <is>
          <t>AUD CHF</t>
        </is>
      </c>
      <c r="F90" s="187">
        <f>'CPI data'!B62</f>
        <v/>
      </c>
      <c r="G90" s="187">
        <f>'CPI data'!C62</f>
        <v/>
      </c>
      <c r="H90" s="187">
        <f>'CPI data'!D62</f>
        <v/>
      </c>
      <c r="I90" s="187">
        <f>'CPI data'!E62</f>
        <v/>
      </c>
      <c r="J90" s="187">
        <f>'CPI data'!F62</f>
        <v/>
      </c>
      <c r="K90" s="187">
        <f>'CPI data'!G62</f>
        <v/>
      </c>
      <c r="L90" s="187">
        <f>'CPI data'!H62</f>
        <v/>
      </c>
      <c r="M90" s="187">
        <f>'CPI data'!I62</f>
        <v/>
      </c>
      <c r="N90" s="187">
        <f>'CPI data'!J62</f>
        <v/>
      </c>
      <c r="O90" s="187">
        <f>'CPI data'!K62</f>
        <v/>
      </c>
      <c r="P90" s="187">
        <f>'CPI data'!L62</f>
        <v/>
      </c>
      <c r="Q90" s="187">
        <f>'CPI data'!M62</f>
        <v/>
      </c>
      <c r="R90" s="187">
        <f>'CPI data'!N62</f>
        <v/>
      </c>
      <c r="S90" s="187">
        <f>'CPI data'!O62</f>
        <v/>
      </c>
      <c r="T90" s="187">
        <f>'CPI data'!P62</f>
        <v/>
      </c>
      <c r="U90" s="187">
        <f>'CPI data'!Q62</f>
        <v/>
      </c>
      <c r="V90" s="187">
        <f>'CPI data'!R62</f>
        <v/>
      </c>
      <c r="W90" s="187">
        <f>'CPI data'!S62</f>
        <v/>
      </c>
      <c r="X90" s="187">
        <f>'CPI data'!T62</f>
        <v/>
      </c>
      <c r="Y90" s="187">
        <f>'CPI data'!U62</f>
        <v/>
      </c>
      <c r="Z90" s="187">
        <f>'CPI data'!V62</f>
        <v/>
      </c>
      <c r="AA90" s="187">
        <f>'CPI data'!W62</f>
        <v/>
      </c>
      <c r="AB90" s="187">
        <f>'CPI data'!X62</f>
        <v/>
      </c>
      <c r="AC90" s="187">
        <f>'CPI data'!Y62</f>
        <v/>
      </c>
      <c r="AD90" s="187">
        <f>'CPI data'!Z62</f>
        <v/>
      </c>
      <c r="AE90" s="187">
        <f>'CPI data'!AA62</f>
        <v/>
      </c>
      <c r="AF90" s="187">
        <f>'CPI data'!AB62</f>
        <v/>
      </c>
      <c r="AG90" s="187">
        <f>'CPI data'!AC62</f>
        <v/>
      </c>
      <c r="AH90" s="187">
        <f>'CPI data'!AD62</f>
        <v/>
      </c>
      <c r="AI90" s="187">
        <f>'CPI data'!AE62</f>
        <v/>
      </c>
      <c r="AJ90" s="187">
        <f>'CPI data'!AF62</f>
        <v/>
      </c>
      <c r="AK90" s="187">
        <f>'CPI data'!AG62</f>
        <v/>
      </c>
      <c r="AL90" s="187">
        <f>'CPI data'!AH62</f>
        <v/>
      </c>
      <c r="AM90" s="187">
        <f>'CPI data'!AI62</f>
        <v/>
      </c>
      <c r="AN90" s="187">
        <f>'CPI data'!AJ62</f>
        <v/>
      </c>
      <c r="AO90" s="187">
        <f>'CPI data'!AK62</f>
        <v/>
      </c>
      <c r="AP90" s="187">
        <f>'CPI data'!AL62</f>
        <v/>
      </c>
      <c r="AQ90" s="187">
        <f>'CPI data'!AM62</f>
        <v/>
      </c>
      <c r="AR90" s="187">
        <f>'CPI data'!AN62</f>
        <v/>
      </c>
      <c r="AS90" s="187">
        <f>'CPI data'!AO62</f>
        <v/>
      </c>
      <c r="AT90" s="187">
        <f>'CPI data'!AP62</f>
        <v/>
      </c>
      <c r="AU90" s="187">
        <f>'CPI data'!AQ62</f>
        <v/>
      </c>
      <c r="AV90" s="187">
        <f>'CPI data'!AR62</f>
        <v/>
      </c>
      <c r="AW90" s="187">
        <f>'CPI data'!AS62</f>
        <v/>
      </c>
      <c r="AX90" s="187">
        <f>'CPI data'!AT62</f>
        <v/>
      </c>
    </row>
    <row r="91" ht="21" customHeight="1">
      <c r="E91" s="243" t="inlineStr">
        <is>
          <t>AUD JPY</t>
        </is>
      </c>
      <c r="F91" s="187">
        <f>'CPI data'!B63</f>
        <v/>
      </c>
      <c r="G91" s="187">
        <f>'CPI data'!C63</f>
        <v/>
      </c>
      <c r="H91" s="187">
        <f>'CPI data'!D63</f>
        <v/>
      </c>
      <c r="I91" s="187">
        <f>'CPI data'!E63</f>
        <v/>
      </c>
      <c r="J91" s="187">
        <f>'CPI data'!F63</f>
        <v/>
      </c>
      <c r="K91" s="187">
        <f>'CPI data'!G63</f>
        <v/>
      </c>
      <c r="L91" s="187">
        <f>'CPI data'!H63</f>
        <v/>
      </c>
      <c r="M91" s="187">
        <f>'CPI data'!I63</f>
        <v/>
      </c>
      <c r="N91" s="187">
        <f>'CPI data'!J63</f>
        <v/>
      </c>
      <c r="O91" s="187">
        <f>'CPI data'!K63</f>
        <v/>
      </c>
      <c r="P91" s="187">
        <f>'CPI data'!L63</f>
        <v/>
      </c>
      <c r="Q91" s="187">
        <f>'CPI data'!M63</f>
        <v/>
      </c>
      <c r="R91" s="187">
        <f>'CPI data'!N63</f>
        <v/>
      </c>
      <c r="S91" s="187">
        <f>'CPI data'!O63</f>
        <v/>
      </c>
      <c r="T91" s="187">
        <f>'CPI data'!P63</f>
        <v/>
      </c>
      <c r="U91" s="187">
        <f>'CPI data'!Q63</f>
        <v/>
      </c>
      <c r="V91" s="187">
        <f>'CPI data'!R63</f>
        <v/>
      </c>
      <c r="W91" s="187">
        <f>'CPI data'!S63</f>
        <v/>
      </c>
      <c r="X91" s="187">
        <f>'CPI data'!T63</f>
        <v/>
      </c>
      <c r="Y91" s="187">
        <f>'CPI data'!U63</f>
        <v/>
      </c>
      <c r="Z91" s="187">
        <f>'CPI data'!V63</f>
        <v/>
      </c>
      <c r="AA91" s="187">
        <f>'CPI data'!W63</f>
        <v/>
      </c>
      <c r="AB91" s="187">
        <f>'CPI data'!X63</f>
        <v/>
      </c>
      <c r="AC91" s="187">
        <f>'CPI data'!Y63</f>
        <v/>
      </c>
      <c r="AD91" s="187">
        <f>'CPI data'!Z63</f>
        <v/>
      </c>
      <c r="AE91" s="187">
        <f>'CPI data'!AA63</f>
        <v/>
      </c>
      <c r="AF91" s="187">
        <f>'CPI data'!AB63</f>
        <v/>
      </c>
      <c r="AG91" s="187">
        <f>'CPI data'!AC63</f>
        <v/>
      </c>
      <c r="AH91" s="187">
        <f>'CPI data'!AD63</f>
        <v/>
      </c>
      <c r="AI91" s="187">
        <f>'CPI data'!AE63</f>
        <v/>
      </c>
      <c r="AJ91" s="187">
        <f>'CPI data'!AF63</f>
        <v/>
      </c>
      <c r="AK91" s="187">
        <f>'CPI data'!AG63</f>
        <v/>
      </c>
      <c r="AL91" s="187">
        <f>'CPI data'!AH63</f>
        <v/>
      </c>
      <c r="AM91" s="187">
        <f>'CPI data'!AI63</f>
        <v/>
      </c>
      <c r="AN91" s="187">
        <f>'CPI data'!AJ63</f>
        <v/>
      </c>
      <c r="AO91" s="187">
        <f>'CPI data'!AK63</f>
        <v/>
      </c>
      <c r="AP91" s="187">
        <f>'CPI data'!AL63</f>
        <v/>
      </c>
      <c r="AQ91" s="187">
        <f>'CPI data'!AM63</f>
        <v/>
      </c>
      <c r="AR91" s="187">
        <f>'CPI data'!AN63</f>
        <v/>
      </c>
      <c r="AS91" s="187">
        <f>'CPI data'!AO63</f>
        <v/>
      </c>
      <c r="AT91" s="187">
        <f>'CPI data'!AP63</f>
        <v/>
      </c>
      <c r="AU91" s="187">
        <f>'CPI data'!AQ63</f>
        <v/>
      </c>
      <c r="AV91" s="187">
        <f>'CPI data'!AR63</f>
        <v/>
      </c>
      <c r="AW91" s="187">
        <f>'CPI data'!AS63</f>
        <v/>
      </c>
      <c r="AX91" s="187">
        <f>'CPI data'!AT63</f>
        <v/>
      </c>
    </row>
    <row r="92" ht="21" customHeight="1">
      <c r="E92" s="244" t="inlineStr">
        <is>
          <t>AUD NZD</t>
        </is>
      </c>
      <c r="F92" s="187">
        <f>'CPI data'!B64</f>
        <v/>
      </c>
      <c r="G92" s="187">
        <f>'CPI data'!C64</f>
        <v/>
      </c>
      <c r="H92" s="187">
        <f>'CPI data'!D64</f>
        <v/>
      </c>
      <c r="I92" s="187">
        <f>'CPI data'!E64</f>
        <v/>
      </c>
      <c r="J92" s="187">
        <f>'CPI data'!F64</f>
        <v/>
      </c>
      <c r="K92" s="187">
        <f>'CPI data'!G64</f>
        <v/>
      </c>
      <c r="L92" s="187">
        <f>'CPI data'!H64</f>
        <v/>
      </c>
      <c r="M92" s="187">
        <f>'CPI data'!I64</f>
        <v/>
      </c>
      <c r="N92" s="187">
        <f>'CPI data'!J64</f>
        <v/>
      </c>
      <c r="O92" s="187">
        <f>'CPI data'!K64</f>
        <v/>
      </c>
      <c r="P92" s="187">
        <f>'CPI data'!L64</f>
        <v/>
      </c>
      <c r="Q92" s="187">
        <f>'CPI data'!M64</f>
        <v/>
      </c>
      <c r="R92" s="187">
        <f>'CPI data'!N64</f>
        <v/>
      </c>
      <c r="S92" s="187">
        <f>'CPI data'!O64</f>
        <v/>
      </c>
      <c r="T92" s="187">
        <f>'CPI data'!P64</f>
        <v/>
      </c>
      <c r="U92" s="187">
        <f>'CPI data'!Q64</f>
        <v/>
      </c>
      <c r="V92" s="187">
        <f>'CPI data'!R64</f>
        <v/>
      </c>
      <c r="W92" s="187">
        <f>'CPI data'!S64</f>
        <v/>
      </c>
      <c r="X92" s="187">
        <f>'CPI data'!T64</f>
        <v/>
      </c>
      <c r="Y92" s="187">
        <f>'CPI data'!U64</f>
        <v/>
      </c>
      <c r="Z92" s="187">
        <f>'CPI data'!V64</f>
        <v/>
      </c>
      <c r="AA92" s="187">
        <f>'CPI data'!W64</f>
        <v/>
      </c>
      <c r="AB92" s="187">
        <f>'CPI data'!X64</f>
        <v/>
      </c>
      <c r="AC92" s="187">
        <f>'CPI data'!Y64</f>
        <v/>
      </c>
      <c r="AD92" s="187">
        <f>'CPI data'!Z64</f>
        <v/>
      </c>
      <c r="AE92" s="187">
        <f>'CPI data'!AA64</f>
        <v/>
      </c>
      <c r="AF92" s="187">
        <f>'CPI data'!AB64</f>
        <v/>
      </c>
      <c r="AG92" s="187">
        <f>'CPI data'!AC64</f>
        <v/>
      </c>
      <c r="AH92" s="187">
        <f>'CPI data'!AD64</f>
        <v/>
      </c>
      <c r="AI92" s="187">
        <f>'CPI data'!AE64</f>
        <v/>
      </c>
      <c r="AJ92" s="187">
        <f>'CPI data'!AF64</f>
        <v/>
      </c>
      <c r="AK92" s="187">
        <f>'CPI data'!AG64</f>
        <v/>
      </c>
      <c r="AL92" s="187">
        <f>'CPI data'!AH64</f>
        <v/>
      </c>
      <c r="AM92" s="187">
        <f>'CPI data'!AI64</f>
        <v/>
      </c>
      <c r="AN92" s="187">
        <f>'CPI data'!AJ64</f>
        <v/>
      </c>
      <c r="AO92" s="187">
        <f>'CPI data'!AK64</f>
        <v/>
      </c>
      <c r="AP92" s="187">
        <f>'CPI data'!AL64</f>
        <v/>
      </c>
      <c r="AQ92" s="187">
        <f>'CPI data'!AM64</f>
        <v/>
      </c>
      <c r="AR92" s="187">
        <f>'CPI data'!AN64</f>
        <v/>
      </c>
      <c r="AS92" s="187">
        <f>'CPI data'!AO64</f>
        <v/>
      </c>
      <c r="AT92" s="187">
        <f>'CPI data'!AP64</f>
        <v/>
      </c>
      <c r="AU92" s="187">
        <f>'CPI data'!AQ64</f>
        <v/>
      </c>
      <c r="AV92" s="187">
        <f>'CPI data'!AR64</f>
        <v/>
      </c>
      <c r="AW92" s="187">
        <f>'CPI data'!AS64</f>
        <v/>
      </c>
      <c r="AX92" s="187">
        <f>'CPI data'!AT64</f>
        <v/>
      </c>
    </row>
    <row r="93" ht="21" customHeight="1">
      <c r="E93" s="244" t="inlineStr">
        <is>
          <t>AUD CAD</t>
        </is>
      </c>
      <c r="F93" s="187">
        <f>'CPI data'!B65</f>
        <v/>
      </c>
      <c r="G93" s="187">
        <f>'CPI data'!C65</f>
        <v/>
      </c>
      <c r="H93" s="187">
        <f>'CPI data'!D65</f>
        <v/>
      </c>
      <c r="I93" s="187">
        <f>'CPI data'!E65</f>
        <v/>
      </c>
      <c r="J93" s="187">
        <f>'CPI data'!F65</f>
        <v/>
      </c>
      <c r="K93" s="187">
        <f>'CPI data'!G65</f>
        <v/>
      </c>
      <c r="L93" s="187">
        <f>'CPI data'!H65</f>
        <v/>
      </c>
      <c r="M93" s="187">
        <f>'CPI data'!I65</f>
        <v/>
      </c>
      <c r="N93" s="187">
        <f>'CPI data'!J65</f>
        <v/>
      </c>
      <c r="O93" s="187">
        <f>'CPI data'!K65</f>
        <v/>
      </c>
      <c r="P93" s="187">
        <f>'CPI data'!L65</f>
        <v/>
      </c>
      <c r="Q93" s="187">
        <f>'CPI data'!M65</f>
        <v/>
      </c>
      <c r="R93" s="187">
        <f>'CPI data'!N65</f>
        <v/>
      </c>
      <c r="S93" s="187">
        <f>'CPI data'!O65</f>
        <v/>
      </c>
      <c r="T93" s="187">
        <f>'CPI data'!P65</f>
        <v/>
      </c>
      <c r="U93" s="187">
        <f>'CPI data'!Q65</f>
        <v/>
      </c>
      <c r="V93" s="187">
        <f>'CPI data'!R65</f>
        <v/>
      </c>
      <c r="W93" s="187">
        <f>'CPI data'!S65</f>
        <v/>
      </c>
      <c r="X93" s="187">
        <f>'CPI data'!T65</f>
        <v/>
      </c>
      <c r="Y93" s="187">
        <f>'CPI data'!U65</f>
        <v/>
      </c>
      <c r="Z93" s="187">
        <f>'CPI data'!V65</f>
        <v/>
      </c>
      <c r="AA93" s="187">
        <f>'CPI data'!W65</f>
        <v/>
      </c>
      <c r="AB93" s="187">
        <f>'CPI data'!X65</f>
        <v/>
      </c>
      <c r="AC93" s="187">
        <f>'CPI data'!Y65</f>
        <v/>
      </c>
      <c r="AD93" s="187">
        <f>'CPI data'!Z65</f>
        <v/>
      </c>
      <c r="AE93" s="187">
        <f>'CPI data'!AA65</f>
        <v/>
      </c>
      <c r="AF93" s="187">
        <f>'CPI data'!AB65</f>
        <v/>
      </c>
      <c r="AG93" s="187">
        <f>'CPI data'!AC65</f>
        <v/>
      </c>
      <c r="AH93" s="187">
        <f>'CPI data'!AD65</f>
        <v/>
      </c>
      <c r="AI93" s="187">
        <f>'CPI data'!AE65</f>
        <v/>
      </c>
      <c r="AJ93" s="187">
        <f>'CPI data'!AF65</f>
        <v/>
      </c>
      <c r="AK93" s="187">
        <f>'CPI data'!AG65</f>
        <v/>
      </c>
      <c r="AL93" s="187">
        <f>'CPI data'!AH65</f>
        <v/>
      </c>
      <c r="AM93" s="187">
        <f>'CPI data'!AI65</f>
        <v/>
      </c>
      <c r="AN93" s="187">
        <f>'CPI data'!AJ65</f>
        <v/>
      </c>
      <c r="AO93" s="187">
        <f>'CPI data'!AK65</f>
        <v/>
      </c>
      <c r="AP93" s="187">
        <f>'CPI data'!AL65</f>
        <v/>
      </c>
      <c r="AQ93" s="187">
        <f>'CPI data'!AM65</f>
        <v/>
      </c>
      <c r="AR93" s="187">
        <f>'CPI data'!AN65</f>
        <v/>
      </c>
      <c r="AS93" s="187">
        <f>'CPI data'!AO65</f>
        <v/>
      </c>
      <c r="AT93" s="187">
        <f>'CPI data'!AP65</f>
        <v/>
      </c>
      <c r="AU93" s="187">
        <f>'CPI data'!AQ65</f>
        <v/>
      </c>
      <c r="AV93" s="187">
        <f>'CPI data'!AR65</f>
        <v/>
      </c>
      <c r="AW93" s="187">
        <f>'CPI data'!AS65</f>
        <v/>
      </c>
      <c r="AX93" s="187">
        <f>'CPI data'!AT65</f>
        <v/>
      </c>
    </row>
    <row r="94" ht="21" customHeight="1">
      <c r="E94" s="245" t="inlineStr">
        <is>
          <t>CAD JPY</t>
        </is>
      </c>
      <c r="F94" s="187">
        <f>'CPI data'!B66</f>
        <v/>
      </c>
      <c r="G94" s="187">
        <f>'CPI data'!C66</f>
        <v/>
      </c>
      <c r="H94" s="187">
        <f>'CPI data'!D66</f>
        <v/>
      </c>
      <c r="I94" s="187">
        <f>'CPI data'!E66</f>
        <v/>
      </c>
      <c r="J94" s="187">
        <f>'CPI data'!F66</f>
        <v/>
      </c>
      <c r="K94" s="187">
        <f>'CPI data'!G66</f>
        <v/>
      </c>
      <c r="L94" s="187">
        <f>'CPI data'!H66</f>
        <v/>
      </c>
      <c r="M94" s="187">
        <f>'CPI data'!I66</f>
        <v/>
      </c>
      <c r="N94" s="187">
        <f>'CPI data'!J66</f>
        <v/>
      </c>
      <c r="O94" s="187">
        <f>'CPI data'!K66</f>
        <v/>
      </c>
      <c r="P94" s="187">
        <f>'CPI data'!L66</f>
        <v/>
      </c>
      <c r="Q94" s="187">
        <f>'CPI data'!M66</f>
        <v/>
      </c>
      <c r="R94" s="187">
        <f>'CPI data'!N66</f>
        <v/>
      </c>
      <c r="S94" s="187">
        <f>'CPI data'!O66</f>
        <v/>
      </c>
      <c r="T94" s="187">
        <f>'CPI data'!P66</f>
        <v/>
      </c>
      <c r="U94" s="187">
        <f>'CPI data'!Q66</f>
        <v/>
      </c>
      <c r="V94" s="187">
        <f>'CPI data'!R66</f>
        <v/>
      </c>
      <c r="W94" s="187">
        <f>'CPI data'!S66</f>
        <v/>
      </c>
      <c r="X94" s="187">
        <f>'CPI data'!T66</f>
        <v/>
      </c>
      <c r="Y94" s="187">
        <f>'CPI data'!U66</f>
        <v/>
      </c>
      <c r="Z94" s="187">
        <f>'CPI data'!V66</f>
        <v/>
      </c>
      <c r="AA94" s="187">
        <f>'CPI data'!W66</f>
        <v/>
      </c>
      <c r="AB94" s="187">
        <f>'CPI data'!X66</f>
        <v/>
      </c>
      <c r="AC94" s="187">
        <f>'CPI data'!Y66</f>
        <v/>
      </c>
      <c r="AD94" s="187">
        <f>'CPI data'!Z66</f>
        <v/>
      </c>
      <c r="AE94" s="187">
        <f>'CPI data'!AA66</f>
        <v/>
      </c>
      <c r="AF94" s="187">
        <f>'CPI data'!AB66</f>
        <v/>
      </c>
      <c r="AG94" s="187">
        <f>'CPI data'!AC66</f>
        <v/>
      </c>
      <c r="AH94" s="187">
        <f>'CPI data'!AD66</f>
        <v/>
      </c>
      <c r="AI94" s="187">
        <f>'CPI data'!AE66</f>
        <v/>
      </c>
      <c r="AJ94" s="187">
        <f>'CPI data'!AF66</f>
        <v/>
      </c>
      <c r="AK94" s="187">
        <f>'CPI data'!AG66</f>
        <v/>
      </c>
      <c r="AL94" s="187">
        <f>'CPI data'!AH66</f>
        <v/>
      </c>
      <c r="AM94" s="187">
        <f>'CPI data'!AI66</f>
        <v/>
      </c>
      <c r="AN94" s="187">
        <f>'CPI data'!AJ66</f>
        <v/>
      </c>
      <c r="AO94" s="187">
        <f>'CPI data'!AK66</f>
        <v/>
      </c>
      <c r="AP94" s="187">
        <f>'CPI data'!AL66</f>
        <v/>
      </c>
      <c r="AQ94" s="187">
        <f>'CPI data'!AM66</f>
        <v/>
      </c>
      <c r="AR94" s="187">
        <f>'CPI data'!AN66</f>
        <v/>
      </c>
      <c r="AS94" s="187">
        <f>'CPI data'!AO66</f>
        <v/>
      </c>
      <c r="AT94" s="187">
        <f>'CPI data'!AP66</f>
        <v/>
      </c>
      <c r="AU94" s="187">
        <f>'CPI data'!AQ66</f>
        <v/>
      </c>
      <c r="AV94" s="187">
        <f>'CPI data'!AR66</f>
        <v/>
      </c>
      <c r="AW94" s="187">
        <f>'CPI data'!AS66</f>
        <v/>
      </c>
      <c r="AX94" s="187">
        <f>'CPI data'!AT66</f>
        <v/>
      </c>
    </row>
    <row r="95"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</row>
    <row r="96"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</row>
    <row r="97">
      <c r="E97" s="247" t="inlineStr">
        <is>
          <t>Currency reserves excluding Gold spreqd</t>
        </is>
      </c>
      <c r="F97" s="249" t="n">
        <v>44927</v>
      </c>
      <c r="G97" s="208" t="n">
        <v>44958</v>
      </c>
      <c r="H97" s="208" t="n">
        <v>44986</v>
      </c>
      <c r="I97" s="249" t="n">
        <v>45017</v>
      </c>
      <c r="J97" s="208" t="n">
        <v>45047</v>
      </c>
      <c r="K97" s="208" t="n">
        <v>45078</v>
      </c>
      <c r="L97" s="249" t="n">
        <v>45108</v>
      </c>
      <c r="M97" s="208" t="n">
        <v>45139</v>
      </c>
      <c r="N97" s="208" t="n">
        <v>45170</v>
      </c>
      <c r="O97" s="249" t="n">
        <v>45200</v>
      </c>
      <c r="P97" s="208" t="n">
        <v>45231</v>
      </c>
      <c r="Q97" s="208" t="n">
        <v>45261</v>
      </c>
      <c r="R97" s="249" t="n">
        <v>45292</v>
      </c>
      <c r="S97" s="208" t="n">
        <v>45323</v>
      </c>
      <c r="T97" s="208" t="n">
        <v>45352</v>
      </c>
      <c r="U97" s="249" t="n">
        <v>45383</v>
      </c>
      <c r="V97" s="208" t="n">
        <v>45413</v>
      </c>
      <c r="W97" s="208" t="n">
        <v>45444</v>
      </c>
      <c r="X97" s="249" t="n">
        <v>45474</v>
      </c>
      <c r="Y97" s="208" t="n">
        <v>45505</v>
      </c>
      <c r="Z97" s="208" t="n">
        <v>45536</v>
      </c>
      <c r="AA97" s="249" t="n">
        <v>45566</v>
      </c>
      <c r="AB97" s="208" t="n">
        <v>45597</v>
      </c>
      <c r="AC97" s="208" t="n">
        <v>45627</v>
      </c>
      <c r="AD97" s="249" t="n">
        <v>45658</v>
      </c>
      <c r="AE97" s="208" t="n">
        <v>45689</v>
      </c>
      <c r="AF97" s="208" t="n">
        <v>45717</v>
      </c>
      <c r="AG97" s="208" t="n">
        <v>45748</v>
      </c>
      <c r="AH97" s="208" t="n">
        <v>45778</v>
      </c>
      <c r="AI97" s="208" t="n">
        <v>45809</v>
      </c>
      <c r="AJ97" s="208" t="n">
        <v>45839</v>
      </c>
      <c r="AK97" s="208" t="n">
        <v>45870</v>
      </c>
      <c r="AL97" s="208" t="n">
        <v>45901</v>
      </c>
      <c r="AM97" s="208" t="n">
        <v>45931</v>
      </c>
      <c r="AN97" s="208" t="n">
        <v>45962</v>
      </c>
      <c r="AO97" s="208" t="n">
        <v>45992</v>
      </c>
      <c r="AP97" s="208" t="n">
        <v>46023</v>
      </c>
      <c r="AQ97" s="208" t="n">
        <v>46054</v>
      </c>
      <c r="AR97" s="208" t="n">
        <v>46082</v>
      </c>
      <c r="AS97" s="208" t="n">
        <v>46113</v>
      </c>
      <c r="AT97" s="208" t="n">
        <v>46143</v>
      </c>
      <c r="AU97" s="208" t="n">
        <v>46174</v>
      </c>
      <c r="AV97" s="208" t="n">
        <v>46204</v>
      </c>
      <c r="AW97" s="208" t="n">
        <v>46235</v>
      </c>
      <c r="AX97" s="208" t="n">
        <v>46266</v>
      </c>
    </row>
    <row r="98" ht="21" customHeight="1">
      <c r="E98" s="236" t="inlineStr">
        <is>
          <t>USD JPY</t>
        </is>
      </c>
      <c r="F98" s="187">
        <f>'FX RESERVE DATA'!N66</f>
        <v/>
      </c>
      <c r="G98" s="187">
        <f>'FX RESERVE DATA'!O66</f>
        <v/>
      </c>
      <c r="H98" s="187">
        <f>'FX RESERVE DATA'!P66</f>
        <v/>
      </c>
      <c r="I98" s="187">
        <f>'FX RESERVE DATA'!Q66</f>
        <v/>
      </c>
      <c r="J98" s="187">
        <f>'FX RESERVE DATA'!R66</f>
        <v/>
      </c>
      <c r="K98" s="187">
        <f>'FX RESERVE DATA'!S66</f>
        <v/>
      </c>
      <c r="L98" s="187">
        <f>'FX RESERVE DATA'!T66</f>
        <v/>
      </c>
      <c r="M98" s="187">
        <f>'FX RESERVE DATA'!U66</f>
        <v/>
      </c>
      <c r="N98" s="187">
        <f>'FX RESERVE DATA'!V66</f>
        <v/>
      </c>
      <c r="O98" s="187">
        <f>'FX RESERVE DATA'!W66</f>
        <v/>
      </c>
      <c r="P98" s="187">
        <f>'FX RESERVE DATA'!X66</f>
        <v/>
      </c>
      <c r="Q98" s="187">
        <f>'FX RESERVE DATA'!Y66</f>
        <v/>
      </c>
      <c r="R98" s="187">
        <f>'FX RESERVE DATA'!Z66</f>
        <v/>
      </c>
      <c r="S98" s="187">
        <f>'FX RESERVE DATA'!AA66</f>
        <v/>
      </c>
      <c r="T98" s="187">
        <f>'FX RESERVE DATA'!AB66</f>
        <v/>
      </c>
      <c r="U98" s="187">
        <f>'FX RESERVE DATA'!AC66</f>
        <v/>
      </c>
      <c r="V98" s="187">
        <f>'FX RESERVE DATA'!AD66</f>
        <v/>
      </c>
      <c r="W98" s="187">
        <f>'FX RESERVE DATA'!AE66</f>
        <v/>
      </c>
      <c r="X98" s="187">
        <f>'FX RESERVE DATA'!AF66</f>
        <v/>
      </c>
      <c r="Y98" s="187">
        <f>'FX RESERVE DATA'!AG66</f>
        <v/>
      </c>
      <c r="Z98" s="187">
        <f>'FX RESERVE DATA'!AH66</f>
        <v/>
      </c>
      <c r="AA98" s="187">
        <f>'FX RESERVE DATA'!AI66</f>
        <v/>
      </c>
      <c r="AB98" s="187">
        <f>'FX RESERVE DATA'!AJ66</f>
        <v/>
      </c>
      <c r="AC98" s="187">
        <f>'FX RESERVE DATA'!AK66</f>
        <v/>
      </c>
      <c r="AD98" s="187">
        <f>'FX RESERVE DATA'!AL66</f>
        <v/>
      </c>
      <c r="AE98" s="187">
        <f>'FX RESERVE DATA'!AM66</f>
        <v/>
      </c>
      <c r="AF98" s="187">
        <f>'FX RESERVE DATA'!AN66</f>
        <v/>
      </c>
      <c r="AG98" s="187">
        <f>'FX RESERVE DATA'!AO66</f>
        <v/>
      </c>
      <c r="AH98" s="187">
        <f>'FX RESERVE DATA'!AP66</f>
        <v/>
      </c>
      <c r="AI98" s="187">
        <f>'FX RESERVE DATA'!AQ66</f>
        <v/>
      </c>
      <c r="AJ98" s="187">
        <f>'FX RESERVE DATA'!AR66</f>
        <v/>
      </c>
      <c r="AK98" s="187">
        <f>'FX RESERVE DATA'!AS66</f>
        <v/>
      </c>
      <c r="AL98" s="187">
        <f>'FX RESERVE DATA'!AT66</f>
        <v/>
      </c>
      <c r="AM98" s="187">
        <f>'FX RESERVE DATA'!AU66</f>
        <v/>
      </c>
      <c r="AN98" s="187">
        <f>'FX RESERVE DATA'!AV66</f>
        <v/>
      </c>
      <c r="AO98" s="187">
        <f>'FX RESERVE DATA'!AW66</f>
        <v/>
      </c>
      <c r="AP98" s="187">
        <f>'FX RESERVE DATA'!AX66</f>
        <v/>
      </c>
      <c r="AQ98" s="187">
        <f>'FX RESERVE DATA'!AY66</f>
        <v/>
      </c>
      <c r="AR98" s="187">
        <f>'FX RESERVE DATA'!AZ66</f>
        <v/>
      </c>
      <c r="AS98" s="187">
        <f>'FX RESERVE DATA'!BA66</f>
        <v/>
      </c>
      <c r="AT98" s="187">
        <f>'FX RESERVE DATA'!BB66</f>
        <v/>
      </c>
      <c r="AU98" s="187">
        <f>'FX RESERVE DATA'!BC66</f>
        <v/>
      </c>
      <c r="AV98" s="187">
        <f>'FX RESERVE DATA'!BD66</f>
        <v/>
      </c>
      <c r="AW98" s="187">
        <f>'FX RESERVE DATA'!BE66</f>
        <v/>
      </c>
      <c r="AX98" s="187">
        <f>'FX RESERVE DATA'!BF66</f>
        <v/>
      </c>
    </row>
    <row r="99" ht="21" customHeight="1">
      <c r="E99" s="237" t="inlineStr">
        <is>
          <t>USD CHF</t>
        </is>
      </c>
      <c r="F99" s="187">
        <f>'FX RESERVE DATA'!N67</f>
        <v/>
      </c>
      <c r="G99" s="187">
        <f>'FX RESERVE DATA'!O67</f>
        <v/>
      </c>
      <c r="H99" s="187">
        <f>'FX RESERVE DATA'!P67</f>
        <v/>
      </c>
      <c r="I99" s="187">
        <f>'FX RESERVE DATA'!Q67</f>
        <v/>
      </c>
      <c r="J99" s="187">
        <f>'FX RESERVE DATA'!R67</f>
        <v/>
      </c>
      <c r="K99" s="187">
        <f>'FX RESERVE DATA'!S67</f>
        <v/>
      </c>
      <c r="L99" s="187">
        <f>'FX RESERVE DATA'!T67</f>
        <v/>
      </c>
      <c r="M99" s="187">
        <f>'FX RESERVE DATA'!U67</f>
        <v/>
      </c>
      <c r="N99" s="187">
        <f>'FX RESERVE DATA'!V67</f>
        <v/>
      </c>
      <c r="O99" s="187">
        <f>'FX RESERVE DATA'!W67</f>
        <v/>
      </c>
      <c r="P99" s="187">
        <f>'FX RESERVE DATA'!X67</f>
        <v/>
      </c>
      <c r="Q99" s="187">
        <f>'FX RESERVE DATA'!Y67</f>
        <v/>
      </c>
      <c r="R99" s="187">
        <f>'FX RESERVE DATA'!Z67</f>
        <v/>
      </c>
      <c r="S99" s="187">
        <f>'FX RESERVE DATA'!AA67</f>
        <v/>
      </c>
      <c r="T99" s="187">
        <f>'FX RESERVE DATA'!AB67</f>
        <v/>
      </c>
      <c r="U99" s="187">
        <f>'FX RESERVE DATA'!AC67</f>
        <v/>
      </c>
      <c r="V99" s="187">
        <f>'FX RESERVE DATA'!AD67</f>
        <v/>
      </c>
      <c r="W99" s="187">
        <f>'FX RESERVE DATA'!AE67</f>
        <v/>
      </c>
      <c r="X99" s="187">
        <f>'FX RESERVE DATA'!AF67</f>
        <v/>
      </c>
      <c r="Y99" s="187">
        <f>'FX RESERVE DATA'!AG67</f>
        <v/>
      </c>
      <c r="Z99" s="187">
        <f>'FX RESERVE DATA'!AH67</f>
        <v/>
      </c>
      <c r="AA99" s="187">
        <f>'FX RESERVE DATA'!AI67</f>
        <v/>
      </c>
      <c r="AB99" s="187">
        <f>'FX RESERVE DATA'!AJ67</f>
        <v/>
      </c>
      <c r="AC99" s="187">
        <f>'FX RESERVE DATA'!AK67</f>
        <v/>
      </c>
      <c r="AD99" s="187">
        <f>'FX RESERVE DATA'!AL67</f>
        <v/>
      </c>
      <c r="AE99" s="187">
        <f>'FX RESERVE DATA'!AM67</f>
        <v/>
      </c>
      <c r="AF99" s="187">
        <f>'FX RESERVE DATA'!AN67</f>
        <v/>
      </c>
      <c r="AG99" s="187">
        <f>'FX RESERVE DATA'!AO67</f>
        <v/>
      </c>
      <c r="AH99" s="187">
        <f>'FX RESERVE DATA'!AP67</f>
        <v/>
      </c>
      <c r="AI99" s="187">
        <f>'FX RESERVE DATA'!AQ67</f>
        <v/>
      </c>
      <c r="AJ99" s="187">
        <f>'FX RESERVE DATA'!AR67</f>
        <v/>
      </c>
      <c r="AK99" s="187">
        <f>'FX RESERVE DATA'!AS67</f>
        <v/>
      </c>
      <c r="AL99" s="187">
        <f>'FX RESERVE DATA'!AT67</f>
        <v/>
      </c>
      <c r="AM99" s="187">
        <f>'FX RESERVE DATA'!AU67</f>
        <v/>
      </c>
      <c r="AN99" s="187">
        <f>'FX RESERVE DATA'!AV67</f>
        <v/>
      </c>
      <c r="AO99" s="187">
        <f>'FX RESERVE DATA'!AW67</f>
        <v/>
      </c>
      <c r="AP99" s="187">
        <f>'FX RESERVE DATA'!AX67</f>
        <v/>
      </c>
      <c r="AQ99" s="187">
        <f>'FX RESERVE DATA'!AY67</f>
        <v/>
      </c>
      <c r="AR99" s="187">
        <f>'FX RESERVE DATA'!AZ67</f>
        <v/>
      </c>
      <c r="AS99" s="187">
        <f>'FX RESERVE DATA'!BA67</f>
        <v/>
      </c>
      <c r="AT99" s="187">
        <f>'FX RESERVE DATA'!BB67</f>
        <v/>
      </c>
      <c r="AU99" s="187">
        <f>'FX RESERVE DATA'!BC67</f>
        <v/>
      </c>
      <c r="AV99" s="187">
        <f>'FX RESERVE DATA'!BD67</f>
        <v/>
      </c>
      <c r="AW99" s="187">
        <f>'FX RESERVE DATA'!BE67</f>
        <v/>
      </c>
      <c r="AX99" s="187">
        <f>'FX RESERVE DATA'!BF67</f>
        <v/>
      </c>
    </row>
    <row r="100" ht="21" customHeight="1">
      <c r="E100" s="237" t="inlineStr">
        <is>
          <t>USD CAD</t>
        </is>
      </c>
      <c r="F100" s="187">
        <f>'FX RESERVE DATA'!N68</f>
        <v/>
      </c>
      <c r="G100" s="187">
        <f>'FX RESERVE DATA'!O68</f>
        <v/>
      </c>
      <c r="H100" s="187">
        <f>'FX RESERVE DATA'!P68</f>
        <v/>
      </c>
      <c r="I100" s="187">
        <f>'FX RESERVE DATA'!Q68</f>
        <v/>
      </c>
      <c r="J100" s="187">
        <f>'FX RESERVE DATA'!R68</f>
        <v/>
      </c>
      <c r="K100" s="187">
        <f>'FX RESERVE DATA'!S68</f>
        <v/>
      </c>
      <c r="L100" s="187">
        <f>'FX RESERVE DATA'!T68</f>
        <v/>
      </c>
      <c r="M100" s="187">
        <f>'FX RESERVE DATA'!U68</f>
        <v/>
      </c>
      <c r="N100" s="187">
        <f>'FX RESERVE DATA'!V68</f>
        <v/>
      </c>
      <c r="O100" s="187">
        <f>'FX RESERVE DATA'!W68</f>
        <v/>
      </c>
      <c r="P100" s="187">
        <f>'FX RESERVE DATA'!X68</f>
        <v/>
      </c>
      <c r="Q100" s="187">
        <f>'FX RESERVE DATA'!Y68</f>
        <v/>
      </c>
      <c r="R100" s="187">
        <f>'FX RESERVE DATA'!Z68</f>
        <v/>
      </c>
      <c r="S100" s="187">
        <f>'FX RESERVE DATA'!AA68</f>
        <v/>
      </c>
      <c r="T100" s="187">
        <f>'FX RESERVE DATA'!AB68</f>
        <v/>
      </c>
      <c r="U100" s="187">
        <f>'FX RESERVE DATA'!AC68</f>
        <v/>
      </c>
      <c r="V100" s="187">
        <f>'FX RESERVE DATA'!AD68</f>
        <v/>
      </c>
      <c r="W100" s="187">
        <f>'FX RESERVE DATA'!AE68</f>
        <v/>
      </c>
      <c r="X100" s="187">
        <f>'FX RESERVE DATA'!AF68</f>
        <v/>
      </c>
      <c r="Y100" s="187">
        <f>'FX RESERVE DATA'!AG68</f>
        <v/>
      </c>
      <c r="Z100" s="187">
        <f>'FX RESERVE DATA'!AH68</f>
        <v/>
      </c>
      <c r="AA100" s="187">
        <f>'FX RESERVE DATA'!AI68</f>
        <v/>
      </c>
      <c r="AB100" s="187">
        <f>'FX RESERVE DATA'!AJ68</f>
        <v/>
      </c>
      <c r="AC100" s="187">
        <f>'FX RESERVE DATA'!AK68</f>
        <v/>
      </c>
      <c r="AD100" s="187">
        <f>'FX RESERVE DATA'!AL68</f>
        <v/>
      </c>
      <c r="AE100" s="187">
        <f>'FX RESERVE DATA'!AM68</f>
        <v/>
      </c>
      <c r="AF100" s="187">
        <f>'FX RESERVE DATA'!AN68</f>
        <v/>
      </c>
      <c r="AG100" s="187">
        <f>'FX RESERVE DATA'!AO68</f>
        <v/>
      </c>
      <c r="AH100" s="187">
        <f>'FX RESERVE DATA'!AP68</f>
        <v/>
      </c>
      <c r="AI100" s="187">
        <f>'FX RESERVE DATA'!AQ68</f>
        <v/>
      </c>
      <c r="AJ100" s="187">
        <f>'FX RESERVE DATA'!AR68</f>
        <v/>
      </c>
      <c r="AK100" s="187">
        <f>'FX RESERVE DATA'!AS68</f>
        <v/>
      </c>
      <c r="AL100" s="187">
        <f>'FX RESERVE DATA'!AT68</f>
        <v/>
      </c>
      <c r="AM100" s="187">
        <f>'FX RESERVE DATA'!AU68</f>
        <v/>
      </c>
      <c r="AN100" s="187">
        <f>'FX RESERVE DATA'!AV68</f>
        <v/>
      </c>
      <c r="AO100" s="187">
        <f>'FX RESERVE DATA'!AW68</f>
        <v/>
      </c>
      <c r="AP100" s="187">
        <f>'FX RESERVE DATA'!AX68</f>
        <v/>
      </c>
      <c r="AQ100" s="187">
        <f>'FX RESERVE DATA'!AY68</f>
        <v/>
      </c>
      <c r="AR100" s="187">
        <f>'FX RESERVE DATA'!AZ68</f>
        <v/>
      </c>
      <c r="AS100" s="187">
        <f>'FX RESERVE DATA'!BA68</f>
        <v/>
      </c>
      <c r="AT100" s="187">
        <f>'FX RESERVE DATA'!BB68</f>
        <v/>
      </c>
      <c r="AU100" s="187">
        <f>'FX RESERVE DATA'!BC68</f>
        <v/>
      </c>
      <c r="AV100" s="187">
        <f>'FX RESERVE DATA'!BD68</f>
        <v/>
      </c>
      <c r="AW100" s="187">
        <f>'FX RESERVE DATA'!BE68</f>
        <v/>
      </c>
      <c r="AX100" s="187">
        <f>'FX RESERVE DATA'!BF68</f>
        <v/>
      </c>
    </row>
    <row r="101" ht="21" customHeight="1">
      <c r="E101" s="238" t="inlineStr">
        <is>
          <t>EUR USD</t>
        </is>
      </c>
      <c r="F101" s="187">
        <f>'FX RESERVE DATA'!N69</f>
        <v/>
      </c>
      <c r="G101" s="187">
        <f>'FX RESERVE DATA'!O69</f>
        <v/>
      </c>
      <c r="H101" s="187">
        <f>'FX RESERVE DATA'!P69</f>
        <v/>
      </c>
      <c r="I101" s="187">
        <f>'FX RESERVE DATA'!Q69</f>
        <v/>
      </c>
      <c r="J101" s="187">
        <f>'FX RESERVE DATA'!R69</f>
        <v/>
      </c>
      <c r="K101" s="187">
        <f>'FX RESERVE DATA'!S69</f>
        <v/>
      </c>
      <c r="L101" s="187">
        <f>'FX RESERVE DATA'!T69</f>
        <v/>
      </c>
      <c r="M101" s="187">
        <f>'FX RESERVE DATA'!U69</f>
        <v/>
      </c>
      <c r="N101" s="187">
        <f>'FX RESERVE DATA'!V69</f>
        <v/>
      </c>
      <c r="O101" s="187">
        <f>'FX RESERVE DATA'!W69</f>
        <v/>
      </c>
      <c r="P101" s="187">
        <f>'FX RESERVE DATA'!X69</f>
        <v/>
      </c>
      <c r="Q101" s="187">
        <f>'FX RESERVE DATA'!Y69</f>
        <v/>
      </c>
      <c r="R101" s="187">
        <f>'FX RESERVE DATA'!Z69</f>
        <v/>
      </c>
      <c r="S101" s="187">
        <f>'FX RESERVE DATA'!AA69</f>
        <v/>
      </c>
      <c r="T101" s="187">
        <f>'FX RESERVE DATA'!AB69</f>
        <v/>
      </c>
      <c r="U101" s="187">
        <f>'FX RESERVE DATA'!AC69</f>
        <v/>
      </c>
      <c r="V101" s="187">
        <f>'FX RESERVE DATA'!AD69</f>
        <v/>
      </c>
      <c r="W101" s="187">
        <f>'FX RESERVE DATA'!AE69</f>
        <v/>
      </c>
      <c r="X101" s="187">
        <f>'FX RESERVE DATA'!AF69</f>
        <v/>
      </c>
      <c r="Y101" s="187">
        <f>'FX RESERVE DATA'!AG69</f>
        <v/>
      </c>
      <c r="Z101" s="187">
        <f>'FX RESERVE DATA'!AH69</f>
        <v/>
      </c>
      <c r="AA101" s="187">
        <f>'FX RESERVE DATA'!AI69</f>
        <v/>
      </c>
      <c r="AB101" s="187">
        <f>'FX RESERVE DATA'!AJ69</f>
        <v/>
      </c>
      <c r="AC101" s="187">
        <f>'FX RESERVE DATA'!AK69</f>
        <v/>
      </c>
      <c r="AD101" s="187">
        <f>'FX RESERVE DATA'!AL69</f>
        <v/>
      </c>
      <c r="AE101" s="187">
        <f>'FX RESERVE DATA'!AM69</f>
        <v/>
      </c>
      <c r="AF101" s="187">
        <f>'FX RESERVE DATA'!AN69</f>
        <v/>
      </c>
      <c r="AG101" s="187">
        <f>'FX RESERVE DATA'!AO69</f>
        <v/>
      </c>
      <c r="AH101" s="187">
        <f>'FX RESERVE DATA'!AP69</f>
        <v/>
      </c>
      <c r="AI101" s="187">
        <f>'FX RESERVE DATA'!AQ69</f>
        <v/>
      </c>
      <c r="AJ101" s="187">
        <f>'FX RESERVE DATA'!AR69</f>
        <v/>
      </c>
      <c r="AK101" s="187">
        <f>'FX RESERVE DATA'!AS69</f>
        <v/>
      </c>
      <c r="AL101" s="187">
        <f>'FX RESERVE DATA'!AT69</f>
        <v/>
      </c>
      <c r="AM101" s="187">
        <f>'FX RESERVE DATA'!AU69</f>
        <v/>
      </c>
      <c r="AN101" s="187">
        <f>'FX RESERVE DATA'!AV69</f>
        <v/>
      </c>
      <c r="AO101" s="187">
        <f>'FX RESERVE DATA'!AW69</f>
        <v/>
      </c>
      <c r="AP101" s="187">
        <f>'FX RESERVE DATA'!AX69</f>
        <v/>
      </c>
      <c r="AQ101" s="187">
        <f>'FX RESERVE DATA'!AY69</f>
        <v/>
      </c>
      <c r="AR101" s="187">
        <f>'FX RESERVE DATA'!AZ69</f>
        <v/>
      </c>
      <c r="AS101" s="187">
        <f>'FX RESERVE DATA'!BA69</f>
        <v/>
      </c>
      <c r="AT101" s="187">
        <f>'FX RESERVE DATA'!BB69</f>
        <v/>
      </c>
      <c r="AU101" s="187">
        <f>'FX RESERVE DATA'!BC69</f>
        <v/>
      </c>
      <c r="AV101" s="187">
        <f>'FX RESERVE DATA'!BD69</f>
        <v/>
      </c>
      <c r="AW101" s="187">
        <f>'FX RESERVE DATA'!BE69</f>
        <v/>
      </c>
      <c r="AX101" s="187">
        <f>'FX RESERVE DATA'!BF69</f>
        <v/>
      </c>
    </row>
    <row r="102" ht="21" customHeight="1">
      <c r="E102" s="238" t="inlineStr">
        <is>
          <t>EUR JPY</t>
        </is>
      </c>
      <c r="F102" s="187">
        <f>'FX RESERVE DATA'!N70</f>
        <v/>
      </c>
      <c r="G102" s="187">
        <f>'FX RESERVE DATA'!O70</f>
        <v/>
      </c>
      <c r="H102" s="187">
        <f>'FX RESERVE DATA'!P70</f>
        <v/>
      </c>
      <c r="I102" s="187">
        <f>'FX RESERVE DATA'!Q70</f>
        <v/>
      </c>
      <c r="J102" s="187">
        <f>'FX RESERVE DATA'!R70</f>
        <v/>
      </c>
      <c r="K102" s="187">
        <f>'FX RESERVE DATA'!S70</f>
        <v/>
      </c>
      <c r="L102" s="187">
        <f>'FX RESERVE DATA'!T70</f>
        <v/>
      </c>
      <c r="M102" s="187">
        <f>'FX RESERVE DATA'!U70</f>
        <v/>
      </c>
      <c r="N102" s="187">
        <f>'FX RESERVE DATA'!V70</f>
        <v/>
      </c>
      <c r="O102" s="187">
        <f>'FX RESERVE DATA'!W70</f>
        <v/>
      </c>
      <c r="P102" s="187">
        <f>'FX RESERVE DATA'!X70</f>
        <v/>
      </c>
      <c r="Q102" s="187">
        <f>'FX RESERVE DATA'!Y70</f>
        <v/>
      </c>
      <c r="R102" s="187">
        <f>'FX RESERVE DATA'!Z70</f>
        <v/>
      </c>
      <c r="S102" s="187">
        <f>'FX RESERVE DATA'!AA70</f>
        <v/>
      </c>
      <c r="T102" s="187">
        <f>'FX RESERVE DATA'!AB70</f>
        <v/>
      </c>
      <c r="U102" s="187">
        <f>'FX RESERVE DATA'!AC70</f>
        <v/>
      </c>
      <c r="V102" s="187">
        <f>'FX RESERVE DATA'!AD70</f>
        <v/>
      </c>
      <c r="W102" s="187">
        <f>'FX RESERVE DATA'!AE70</f>
        <v/>
      </c>
      <c r="X102" s="187">
        <f>'FX RESERVE DATA'!AF70</f>
        <v/>
      </c>
      <c r="Y102" s="187">
        <f>'FX RESERVE DATA'!AG70</f>
        <v/>
      </c>
      <c r="Z102" s="187">
        <f>'FX RESERVE DATA'!AH70</f>
        <v/>
      </c>
      <c r="AA102" s="187">
        <f>'FX RESERVE DATA'!AI70</f>
        <v/>
      </c>
      <c r="AB102" s="187">
        <f>'FX RESERVE DATA'!AJ70</f>
        <v/>
      </c>
      <c r="AC102" s="187">
        <f>'FX RESERVE DATA'!AK70</f>
        <v/>
      </c>
      <c r="AD102" s="187">
        <f>'FX RESERVE DATA'!AL70</f>
        <v/>
      </c>
      <c r="AE102" s="187">
        <f>'FX RESERVE DATA'!AM70</f>
        <v/>
      </c>
      <c r="AF102" s="187">
        <f>'FX RESERVE DATA'!AN70</f>
        <v/>
      </c>
      <c r="AG102" s="187">
        <f>'FX RESERVE DATA'!AO70</f>
        <v/>
      </c>
      <c r="AH102" s="187">
        <f>'FX RESERVE DATA'!AP70</f>
        <v/>
      </c>
      <c r="AI102" s="187">
        <f>'FX RESERVE DATA'!AQ70</f>
        <v/>
      </c>
      <c r="AJ102" s="187">
        <f>'FX RESERVE DATA'!AR70</f>
        <v/>
      </c>
      <c r="AK102" s="187">
        <f>'FX RESERVE DATA'!AS70</f>
        <v/>
      </c>
      <c r="AL102" s="187">
        <f>'FX RESERVE DATA'!AT70</f>
        <v/>
      </c>
      <c r="AM102" s="187">
        <f>'FX RESERVE DATA'!AU70</f>
        <v/>
      </c>
      <c r="AN102" s="187">
        <f>'FX RESERVE DATA'!AV70</f>
        <v/>
      </c>
      <c r="AO102" s="187">
        <f>'FX RESERVE DATA'!AW70</f>
        <v/>
      </c>
      <c r="AP102" s="187">
        <f>'FX RESERVE DATA'!AX70</f>
        <v/>
      </c>
      <c r="AQ102" s="187">
        <f>'FX RESERVE DATA'!AY70</f>
        <v/>
      </c>
      <c r="AR102" s="187">
        <f>'FX RESERVE DATA'!AZ70</f>
        <v/>
      </c>
      <c r="AS102" s="187">
        <f>'FX RESERVE DATA'!BA70</f>
        <v/>
      </c>
      <c r="AT102" s="187">
        <f>'FX RESERVE DATA'!BB70</f>
        <v/>
      </c>
      <c r="AU102" s="187">
        <f>'FX RESERVE DATA'!BC70</f>
        <v/>
      </c>
      <c r="AV102" s="187">
        <f>'FX RESERVE DATA'!BD70</f>
        <v/>
      </c>
      <c r="AW102" s="187">
        <f>'FX RESERVE DATA'!BE70</f>
        <v/>
      </c>
      <c r="AX102" s="187">
        <f>'FX RESERVE DATA'!BF70</f>
        <v/>
      </c>
    </row>
    <row r="103" ht="21" customHeight="1">
      <c r="E103" s="238" t="inlineStr">
        <is>
          <t>EUR CHF</t>
        </is>
      </c>
      <c r="F103" s="187">
        <f>'FX RESERVE DATA'!N71</f>
        <v/>
      </c>
      <c r="G103" s="187">
        <f>'FX RESERVE DATA'!O71</f>
        <v/>
      </c>
      <c r="H103" s="187">
        <f>'FX RESERVE DATA'!P71</f>
        <v/>
      </c>
      <c r="I103" s="187">
        <f>'FX RESERVE DATA'!Q71</f>
        <v/>
      </c>
      <c r="J103" s="187">
        <f>'FX RESERVE DATA'!R71</f>
        <v/>
      </c>
      <c r="K103" s="187">
        <f>'FX RESERVE DATA'!S71</f>
        <v/>
      </c>
      <c r="L103" s="187">
        <f>'FX RESERVE DATA'!T71</f>
        <v/>
      </c>
      <c r="M103" s="187">
        <f>'FX RESERVE DATA'!U71</f>
        <v/>
      </c>
      <c r="N103" s="187">
        <f>'FX RESERVE DATA'!V71</f>
        <v/>
      </c>
      <c r="O103" s="187">
        <f>'FX RESERVE DATA'!W71</f>
        <v/>
      </c>
      <c r="P103" s="187">
        <f>'FX RESERVE DATA'!X71</f>
        <v/>
      </c>
      <c r="Q103" s="187">
        <f>'FX RESERVE DATA'!Y71</f>
        <v/>
      </c>
      <c r="R103" s="187">
        <f>'FX RESERVE DATA'!Z71</f>
        <v/>
      </c>
      <c r="S103" s="187">
        <f>'FX RESERVE DATA'!AA71</f>
        <v/>
      </c>
      <c r="T103" s="187">
        <f>'FX RESERVE DATA'!AB71</f>
        <v/>
      </c>
      <c r="U103" s="187">
        <f>'FX RESERVE DATA'!AC71</f>
        <v/>
      </c>
      <c r="V103" s="187">
        <f>'FX RESERVE DATA'!AD71</f>
        <v/>
      </c>
      <c r="W103" s="187">
        <f>'FX RESERVE DATA'!AE71</f>
        <v/>
      </c>
      <c r="X103" s="187">
        <f>'FX RESERVE DATA'!AF71</f>
        <v/>
      </c>
      <c r="Y103" s="187">
        <f>'FX RESERVE DATA'!AG71</f>
        <v/>
      </c>
      <c r="Z103" s="187">
        <f>'FX RESERVE DATA'!AH71</f>
        <v/>
      </c>
      <c r="AA103" s="187">
        <f>'FX RESERVE DATA'!AI71</f>
        <v/>
      </c>
      <c r="AB103" s="187">
        <f>'FX RESERVE DATA'!AJ71</f>
        <v/>
      </c>
      <c r="AC103" s="187">
        <f>'FX RESERVE DATA'!AK71</f>
        <v/>
      </c>
      <c r="AD103" s="187">
        <f>'FX RESERVE DATA'!AL71</f>
        <v/>
      </c>
      <c r="AE103" s="187">
        <f>'FX RESERVE DATA'!AM71</f>
        <v/>
      </c>
      <c r="AF103" s="187">
        <f>'FX RESERVE DATA'!AN71</f>
        <v/>
      </c>
      <c r="AG103" s="187">
        <f>'FX RESERVE DATA'!AO71</f>
        <v/>
      </c>
      <c r="AH103" s="187">
        <f>'FX RESERVE DATA'!AP71</f>
        <v/>
      </c>
      <c r="AI103" s="187">
        <f>'FX RESERVE DATA'!AQ71</f>
        <v/>
      </c>
      <c r="AJ103" s="187">
        <f>'FX RESERVE DATA'!AR71</f>
        <v/>
      </c>
      <c r="AK103" s="187">
        <f>'FX RESERVE DATA'!AS71</f>
        <v/>
      </c>
      <c r="AL103" s="187">
        <f>'FX RESERVE DATA'!AT71</f>
        <v/>
      </c>
      <c r="AM103" s="187">
        <f>'FX RESERVE DATA'!AU71</f>
        <v/>
      </c>
      <c r="AN103" s="187">
        <f>'FX RESERVE DATA'!AV71</f>
        <v/>
      </c>
      <c r="AO103" s="187">
        <f>'FX RESERVE DATA'!AW71</f>
        <v/>
      </c>
      <c r="AP103" s="187">
        <f>'FX RESERVE DATA'!AX71</f>
        <v/>
      </c>
      <c r="AQ103" s="187">
        <f>'FX RESERVE DATA'!AY71</f>
        <v/>
      </c>
      <c r="AR103" s="187">
        <f>'FX RESERVE DATA'!AZ71</f>
        <v/>
      </c>
      <c r="AS103" s="187">
        <f>'FX RESERVE DATA'!BA71</f>
        <v/>
      </c>
      <c r="AT103" s="187">
        <f>'FX RESERVE DATA'!BB71</f>
        <v/>
      </c>
      <c r="AU103" s="187">
        <f>'FX RESERVE DATA'!BC71</f>
        <v/>
      </c>
      <c r="AV103" s="187">
        <f>'FX RESERVE DATA'!BD71</f>
        <v/>
      </c>
      <c r="AW103" s="187">
        <f>'FX RESERVE DATA'!BE71</f>
        <v/>
      </c>
      <c r="AX103" s="187">
        <f>'FX RESERVE DATA'!BF71</f>
        <v/>
      </c>
    </row>
    <row r="104" ht="21" customHeight="1">
      <c r="E104" s="238" t="inlineStr">
        <is>
          <t>EUR GBP</t>
        </is>
      </c>
      <c r="F104" s="187">
        <f>'FX RESERVE DATA'!N72</f>
        <v/>
      </c>
      <c r="G104" s="187">
        <f>'FX RESERVE DATA'!O72</f>
        <v/>
      </c>
      <c r="H104" s="187">
        <f>'FX RESERVE DATA'!P72</f>
        <v/>
      </c>
      <c r="I104" s="187">
        <f>'FX RESERVE DATA'!Q72</f>
        <v/>
      </c>
      <c r="J104" s="187">
        <f>'FX RESERVE DATA'!R72</f>
        <v/>
      </c>
      <c r="K104" s="187">
        <f>'FX RESERVE DATA'!S72</f>
        <v/>
      </c>
      <c r="L104" s="187">
        <f>'FX RESERVE DATA'!T72</f>
        <v/>
      </c>
      <c r="M104" s="187">
        <f>'FX RESERVE DATA'!U72</f>
        <v/>
      </c>
      <c r="N104" s="187">
        <f>'FX RESERVE DATA'!V72</f>
        <v/>
      </c>
      <c r="O104" s="187">
        <f>'FX RESERVE DATA'!W72</f>
        <v/>
      </c>
      <c r="P104" s="187">
        <f>'FX RESERVE DATA'!X72</f>
        <v/>
      </c>
      <c r="Q104" s="187">
        <f>'FX RESERVE DATA'!Y72</f>
        <v/>
      </c>
      <c r="R104" s="187">
        <f>'FX RESERVE DATA'!Z72</f>
        <v/>
      </c>
      <c r="S104" s="187">
        <f>'FX RESERVE DATA'!AA72</f>
        <v/>
      </c>
      <c r="T104" s="187">
        <f>'FX RESERVE DATA'!AB72</f>
        <v/>
      </c>
      <c r="U104" s="187">
        <f>'FX RESERVE DATA'!AC72</f>
        <v/>
      </c>
      <c r="V104" s="187">
        <f>'FX RESERVE DATA'!AD72</f>
        <v/>
      </c>
      <c r="W104" s="187">
        <f>'FX RESERVE DATA'!AE72</f>
        <v/>
      </c>
      <c r="X104" s="187">
        <f>'FX RESERVE DATA'!AF72</f>
        <v/>
      </c>
      <c r="Y104" s="187">
        <f>'FX RESERVE DATA'!AG72</f>
        <v/>
      </c>
      <c r="Z104" s="187">
        <f>'FX RESERVE DATA'!AH72</f>
        <v/>
      </c>
      <c r="AA104" s="187">
        <f>'FX RESERVE DATA'!AI72</f>
        <v/>
      </c>
      <c r="AB104" s="187">
        <f>'FX RESERVE DATA'!AJ72</f>
        <v/>
      </c>
      <c r="AC104" s="187">
        <f>'FX RESERVE DATA'!AK72</f>
        <v/>
      </c>
      <c r="AD104" s="187">
        <f>'FX RESERVE DATA'!AL72</f>
        <v/>
      </c>
      <c r="AE104" s="187">
        <f>'FX RESERVE DATA'!AM72</f>
        <v/>
      </c>
      <c r="AF104" s="187">
        <f>'FX RESERVE DATA'!AN72</f>
        <v/>
      </c>
      <c r="AG104" s="187">
        <f>'FX RESERVE DATA'!AO72</f>
        <v/>
      </c>
      <c r="AH104" s="187">
        <f>'FX RESERVE DATA'!AP72</f>
        <v/>
      </c>
      <c r="AI104" s="187">
        <f>'FX RESERVE DATA'!AQ72</f>
        <v/>
      </c>
      <c r="AJ104" s="187">
        <f>'FX RESERVE DATA'!AR72</f>
        <v/>
      </c>
      <c r="AK104" s="187">
        <f>'FX RESERVE DATA'!AS72</f>
        <v/>
      </c>
      <c r="AL104" s="187">
        <f>'FX RESERVE DATA'!AT72</f>
        <v/>
      </c>
      <c r="AM104" s="187">
        <f>'FX RESERVE DATA'!AU72</f>
        <v/>
      </c>
      <c r="AN104" s="187">
        <f>'FX RESERVE DATA'!AV72</f>
        <v/>
      </c>
      <c r="AO104" s="187">
        <f>'FX RESERVE DATA'!AW72</f>
        <v/>
      </c>
      <c r="AP104" s="187">
        <f>'FX RESERVE DATA'!AX72</f>
        <v/>
      </c>
      <c r="AQ104" s="187">
        <f>'FX RESERVE DATA'!AY72</f>
        <v/>
      </c>
      <c r="AR104" s="187">
        <f>'FX RESERVE DATA'!AZ72</f>
        <v/>
      </c>
      <c r="AS104" s="187">
        <f>'FX RESERVE DATA'!BA72</f>
        <v/>
      </c>
      <c r="AT104" s="187">
        <f>'FX RESERVE DATA'!BB72</f>
        <v/>
      </c>
      <c r="AU104" s="187">
        <f>'FX RESERVE DATA'!BC72</f>
        <v/>
      </c>
      <c r="AV104" s="187">
        <f>'FX RESERVE DATA'!BD72</f>
        <v/>
      </c>
      <c r="AW104" s="187">
        <f>'FX RESERVE DATA'!BE72</f>
        <v/>
      </c>
      <c r="AX104" s="187">
        <f>'FX RESERVE DATA'!BF72</f>
        <v/>
      </c>
    </row>
    <row r="105" ht="21" customHeight="1">
      <c r="E105" s="239" t="inlineStr">
        <is>
          <t>EUR CAD</t>
        </is>
      </c>
      <c r="F105" s="187">
        <f>'FX RESERVE DATA'!N73</f>
        <v/>
      </c>
      <c r="G105" s="187">
        <f>'FX RESERVE DATA'!O73</f>
        <v/>
      </c>
      <c r="H105" s="187">
        <f>'FX RESERVE DATA'!P73</f>
        <v/>
      </c>
      <c r="I105" s="187">
        <f>'FX RESERVE DATA'!Q73</f>
        <v/>
      </c>
      <c r="J105" s="187">
        <f>'FX RESERVE DATA'!R73</f>
        <v/>
      </c>
      <c r="K105" s="187">
        <f>'FX RESERVE DATA'!S73</f>
        <v/>
      </c>
      <c r="L105" s="187">
        <f>'FX RESERVE DATA'!T73</f>
        <v/>
      </c>
      <c r="M105" s="187">
        <f>'FX RESERVE DATA'!U73</f>
        <v/>
      </c>
      <c r="N105" s="187">
        <f>'FX RESERVE DATA'!V73</f>
        <v/>
      </c>
      <c r="O105" s="187">
        <f>'FX RESERVE DATA'!W73</f>
        <v/>
      </c>
      <c r="P105" s="187">
        <f>'FX RESERVE DATA'!X73</f>
        <v/>
      </c>
      <c r="Q105" s="187">
        <f>'FX RESERVE DATA'!Y73</f>
        <v/>
      </c>
      <c r="R105" s="187">
        <f>'FX RESERVE DATA'!Z73</f>
        <v/>
      </c>
      <c r="S105" s="187">
        <f>'FX RESERVE DATA'!AA73</f>
        <v/>
      </c>
      <c r="T105" s="187">
        <f>'FX RESERVE DATA'!AB73</f>
        <v/>
      </c>
      <c r="U105" s="187">
        <f>'FX RESERVE DATA'!AC73</f>
        <v/>
      </c>
      <c r="V105" s="187">
        <f>'FX RESERVE DATA'!AD73</f>
        <v/>
      </c>
      <c r="W105" s="187">
        <f>'FX RESERVE DATA'!AE73</f>
        <v/>
      </c>
      <c r="X105" s="187">
        <f>'FX RESERVE DATA'!AF73</f>
        <v/>
      </c>
      <c r="Y105" s="187">
        <f>'FX RESERVE DATA'!AG73</f>
        <v/>
      </c>
      <c r="Z105" s="187">
        <f>'FX RESERVE DATA'!AH73</f>
        <v/>
      </c>
      <c r="AA105" s="187">
        <f>'FX RESERVE DATA'!AI73</f>
        <v/>
      </c>
      <c r="AB105" s="187">
        <f>'FX RESERVE DATA'!AJ73</f>
        <v/>
      </c>
      <c r="AC105" s="187">
        <f>'FX RESERVE DATA'!AK73</f>
        <v/>
      </c>
      <c r="AD105" s="187">
        <f>'FX RESERVE DATA'!AL73</f>
        <v/>
      </c>
      <c r="AE105" s="187">
        <f>'FX RESERVE DATA'!AM73</f>
        <v/>
      </c>
      <c r="AF105" s="187">
        <f>'FX RESERVE DATA'!AN73</f>
        <v/>
      </c>
      <c r="AG105" s="187">
        <f>'FX RESERVE DATA'!AO73</f>
        <v/>
      </c>
      <c r="AH105" s="187">
        <f>'FX RESERVE DATA'!AP73</f>
        <v/>
      </c>
      <c r="AI105" s="187">
        <f>'FX RESERVE DATA'!AQ73</f>
        <v/>
      </c>
      <c r="AJ105" s="187">
        <f>'FX RESERVE DATA'!AR73</f>
        <v/>
      </c>
      <c r="AK105" s="187">
        <f>'FX RESERVE DATA'!AS73</f>
        <v/>
      </c>
      <c r="AL105" s="187">
        <f>'FX RESERVE DATA'!AT73</f>
        <v/>
      </c>
      <c r="AM105" s="187">
        <f>'FX RESERVE DATA'!AU73</f>
        <v/>
      </c>
      <c r="AN105" s="187">
        <f>'FX RESERVE DATA'!AV73</f>
        <v/>
      </c>
      <c r="AO105" s="187">
        <f>'FX RESERVE DATA'!AW73</f>
        <v/>
      </c>
      <c r="AP105" s="187">
        <f>'FX RESERVE DATA'!AX73</f>
        <v/>
      </c>
      <c r="AQ105" s="187">
        <f>'FX RESERVE DATA'!AY73</f>
        <v/>
      </c>
      <c r="AR105" s="187">
        <f>'FX RESERVE DATA'!AZ73</f>
        <v/>
      </c>
      <c r="AS105" s="187">
        <f>'FX RESERVE DATA'!BA73</f>
        <v/>
      </c>
      <c r="AT105" s="187">
        <f>'FX RESERVE DATA'!BB73</f>
        <v/>
      </c>
      <c r="AU105" s="187">
        <f>'FX RESERVE DATA'!BC73</f>
        <v/>
      </c>
      <c r="AV105" s="187">
        <f>'FX RESERVE DATA'!BD73</f>
        <v/>
      </c>
      <c r="AW105" s="187">
        <f>'FX RESERVE DATA'!BE73</f>
        <v/>
      </c>
      <c r="AX105" s="187">
        <f>'FX RESERVE DATA'!BF73</f>
        <v/>
      </c>
    </row>
    <row r="106" ht="21" customHeight="1">
      <c r="E106" s="238" t="inlineStr">
        <is>
          <t>EUR AUD</t>
        </is>
      </c>
      <c r="F106" s="187">
        <f>'FX RESERVE DATA'!N74</f>
        <v/>
      </c>
      <c r="G106" s="187">
        <f>'FX RESERVE DATA'!O74</f>
        <v/>
      </c>
      <c r="H106" s="187">
        <f>'FX RESERVE DATA'!P74</f>
        <v/>
      </c>
      <c r="I106" s="187">
        <f>'FX RESERVE DATA'!Q74</f>
        <v/>
      </c>
      <c r="J106" s="187">
        <f>'FX RESERVE DATA'!R74</f>
        <v/>
      </c>
      <c r="K106" s="187">
        <f>'FX RESERVE DATA'!S74</f>
        <v/>
      </c>
      <c r="L106" s="187">
        <f>'FX RESERVE DATA'!T74</f>
        <v/>
      </c>
      <c r="M106" s="187">
        <f>'FX RESERVE DATA'!U74</f>
        <v/>
      </c>
      <c r="N106" s="187">
        <f>'FX RESERVE DATA'!V74</f>
        <v/>
      </c>
      <c r="O106" s="187">
        <f>'FX RESERVE DATA'!W74</f>
        <v/>
      </c>
      <c r="P106" s="187">
        <f>'FX RESERVE DATA'!X74</f>
        <v/>
      </c>
      <c r="Q106" s="187">
        <f>'FX RESERVE DATA'!Y74</f>
        <v/>
      </c>
      <c r="R106" s="187">
        <f>'FX RESERVE DATA'!Z74</f>
        <v/>
      </c>
      <c r="S106" s="187">
        <f>'FX RESERVE DATA'!AA74</f>
        <v/>
      </c>
      <c r="T106" s="187">
        <f>'FX RESERVE DATA'!AB74</f>
        <v/>
      </c>
      <c r="U106" s="187">
        <f>'FX RESERVE DATA'!AC74</f>
        <v/>
      </c>
      <c r="V106" s="187">
        <f>'FX RESERVE DATA'!AD74</f>
        <v/>
      </c>
      <c r="W106" s="187">
        <f>'FX RESERVE DATA'!AE74</f>
        <v/>
      </c>
      <c r="X106" s="187">
        <f>'FX RESERVE DATA'!AF74</f>
        <v/>
      </c>
      <c r="Y106" s="187">
        <f>'FX RESERVE DATA'!AG74</f>
        <v/>
      </c>
      <c r="Z106" s="187">
        <f>'FX RESERVE DATA'!AH74</f>
        <v/>
      </c>
      <c r="AA106" s="187">
        <f>'FX RESERVE DATA'!AI74</f>
        <v/>
      </c>
      <c r="AB106" s="187">
        <f>'FX RESERVE DATA'!AJ74</f>
        <v/>
      </c>
      <c r="AC106" s="187">
        <f>'FX RESERVE DATA'!AK74</f>
        <v/>
      </c>
      <c r="AD106" s="187">
        <f>'FX RESERVE DATA'!AL74</f>
        <v/>
      </c>
      <c r="AE106" s="187">
        <f>'FX RESERVE DATA'!AM74</f>
        <v/>
      </c>
      <c r="AF106" s="187">
        <f>'FX RESERVE DATA'!AN74</f>
        <v/>
      </c>
      <c r="AG106" s="187">
        <f>'FX RESERVE DATA'!AO74</f>
        <v/>
      </c>
      <c r="AH106" s="187">
        <f>'FX RESERVE DATA'!AP74</f>
        <v/>
      </c>
      <c r="AI106" s="187">
        <f>'FX RESERVE DATA'!AQ74</f>
        <v/>
      </c>
      <c r="AJ106" s="187">
        <f>'FX RESERVE DATA'!AR74</f>
        <v/>
      </c>
      <c r="AK106" s="187">
        <f>'FX RESERVE DATA'!AS74</f>
        <v/>
      </c>
      <c r="AL106" s="187">
        <f>'FX RESERVE DATA'!AT74</f>
        <v/>
      </c>
      <c r="AM106" s="187">
        <f>'FX RESERVE DATA'!AU74</f>
        <v/>
      </c>
      <c r="AN106" s="187">
        <f>'FX RESERVE DATA'!AV74</f>
        <v/>
      </c>
      <c r="AO106" s="187">
        <f>'FX RESERVE DATA'!AW74</f>
        <v/>
      </c>
      <c r="AP106" s="187">
        <f>'FX RESERVE DATA'!AX74</f>
        <v/>
      </c>
      <c r="AQ106" s="187">
        <f>'FX RESERVE DATA'!AY74</f>
        <v/>
      </c>
      <c r="AR106" s="187">
        <f>'FX RESERVE DATA'!AZ74</f>
        <v/>
      </c>
      <c r="AS106" s="187">
        <f>'FX RESERVE DATA'!BA74</f>
        <v/>
      </c>
      <c r="AT106" s="187">
        <f>'FX RESERVE DATA'!BB74</f>
        <v/>
      </c>
      <c r="AU106" s="187">
        <f>'FX RESERVE DATA'!BC74</f>
        <v/>
      </c>
      <c r="AV106" s="187">
        <f>'FX RESERVE DATA'!BD74</f>
        <v/>
      </c>
      <c r="AW106" s="187">
        <f>'FX RESERVE DATA'!BE74</f>
        <v/>
      </c>
      <c r="AX106" s="187">
        <f>'FX RESERVE DATA'!BF74</f>
        <v/>
      </c>
    </row>
    <row r="107" ht="21" customHeight="1">
      <c r="E107" s="239" t="inlineStr">
        <is>
          <t>EUR NZD</t>
        </is>
      </c>
      <c r="F107" s="187">
        <f>'FX RESERVE DATA'!N75</f>
        <v/>
      </c>
      <c r="G107" s="187">
        <f>'FX RESERVE DATA'!O75</f>
        <v/>
      </c>
      <c r="H107" s="187">
        <f>'FX RESERVE DATA'!P75</f>
        <v/>
      </c>
      <c r="I107" s="187">
        <f>'FX RESERVE DATA'!Q75</f>
        <v/>
      </c>
      <c r="J107" s="187">
        <f>'FX RESERVE DATA'!R75</f>
        <v/>
      </c>
      <c r="K107" s="187">
        <f>'FX RESERVE DATA'!S75</f>
        <v/>
      </c>
      <c r="L107" s="187">
        <f>'FX RESERVE DATA'!T75</f>
        <v/>
      </c>
      <c r="M107" s="187">
        <f>'FX RESERVE DATA'!U75</f>
        <v/>
      </c>
      <c r="N107" s="187">
        <f>'FX RESERVE DATA'!V75</f>
        <v/>
      </c>
      <c r="O107" s="187">
        <f>'FX RESERVE DATA'!W75</f>
        <v/>
      </c>
      <c r="P107" s="187">
        <f>'FX RESERVE DATA'!X75</f>
        <v/>
      </c>
      <c r="Q107" s="187">
        <f>'FX RESERVE DATA'!Y75</f>
        <v/>
      </c>
      <c r="R107" s="187">
        <f>'FX RESERVE DATA'!Z75</f>
        <v/>
      </c>
      <c r="S107" s="187">
        <f>'FX RESERVE DATA'!AA75</f>
        <v/>
      </c>
      <c r="T107" s="187">
        <f>'FX RESERVE DATA'!AB75</f>
        <v/>
      </c>
      <c r="U107" s="187">
        <f>'FX RESERVE DATA'!AC75</f>
        <v/>
      </c>
      <c r="V107" s="187">
        <f>'FX RESERVE DATA'!AD75</f>
        <v/>
      </c>
      <c r="W107" s="187">
        <f>'FX RESERVE DATA'!AE75</f>
        <v/>
      </c>
      <c r="X107" s="187">
        <f>'FX RESERVE DATA'!AF75</f>
        <v/>
      </c>
      <c r="Y107" s="187">
        <f>'FX RESERVE DATA'!AG75</f>
        <v/>
      </c>
      <c r="Z107" s="187">
        <f>'FX RESERVE DATA'!AH75</f>
        <v/>
      </c>
      <c r="AA107" s="187">
        <f>'FX RESERVE DATA'!AI75</f>
        <v/>
      </c>
      <c r="AB107" s="187">
        <f>'FX RESERVE DATA'!AJ75</f>
        <v/>
      </c>
      <c r="AC107" s="187">
        <f>'FX RESERVE DATA'!AK75</f>
        <v/>
      </c>
      <c r="AD107" s="187">
        <f>'FX RESERVE DATA'!AL75</f>
        <v/>
      </c>
      <c r="AE107" s="187">
        <f>'FX RESERVE DATA'!AM75</f>
        <v/>
      </c>
      <c r="AF107" s="187">
        <f>'FX RESERVE DATA'!AN75</f>
        <v/>
      </c>
      <c r="AG107" s="187">
        <f>'FX RESERVE DATA'!AO75</f>
        <v/>
      </c>
      <c r="AH107" s="187">
        <f>'FX RESERVE DATA'!AP75</f>
        <v/>
      </c>
      <c r="AI107" s="187">
        <f>'FX RESERVE DATA'!AQ75</f>
        <v/>
      </c>
      <c r="AJ107" s="187">
        <f>'FX RESERVE DATA'!AR75</f>
        <v/>
      </c>
      <c r="AK107" s="187">
        <f>'FX RESERVE DATA'!AS75</f>
        <v/>
      </c>
      <c r="AL107" s="187">
        <f>'FX RESERVE DATA'!AT75</f>
        <v/>
      </c>
      <c r="AM107" s="187">
        <f>'FX RESERVE DATA'!AU75</f>
        <v/>
      </c>
      <c r="AN107" s="187">
        <f>'FX RESERVE DATA'!AV75</f>
        <v/>
      </c>
      <c r="AO107" s="187">
        <f>'FX RESERVE DATA'!AW75</f>
        <v/>
      </c>
      <c r="AP107" s="187">
        <f>'FX RESERVE DATA'!AX75</f>
        <v/>
      </c>
      <c r="AQ107" s="187">
        <f>'FX RESERVE DATA'!AY75</f>
        <v/>
      </c>
      <c r="AR107" s="187">
        <f>'FX RESERVE DATA'!AZ75</f>
        <v/>
      </c>
      <c r="AS107" s="187">
        <f>'FX RESERVE DATA'!BA75</f>
        <v/>
      </c>
      <c r="AT107" s="187">
        <f>'FX RESERVE DATA'!BB75</f>
        <v/>
      </c>
      <c r="AU107" s="187">
        <f>'FX RESERVE DATA'!BC75</f>
        <v/>
      </c>
      <c r="AV107" s="187">
        <f>'FX RESERVE DATA'!BD75</f>
        <v/>
      </c>
      <c r="AW107" s="187">
        <f>'FX RESERVE DATA'!BE75</f>
        <v/>
      </c>
      <c r="AX107" s="187">
        <f>'FX RESERVE DATA'!BF75</f>
        <v/>
      </c>
    </row>
    <row r="108" ht="21" customHeight="1">
      <c r="E108" s="240" t="inlineStr">
        <is>
          <t>GBP USD</t>
        </is>
      </c>
      <c r="F108" s="187">
        <f>'FX RESERVE DATA'!N76</f>
        <v/>
      </c>
      <c r="G108" s="187">
        <f>'FX RESERVE DATA'!O76</f>
        <v/>
      </c>
      <c r="H108" s="187">
        <f>'FX RESERVE DATA'!P76</f>
        <v/>
      </c>
      <c r="I108" s="187">
        <f>'FX RESERVE DATA'!Q76</f>
        <v/>
      </c>
      <c r="J108" s="187">
        <f>'FX RESERVE DATA'!R76</f>
        <v/>
      </c>
      <c r="K108" s="187">
        <f>'FX RESERVE DATA'!S76</f>
        <v/>
      </c>
      <c r="L108" s="187">
        <f>'FX RESERVE DATA'!T76</f>
        <v/>
      </c>
      <c r="M108" s="187">
        <f>'FX RESERVE DATA'!U76</f>
        <v/>
      </c>
      <c r="N108" s="187">
        <f>'FX RESERVE DATA'!V76</f>
        <v/>
      </c>
      <c r="O108" s="187">
        <f>'FX RESERVE DATA'!W76</f>
        <v/>
      </c>
      <c r="P108" s="187">
        <f>'FX RESERVE DATA'!X76</f>
        <v/>
      </c>
      <c r="Q108" s="187">
        <f>'FX RESERVE DATA'!Y76</f>
        <v/>
      </c>
      <c r="R108" s="187">
        <f>'FX RESERVE DATA'!Z76</f>
        <v/>
      </c>
      <c r="S108" s="187">
        <f>'FX RESERVE DATA'!AA76</f>
        <v/>
      </c>
      <c r="T108" s="187">
        <f>'FX RESERVE DATA'!AB76</f>
        <v/>
      </c>
      <c r="U108" s="187">
        <f>'FX RESERVE DATA'!AC76</f>
        <v/>
      </c>
      <c r="V108" s="187">
        <f>'FX RESERVE DATA'!AD76</f>
        <v/>
      </c>
      <c r="W108" s="187">
        <f>'FX RESERVE DATA'!AE76</f>
        <v/>
      </c>
      <c r="X108" s="187">
        <f>'FX RESERVE DATA'!AF76</f>
        <v/>
      </c>
      <c r="Y108" s="187">
        <f>'FX RESERVE DATA'!AG76</f>
        <v/>
      </c>
      <c r="Z108" s="187">
        <f>'FX RESERVE DATA'!AH76</f>
        <v/>
      </c>
      <c r="AA108" s="187">
        <f>'FX RESERVE DATA'!AI76</f>
        <v/>
      </c>
      <c r="AB108" s="187">
        <f>'FX RESERVE DATA'!AJ76</f>
        <v/>
      </c>
      <c r="AC108" s="187">
        <f>'FX RESERVE DATA'!AK76</f>
        <v/>
      </c>
      <c r="AD108" s="187">
        <f>'FX RESERVE DATA'!AL76</f>
        <v/>
      </c>
      <c r="AE108" s="187">
        <f>'FX RESERVE DATA'!AM76</f>
        <v/>
      </c>
      <c r="AF108" s="187">
        <f>'FX RESERVE DATA'!AN76</f>
        <v/>
      </c>
      <c r="AG108" s="187">
        <f>'FX RESERVE DATA'!AO76</f>
        <v/>
      </c>
      <c r="AH108" s="187">
        <f>'FX RESERVE DATA'!AP76</f>
        <v/>
      </c>
      <c r="AI108" s="187">
        <f>'FX RESERVE DATA'!AQ76</f>
        <v/>
      </c>
      <c r="AJ108" s="187">
        <f>'FX RESERVE DATA'!AR76</f>
        <v/>
      </c>
      <c r="AK108" s="187">
        <f>'FX RESERVE DATA'!AS76</f>
        <v/>
      </c>
      <c r="AL108" s="187">
        <f>'FX RESERVE DATA'!AT76</f>
        <v/>
      </c>
      <c r="AM108" s="187">
        <f>'FX RESERVE DATA'!AU76</f>
        <v/>
      </c>
      <c r="AN108" s="187">
        <f>'FX RESERVE DATA'!AV76</f>
        <v/>
      </c>
      <c r="AO108" s="187">
        <f>'FX RESERVE DATA'!AW76</f>
        <v/>
      </c>
      <c r="AP108" s="187">
        <f>'FX RESERVE DATA'!AX76</f>
        <v/>
      </c>
      <c r="AQ108" s="187">
        <f>'FX RESERVE DATA'!AY76</f>
        <v/>
      </c>
      <c r="AR108" s="187">
        <f>'FX RESERVE DATA'!AZ76</f>
        <v/>
      </c>
      <c r="AS108" s="187">
        <f>'FX RESERVE DATA'!BA76</f>
        <v/>
      </c>
      <c r="AT108" s="187">
        <f>'FX RESERVE DATA'!BB76</f>
        <v/>
      </c>
      <c r="AU108" s="187">
        <f>'FX RESERVE DATA'!BC76</f>
        <v/>
      </c>
      <c r="AV108" s="187">
        <f>'FX RESERVE DATA'!BD76</f>
        <v/>
      </c>
      <c r="AW108" s="187">
        <f>'FX RESERVE DATA'!BE76</f>
        <v/>
      </c>
      <c r="AX108" s="187">
        <f>'FX RESERVE DATA'!BF76</f>
        <v/>
      </c>
    </row>
    <row r="109" ht="21" customHeight="1">
      <c r="E109" s="240" t="inlineStr">
        <is>
          <t>GBP JPY</t>
        </is>
      </c>
      <c r="F109" s="187">
        <f>'FX RESERVE DATA'!N77</f>
        <v/>
      </c>
      <c r="G109" s="187">
        <f>'FX RESERVE DATA'!O77</f>
        <v/>
      </c>
      <c r="H109" s="187">
        <f>'FX RESERVE DATA'!P77</f>
        <v/>
      </c>
      <c r="I109" s="187">
        <f>'FX RESERVE DATA'!Q77</f>
        <v/>
      </c>
      <c r="J109" s="187">
        <f>'FX RESERVE DATA'!R77</f>
        <v/>
      </c>
      <c r="K109" s="187">
        <f>'FX RESERVE DATA'!S77</f>
        <v/>
      </c>
      <c r="L109" s="187">
        <f>'FX RESERVE DATA'!T77</f>
        <v/>
      </c>
      <c r="M109" s="187">
        <f>'FX RESERVE DATA'!U77</f>
        <v/>
      </c>
      <c r="N109" s="187">
        <f>'FX RESERVE DATA'!V77</f>
        <v/>
      </c>
      <c r="O109" s="187">
        <f>'FX RESERVE DATA'!W77</f>
        <v/>
      </c>
      <c r="P109" s="187">
        <f>'FX RESERVE DATA'!X77</f>
        <v/>
      </c>
      <c r="Q109" s="187">
        <f>'FX RESERVE DATA'!Y77</f>
        <v/>
      </c>
      <c r="R109" s="187">
        <f>'FX RESERVE DATA'!Z77</f>
        <v/>
      </c>
      <c r="S109" s="187">
        <f>'FX RESERVE DATA'!AA77</f>
        <v/>
      </c>
      <c r="T109" s="187">
        <f>'FX RESERVE DATA'!AB77</f>
        <v/>
      </c>
      <c r="U109" s="187">
        <f>'FX RESERVE DATA'!AC77</f>
        <v/>
      </c>
      <c r="V109" s="187">
        <f>'FX RESERVE DATA'!AD77</f>
        <v/>
      </c>
      <c r="W109" s="187">
        <f>'FX RESERVE DATA'!AE77</f>
        <v/>
      </c>
      <c r="X109" s="187">
        <f>'FX RESERVE DATA'!AF77</f>
        <v/>
      </c>
      <c r="Y109" s="187">
        <f>'FX RESERVE DATA'!AG77</f>
        <v/>
      </c>
      <c r="Z109" s="187">
        <f>'FX RESERVE DATA'!AH77</f>
        <v/>
      </c>
      <c r="AA109" s="187">
        <f>'FX RESERVE DATA'!AI77</f>
        <v/>
      </c>
      <c r="AB109" s="187">
        <f>'FX RESERVE DATA'!AJ77</f>
        <v/>
      </c>
      <c r="AC109" s="187">
        <f>'FX RESERVE DATA'!AK77</f>
        <v/>
      </c>
      <c r="AD109" s="187">
        <f>'FX RESERVE DATA'!AL77</f>
        <v/>
      </c>
      <c r="AE109" s="187">
        <f>'FX RESERVE DATA'!AM77</f>
        <v/>
      </c>
      <c r="AF109" s="187">
        <f>'FX RESERVE DATA'!AN77</f>
        <v/>
      </c>
      <c r="AG109" s="187">
        <f>'FX RESERVE DATA'!AO77</f>
        <v/>
      </c>
      <c r="AH109" s="187">
        <f>'FX RESERVE DATA'!AP77</f>
        <v/>
      </c>
      <c r="AI109" s="187">
        <f>'FX RESERVE DATA'!AQ77</f>
        <v/>
      </c>
      <c r="AJ109" s="187">
        <f>'FX RESERVE DATA'!AR77</f>
        <v/>
      </c>
      <c r="AK109" s="187">
        <f>'FX RESERVE DATA'!AS77</f>
        <v/>
      </c>
      <c r="AL109" s="187">
        <f>'FX RESERVE DATA'!AT77</f>
        <v/>
      </c>
      <c r="AM109" s="187">
        <f>'FX RESERVE DATA'!AU77</f>
        <v/>
      </c>
      <c r="AN109" s="187">
        <f>'FX RESERVE DATA'!AV77</f>
        <v/>
      </c>
      <c r="AO109" s="187">
        <f>'FX RESERVE DATA'!AW77</f>
        <v/>
      </c>
      <c r="AP109" s="187">
        <f>'FX RESERVE DATA'!AX77</f>
        <v/>
      </c>
      <c r="AQ109" s="187">
        <f>'FX RESERVE DATA'!AY77</f>
        <v/>
      </c>
      <c r="AR109" s="187">
        <f>'FX RESERVE DATA'!AZ77</f>
        <v/>
      </c>
      <c r="AS109" s="187">
        <f>'FX RESERVE DATA'!BA77</f>
        <v/>
      </c>
      <c r="AT109" s="187">
        <f>'FX RESERVE DATA'!BB77</f>
        <v/>
      </c>
      <c r="AU109" s="187">
        <f>'FX RESERVE DATA'!BC77</f>
        <v/>
      </c>
      <c r="AV109" s="187">
        <f>'FX RESERVE DATA'!BD77</f>
        <v/>
      </c>
      <c r="AW109" s="187">
        <f>'FX RESERVE DATA'!BE77</f>
        <v/>
      </c>
      <c r="AX109" s="187">
        <f>'FX RESERVE DATA'!BF77</f>
        <v/>
      </c>
    </row>
    <row r="110" ht="21" customHeight="1">
      <c r="E110" s="240" t="inlineStr">
        <is>
          <t>GBP CHF</t>
        </is>
      </c>
      <c r="F110" s="187">
        <f>'FX RESERVE DATA'!N78</f>
        <v/>
      </c>
      <c r="G110" s="187">
        <f>'FX RESERVE DATA'!O78</f>
        <v/>
      </c>
      <c r="H110" s="187">
        <f>'FX RESERVE DATA'!P78</f>
        <v/>
      </c>
      <c r="I110" s="187">
        <f>'FX RESERVE DATA'!Q78</f>
        <v/>
      </c>
      <c r="J110" s="187">
        <f>'FX RESERVE DATA'!R78</f>
        <v/>
      </c>
      <c r="K110" s="187">
        <f>'FX RESERVE DATA'!S78</f>
        <v/>
      </c>
      <c r="L110" s="187">
        <f>'FX RESERVE DATA'!T78</f>
        <v/>
      </c>
      <c r="M110" s="187">
        <f>'FX RESERVE DATA'!U78</f>
        <v/>
      </c>
      <c r="N110" s="187">
        <f>'FX RESERVE DATA'!V78</f>
        <v/>
      </c>
      <c r="O110" s="187">
        <f>'FX RESERVE DATA'!W78</f>
        <v/>
      </c>
      <c r="P110" s="187">
        <f>'FX RESERVE DATA'!X78</f>
        <v/>
      </c>
      <c r="Q110" s="187">
        <f>'FX RESERVE DATA'!Y78</f>
        <v/>
      </c>
      <c r="R110" s="187">
        <f>'FX RESERVE DATA'!Z78</f>
        <v/>
      </c>
      <c r="S110" s="187">
        <f>'FX RESERVE DATA'!AA78</f>
        <v/>
      </c>
      <c r="T110" s="187">
        <f>'FX RESERVE DATA'!AB78</f>
        <v/>
      </c>
      <c r="U110" s="187">
        <f>'FX RESERVE DATA'!AC78</f>
        <v/>
      </c>
      <c r="V110" s="187">
        <f>'FX RESERVE DATA'!AD78</f>
        <v/>
      </c>
      <c r="W110" s="187">
        <f>'FX RESERVE DATA'!AE78</f>
        <v/>
      </c>
      <c r="X110" s="187">
        <f>'FX RESERVE DATA'!AF78</f>
        <v/>
      </c>
      <c r="Y110" s="187">
        <f>'FX RESERVE DATA'!AG78</f>
        <v/>
      </c>
      <c r="Z110" s="187">
        <f>'FX RESERVE DATA'!AH78</f>
        <v/>
      </c>
      <c r="AA110" s="187">
        <f>'FX RESERVE DATA'!AI78</f>
        <v/>
      </c>
      <c r="AB110" s="187">
        <f>'FX RESERVE DATA'!AJ78</f>
        <v/>
      </c>
      <c r="AC110" s="187">
        <f>'FX RESERVE DATA'!AK78</f>
        <v/>
      </c>
      <c r="AD110" s="187">
        <f>'FX RESERVE DATA'!AL78</f>
        <v/>
      </c>
      <c r="AE110" s="187">
        <f>'FX RESERVE DATA'!AM78</f>
        <v/>
      </c>
      <c r="AF110" s="187">
        <f>'FX RESERVE DATA'!AN78</f>
        <v/>
      </c>
      <c r="AG110" s="187">
        <f>'FX RESERVE DATA'!AO78</f>
        <v/>
      </c>
      <c r="AH110" s="187">
        <f>'FX RESERVE DATA'!AP78</f>
        <v/>
      </c>
      <c r="AI110" s="187">
        <f>'FX RESERVE DATA'!AQ78</f>
        <v/>
      </c>
      <c r="AJ110" s="187">
        <f>'FX RESERVE DATA'!AR78</f>
        <v/>
      </c>
      <c r="AK110" s="187">
        <f>'FX RESERVE DATA'!AS78</f>
        <v/>
      </c>
      <c r="AL110" s="187">
        <f>'FX RESERVE DATA'!AT78</f>
        <v/>
      </c>
      <c r="AM110" s="187">
        <f>'FX RESERVE DATA'!AU78</f>
        <v/>
      </c>
      <c r="AN110" s="187">
        <f>'FX RESERVE DATA'!AV78</f>
        <v/>
      </c>
      <c r="AO110" s="187">
        <f>'FX RESERVE DATA'!AW78</f>
        <v/>
      </c>
      <c r="AP110" s="187">
        <f>'FX RESERVE DATA'!AX78</f>
        <v/>
      </c>
      <c r="AQ110" s="187">
        <f>'FX RESERVE DATA'!AY78</f>
        <v/>
      </c>
      <c r="AR110" s="187">
        <f>'FX RESERVE DATA'!AZ78</f>
        <v/>
      </c>
      <c r="AS110" s="187">
        <f>'FX RESERVE DATA'!BA78</f>
        <v/>
      </c>
      <c r="AT110" s="187">
        <f>'FX RESERVE DATA'!BB78</f>
        <v/>
      </c>
      <c r="AU110" s="187">
        <f>'FX RESERVE DATA'!BC78</f>
        <v/>
      </c>
      <c r="AV110" s="187">
        <f>'FX RESERVE DATA'!BD78</f>
        <v/>
      </c>
      <c r="AW110" s="187">
        <f>'FX RESERVE DATA'!BE78</f>
        <v/>
      </c>
      <c r="AX110" s="187">
        <f>'FX RESERVE DATA'!BF78</f>
        <v/>
      </c>
    </row>
    <row r="111" ht="21" customHeight="1">
      <c r="E111" s="240" t="inlineStr">
        <is>
          <t>GBP CAD</t>
        </is>
      </c>
      <c r="F111" s="187">
        <f>'FX RESERVE DATA'!N79</f>
        <v/>
      </c>
      <c r="G111" s="187">
        <f>'FX RESERVE DATA'!O79</f>
        <v/>
      </c>
      <c r="H111" s="187">
        <f>'FX RESERVE DATA'!P79</f>
        <v/>
      </c>
      <c r="I111" s="187">
        <f>'FX RESERVE DATA'!Q79</f>
        <v/>
      </c>
      <c r="J111" s="187">
        <f>'FX RESERVE DATA'!R79</f>
        <v/>
      </c>
      <c r="K111" s="187">
        <f>'FX RESERVE DATA'!S79</f>
        <v/>
      </c>
      <c r="L111" s="187">
        <f>'FX RESERVE DATA'!T79</f>
        <v/>
      </c>
      <c r="M111" s="187">
        <f>'FX RESERVE DATA'!U79</f>
        <v/>
      </c>
      <c r="N111" s="187">
        <f>'FX RESERVE DATA'!V79</f>
        <v/>
      </c>
      <c r="O111" s="187">
        <f>'FX RESERVE DATA'!W79</f>
        <v/>
      </c>
      <c r="P111" s="187">
        <f>'FX RESERVE DATA'!X79</f>
        <v/>
      </c>
      <c r="Q111" s="187">
        <f>'FX RESERVE DATA'!Y79</f>
        <v/>
      </c>
      <c r="R111" s="187">
        <f>'FX RESERVE DATA'!Z79</f>
        <v/>
      </c>
      <c r="S111" s="187">
        <f>'FX RESERVE DATA'!AA79</f>
        <v/>
      </c>
      <c r="T111" s="187">
        <f>'FX RESERVE DATA'!AB79</f>
        <v/>
      </c>
      <c r="U111" s="187">
        <f>'FX RESERVE DATA'!AC79</f>
        <v/>
      </c>
      <c r="V111" s="187">
        <f>'FX RESERVE DATA'!AD79</f>
        <v/>
      </c>
      <c r="W111" s="187">
        <f>'FX RESERVE DATA'!AE79</f>
        <v/>
      </c>
      <c r="X111" s="187">
        <f>'FX RESERVE DATA'!AF79</f>
        <v/>
      </c>
      <c r="Y111" s="187">
        <f>'FX RESERVE DATA'!AG79</f>
        <v/>
      </c>
      <c r="Z111" s="187">
        <f>'FX RESERVE DATA'!AH79</f>
        <v/>
      </c>
      <c r="AA111" s="187">
        <f>'FX RESERVE DATA'!AI79</f>
        <v/>
      </c>
      <c r="AB111" s="187">
        <f>'FX RESERVE DATA'!AJ79</f>
        <v/>
      </c>
      <c r="AC111" s="187">
        <f>'FX RESERVE DATA'!AK79</f>
        <v/>
      </c>
      <c r="AD111" s="187">
        <f>'FX RESERVE DATA'!AL79</f>
        <v/>
      </c>
      <c r="AE111" s="187">
        <f>'FX RESERVE DATA'!AM79</f>
        <v/>
      </c>
      <c r="AF111" s="187">
        <f>'FX RESERVE DATA'!AN79</f>
        <v/>
      </c>
      <c r="AG111" s="187">
        <f>'FX RESERVE DATA'!AO79</f>
        <v/>
      </c>
      <c r="AH111" s="187">
        <f>'FX RESERVE DATA'!AP79</f>
        <v/>
      </c>
      <c r="AI111" s="187">
        <f>'FX RESERVE DATA'!AQ79</f>
        <v/>
      </c>
      <c r="AJ111" s="187">
        <f>'FX RESERVE DATA'!AR79</f>
        <v/>
      </c>
      <c r="AK111" s="187">
        <f>'FX RESERVE DATA'!AS79</f>
        <v/>
      </c>
      <c r="AL111" s="187">
        <f>'FX RESERVE DATA'!AT79</f>
        <v/>
      </c>
      <c r="AM111" s="187">
        <f>'FX RESERVE DATA'!AU79</f>
        <v/>
      </c>
      <c r="AN111" s="187">
        <f>'FX RESERVE DATA'!AV79</f>
        <v/>
      </c>
      <c r="AO111" s="187">
        <f>'FX RESERVE DATA'!AW79</f>
        <v/>
      </c>
      <c r="AP111" s="187">
        <f>'FX RESERVE DATA'!AX79</f>
        <v/>
      </c>
      <c r="AQ111" s="187">
        <f>'FX RESERVE DATA'!AY79</f>
        <v/>
      </c>
      <c r="AR111" s="187">
        <f>'FX RESERVE DATA'!AZ79</f>
        <v/>
      </c>
      <c r="AS111" s="187">
        <f>'FX RESERVE DATA'!BA79</f>
        <v/>
      </c>
      <c r="AT111" s="187">
        <f>'FX RESERVE DATA'!BB79</f>
        <v/>
      </c>
      <c r="AU111" s="187">
        <f>'FX RESERVE DATA'!BC79</f>
        <v/>
      </c>
      <c r="AV111" s="187">
        <f>'FX RESERVE DATA'!BD79</f>
        <v/>
      </c>
      <c r="AW111" s="187">
        <f>'FX RESERVE DATA'!BE79</f>
        <v/>
      </c>
      <c r="AX111" s="187">
        <f>'FX RESERVE DATA'!BF79</f>
        <v/>
      </c>
    </row>
    <row r="112" ht="21" customHeight="1">
      <c r="E112" s="240" t="inlineStr">
        <is>
          <t>GBP AUD</t>
        </is>
      </c>
      <c r="F112" s="187">
        <f>'FX RESERVE DATA'!N80</f>
        <v/>
      </c>
      <c r="G112" s="187">
        <f>'FX RESERVE DATA'!O80</f>
        <v/>
      </c>
      <c r="H112" s="187">
        <f>'FX RESERVE DATA'!P80</f>
        <v/>
      </c>
      <c r="I112" s="187">
        <f>'FX RESERVE DATA'!Q80</f>
        <v/>
      </c>
      <c r="J112" s="187">
        <f>'FX RESERVE DATA'!R80</f>
        <v/>
      </c>
      <c r="K112" s="187">
        <f>'FX RESERVE DATA'!S80</f>
        <v/>
      </c>
      <c r="L112" s="187">
        <f>'FX RESERVE DATA'!T80</f>
        <v/>
      </c>
      <c r="M112" s="187">
        <f>'FX RESERVE DATA'!U80</f>
        <v/>
      </c>
      <c r="N112" s="187">
        <f>'FX RESERVE DATA'!V80</f>
        <v/>
      </c>
      <c r="O112" s="187">
        <f>'FX RESERVE DATA'!W80</f>
        <v/>
      </c>
      <c r="P112" s="187">
        <f>'FX RESERVE DATA'!X80</f>
        <v/>
      </c>
      <c r="Q112" s="187">
        <f>'FX RESERVE DATA'!Y80</f>
        <v/>
      </c>
      <c r="R112" s="187">
        <f>'FX RESERVE DATA'!Z80</f>
        <v/>
      </c>
      <c r="S112" s="187">
        <f>'FX RESERVE DATA'!AA80</f>
        <v/>
      </c>
      <c r="T112" s="187">
        <f>'FX RESERVE DATA'!AB80</f>
        <v/>
      </c>
      <c r="U112" s="187">
        <f>'FX RESERVE DATA'!AC80</f>
        <v/>
      </c>
      <c r="V112" s="187">
        <f>'FX RESERVE DATA'!AD80</f>
        <v/>
      </c>
      <c r="W112" s="187">
        <f>'FX RESERVE DATA'!AE80</f>
        <v/>
      </c>
      <c r="X112" s="187">
        <f>'FX RESERVE DATA'!AF80</f>
        <v/>
      </c>
      <c r="Y112" s="187">
        <f>'FX RESERVE DATA'!AG80</f>
        <v/>
      </c>
      <c r="Z112" s="187">
        <f>'FX RESERVE DATA'!AH80</f>
        <v/>
      </c>
      <c r="AA112" s="187">
        <f>'FX RESERVE DATA'!AI80</f>
        <v/>
      </c>
      <c r="AB112" s="187">
        <f>'FX RESERVE DATA'!AJ80</f>
        <v/>
      </c>
      <c r="AC112" s="187">
        <f>'FX RESERVE DATA'!AK80</f>
        <v/>
      </c>
      <c r="AD112" s="187">
        <f>'FX RESERVE DATA'!AL80</f>
        <v/>
      </c>
      <c r="AE112" s="187">
        <f>'FX RESERVE DATA'!AM80</f>
        <v/>
      </c>
      <c r="AF112" s="187">
        <f>'FX RESERVE DATA'!AN80</f>
        <v/>
      </c>
      <c r="AG112" s="187">
        <f>'FX RESERVE DATA'!AO80</f>
        <v/>
      </c>
      <c r="AH112" s="187">
        <f>'FX RESERVE DATA'!AP80</f>
        <v/>
      </c>
      <c r="AI112" s="187">
        <f>'FX RESERVE DATA'!AQ80</f>
        <v/>
      </c>
      <c r="AJ112" s="187">
        <f>'FX RESERVE DATA'!AR80</f>
        <v/>
      </c>
      <c r="AK112" s="187">
        <f>'FX RESERVE DATA'!AS80</f>
        <v/>
      </c>
      <c r="AL112" s="187">
        <f>'FX RESERVE DATA'!AT80</f>
        <v/>
      </c>
      <c r="AM112" s="187">
        <f>'FX RESERVE DATA'!AU80</f>
        <v/>
      </c>
      <c r="AN112" s="187">
        <f>'FX RESERVE DATA'!AV80</f>
        <v/>
      </c>
      <c r="AO112" s="187">
        <f>'FX RESERVE DATA'!AW80</f>
        <v/>
      </c>
      <c r="AP112" s="187">
        <f>'FX RESERVE DATA'!AX80</f>
        <v/>
      </c>
      <c r="AQ112" s="187">
        <f>'FX RESERVE DATA'!AY80</f>
        <v/>
      </c>
      <c r="AR112" s="187">
        <f>'FX RESERVE DATA'!AZ80</f>
        <v/>
      </c>
      <c r="AS112" s="187">
        <f>'FX RESERVE DATA'!BA80</f>
        <v/>
      </c>
      <c r="AT112" s="187">
        <f>'FX RESERVE DATA'!BB80</f>
        <v/>
      </c>
      <c r="AU112" s="187">
        <f>'FX RESERVE DATA'!BC80</f>
        <v/>
      </c>
      <c r="AV112" s="187">
        <f>'FX RESERVE DATA'!BD80</f>
        <v/>
      </c>
      <c r="AW112" s="187">
        <f>'FX RESERVE DATA'!BE80</f>
        <v/>
      </c>
      <c r="AX112" s="187">
        <f>'FX RESERVE DATA'!BF80</f>
        <v/>
      </c>
    </row>
    <row r="113" ht="21" customHeight="1">
      <c r="E113" s="241" t="inlineStr">
        <is>
          <t>GBP NZD</t>
        </is>
      </c>
      <c r="F113" s="187">
        <f>'FX RESERVE DATA'!N81</f>
        <v/>
      </c>
      <c r="G113" s="187">
        <f>'FX RESERVE DATA'!O81</f>
        <v/>
      </c>
      <c r="H113" s="187">
        <f>'FX RESERVE DATA'!P81</f>
        <v/>
      </c>
      <c r="I113" s="187">
        <f>'FX RESERVE DATA'!Q81</f>
        <v/>
      </c>
      <c r="J113" s="187">
        <f>'FX RESERVE DATA'!R81</f>
        <v/>
      </c>
      <c r="K113" s="187">
        <f>'FX RESERVE DATA'!S81</f>
        <v/>
      </c>
      <c r="L113" s="187">
        <f>'FX RESERVE DATA'!T81</f>
        <v/>
      </c>
      <c r="M113" s="187">
        <f>'FX RESERVE DATA'!U81</f>
        <v/>
      </c>
      <c r="N113" s="187">
        <f>'FX RESERVE DATA'!V81</f>
        <v/>
      </c>
      <c r="O113" s="187">
        <f>'FX RESERVE DATA'!W81</f>
        <v/>
      </c>
      <c r="P113" s="187">
        <f>'FX RESERVE DATA'!X81</f>
        <v/>
      </c>
      <c r="Q113" s="187">
        <f>'FX RESERVE DATA'!Y81</f>
        <v/>
      </c>
      <c r="R113" s="187">
        <f>'FX RESERVE DATA'!Z81</f>
        <v/>
      </c>
      <c r="S113" s="187">
        <f>'FX RESERVE DATA'!AA81</f>
        <v/>
      </c>
      <c r="T113" s="187">
        <f>'FX RESERVE DATA'!AB81</f>
        <v/>
      </c>
      <c r="U113" s="187">
        <f>'FX RESERVE DATA'!AC81</f>
        <v/>
      </c>
      <c r="V113" s="187">
        <f>'FX RESERVE DATA'!AD81</f>
        <v/>
      </c>
      <c r="W113" s="187">
        <f>'FX RESERVE DATA'!AE81</f>
        <v/>
      </c>
      <c r="X113" s="187">
        <f>'FX RESERVE DATA'!AF81</f>
        <v/>
      </c>
      <c r="Y113" s="187">
        <f>'FX RESERVE DATA'!AG81</f>
        <v/>
      </c>
      <c r="Z113" s="187">
        <f>'FX RESERVE DATA'!AH81</f>
        <v/>
      </c>
      <c r="AA113" s="187">
        <f>'FX RESERVE DATA'!AI81</f>
        <v/>
      </c>
      <c r="AB113" s="187">
        <f>'FX RESERVE DATA'!AJ81</f>
        <v/>
      </c>
      <c r="AC113" s="187">
        <f>'FX RESERVE DATA'!AK81</f>
        <v/>
      </c>
      <c r="AD113" s="187">
        <f>'FX RESERVE DATA'!AL81</f>
        <v/>
      </c>
      <c r="AE113" s="187">
        <f>'FX RESERVE DATA'!AM81</f>
        <v/>
      </c>
      <c r="AF113" s="187">
        <f>'FX RESERVE DATA'!AN81</f>
        <v/>
      </c>
      <c r="AG113" s="187">
        <f>'FX RESERVE DATA'!AO81</f>
        <v/>
      </c>
      <c r="AH113" s="187">
        <f>'FX RESERVE DATA'!AP81</f>
        <v/>
      </c>
      <c r="AI113" s="187">
        <f>'FX RESERVE DATA'!AQ81</f>
        <v/>
      </c>
      <c r="AJ113" s="187">
        <f>'FX RESERVE DATA'!AR81</f>
        <v/>
      </c>
      <c r="AK113" s="187">
        <f>'FX RESERVE DATA'!AS81</f>
        <v/>
      </c>
      <c r="AL113" s="187">
        <f>'FX RESERVE DATA'!AT81</f>
        <v/>
      </c>
      <c r="AM113" s="187">
        <f>'FX RESERVE DATA'!AU81</f>
        <v/>
      </c>
      <c r="AN113" s="187">
        <f>'FX RESERVE DATA'!AV81</f>
        <v/>
      </c>
      <c r="AO113" s="187">
        <f>'FX RESERVE DATA'!AW81</f>
        <v/>
      </c>
      <c r="AP113" s="187">
        <f>'FX RESERVE DATA'!AX81</f>
        <v/>
      </c>
      <c r="AQ113" s="187">
        <f>'FX RESERVE DATA'!AY81</f>
        <v/>
      </c>
      <c r="AR113" s="187">
        <f>'FX RESERVE DATA'!AZ81</f>
        <v/>
      </c>
      <c r="AS113" s="187">
        <f>'FX RESERVE DATA'!BA81</f>
        <v/>
      </c>
      <c r="AT113" s="187">
        <f>'FX RESERVE DATA'!BB81</f>
        <v/>
      </c>
      <c r="AU113" s="187">
        <f>'FX RESERVE DATA'!BC81</f>
        <v/>
      </c>
      <c r="AV113" s="187">
        <f>'FX RESERVE DATA'!BD81</f>
        <v/>
      </c>
      <c r="AW113" s="187">
        <f>'FX RESERVE DATA'!BE81</f>
        <v/>
      </c>
      <c r="AX113" s="187">
        <f>'FX RESERVE DATA'!BF81</f>
        <v/>
      </c>
    </row>
    <row r="114" ht="21" customHeight="1">
      <c r="E114" s="242" t="inlineStr">
        <is>
          <t xml:space="preserve">CHF JPY </t>
        </is>
      </c>
      <c r="F114" s="187">
        <f>'FX RESERVE DATA'!N82</f>
        <v/>
      </c>
      <c r="G114" s="187">
        <f>'FX RESERVE DATA'!O82</f>
        <v/>
      </c>
      <c r="H114" s="187">
        <f>'FX RESERVE DATA'!P82</f>
        <v/>
      </c>
      <c r="I114" s="187">
        <f>'FX RESERVE DATA'!Q82</f>
        <v/>
      </c>
      <c r="J114" s="187">
        <f>'FX RESERVE DATA'!R82</f>
        <v/>
      </c>
      <c r="K114" s="187">
        <f>'FX RESERVE DATA'!S82</f>
        <v/>
      </c>
      <c r="L114" s="187">
        <f>'FX RESERVE DATA'!T82</f>
        <v/>
      </c>
      <c r="M114" s="187">
        <f>'FX RESERVE DATA'!U82</f>
        <v/>
      </c>
      <c r="N114" s="187">
        <f>'FX RESERVE DATA'!V82</f>
        <v/>
      </c>
      <c r="O114" s="187">
        <f>'FX RESERVE DATA'!W82</f>
        <v/>
      </c>
      <c r="P114" s="187">
        <f>'FX RESERVE DATA'!X82</f>
        <v/>
      </c>
      <c r="Q114" s="187">
        <f>'FX RESERVE DATA'!Y82</f>
        <v/>
      </c>
      <c r="R114" s="187">
        <f>'FX RESERVE DATA'!Z82</f>
        <v/>
      </c>
      <c r="S114" s="187">
        <f>'FX RESERVE DATA'!AA82</f>
        <v/>
      </c>
      <c r="T114" s="187">
        <f>'FX RESERVE DATA'!AB82</f>
        <v/>
      </c>
      <c r="U114" s="187">
        <f>'FX RESERVE DATA'!AC82</f>
        <v/>
      </c>
      <c r="V114" s="187">
        <f>'FX RESERVE DATA'!AD82</f>
        <v/>
      </c>
      <c r="W114" s="187">
        <f>'FX RESERVE DATA'!AE82</f>
        <v/>
      </c>
      <c r="X114" s="187">
        <f>'FX RESERVE DATA'!AF82</f>
        <v/>
      </c>
      <c r="Y114" s="187">
        <f>'FX RESERVE DATA'!AG82</f>
        <v/>
      </c>
      <c r="Z114" s="187">
        <f>'FX RESERVE DATA'!AH82</f>
        <v/>
      </c>
      <c r="AA114" s="187">
        <f>'FX RESERVE DATA'!AI82</f>
        <v/>
      </c>
      <c r="AB114" s="187">
        <f>'FX RESERVE DATA'!AJ82</f>
        <v/>
      </c>
      <c r="AC114" s="187">
        <f>'FX RESERVE DATA'!AK82</f>
        <v/>
      </c>
      <c r="AD114" s="187">
        <f>'FX RESERVE DATA'!AL82</f>
        <v/>
      </c>
      <c r="AE114" s="187">
        <f>'FX RESERVE DATA'!AM82</f>
        <v/>
      </c>
      <c r="AF114" s="187">
        <f>'FX RESERVE DATA'!AN82</f>
        <v/>
      </c>
      <c r="AG114" s="187">
        <f>'FX RESERVE DATA'!AO82</f>
        <v/>
      </c>
      <c r="AH114" s="187">
        <f>'FX RESERVE DATA'!AP82</f>
        <v/>
      </c>
      <c r="AI114" s="187">
        <f>'FX RESERVE DATA'!AQ82</f>
        <v/>
      </c>
      <c r="AJ114" s="187">
        <f>'FX RESERVE DATA'!AR82</f>
        <v/>
      </c>
      <c r="AK114" s="187">
        <f>'FX RESERVE DATA'!AS82</f>
        <v/>
      </c>
      <c r="AL114" s="187">
        <f>'FX RESERVE DATA'!AT82</f>
        <v/>
      </c>
      <c r="AM114" s="187">
        <f>'FX RESERVE DATA'!AU82</f>
        <v/>
      </c>
      <c r="AN114" s="187">
        <f>'FX RESERVE DATA'!AV82</f>
        <v/>
      </c>
      <c r="AO114" s="187">
        <f>'FX RESERVE DATA'!AW82</f>
        <v/>
      </c>
      <c r="AP114" s="187">
        <f>'FX RESERVE DATA'!AX82</f>
        <v/>
      </c>
      <c r="AQ114" s="187">
        <f>'FX RESERVE DATA'!AY82</f>
        <v/>
      </c>
      <c r="AR114" s="187">
        <f>'FX RESERVE DATA'!AZ82</f>
        <v/>
      </c>
      <c r="AS114" s="187">
        <f>'FX RESERVE DATA'!BA82</f>
        <v/>
      </c>
      <c r="AT114" s="187">
        <f>'FX RESERVE DATA'!BB82</f>
        <v/>
      </c>
      <c r="AU114" s="187">
        <f>'FX RESERVE DATA'!BC82</f>
        <v/>
      </c>
      <c r="AV114" s="187">
        <f>'FX RESERVE DATA'!BD82</f>
        <v/>
      </c>
      <c r="AW114" s="187">
        <f>'FX RESERVE DATA'!BE82</f>
        <v/>
      </c>
      <c r="AX114" s="187">
        <f>'FX RESERVE DATA'!BF82</f>
        <v/>
      </c>
    </row>
    <row r="115" ht="21" customHeight="1">
      <c r="E115" s="243" t="inlineStr">
        <is>
          <t>AUD USD</t>
        </is>
      </c>
      <c r="F115" s="187">
        <f>'FX RESERVE DATA'!N83</f>
        <v/>
      </c>
      <c r="G115" s="187">
        <f>'FX RESERVE DATA'!O83</f>
        <v/>
      </c>
      <c r="H115" s="187">
        <f>'FX RESERVE DATA'!P83</f>
        <v/>
      </c>
      <c r="I115" s="187">
        <f>'FX RESERVE DATA'!Q83</f>
        <v/>
      </c>
      <c r="J115" s="187">
        <f>'FX RESERVE DATA'!R83</f>
        <v/>
      </c>
      <c r="K115" s="187">
        <f>'FX RESERVE DATA'!S83</f>
        <v/>
      </c>
      <c r="L115" s="187">
        <f>'FX RESERVE DATA'!T83</f>
        <v/>
      </c>
      <c r="M115" s="187">
        <f>'FX RESERVE DATA'!U83</f>
        <v/>
      </c>
      <c r="N115" s="187">
        <f>'FX RESERVE DATA'!V83</f>
        <v/>
      </c>
      <c r="O115" s="187">
        <f>'FX RESERVE DATA'!W83</f>
        <v/>
      </c>
      <c r="P115" s="187">
        <f>'FX RESERVE DATA'!X83</f>
        <v/>
      </c>
      <c r="Q115" s="187">
        <f>'FX RESERVE DATA'!Y83</f>
        <v/>
      </c>
      <c r="R115" s="187">
        <f>'FX RESERVE DATA'!Z83</f>
        <v/>
      </c>
      <c r="S115" s="187">
        <f>'FX RESERVE DATA'!AA83</f>
        <v/>
      </c>
      <c r="T115" s="187">
        <f>'FX RESERVE DATA'!AB83</f>
        <v/>
      </c>
      <c r="U115" s="187">
        <f>'FX RESERVE DATA'!AC83</f>
        <v/>
      </c>
      <c r="V115" s="187">
        <f>'FX RESERVE DATA'!AD83</f>
        <v/>
      </c>
      <c r="W115" s="187">
        <f>'FX RESERVE DATA'!AE83</f>
        <v/>
      </c>
      <c r="X115" s="187">
        <f>'FX RESERVE DATA'!AF83</f>
        <v/>
      </c>
      <c r="Y115" s="187">
        <f>'FX RESERVE DATA'!AG83</f>
        <v/>
      </c>
      <c r="Z115" s="187">
        <f>'FX RESERVE DATA'!AH83</f>
        <v/>
      </c>
      <c r="AA115" s="187">
        <f>'FX RESERVE DATA'!AI83</f>
        <v/>
      </c>
      <c r="AB115" s="187">
        <f>'FX RESERVE DATA'!AJ83</f>
        <v/>
      </c>
      <c r="AC115" s="187">
        <f>'FX RESERVE DATA'!AK83</f>
        <v/>
      </c>
      <c r="AD115" s="187">
        <f>'FX RESERVE DATA'!AL83</f>
        <v/>
      </c>
      <c r="AE115" s="187">
        <f>'FX RESERVE DATA'!AM83</f>
        <v/>
      </c>
      <c r="AF115" s="187">
        <f>'FX RESERVE DATA'!AN83</f>
        <v/>
      </c>
      <c r="AG115" s="187">
        <f>'FX RESERVE DATA'!AO83</f>
        <v/>
      </c>
      <c r="AH115" s="187">
        <f>'FX RESERVE DATA'!AP83</f>
        <v/>
      </c>
      <c r="AI115" s="187">
        <f>'FX RESERVE DATA'!AQ83</f>
        <v/>
      </c>
      <c r="AJ115" s="187">
        <f>'FX RESERVE DATA'!AR83</f>
        <v/>
      </c>
      <c r="AK115" s="187">
        <f>'FX RESERVE DATA'!AS83</f>
        <v/>
      </c>
      <c r="AL115" s="187">
        <f>'FX RESERVE DATA'!AT83</f>
        <v/>
      </c>
      <c r="AM115" s="187">
        <f>'FX RESERVE DATA'!AU83</f>
        <v/>
      </c>
      <c r="AN115" s="187">
        <f>'FX RESERVE DATA'!AV83</f>
        <v/>
      </c>
      <c r="AO115" s="187">
        <f>'FX RESERVE DATA'!AW83</f>
        <v/>
      </c>
      <c r="AP115" s="187">
        <f>'FX RESERVE DATA'!AX83</f>
        <v/>
      </c>
      <c r="AQ115" s="187">
        <f>'FX RESERVE DATA'!AY83</f>
        <v/>
      </c>
      <c r="AR115" s="187">
        <f>'FX RESERVE DATA'!AZ83</f>
        <v/>
      </c>
      <c r="AS115" s="187">
        <f>'FX RESERVE DATA'!BA83</f>
        <v/>
      </c>
      <c r="AT115" s="187">
        <f>'FX RESERVE DATA'!BB83</f>
        <v/>
      </c>
      <c r="AU115" s="187">
        <f>'FX RESERVE DATA'!BC83</f>
        <v/>
      </c>
      <c r="AV115" s="187">
        <f>'FX RESERVE DATA'!BD83</f>
        <v/>
      </c>
      <c r="AW115" s="187">
        <f>'FX RESERVE DATA'!BE83</f>
        <v/>
      </c>
      <c r="AX115" s="187">
        <f>'FX RESERVE DATA'!BF83</f>
        <v/>
      </c>
    </row>
    <row r="116" ht="21" customHeight="1">
      <c r="E116" s="243" t="inlineStr">
        <is>
          <t>AUD CHF</t>
        </is>
      </c>
      <c r="F116" s="187">
        <f>'FX RESERVE DATA'!N84</f>
        <v/>
      </c>
      <c r="G116" s="187">
        <f>'FX RESERVE DATA'!O84</f>
        <v/>
      </c>
      <c r="H116" s="187">
        <f>'FX RESERVE DATA'!P84</f>
        <v/>
      </c>
      <c r="I116" s="187">
        <f>'FX RESERVE DATA'!Q84</f>
        <v/>
      </c>
      <c r="J116" s="187">
        <f>'FX RESERVE DATA'!R84</f>
        <v/>
      </c>
      <c r="K116" s="187">
        <f>'FX RESERVE DATA'!S84</f>
        <v/>
      </c>
      <c r="L116" s="187">
        <f>'FX RESERVE DATA'!T84</f>
        <v/>
      </c>
      <c r="M116" s="187">
        <f>'FX RESERVE DATA'!U84</f>
        <v/>
      </c>
      <c r="N116" s="187">
        <f>'FX RESERVE DATA'!V84</f>
        <v/>
      </c>
      <c r="O116" s="187">
        <f>'FX RESERVE DATA'!W84</f>
        <v/>
      </c>
      <c r="P116" s="187">
        <f>'FX RESERVE DATA'!X84</f>
        <v/>
      </c>
      <c r="Q116" s="187">
        <f>'FX RESERVE DATA'!Y84</f>
        <v/>
      </c>
      <c r="R116" s="187">
        <f>'FX RESERVE DATA'!Z84</f>
        <v/>
      </c>
      <c r="S116" s="187">
        <f>'FX RESERVE DATA'!AA84</f>
        <v/>
      </c>
      <c r="T116" s="187">
        <f>'FX RESERVE DATA'!AB84</f>
        <v/>
      </c>
      <c r="U116" s="187">
        <f>'FX RESERVE DATA'!AC84</f>
        <v/>
      </c>
      <c r="V116" s="187">
        <f>'FX RESERVE DATA'!AD84</f>
        <v/>
      </c>
      <c r="W116" s="187">
        <f>'FX RESERVE DATA'!AE84</f>
        <v/>
      </c>
      <c r="X116" s="187">
        <f>'FX RESERVE DATA'!AF84</f>
        <v/>
      </c>
      <c r="Y116" s="187">
        <f>'FX RESERVE DATA'!AG84</f>
        <v/>
      </c>
      <c r="Z116" s="187">
        <f>'FX RESERVE DATA'!AH84</f>
        <v/>
      </c>
      <c r="AA116" s="187">
        <f>'FX RESERVE DATA'!AI84</f>
        <v/>
      </c>
      <c r="AB116" s="187">
        <f>'FX RESERVE DATA'!AJ84</f>
        <v/>
      </c>
      <c r="AC116" s="187">
        <f>'FX RESERVE DATA'!AK84</f>
        <v/>
      </c>
      <c r="AD116" s="187">
        <f>'FX RESERVE DATA'!AL84</f>
        <v/>
      </c>
      <c r="AE116" s="187">
        <f>'FX RESERVE DATA'!AM84</f>
        <v/>
      </c>
      <c r="AF116" s="187">
        <f>'FX RESERVE DATA'!AN84</f>
        <v/>
      </c>
      <c r="AG116" s="187">
        <f>'FX RESERVE DATA'!AO84</f>
        <v/>
      </c>
      <c r="AH116" s="187">
        <f>'FX RESERVE DATA'!AP84</f>
        <v/>
      </c>
      <c r="AI116" s="187">
        <f>'FX RESERVE DATA'!AQ84</f>
        <v/>
      </c>
      <c r="AJ116" s="187">
        <f>'FX RESERVE DATA'!AR84</f>
        <v/>
      </c>
      <c r="AK116" s="187">
        <f>'FX RESERVE DATA'!AS84</f>
        <v/>
      </c>
      <c r="AL116" s="187">
        <f>'FX RESERVE DATA'!AT84</f>
        <v/>
      </c>
      <c r="AM116" s="187">
        <f>'FX RESERVE DATA'!AU84</f>
        <v/>
      </c>
      <c r="AN116" s="187">
        <f>'FX RESERVE DATA'!AV84</f>
        <v/>
      </c>
      <c r="AO116" s="187">
        <f>'FX RESERVE DATA'!AW84</f>
        <v/>
      </c>
      <c r="AP116" s="187">
        <f>'FX RESERVE DATA'!AX84</f>
        <v/>
      </c>
      <c r="AQ116" s="187">
        <f>'FX RESERVE DATA'!AY84</f>
        <v/>
      </c>
      <c r="AR116" s="187">
        <f>'FX RESERVE DATA'!AZ84</f>
        <v/>
      </c>
      <c r="AS116" s="187">
        <f>'FX RESERVE DATA'!BA84</f>
        <v/>
      </c>
      <c r="AT116" s="187">
        <f>'FX RESERVE DATA'!BB84</f>
        <v/>
      </c>
      <c r="AU116" s="187">
        <f>'FX RESERVE DATA'!BC84</f>
        <v/>
      </c>
      <c r="AV116" s="187">
        <f>'FX RESERVE DATA'!BD84</f>
        <v/>
      </c>
      <c r="AW116" s="187">
        <f>'FX RESERVE DATA'!BE84</f>
        <v/>
      </c>
      <c r="AX116" s="187">
        <f>'FX RESERVE DATA'!BF84</f>
        <v/>
      </c>
    </row>
    <row r="117" ht="21" customHeight="1">
      <c r="E117" s="243" t="inlineStr">
        <is>
          <t>AUD JPY</t>
        </is>
      </c>
      <c r="F117" s="187">
        <f>'FX RESERVE DATA'!N85</f>
        <v/>
      </c>
      <c r="G117" s="187">
        <f>'FX RESERVE DATA'!O85</f>
        <v/>
      </c>
      <c r="H117" s="187">
        <f>'FX RESERVE DATA'!P85</f>
        <v/>
      </c>
      <c r="I117" s="187">
        <f>'FX RESERVE DATA'!Q85</f>
        <v/>
      </c>
      <c r="J117" s="187">
        <f>'FX RESERVE DATA'!R85</f>
        <v/>
      </c>
      <c r="K117" s="187">
        <f>'FX RESERVE DATA'!S85</f>
        <v/>
      </c>
      <c r="L117" s="187">
        <f>'FX RESERVE DATA'!T85</f>
        <v/>
      </c>
      <c r="M117" s="187">
        <f>'FX RESERVE DATA'!U85</f>
        <v/>
      </c>
      <c r="N117" s="187">
        <f>'FX RESERVE DATA'!V85</f>
        <v/>
      </c>
      <c r="O117" s="187">
        <f>'FX RESERVE DATA'!W85</f>
        <v/>
      </c>
      <c r="P117" s="187">
        <f>'FX RESERVE DATA'!X85</f>
        <v/>
      </c>
      <c r="Q117" s="187">
        <f>'FX RESERVE DATA'!Y85</f>
        <v/>
      </c>
      <c r="R117" s="187">
        <f>'FX RESERVE DATA'!Z85</f>
        <v/>
      </c>
      <c r="S117" s="187">
        <f>'FX RESERVE DATA'!AA85</f>
        <v/>
      </c>
      <c r="T117" s="187">
        <f>'FX RESERVE DATA'!AB85</f>
        <v/>
      </c>
      <c r="U117" s="187">
        <f>'FX RESERVE DATA'!AC85</f>
        <v/>
      </c>
      <c r="V117" s="187">
        <f>'FX RESERVE DATA'!AD85</f>
        <v/>
      </c>
      <c r="W117" s="187">
        <f>'FX RESERVE DATA'!AE85</f>
        <v/>
      </c>
      <c r="X117" s="187">
        <f>'FX RESERVE DATA'!AF85</f>
        <v/>
      </c>
      <c r="Y117" s="187">
        <f>'FX RESERVE DATA'!AG85</f>
        <v/>
      </c>
      <c r="Z117" s="187">
        <f>'FX RESERVE DATA'!AH85</f>
        <v/>
      </c>
      <c r="AA117" s="187">
        <f>'FX RESERVE DATA'!AI85</f>
        <v/>
      </c>
      <c r="AB117" s="187">
        <f>'FX RESERVE DATA'!AJ85</f>
        <v/>
      </c>
      <c r="AC117" s="187">
        <f>'FX RESERVE DATA'!AK85</f>
        <v/>
      </c>
      <c r="AD117" s="187">
        <f>'FX RESERVE DATA'!AL85</f>
        <v/>
      </c>
      <c r="AE117" s="187">
        <f>'FX RESERVE DATA'!AM85</f>
        <v/>
      </c>
      <c r="AF117" s="187">
        <f>'FX RESERVE DATA'!AN85</f>
        <v/>
      </c>
      <c r="AG117" s="187">
        <f>'FX RESERVE DATA'!AO85</f>
        <v/>
      </c>
      <c r="AH117" s="187">
        <f>'FX RESERVE DATA'!AP85</f>
        <v/>
      </c>
      <c r="AI117" s="187">
        <f>'FX RESERVE DATA'!AQ85</f>
        <v/>
      </c>
      <c r="AJ117" s="187">
        <f>'FX RESERVE DATA'!AR85</f>
        <v/>
      </c>
      <c r="AK117" s="187">
        <f>'FX RESERVE DATA'!AS85</f>
        <v/>
      </c>
      <c r="AL117" s="187">
        <f>'FX RESERVE DATA'!AT85</f>
        <v/>
      </c>
      <c r="AM117" s="187">
        <f>'FX RESERVE DATA'!AU85</f>
        <v/>
      </c>
      <c r="AN117" s="187">
        <f>'FX RESERVE DATA'!AV85</f>
        <v/>
      </c>
      <c r="AO117" s="187">
        <f>'FX RESERVE DATA'!AW85</f>
        <v/>
      </c>
      <c r="AP117" s="187">
        <f>'FX RESERVE DATA'!AX85</f>
        <v/>
      </c>
      <c r="AQ117" s="187">
        <f>'FX RESERVE DATA'!AY85</f>
        <v/>
      </c>
      <c r="AR117" s="187">
        <f>'FX RESERVE DATA'!AZ85</f>
        <v/>
      </c>
      <c r="AS117" s="187">
        <f>'FX RESERVE DATA'!BA85</f>
        <v/>
      </c>
      <c r="AT117" s="187">
        <f>'FX RESERVE DATA'!BB85</f>
        <v/>
      </c>
      <c r="AU117" s="187">
        <f>'FX RESERVE DATA'!BC85</f>
        <v/>
      </c>
      <c r="AV117" s="187">
        <f>'FX RESERVE DATA'!BD85</f>
        <v/>
      </c>
      <c r="AW117" s="187">
        <f>'FX RESERVE DATA'!BE85</f>
        <v/>
      </c>
      <c r="AX117" s="187">
        <f>'FX RESERVE DATA'!BF85</f>
        <v/>
      </c>
    </row>
    <row r="118" ht="21" customHeight="1">
      <c r="E118" s="244" t="inlineStr">
        <is>
          <t>AUD NZD</t>
        </is>
      </c>
      <c r="F118" s="187">
        <f>'FX RESERVE DATA'!N86</f>
        <v/>
      </c>
      <c r="G118" s="187">
        <f>'FX RESERVE DATA'!O86</f>
        <v/>
      </c>
      <c r="H118" s="187">
        <f>'FX RESERVE DATA'!P86</f>
        <v/>
      </c>
      <c r="I118" s="187">
        <f>'FX RESERVE DATA'!Q86</f>
        <v/>
      </c>
      <c r="J118" s="187">
        <f>'FX RESERVE DATA'!R86</f>
        <v/>
      </c>
      <c r="K118" s="187">
        <f>'FX RESERVE DATA'!S86</f>
        <v/>
      </c>
      <c r="L118" s="187">
        <f>'FX RESERVE DATA'!T86</f>
        <v/>
      </c>
      <c r="M118" s="187">
        <f>'FX RESERVE DATA'!U86</f>
        <v/>
      </c>
      <c r="N118" s="187">
        <f>'FX RESERVE DATA'!V86</f>
        <v/>
      </c>
      <c r="O118" s="187">
        <f>'FX RESERVE DATA'!W86</f>
        <v/>
      </c>
      <c r="P118" s="187">
        <f>'FX RESERVE DATA'!X86</f>
        <v/>
      </c>
      <c r="Q118" s="187">
        <f>'FX RESERVE DATA'!Y86</f>
        <v/>
      </c>
      <c r="R118" s="187">
        <f>'FX RESERVE DATA'!Z86</f>
        <v/>
      </c>
      <c r="S118" s="187">
        <f>'FX RESERVE DATA'!AA86</f>
        <v/>
      </c>
      <c r="T118" s="187">
        <f>'FX RESERVE DATA'!AB86</f>
        <v/>
      </c>
      <c r="U118" s="187">
        <f>'FX RESERVE DATA'!AC86</f>
        <v/>
      </c>
      <c r="V118" s="187">
        <f>'FX RESERVE DATA'!AD86</f>
        <v/>
      </c>
      <c r="W118" s="187">
        <f>'FX RESERVE DATA'!AE86</f>
        <v/>
      </c>
      <c r="X118" s="187">
        <f>'FX RESERVE DATA'!AF86</f>
        <v/>
      </c>
      <c r="Y118" s="187">
        <f>'FX RESERVE DATA'!AG86</f>
        <v/>
      </c>
      <c r="Z118" s="187">
        <f>'FX RESERVE DATA'!AH86</f>
        <v/>
      </c>
      <c r="AA118" s="187">
        <f>'FX RESERVE DATA'!AI86</f>
        <v/>
      </c>
      <c r="AB118" s="187">
        <f>'FX RESERVE DATA'!AJ86</f>
        <v/>
      </c>
      <c r="AC118" s="187">
        <f>'FX RESERVE DATA'!AK86</f>
        <v/>
      </c>
      <c r="AD118" s="187">
        <f>'FX RESERVE DATA'!AL86</f>
        <v/>
      </c>
      <c r="AE118" s="187">
        <f>'FX RESERVE DATA'!AM86</f>
        <v/>
      </c>
      <c r="AF118" s="187">
        <f>'FX RESERVE DATA'!AN86</f>
        <v/>
      </c>
      <c r="AG118" s="187">
        <f>'FX RESERVE DATA'!AO86</f>
        <v/>
      </c>
      <c r="AH118" s="187">
        <f>'FX RESERVE DATA'!AP86</f>
        <v/>
      </c>
      <c r="AI118" s="187">
        <f>'FX RESERVE DATA'!AQ86</f>
        <v/>
      </c>
      <c r="AJ118" s="187">
        <f>'FX RESERVE DATA'!AR86</f>
        <v/>
      </c>
      <c r="AK118" s="187">
        <f>'FX RESERVE DATA'!AS86</f>
        <v/>
      </c>
      <c r="AL118" s="187">
        <f>'FX RESERVE DATA'!AT86</f>
        <v/>
      </c>
      <c r="AM118" s="187">
        <f>'FX RESERVE DATA'!AU86</f>
        <v/>
      </c>
      <c r="AN118" s="187">
        <f>'FX RESERVE DATA'!AV86</f>
        <v/>
      </c>
      <c r="AO118" s="187">
        <f>'FX RESERVE DATA'!AW86</f>
        <v/>
      </c>
      <c r="AP118" s="187">
        <f>'FX RESERVE DATA'!AX86</f>
        <v/>
      </c>
      <c r="AQ118" s="187">
        <f>'FX RESERVE DATA'!AY86</f>
        <v/>
      </c>
      <c r="AR118" s="187">
        <f>'FX RESERVE DATA'!AZ86</f>
        <v/>
      </c>
      <c r="AS118" s="187">
        <f>'FX RESERVE DATA'!BA86</f>
        <v/>
      </c>
      <c r="AT118" s="187">
        <f>'FX RESERVE DATA'!BB86</f>
        <v/>
      </c>
      <c r="AU118" s="187">
        <f>'FX RESERVE DATA'!BC86</f>
        <v/>
      </c>
      <c r="AV118" s="187">
        <f>'FX RESERVE DATA'!BD86</f>
        <v/>
      </c>
      <c r="AW118" s="187">
        <f>'FX RESERVE DATA'!BE86</f>
        <v/>
      </c>
      <c r="AX118" s="187">
        <f>'FX RESERVE DATA'!BF86</f>
        <v/>
      </c>
    </row>
    <row r="119" ht="21" customHeight="1">
      <c r="E119" s="244" t="inlineStr">
        <is>
          <t>AUD CAD</t>
        </is>
      </c>
      <c r="F119" s="187">
        <f>'FX RESERVE DATA'!N87</f>
        <v/>
      </c>
      <c r="G119" s="187">
        <f>'FX RESERVE DATA'!O87</f>
        <v/>
      </c>
      <c r="H119" s="187">
        <f>'FX RESERVE DATA'!P87</f>
        <v/>
      </c>
      <c r="I119" s="187">
        <f>'FX RESERVE DATA'!Q87</f>
        <v/>
      </c>
      <c r="J119" s="187">
        <f>'FX RESERVE DATA'!R87</f>
        <v/>
      </c>
      <c r="K119" s="187">
        <f>'FX RESERVE DATA'!S87</f>
        <v/>
      </c>
      <c r="L119" s="187">
        <f>'FX RESERVE DATA'!T87</f>
        <v/>
      </c>
      <c r="M119" s="187">
        <f>'FX RESERVE DATA'!U87</f>
        <v/>
      </c>
      <c r="N119" s="187">
        <f>'FX RESERVE DATA'!V87</f>
        <v/>
      </c>
      <c r="O119" s="187">
        <f>'FX RESERVE DATA'!W87</f>
        <v/>
      </c>
      <c r="P119" s="187">
        <f>'FX RESERVE DATA'!X87</f>
        <v/>
      </c>
      <c r="Q119" s="187">
        <f>'FX RESERVE DATA'!Y87</f>
        <v/>
      </c>
      <c r="R119" s="187">
        <f>'FX RESERVE DATA'!Z87</f>
        <v/>
      </c>
      <c r="S119" s="187">
        <f>'FX RESERVE DATA'!AA87</f>
        <v/>
      </c>
      <c r="T119" s="187">
        <f>'FX RESERVE DATA'!AB87</f>
        <v/>
      </c>
      <c r="U119" s="187">
        <f>'FX RESERVE DATA'!AC87</f>
        <v/>
      </c>
      <c r="V119" s="187">
        <f>'FX RESERVE DATA'!AD87</f>
        <v/>
      </c>
      <c r="W119" s="187">
        <f>'FX RESERVE DATA'!AE87</f>
        <v/>
      </c>
      <c r="X119" s="187">
        <f>'FX RESERVE DATA'!AF87</f>
        <v/>
      </c>
      <c r="Y119" s="187">
        <f>'FX RESERVE DATA'!AG87</f>
        <v/>
      </c>
      <c r="Z119" s="187">
        <f>'FX RESERVE DATA'!AH87</f>
        <v/>
      </c>
      <c r="AA119" s="187">
        <f>'FX RESERVE DATA'!AI87</f>
        <v/>
      </c>
      <c r="AB119" s="187">
        <f>'FX RESERVE DATA'!AJ87</f>
        <v/>
      </c>
      <c r="AC119" s="187">
        <f>'FX RESERVE DATA'!AK87</f>
        <v/>
      </c>
      <c r="AD119" s="187">
        <f>'FX RESERVE DATA'!AL87</f>
        <v/>
      </c>
      <c r="AE119" s="187">
        <f>'FX RESERVE DATA'!AM87</f>
        <v/>
      </c>
      <c r="AF119" s="187">
        <f>'FX RESERVE DATA'!AN87</f>
        <v/>
      </c>
      <c r="AG119" s="187">
        <f>'FX RESERVE DATA'!AO87</f>
        <v/>
      </c>
      <c r="AH119" s="187">
        <f>'FX RESERVE DATA'!AP87</f>
        <v/>
      </c>
      <c r="AI119" s="187">
        <f>'FX RESERVE DATA'!AQ87</f>
        <v/>
      </c>
      <c r="AJ119" s="187">
        <f>'FX RESERVE DATA'!AR87</f>
        <v/>
      </c>
      <c r="AK119" s="187">
        <f>'FX RESERVE DATA'!AS87</f>
        <v/>
      </c>
      <c r="AL119" s="187">
        <f>'FX RESERVE DATA'!AT87</f>
        <v/>
      </c>
      <c r="AM119" s="187">
        <f>'FX RESERVE DATA'!AU87</f>
        <v/>
      </c>
      <c r="AN119" s="187">
        <f>'FX RESERVE DATA'!AV87</f>
        <v/>
      </c>
      <c r="AO119" s="187">
        <f>'FX RESERVE DATA'!AW87</f>
        <v/>
      </c>
      <c r="AP119" s="187">
        <f>'FX RESERVE DATA'!AX87</f>
        <v/>
      </c>
      <c r="AQ119" s="187">
        <f>'FX RESERVE DATA'!AY87</f>
        <v/>
      </c>
      <c r="AR119" s="187">
        <f>'FX RESERVE DATA'!AZ87</f>
        <v/>
      </c>
      <c r="AS119" s="187">
        <f>'FX RESERVE DATA'!BA87</f>
        <v/>
      </c>
      <c r="AT119" s="187">
        <f>'FX RESERVE DATA'!BB87</f>
        <v/>
      </c>
      <c r="AU119" s="187">
        <f>'FX RESERVE DATA'!BC87</f>
        <v/>
      </c>
      <c r="AV119" s="187">
        <f>'FX RESERVE DATA'!BD87</f>
        <v/>
      </c>
      <c r="AW119" s="187">
        <f>'FX RESERVE DATA'!BE87</f>
        <v/>
      </c>
      <c r="AX119" s="187">
        <f>'FX RESERVE DATA'!BF87</f>
        <v/>
      </c>
    </row>
    <row r="120" ht="21" customHeight="1">
      <c r="E120" s="245" t="inlineStr">
        <is>
          <t>CAD JPY</t>
        </is>
      </c>
      <c r="F120" s="187">
        <f>'FX RESERVE DATA'!N88</f>
        <v/>
      </c>
      <c r="G120" s="187">
        <f>'FX RESERVE DATA'!O88</f>
        <v/>
      </c>
      <c r="H120" s="187">
        <f>'FX RESERVE DATA'!P88</f>
        <v/>
      </c>
      <c r="I120" s="187">
        <f>'FX RESERVE DATA'!Q88</f>
        <v/>
      </c>
      <c r="J120" s="187">
        <f>'FX RESERVE DATA'!R88</f>
        <v/>
      </c>
      <c r="K120" s="187">
        <f>'FX RESERVE DATA'!S88</f>
        <v/>
      </c>
      <c r="L120" s="187">
        <f>'FX RESERVE DATA'!T88</f>
        <v/>
      </c>
      <c r="M120" s="187">
        <f>'FX RESERVE DATA'!U88</f>
        <v/>
      </c>
      <c r="N120" s="187">
        <f>'FX RESERVE DATA'!V88</f>
        <v/>
      </c>
      <c r="O120" s="187">
        <f>'FX RESERVE DATA'!W88</f>
        <v/>
      </c>
      <c r="P120" s="187">
        <f>'FX RESERVE DATA'!X88</f>
        <v/>
      </c>
      <c r="Q120" s="187">
        <f>'FX RESERVE DATA'!Y88</f>
        <v/>
      </c>
      <c r="R120" s="187">
        <f>'FX RESERVE DATA'!Z88</f>
        <v/>
      </c>
      <c r="S120" s="187">
        <f>'FX RESERVE DATA'!AA88</f>
        <v/>
      </c>
      <c r="T120" s="187">
        <f>'FX RESERVE DATA'!AB88</f>
        <v/>
      </c>
      <c r="U120" s="187">
        <f>'FX RESERVE DATA'!AC88</f>
        <v/>
      </c>
      <c r="V120" s="187">
        <f>'FX RESERVE DATA'!AD88</f>
        <v/>
      </c>
      <c r="W120" s="187">
        <f>'FX RESERVE DATA'!AE88</f>
        <v/>
      </c>
      <c r="X120" s="187">
        <f>'FX RESERVE DATA'!AF88</f>
        <v/>
      </c>
      <c r="Y120" s="187">
        <f>'FX RESERVE DATA'!AG88</f>
        <v/>
      </c>
      <c r="Z120" s="187">
        <f>'FX RESERVE DATA'!AH88</f>
        <v/>
      </c>
      <c r="AA120" s="187">
        <f>'FX RESERVE DATA'!AI88</f>
        <v/>
      </c>
      <c r="AB120" s="187">
        <f>'FX RESERVE DATA'!AJ88</f>
        <v/>
      </c>
      <c r="AC120" s="187">
        <f>'FX RESERVE DATA'!AK88</f>
        <v/>
      </c>
      <c r="AD120" s="187">
        <f>'FX RESERVE DATA'!AL88</f>
        <v/>
      </c>
      <c r="AE120" s="187">
        <f>'FX RESERVE DATA'!AM88</f>
        <v/>
      </c>
      <c r="AF120" s="187">
        <f>'FX RESERVE DATA'!AN88</f>
        <v/>
      </c>
      <c r="AG120" s="187">
        <f>'FX RESERVE DATA'!AO88</f>
        <v/>
      </c>
      <c r="AH120" s="187">
        <f>'FX RESERVE DATA'!AP88</f>
        <v/>
      </c>
      <c r="AI120" s="187">
        <f>'FX RESERVE DATA'!AQ88</f>
        <v/>
      </c>
      <c r="AJ120" s="187">
        <f>'FX RESERVE DATA'!AR88</f>
        <v/>
      </c>
      <c r="AK120" s="187">
        <f>'FX RESERVE DATA'!AS88</f>
        <v/>
      </c>
      <c r="AL120" s="187">
        <f>'FX RESERVE DATA'!AT88</f>
        <v/>
      </c>
      <c r="AM120" s="187">
        <f>'FX RESERVE DATA'!AU88</f>
        <v/>
      </c>
      <c r="AN120" s="187">
        <f>'FX RESERVE DATA'!AV88</f>
        <v/>
      </c>
      <c r="AO120" s="187">
        <f>'FX RESERVE DATA'!AW88</f>
        <v/>
      </c>
      <c r="AP120" s="187">
        <f>'FX RESERVE DATA'!AX88</f>
        <v/>
      </c>
      <c r="AQ120" s="187">
        <f>'FX RESERVE DATA'!AY88</f>
        <v/>
      </c>
      <c r="AR120" s="187">
        <f>'FX RESERVE DATA'!AZ88</f>
        <v/>
      </c>
      <c r="AS120" s="187">
        <f>'FX RESERVE DATA'!BA88</f>
        <v/>
      </c>
      <c r="AT120" s="187">
        <f>'FX RESERVE DATA'!BB88</f>
        <v/>
      </c>
      <c r="AU120" s="187">
        <f>'FX RESERVE DATA'!BC88</f>
        <v/>
      </c>
      <c r="AV120" s="187">
        <f>'FX RESERVE DATA'!BD88</f>
        <v/>
      </c>
      <c r="AW120" s="187">
        <f>'FX RESERVE DATA'!BE88</f>
        <v/>
      </c>
      <c r="AX120" s="187">
        <f>'FX RESERVE DATA'!BF88</f>
        <v/>
      </c>
    </row>
    <row r="121"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</row>
    <row r="122">
      <c r="E122" s="247" t="inlineStr">
        <is>
          <t>Interest rate</t>
        </is>
      </c>
      <c r="F122" s="249" t="n">
        <v>44927</v>
      </c>
      <c r="G122" s="208" t="n">
        <v>44958</v>
      </c>
      <c r="H122" s="208" t="n">
        <v>44986</v>
      </c>
      <c r="I122" s="249" t="n">
        <v>45017</v>
      </c>
      <c r="J122" s="208" t="n">
        <v>45047</v>
      </c>
      <c r="K122" s="208" t="n">
        <v>45078</v>
      </c>
      <c r="L122" s="249" t="n">
        <v>45108</v>
      </c>
      <c r="M122" s="208" t="n">
        <v>45139</v>
      </c>
      <c r="N122" s="208" t="n">
        <v>45170</v>
      </c>
      <c r="O122" s="249" t="n">
        <v>45200</v>
      </c>
      <c r="P122" s="208" t="n">
        <v>45231</v>
      </c>
      <c r="Q122" s="208" t="n">
        <v>45261</v>
      </c>
      <c r="R122" s="249" t="n">
        <v>45292</v>
      </c>
      <c r="S122" s="208" t="n">
        <v>45323</v>
      </c>
      <c r="T122" s="208" t="n">
        <v>45352</v>
      </c>
      <c r="U122" s="249" t="n">
        <v>45383</v>
      </c>
      <c r="V122" s="208" t="n">
        <v>45413</v>
      </c>
      <c r="W122" s="208" t="n">
        <v>45444</v>
      </c>
      <c r="X122" s="249" t="n">
        <v>45474</v>
      </c>
      <c r="Y122" s="208" t="n">
        <v>45505</v>
      </c>
      <c r="Z122" s="208" t="n">
        <v>45536</v>
      </c>
      <c r="AA122" s="249" t="n">
        <v>45566</v>
      </c>
      <c r="AB122" s="208" t="n">
        <v>45597</v>
      </c>
      <c r="AC122" s="208" t="n">
        <v>45627</v>
      </c>
      <c r="AD122" s="249" t="n">
        <v>45658</v>
      </c>
      <c r="AE122" s="208" t="n">
        <v>45689</v>
      </c>
      <c r="AF122" s="208" t="n">
        <v>45717</v>
      </c>
      <c r="AG122" s="208" t="n">
        <v>45748</v>
      </c>
      <c r="AH122" s="208" t="n">
        <v>45778</v>
      </c>
      <c r="AI122" s="208" t="n">
        <v>45809</v>
      </c>
      <c r="AJ122" s="208" t="n">
        <v>45839</v>
      </c>
      <c r="AK122" s="208" t="n">
        <v>45870</v>
      </c>
      <c r="AL122" s="208" t="n">
        <v>45901</v>
      </c>
      <c r="AM122" s="208" t="n">
        <v>45931</v>
      </c>
      <c r="AN122" s="208" t="n">
        <v>45962</v>
      </c>
      <c r="AO122" s="208" t="n">
        <v>45992</v>
      </c>
      <c r="AP122" s="208" t="n">
        <v>46023</v>
      </c>
      <c r="AQ122" s="208" t="n">
        <v>46054</v>
      </c>
      <c r="AR122" s="208" t="n">
        <v>46082</v>
      </c>
      <c r="AS122" s="208" t="n">
        <v>46113</v>
      </c>
      <c r="AT122" s="208" t="n">
        <v>46143</v>
      </c>
      <c r="AU122" s="208" t="n">
        <v>46174</v>
      </c>
      <c r="AV122" s="208" t="n">
        <v>46204</v>
      </c>
      <c r="AW122" s="208" t="n">
        <v>46235</v>
      </c>
      <c r="AX122" s="208" t="n">
        <v>46266</v>
      </c>
    </row>
    <row r="123" ht="21" customHeight="1">
      <c r="E123" s="236" t="inlineStr">
        <is>
          <t>USD JPY</t>
        </is>
      </c>
      <c r="F123" s="187">
        <f>'Interest Rates data'!C45</f>
        <v/>
      </c>
      <c r="G123" s="187">
        <f>'Interest Rates data'!D45</f>
        <v/>
      </c>
      <c r="H123" s="187">
        <f>'Interest Rates data'!E45</f>
        <v/>
      </c>
      <c r="I123" s="187">
        <f>'Interest Rates data'!F45</f>
        <v/>
      </c>
      <c r="J123" s="187">
        <f>'Interest Rates data'!G45</f>
        <v/>
      </c>
      <c r="K123" s="187">
        <f>'Interest Rates data'!H45</f>
        <v/>
      </c>
      <c r="L123" s="187">
        <f>'Interest Rates data'!I45</f>
        <v/>
      </c>
      <c r="M123" s="187">
        <f>'Interest Rates data'!J45</f>
        <v/>
      </c>
      <c r="N123" s="187">
        <f>'Interest Rates data'!K45</f>
        <v/>
      </c>
      <c r="O123" s="187">
        <f>'Interest Rates data'!L45</f>
        <v/>
      </c>
      <c r="P123" s="187">
        <f>'Interest Rates data'!M45</f>
        <v/>
      </c>
      <c r="Q123" s="187">
        <f>'Interest Rates data'!N45</f>
        <v/>
      </c>
      <c r="R123" s="187">
        <f>'Interest Rates data'!O45</f>
        <v/>
      </c>
      <c r="S123" s="187">
        <f>'Interest Rates data'!P45</f>
        <v/>
      </c>
      <c r="T123" s="187">
        <f>'Interest Rates data'!Q45</f>
        <v/>
      </c>
      <c r="U123" s="187">
        <f>'Interest Rates data'!R45</f>
        <v/>
      </c>
      <c r="V123" s="187">
        <f>'Interest Rates data'!S45</f>
        <v/>
      </c>
      <c r="W123" s="187">
        <f>'Interest Rates data'!T45</f>
        <v/>
      </c>
      <c r="X123" s="187">
        <f>'Interest Rates data'!U45</f>
        <v/>
      </c>
      <c r="Y123" s="187">
        <f>'Interest Rates data'!V45</f>
        <v/>
      </c>
      <c r="Z123" s="187">
        <f>'Interest Rates data'!W45</f>
        <v/>
      </c>
      <c r="AA123" s="187">
        <f>'Interest Rates data'!X45</f>
        <v/>
      </c>
      <c r="AB123" s="187">
        <f>'Interest Rates data'!Y45</f>
        <v/>
      </c>
      <c r="AC123" s="187">
        <f>'Interest Rates data'!Z45</f>
        <v/>
      </c>
      <c r="AD123" s="187">
        <f>'Interest Rates data'!AA45</f>
        <v/>
      </c>
      <c r="AE123" s="187">
        <f>'Interest Rates data'!AB45</f>
        <v/>
      </c>
      <c r="AF123" s="187">
        <f>'Interest Rates data'!AC45</f>
        <v/>
      </c>
      <c r="AG123" s="187">
        <f>'Interest Rates data'!AD45</f>
        <v/>
      </c>
      <c r="AH123" s="187">
        <f>'Interest Rates data'!AE45</f>
        <v/>
      </c>
      <c r="AI123" s="187">
        <f>'Interest Rates data'!AF45</f>
        <v/>
      </c>
      <c r="AJ123" s="187">
        <f>'Interest Rates data'!AG45</f>
        <v/>
      </c>
      <c r="AK123" s="187">
        <f>'Interest Rates data'!AH45</f>
        <v/>
      </c>
      <c r="AL123" s="187">
        <f>'Interest Rates data'!AI45</f>
        <v/>
      </c>
      <c r="AM123" s="187">
        <f>'Interest Rates data'!AJ45</f>
        <v/>
      </c>
      <c r="AN123" s="187">
        <f>'Interest Rates data'!AK45</f>
        <v/>
      </c>
      <c r="AO123" s="187">
        <f>'Interest Rates data'!AL45</f>
        <v/>
      </c>
      <c r="AP123" s="187">
        <f>'Interest Rates data'!AM45</f>
        <v/>
      </c>
      <c r="AQ123" s="187">
        <f>'Interest Rates data'!AN45</f>
        <v/>
      </c>
      <c r="AR123" s="187">
        <f>'Interest Rates data'!AO45</f>
        <v/>
      </c>
      <c r="AS123" s="187">
        <f>'Interest Rates data'!AP45</f>
        <v/>
      </c>
      <c r="AT123" s="187">
        <f>'Interest Rates data'!AQ45</f>
        <v/>
      </c>
      <c r="AU123" s="187">
        <f>'Interest Rates data'!AR45</f>
        <v/>
      </c>
      <c r="AV123" s="187">
        <f>'Interest Rates data'!AS45</f>
        <v/>
      </c>
      <c r="AW123" s="187">
        <f>'Interest Rates data'!AT45</f>
        <v/>
      </c>
      <c r="AX123" s="187">
        <f>'Interest Rates data'!AU45</f>
        <v/>
      </c>
    </row>
    <row r="124" ht="21" customHeight="1">
      <c r="E124" s="237" t="inlineStr">
        <is>
          <t>USD CHF</t>
        </is>
      </c>
      <c r="F124" s="187">
        <f>'Interest Rates data'!C46</f>
        <v/>
      </c>
      <c r="G124" s="187">
        <f>'Interest Rates data'!D46</f>
        <v/>
      </c>
      <c r="H124" s="187">
        <f>'Interest Rates data'!E46</f>
        <v/>
      </c>
      <c r="I124" s="187">
        <f>'Interest Rates data'!F46</f>
        <v/>
      </c>
      <c r="J124" s="187">
        <f>'Interest Rates data'!G46</f>
        <v/>
      </c>
      <c r="K124" s="187">
        <f>'Interest Rates data'!H46</f>
        <v/>
      </c>
      <c r="L124" s="187">
        <f>'Interest Rates data'!I46</f>
        <v/>
      </c>
      <c r="M124" s="187">
        <f>'Interest Rates data'!J46</f>
        <v/>
      </c>
      <c r="N124" s="187">
        <f>'Interest Rates data'!K46</f>
        <v/>
      </c>
      <c r="O124" s="187">
        <f>'Interest Rates data'!L46</f>
        <v/>
      </c>
      <c r="P124" s="187">
        <f>'Interest Rates data'!M46</f>
        <v/>
      </c>
      <c r="Q124" s="187">
        <f>'Interest Rates data'!N46</f>
        <v/>
      </c>
      <c r="R124" s="187">
        <f>'Interest Rates data'!O46</f>
        <v/>
      </c>
      <c r="S124" s="187">
        <f>'Interest Rates data'!P46</f>
        <v/>
      </c>
      <c r="T124" s="187">
        <f>'Interest Rates data'!Q46</f>
        <v/>
      </c>
      <c r="U124" s="187">
        <f>'Interest Rates data'!R46</f>
        <v/>
      </c>
      <c r="V124" s="187">
        <f>'Interest Rates data'!S46</f>
        <v/>
      </c>
      <c r="W124" s="187">
        <f>'Interest Rates data'!T46</f>
        <v/>
      </c>
      <c r="X124" s="187">
        <f>'Interest Rates data'!U46</f>
        <v/>
      </c>
      <c r="Y124" s="187">
        <f>'Interest Rates data'!V46</f>
        <v/>
      </c>
      <c r="Z124" s="187">
        <f>'Interest Rates data'!W46</f>
        <v/>
      </c>
      <c r="AA124" s="187">
        <f>'Interest Rates data'!X46</f>
        <v/>
      </c>
      <c r="AB124" s="187">
        <f>'Interest Rates data'!Y46</f>
        <v/>
      </c>
      <c r="AC124" s="187">
        <f>'Interest Rates data'!Z46</f>
        <v/>
      </c>
      <c r="AD124" s="187">
        <f>'Interest Rates data'!AA46</f>
        <v/>
      </c>
      <c r="AE124" s="187">
        <f>'Interest Rates data'!AB46</f>
        <v/>
      </c>
      <c r="AF124" s="187">
        <f>'Interest Rates data'!AC46</f>
        <v/>
      </c>
      <c r="AG124" s="187">
        <f>'Interest Rates data'!AD46</f>
        <v/>
      </c>
      <c r="AH124" s="187">
        <f>'Interest Rates data'!AE46</f>
        <v/>
      </c>
      <c r="AI124" s="187">
        <f>'Interest Rates data'!AF46</f>
        <v/>
      </c>
      <c r="AJ124" s="187">
        <f>'Interest Rates data'!AG46</f>
        <v/>
      </c>
      <c r="AK124" s="187">
        <f>'Interest Rates data'!AH46</f>
        <v/>
      </c>
      <c r="AL124" s="187">
        <f>'Interest Rates data'!AI46</f>
        <v/>
      </c>
      <c r="AM124" s="187">
        <f>'Interest Rates data'!AJ46</f>
        <v/>
      </c>
      <c r="AN124" s="187">
        <f>'Interest Rates data'!AK46</f>
        <v/>
      </c>
      <c r="AO124" s="187">
        <f>'Interest Rates data'!AL46</f>
        <v/>
      </c>
      <c r="AP124" s="187">
        <f>'Interest Rates data'!AM46</f>
        <v/>
      </c>
      <c r="AQ124" s="187">
        <f>'Interest Rates data'!AN46</f>
        <v/>
      </c>
      <c r="AR124" s="187">
        <f>'Interest Rates data'!AO46</f>
        <v/>
      </c>
      <c r="AS124" s="187">
        <f>'Interest Rates data'!AP46</f>
        <v/>
      </c>
      <c r="AT124" s="187">
        <f>'Interest Rates data'!AQ46</f>
        <v/>
      </c>
      <c r="AU124" s="187">
        <f>'Interest Rates data'!AR46</f>
        <v/>
      </c>
      <c r="AV124" s="187">
        <f>'Interest Rates data'!AS46</f>
        <v/>
      </c>
      <c r="AW124" s="187">
        <f>'Interest Rates data'!AT46</f>
        <v/>
      </c>
      <c r="AX124" s="187">
        <f>'Interest Rates data'!AU46</f>
        <v/>
      </c>
    </row>
    <row r="125" ht="21" customHeight="1">
      <c r="E125" s="237" t="inlineStr">
        <is>
          <t>USD CAD</t>
        </is>
      </c>
      <c r="F125" s="187">
        <f>'Interest Rates data'!C47</f>
        <v/>
      </c>
      <c r="G125" s="187">
        <f>'Interest Rates data'!D47</f>
        <v/>
      </c>
      <c r="H125" s="187">
        <f>'Interest Rates data'!E47</f>
        <v/>
      </c>
      <c r="I125" s="187">
        <f>'Interest Rates data'!F47</f>
        <v/>
      </c>
      <c r="J125" s="187">
        <f>'Interest Rates data'!G47</f>
        <v/>
      </c>
      <c r="K125" s="187">
        <f>'Interest Rates data'!H47</f>
        <v/>
      </c>
      <c r="L125" s="187">
        <f>'Interest Rates data'!I47</f>
        <v/>
      </c>
      <c r="M125" s="187">
        <f>'Interest Rates data'!J47</f>
        <v/>
      </c>
      <c r="N125" s="187">
        <f>'Interest Rates data'!K47</f>
        <v/>
      </c>
      <c r="O125" s="187">
        <f>'Interest Rates data'!L47</f>
        <v/>
      </c>
      <c r="P125" s="187">
        <f>'Interest Rates data'!M47</f>
        <v/>
      </c>
      <c r="Q125" s="187">
        <f>'Interest Rates data'!N47</f>
        <v/>
      </c>
      <c r="R125" s="187">
        <f>'Interest Rates data'!O47</f>
        <v/>
      </c>
      <c r="S125" s="187">
        <f>'Interest Rates data'!P47</f>
        <v/>
      </c>
      <c r="T125" s="187">
        <f>'Interest Rates data'!Q47</f>
        <v/>
      </c>
      <c r="U125" s="187">
        <f>'Interest Rates data'!R47</f>
        <v/>
      </c>
      <c r="V125" s="187">
        <f>'Interest Rates data'!S47</f>
        <v/>
      </c>
      <c r="W125" s="187">
        <f>'Interest Rates data'!T47</f>
        <v/>
      </c>
      <c r="X125" s="187">
        <f>'Interest Rates data'!U47</f>
        <v/>
      </c>
      <c r="Y125" s="187">
        <f>'Interest Rates data'!V47</f>
        <v/>
      </c>
      <c r="Z125" s="187">
        <f>'Interest Rates data'!W47</f>
        <v/>
      </c>
      <c r="AA125" s="187">
        <f>'Interest Rates data'!X47</f>
        <v/>
      </c>
      <c r="AB125" s="187">
        <f>'Interest Rates data'!Y47</f>
        <v/>
      </c>
      <c r="AC125" s="187">
        <f>'Interest Rates data'!Z47</f>
        <v/>
      </c>
      <c r="AD125" s="187">
        <f>'Interest Rates data'!AA47</f>
        <v/>
      </c>
      <c r="AE125" s="187">
        <f>'Interest Rates data'!AB47</f>
        <v/>
      </c>
      <c r="AF125" s="187">
        <f>'Interest Rates data'!AC47</f>
        <v/>
      </c>
      <c r="AG125" s="187">
        <f>'Interest Rates data'!AD47</f>
        <v/>
      </c>
      <c r="AH125" s="187">
        <f>'Interest Rates data'!AE47</f>
        <v/>
      </c>
      <c r="AI125" s="187">
        <f>'Interest Rates data'!AF47</f>
        <v/>
      </c>
      <c r="AJ125" s="187">
        <f>'Interest Rates data'!AG47</f>
        <v/>
      </c>
      <c r="AK125" s="187">
        <f>'Interest Rates data'!AH47</f>
        <v/>
      </c>
      <c r="AL125" s="187">
        <f>'Interest Rates data'!AI47</f>
        <v/>
      </c>
      <c r="AM125" s="187">
        <f>'Interest Rates data'!AJ47</f>
        <v/>
      </c>
      <c r="AN125" s="187">
        <f>'Interest Rates data'!AK47</f>
        <v/>
      </c>
      <c r="AO125" s="187">
        <f>'Interest Rates data'!AL47</f>
        <v/>
      </c>
      <c r="AP125" s="187">
        <f>'Interest Rates data'!AM47</f>
        <v/>
      </c>
      <c r="AQ125" s="187">
        <f>'Interest Rates data'!AN47</f>
        <v/>
      </c>
      <c r="AR125" s="187">
        <f>'Interest Rates data'!AO47</f>
        <v/>
      </c>
      <c r="AS125" s="187">
        <f>'Interest Rates data'!AP47</f>
        <v/>
      </c>
      <c r="AT125" s="187">
        <f>'Interest Rates data'!AQ47</f>
        <v/>
      </c>
      <c r="AU125" s="187">
        <f>'Interest Rates data'!AR47</f>
        <v/>
      </c>
      <c r="AV125" s="187">
        <f>'Interest Rates data'!AS47</f>
        <v/>
      </c>
      <c r="AW125" s="187">
        <f>'Interest Rates data'!AT47</f>
        <v/>
      </c>
      <c r="AX125" s="187">
        <f>'Interest Rates data'!AU47</f>
        <v/>
      </c>
    </row>
    <row r="126" ht="21" customHeight="1">
      <c r="E126" s="238" t="inlineStr">
        <is>
          <t>EUR USD</t>
        </is>
      </c>
      <c r="F126" s="187">
        <f>'Interest Rates data'!C48</f>
        <v/>
      </c>
      <c r="G126" s="187">
        <f>'Interest Rates data'!D48</f>
        <v/>
      </c>
      <c r="H126" s="187">
        <f>'Interest Rates data'!E48</f>
        <v/>
      </c>
      <c r="I126" s="187">
        <f>'Interest Rates data'!F48</f>
        <v/>
      </c>
      <c r="J126" s="187">
        <f>'Interest Rates data'!G48</f>
        <v/>
      </c>
      <c r="K126" s="187">
        <f>'Interest Rates data'!H48</f>
        <v/>
      </c>
      <c r="L126" s="187">
        <f>'Interest Rates data'!I48</f>
        <v/>
      </c>
      <c r="M126" s="187">
        <f>'Interest Rates data'!J48</f>
        <v/>
      </c>
      <c r="N126" s="187">
        <f>'Interest Rates data'!K48</f>
        <v/>
      </c>
      <c r="O126" s="187">
        <f>'Interest Rates data'!L48</f>
        <v/>
      </c>
      <c r="P126" s="187">
        <f>'Interest Rates data'!M48</f>
        <v/>
      </c>
      <c r="Q126" s="187">
        <f>'Interest Rates data'!N48</f>
        <v/>
      </c>
      <c r="R126" s="187">
        <f>'Interest Rates data'!O48</f>
        <v/>
      </c>
      <c r="S126" s="187">
        <f>'Interest Rates data'!P48</f>
        <v/>
      </c>
      <c r="T126" s="187">
        <f>'Interest Rates data'!Q48</f>
        <v/>
      </c>
      <c r="U126" s="187">
        <f>'Interest Rates data'!R48</f>
        <v/>
      </c>
      <c r="V126" s="187">
        <f>'Interest Rates data'!S48</f>
        <v/>
      </c>
      <c r="W126" s="187">
        <f>'Interest Rates data'!T48</f>
        <v/>
      </c>
      <c r="X126" s="187">
        <f>'Interest Rates data'!U48</f>
        <v/>
      </c>
      <c r="Y126" s="187">
        <f>'Interest Rates data'!V48</f>
        <v/>
      </c>
      <c r="Z126" s="187">
        <f>'Interest Rates data'!W48</f>
        <v/>
      </c>
      <c r="AA126" s="187">
        <f>'Interest Rates data'!X48</f>
        <v/>
      </c>
      <c r="AB126" s="187">
        <f>'Interest Rates data'!Y48</f>
        <v/>
      </c>
      <c r="AC126" s="187">
        <f>'Interest Rates data'!Z48</f>
        <v/>
      </c>
      <c r="AD126" s="187">
        <f>'Interest Rates data'!AA48</f>
        <v/>
      </c>
      <c r="AE126" s="187">
        <f>'Interest Rates data'!AB48</f>
        <v/>
      </c>
      <c r="AF126" s="187">
        <f>'Interest Rates data'!AC48</f>
        <v/>
      </c>
      <c r="AG126" s="187">
        <f>'Interest Rates data'!AD48</f>
        <v/>
      </c>
      <c r="AH126" s="187">
        <f>'Interest Rates data'!AE48</f>
        <v/>
      </c>
      <c r="AI126" s="187">
        <f>'Interest Rates data'!AF48</f>
        <v/>
      </c>
      <c r="AJ126" s="187">
        <f>'Interest Rates data'!AG48</f>
        <v/>
      </c>
      <c r="AK126" s="187">
        <f>'Interest Rates data'!AH48</f>
        <v/>
      </c>
      <c r="AL126" s="187">
        <f>'Interest Rates data'!AI48</f>
        <v/>
      </c>
      <c r="AM126" s="187">
        <f>'Interest Rates data'!AJ48</f>
        <v/>
      </c>
      <c r="AN126" s="187">
        <f>'Interest Rates data'!AK48</f>
        <v/>
      </c>
      <c r="AO126" s="187">
        <f>'Interest Rates data'!AL48</f>
        <v/>
      </c>
      <c r="AP126" s="187">
        <f>'Interest Rates data'!AM48</f>
        <v/>
      </c>
      <c r="AQ126" s="187">
        <f>'Interest Rates data'!AN48</f>
        <v/>
      </c>
      <c r="AR126" s="187">
        <f>'Interest Rates data'!AO48</f>
        <v/>
      </c>
      <c r="AS126" s="187">
        <f>'Interest Rates data'!AP48</f>
        <v/>
      </c>
      <c r="AT126" s="187">
        <f>'Interest Rates data'!AQ48</f>
        <v/>
      </c>
      <c r="AU126" s="187">
        <f>'Interest Rates data'!AR48</f>
        <v/>
      </c>
      <c r="AV126" s="187">
        <f>'Interest Rates data'!AS48</f>
        <v/>
      </c>
      <c r="AW126" s="187">
        <f>'Interest Rates data'!AT48</f>
        <v/>
      </c>
      <c r="AX126" s="187">
        <f>'Interest Rates data'!AU48</f>
        <v/>
      </c>
    </row>
    <row r="127" ht="21" customHeight="1">
      <c r="E127" s="238" t="inlineStr">
        <is>
          <t>EUR JPY</t>
        </is>
      </c>
      <c r="F127" s="187">
        <f>'Interest Rates data'!C49</f>
        <v/>
      </c>
      <c r="G127" s="187">
        <f>'Interest Rates data'!D49</f>
        <v/>
      </c>
      <c r="H127" s="187">
        <f>'Interest Rates data'!E49</f>
        <v/>
      </c>
      <c r="I127" s="187">
        <f>'Interest Rates data'!F49</f>
        <v/>
      </c>
      <c r="J127" s="187">
        <f>'Interest Rates data'!G49</f>
        <v/>
      </c>
      <c r="K127" s="187">
        <f>'Interest Rates data'!H49</f>
        <v/>
      </c>
      <c r="L127" s="187">
        <f>'Interest Rates data'!I49</f>
        <v/>
      </c>
      <c r="M127" s="187">
        <f>'Interest Rates data'!J49</f>
        <v/>
      </c>
      <c r="N127" s="187">
        <f>'Interest Rates data'!K49</f>
        <v/>
      </c>
      <c r="O127" s="187">
        <f>'Interest Rates data'!L49</f>
        <v/>
      </c>
      <c r="P127" s="187">
        <f>'Interest Rates data'!M49</f>
        <v/>
      </c>
      <c r="Q127" s="187">
        <f>'Interest Rates data'!N49</f>
        <v/>
      </c>
      <c r="R127" s="187">
        <f>'Interest Rates data'!O49</f>
        <v/>
      </c>
      <c r="S127" s="187">
        <f>'Interest Rates data'!P49</f>
        <v/>
      </c>
      <c r="T127" s="187">
        <f>'Interest Rates data'!Q49</f>
        <v/>
      </c>
      <c r="U127" s="187">
        <f>'Interest Rates data'!R49</f>
        <v/>
      </c>
      <c r="V127" s="187">
        <f>'Interest Rates data'!S49</f>
        <v/>
      </c>
      <c r="W127" s="187">
        <f>'Interest Rates data'!T49</f>
        <v/>
      </c>
      <c r="X127" s="187">
        <f>'Interest Rates data'!U49</f>
        <v/>
      </c>
      <c r="Y127" s="187">
        <f>'Interest Rates data'!V49</f>
        <v/>
      </c>
      <c r="Z127" s="187">
        <f>'Interest Rates data'!W49</f>
        <v/>
      </c>
      <c r="AA127" s="187">
        <f>'Interest Rates data'!X49</f>
        <v/>
      </c>
      <c r="AB127" s="187">
        <f>'Interest Rates data'!Y49</f>
        <v/>
      </c>
      <c r="AC127" s="187">
        <f>'Interest Rates data'!Z49</f>
        <v/>
      </c>
      <c r="AD127" s="187">
        <f>'Interest Rates data'!AA49</f>
        <v/>
      </c>
      <c r="AE127" s="187">
        <f>'Interest Rates data'!AB49</f>
        <v/>
      </c>
      <c r="AF127" s="187">
        <f>'Interest Rates data'!AC49</f>
        <v/>
      </c>
      <c r="AG127" s="187">
        <f>'Interest Rates data'!AD49</f>
        <v/>
      </c>
      <c r="AH127" s="187">
        <f>'Interest Rates data'!AE49</f>
        <v/>
      </c>
      <c r="AI127" s="187">
        <f>'Interest Rates data'!AF49</f>
        <v/>
      </c>
      <c r="AJ127" s="187">
        <f>'Interest Rates data'!AG49</f>
        <v/>
      </c>
      <c r="AK127" s="187">
        <f>'Interest Rates data'!AH49</f>
        <v/>
      </c>
      <c r="AL127" s="187">
        <f>'Interest Rates data'!AI49</f>
        <v/>
      </c>
      <c r="AM127" s="187">
        <f>'Interest Rates data'!AJ49</f>
        <v/>
      </c>
      <c r="AN127" s="187">
        <f>'Interest Rates data'!AK49</f>
        <v/>
      </c>
      <c r="AO127" s="187">
        <f>'Interest Rates data'!AL49</f>
        <v/>
      </c>
      <c r="AP127" s="187">
        <f>'Interest Rates data'!AM49</f>
        <v/>
      </c>
      <c r="AQ127" s="187">
        <f>'Interest Rates data'!AN49</f>
        <v/>
      </c>
      <c r="AR127" s="187">
        <f>'Interest Rates data'!AO49</f>
        <v/>
      </c>
      <c r="AS127" s="187">
        <f>'Interest Rates data'!AP49</f>
        <v/>
      </c>
      <c r="AT127" s="187">
        <f>'Interest Rates data'!AQ49</f>
        <v/>
      </c>
      <c r="AU127" s="187">
        <f>'Interest Rates data'!AR49</f>
        <v/>
      </c>
      <c r="AV127" s="187">
        <f>'Interest Rates data'!AS49</f>
        <v/>
      </c>
      <c r="AW127" s="187">
        <f>'Interest Rates data'!AT49</f>
        <v/>
      </c>
      <c r="AX127" s="187">
        <f>'Interest Rates data'!AU49</f>
        <v/>
      </c>
    </row>
    <row r="128" ht="21" customHeight="1">
      <c r="E128" s="238" t="inlineStr">
        <is>
          <t>EUR CHF</t>
        </is>
      </c>
      <c r="F128" s="187">
        <f>'Interest Rates data'!C50</f>
        <v/>
      </c>
      <c r="G128" s="187">
        <f>'Interest Rates data'!D50</f>
        <v/>
      </c>
      <c r="H128" s="187">
        <f>'Interest Rates data'!E50</f>
        <v/>
      </c>
      <c r="I128" s="187">
        <f>'Interest Rates data'!F50</f>
        <v/>
      </c>
      <c r="J128" s="187">
        <f>'Interest Rates data'!G50</f>
        <v/>
      </c>
      <c r="K128" s="187">
        <f>'Interest Rates data'!H50</f>
        <v/>
      </c>
      <c r="L128" s="187">
        <f>'Interest Rates data'!I50</f>
        <v/>
      </c>
      <c r="M128" s="187">
        <f>'Interest Rates data'!J50</f>
        <v/>
      </c>
      <c r="N128" s="187">
        <f>'Interest Rates data'!K50</f>
        <v/>
      </c>
      <c r="O128" s="187">
        <f>'Interest Rates data'!L50</f>
        <v/>
      </c>
      <c r="P128" s="187">
        <f>'Interest Rates data'!M50</f>
        <v/>
      </c>
      <c r="Q128" s="187">
        <f>'Interest Rates data'!N50</f>
        <v/>
      </c>
      <c r="R128" s="187">
        <f>'Interest Rates data'!O50</f>
        <v/>
      </c>
      <c r="S128" s="187">
        <f>'Interest Rates data'!P50</f>
        <v/>
      </c>
      <c r="T128" s="187">
        <f>'Interest Rates data'!Q50</f>
        <v/>
      </c>
      <c r="U128" s="187">
        <f>'Interest Rates data'!R50</f>
        <v/>
      </c>
      <c r="V128" s="187">
        <f>'Interest Rates data'!S50</f>
        <v/>
      </c>
      <c r="W128" s="187">
        <f>'Interest Rates data'!T50</f>
        <v/>
      </c>
      <c r="X128" s="187">
        <f>'Interest Rates data'!U50</f>
        <v/>
      </c>
      <c r="Y128" s="187">
        <f>'Interest Rates data'!V50</f>
        <v/>
      </c>
      <c r="Z128" s="187">
        <f>'Interest Rates data'!W50</f>
        <v/>
      </c>
      <c r="AA128" s="187">
        <f>'Interest Rates data'!X50</f>
        <v/>
      </c>
      <c r="AB128" s="187">
        <f>'Interest Rates data'!Y50</f>
        <v/>
      </c>
      <c r="AC128" s="187">
        <f>'Interest Rates data'!Z50</f>
        <v/>
      </c>
      <c r="AD128" s="187">
        <f>'Interest Rates data'!AA50</f>
        <v/>
      </c>
      <c r="AE128" s="187">
        <f>'Interest Rates data'!AB50</f>
        <v/>
      </c>
      <c r="AF128" s="187">
        <f>'Interest Rates data'!AC50</f>
        <v/>
      </c>
      <c r="AG128" s="187">
        <f>'Interest Rates data'!AD50</f>
        <v/>
      </c>
      <c r="AH128" s="187">
        <f>'Interest Rates data'!AE50</f>
        <v/>
      </c>
      <c r="AI128" s="187">
        <f>'Interest Rates data'!AF50</f>
        <v/>
      </c>
      <c r="AJ128" s="187">
        <f>'Interest Rates data'!AG50</f>
        <v/>
      </c>
      <c r="AK128" s="187">
        <f>'Interest Rates data'!AH50</f>
        <v/>
      </c>
      <c r="AL128" s="187">
        <f>'Interest Rates data'!AI50</f>
        <v/>
      </c>
      <c r="AM128" s="187">
        <f>'Interest Rates data'!AJ50</f>
        <v/>
      </c>
      <c r="AN128" s="187">
        <f>'Interest Rates data'!AK50</f>
        <v/>
      </c>
      <c r="AO128" s="187">
        <f>'Interest Rates data'!AL50</f>
        <v/>
      </c>
      <c r="AP128" s="187">
        <f>'Interest Rates data'!AM50</f>
        <v/>
      </c>
      <c r="AQ128" s="187">
        <f>'Interest Rates data'!AN50</f>
        <v/>
      </c>
      <c r="AR128" s="187">
        <f>'Interest Rates data'!AO50</f>
        <v/>
      </c>
      <c r="AS128" s="187">
        <f>'Interest Rates data'!AP50</f>
        <v/>
      </c>
      <c r="AT128" s="187">
        <f>'Interest Rates data'!AQ50</f>
        <v/>
      </c>
      <c r="AU128" s="187">
        <f>'Interest Rates data'!AR50</f>
        <v/>
      </c>
      <c r="AV128" s="187">
        <f>'Interest Rates data'!AS50</f>
        <v/>
      </c>
      <c r="AW128" s="187">
        <f>'Interest Rates data'!AT50</f>
        <v/>
      </c>
      <c r="AX128" s="187">
        <f>'Interest Rates data'!AU50</f>
        <v/>
      </c>
    </row>
    <row r="129" ht="21" customHeight="1">
      <c r="E129" s="238" t="inlineStr">
        <is>
          <t>EUR GBP</t>
        </is>
      </c>
      <c r="F129" s="187">
        <f>'Interest Rates data'!C51</f>
        <v/>
      </c>
      <c r="G129" s="187">
        <f>'Interest Rates data'!D51</f>
        <v/>
      </c>
      <c r="H129" s="187">
        <f>'Interest Rates data'!E51</f>
        <v/>
      </c>
      <c r="I129" s="187">
        <f>'Interest Rates data'!F51</f>
        <v/>
      </c>
      <c r="J129" s="187">
        <f>'Interest Rates data'!G51</f>
        <v/>
      </c>
      <c r="K129" s="187">
        <f>'Interest Rates data'!H51</f>
        <v/>
      </c>
      <c r="L129" s="187">
        <f>'Interest Rates data'!I51</f>
        <v/>
      </c>
      <c r="M129" s="187">
        <f>'Interest Rates data'!J51</f>
        <v/>
      </c>
      <c r="N129" s="187">
        <f>'Interest Rates data'!K51</f>
        <v/>
      </c>
      <c r="O129" s="187">
        <f>'Interest Rates data'!L51</f>
        <v/>
      </c>
      <c r="P129" s="187">
        <f>'Interest Rates data'!M51</f>
        <v/>
      </c>
      <c r="Q129" s="187">
        <f>'Interest Rates data'!N51</f>
        <v/>
      </c>
      <c r="R129" s="187">
        <f>'Interest Rates data'!O51</f>
        <v/>
      </c>
      <c r="S129" s="187">
        <f>'Interest Rates data'!P51</f>
        <v/>
      </c>
      <c r="T129" s="187">
        <f>'Interest Rates data'!Q51</f>
        <v/>
      </c>
      <c r="U129" s="187">
        <f>'Interest Rates data'!R51</f>
        <v/>
      </c>
      <c r="V129" s="187">
        <f>'Interest Rates data'!S51</f>
        <v/>
      </c>
      <c r="W129" s="187">
        <f>'Interest Rates data'!T51</f>
        <v/>
      </c>
      <c r="X129" s="187">
        <f>'Interest Rates data'!U51</f>
        <v/>
      </c>
      <c r="Y129" s="187">
        <f>'Interest Rates data'!V51</f>
        <v/>
      </c>
      <c r="Z129" s="187">
        <f>'Interest Rates data'!W51</f>
        <v/>
      </c>
      <c r="AA129" s="187">
        <f>'Interest Rates data'!X51</f>
        <v/>
      </c>
      <c r="AB129" s="187">
        <f>'Interest Rates data'!Y51</f>
        <v/>
      </c>
      <c r="AC129" s="187">
        <f>'Interest Rates data'!Z51</f>
        <v/>
      </c>
      <c r="AD129" s="187">
        <f>'Interest Rates data'!AA51</f>
        <v/>
      </c>
      <c r="AE129" s="187">
        <f>'Interest Rates data'!AB51</f>
        <v/>
      </c>
      <c r="AF129" s="187">
        <f>'Interest Rates data'!AC51</f>
        <v/>
      </c>
      <c r="AG129" s="187">
        <f>'Interest Rates data'!AD51</f>
        <v/>
      </c>
      <c r="AH129" s="187">
        <f>'Interest Rates data'!AE51</f>
        <v/>
      </c>
      <c r="AI129" s="187">
        <f>'Interest Rates data'!AF51</f>
        <v/>
      </c>
      <c r="AJ129" s="187">
        <f>'Interest Rates data'!AG51</f>
        <v/>
      </c>
      <c r="AK129" s="187">
        <f>'Interest Rates data'!AH51</f>
        <v/>
      </c>
      <c r="AL129" s="187">
        <f>'Interest Rates data'!AI51</f>
        <v/>
      </c>
      <c r="AM129" s="187">
        <f>'Interest Rates data'!AJ51</f>
        <v/>
      </c>
      <c r="AN129" s="187">
        <f>'Interest Rates data'!AK51</f>
        <v/>
      </c>
      <c r="AO129" s="187">
        <f>'Interest Rates data'!AL51</f>
        <v/>
      </c>
      <c r="AP129" s="187">
        <f>'Interest Rates data'!AM51</f>
        <v/>
      </c>
      <c r="AQ129" s="187">
        <f>'Interest Rates data'!AN51</f>
        <v/>
      </c>
      <c r="AR129" s="187">
        <f>'Interest Rates data'!AO51</f>
        <v/>
      </c>
      <c r="AS129" s="187">
        <f>'Interest Rates data'!AP51</f>
        <v/>
      </c>
      <c r="AT129" s="187">
        <f>'Interest Rates data'!AQ51</f>
        <v/>
      </c>
      <c r="AU129" s="187">
        <f>'Interest Rates data'!AR51</f>
        <v/>
      </c>
      <c r="AV129" s="187">
        <f>'Interest Rates data'!AS51</f>
        <v/>
      </c>
      <c r="AW129" s="187">
        <f>'Interest Rates data'!AT51</f>
        <v/>
      </c>
      <c r="AX129" s="187">
        <f>'Interest Rates data'!AU51</f>
        <v/>
      </c>
    </row>
    <row r="130" ht="21" customHeight="1">
      <c r="E130" s="239" t="inlineStr">
        <is>
          <t>EUR CAD</t>
        </is>
      </c>
      <c r="F130" s="187">
        <f>'Interest Rates data'!C52</f>
        <v/>
      </c>
      <c r="G130" s="187">
        <f>'Interest Rates data'!D52</f>
        <v/>
      </c>
      <c r="H130" s="187">
        <f>'Interest Rates data'!E52</f>
        <v/>
      </c>
      <c r="I130" s="187">
        <f>'Interest Rates data'!F52</f>
        <v/>
      </c>
      <c r="J130" s="187">
        <f>'Interest Rates data'!G52</f>
        <v/>
      </c>
      <c r="K130" s="187">
        <f>'Interest Rates data'!H52</f>
        <v/>
      </c>
      <c r="L130" s="187">
        <f>'Interest Rates data'!I52</f>
        <v/>
      </c>
      <c r="M130" s="187">
        <f>'Interest Rates data'!J52</f>
        <v/>
      </c>
      <c r="N130" s="187">
        <f>'Interest Rates data'!K52</f>
        <v/>
      </c>
      <c r="O130" s="187">
        <f>'Interest Rates data'!L52</f>
        <v/>
      </c>
      <c r="P130" s="187">
        <f>'Interest Rates data'!M52</f>
        <v/>
      </c>
      <c r="Q130" s="187">
        <f>'Interest Rates data'!N52</f>
        <v/>
      </c>
      <c r="R130" s="187">
        <f>'Interest Rates data'!O52</f>
        <v/>
      </c>
      <c r="S130" s="187">
        <f>'Interest Rates data'!P52</f>
        <v/>
      </c>
      <c r="T130" s="187">
        <f>'Interest Rates data'!Q52</f>
        <v/>
      </c>
      <c r="U130" s="187">
        <f>'Interest Rates data'!R52</f>
        <v/>
      </c>
      <c r="V130" s="187">
        <f>'Interest Rates data'!S52</f>
        <v/>
      </c>
      <c r="W130" s="187">
        <f>'Interest Rates data'!T52</f>
        <v/>
      </c>
      <c r="X130" s="187">
        <f>'Interest Rates data'!U52</f>
        <v/>
      </c>
      <c r="Y130" s="187">
        <f>'Interest Rates data'!V52</f>
        <v/>
      </c>
      <c r="Z130" s="187">
        <f>'Interest Rates data'!W52</f>
        <v/>
      </c>
      <c r="AA130" s="187">
        <f>'Interest Rates data'!X52</f>
        <v/>
      </c>
      <c r="AB130" s="187">
        <f>'Interest Rates data'!Y52</f>
        <v/>
      </c>
      <c r="AC130" s="187">
        <f>'Interest Rates data'!Z52</f>
        <v/>
      </c>
      <c r="AD130" s="187">
        <f>'Interest Rates data'!AA52</f>
        <v/>
      </c>
      <c r="AE130" s="187">
        <f>'Interest Rates data'!AB52</f>
        <v/>
      </c>
      <c r="AF130" s="187">
        <f>'Interest Rates data'!AC52</f>
        <v/>
      </c>
      <c r="AG130" s="187">
        <f>'Interest Rates data'!AD52</f>
        <v/>
      </c>
      <c r="AH130" s="187">
        <f>'Interest Rates data'!AE52</f>
        <v/>
      </c>
      <c r="AI130" s="187">
        <f>'Interest Rates data'!AF52</f>
        <v/>
      </c>
      <c r="AJ130" s="187">
        <f>'Interest Rates data'!AG52</f>
        <v/>
      </c>
      <c r="AK130" s="187">
        <f>'Interest Rates data'!AH52</f>
        <v/>
      </c>
      <c r="AL130" s="187">
        <f>'Interest Rates data'!AI52</f>
        <v/>
      </c>
      <c r="AM130" s="187">
        <f>'Interest Rates data'!AJ52</f>
        <v/>
      </c>
      <c r="AN130" s="187">
        <f>'Interest Rates data'!AK52</f>
        <v/>
      </c>
      <c r="AO130" s="187">
        <f>'Interest Rates data'!AL52</f>
        <v/>
      </c>
      <c r="AP130" s="187">
        <f>'Interest Rates data'!AM52</f>
        <v/>
      </c>
      <c r="AQ130" s="187">
        <f>'Interest Rates data'!AN52</f>
        <v/>
      </c>
      <c r="AR130" s="187">
        <f>'Interest Rates data'!AO52</f>
        <v/>
      </c>
      <c r="AS130" s="187">
        <f>'Interest Rates data'!AP52</f>
        <v/>
      </c>
      <c r="AT130" s="187">
        <f>'Interest Rates data'!AQ52</f>
        <v/>
      </c>
      <c r="AU130" s="187">
        <f>'Interest Rates data'!AR52</f>
        <v/>
      </c>
      <c r="AV130" s="187">
        <f>'Interest Rates data'!AS52</f>
        <v/>
      </c>
      <c r="AW130" s="187">
        <f>'Interest Rates data'!AT52</f>
        <v/>
      </c>
      <c r="AX130" s="187">
        <f>'Interest Rates data'!AU52</f>
        <v/>
      </c>
    </row>
    <row r="131" ht="21" customHeight="1">
      <c r="E131" s="238" t="inlineStr">
        <is>
          <t>EUR AUD</t>
        </is>
      </c>
      <c r="F131" s="187">
        <f>'Interest Rates data'!C53</f>
        <v/>
      </c>
      <c r="G131" s="187">
        <f>'Interest Rates data'!D53</f>
        <v/>
      </c>
      <c r="H131" s="187">
        <f>'Interest Rates data'!E53</f>
        <v/>
      </c>
      <c r="I131" s="187">
        <f>'Interest Rates data'!F53</f>
        <v/>
      </c>
      <c r="J131" s="187">
        <f>'Interest Rates data'!G53</f>
        <v/>
      </c>
      <c r="K131" s="187">
        <f>'Interest Rates data'!H53</f>
        <v/>
      </c>
      <c r="L131" s="187">
        <f>'Interest Rates data'!I53</f>
        <v/>
      </c>
      <c r="M131" s="187">
        <f>'Interest Rates data'!J53</f>
        <v/>
      </c>
      <c r="N131" s="187">
        <f>'Interest Rates data'!K53</f>
        <v/>
      </c>
      <c r="O131" s="187">
        <f>'Interest Rates data'!L53</f>
        <v/>
      </c>
      <c r="P131" s="187">
        <f>'Interest Rates data'!M53</f>
        <v/>
      </c>
      <c r="Q131" s="187">
        <f>'Interest Rates data'!N53</f>
        <v/>
      </c>
      <c r="R131" s="187">
        <f>'Interest Rates data'!O53</f>
        <v/>
      </c>
      <c r="S131" s="187">
        <f>'Interest Rates data'!P53</f>
        <v/>
      </c>
      <c r="T131" s="187">
        <f>'Interest Rates data'!Q53</f>
        <v/>
      </c>
      <c r="U131" s="187">
        <f>'Interest Rates data'!R53</f>
        <v/>
      </c>
      <c r="V131" s="187">
        <f>'Interest Rates data'!S53</f>
        <v/>
      </c>
      <c r="W131" s="187">
        <f>'Interest Rates data'!T53</f>
        <v/>
      </c>
      <c r="X131" s="187">
        <f>'Interest Rates data'!U53</f>
        <v/>
      </c>
      <c r="Y131" s="187">
        <f>'Interest Rates data'!V53</f>
        <v/>
      </c>
      <c r="Z131" s="187">
        <f>'Interest Rates data'!W53</f>
        <v/>
      </c>
      <c r="AA131" s="187">
        <f>'Interest Rates data'!X53</f>
        <v/>
      </c>
      <c r="AB131" s="187">
        <f>'Interest Rates data'!Y53</f>
        <v/>
      </c>
      <c r="AC131" s="187">
        <f>'Interest Rates data'!Z53</f>
        <v/>
      </c>
      <c r="AD131" s="187">
        <f>'Interest Rates data'!AA53</f>
        <v/>
      </c>
      <c r="AE131" s="187">
        <f>'Interest Rates data'!AB53</f>
        <v/>
      </c>
      <c r="AF131" s="187">
        <f>'Interest Rates data'!AC53</f>
        <v/>
      </c>
      <c r="AG131" s="187">
        <f>'Interest Rates data'!AD53</f>
        <v/>
      </c>
      <c r="AH131" s="187">
        <f>'Interest Rates data'!AE53</f>
        <v/>
      </c>
      <c r="AI131" s="187">
        <f>'Interest Rates data'!AF53</f>
        <v/>
      </c>
      <c r="AJ131" s="187">
        <f>'Interest Rates data'!AG53</f>
        <v/>
      </c>
      <c r="AK131" s="187">
        <f>'Interest Rates data'!AH53</f>
        <v/>
      </c>
      <c r="AL131" s="187">
        <f>'Interest Rates data'!AI53</f>
        <v/>
      </c>
      <c r="AM131" s="187">
        <f>'Interest Rates data'!AJ53</f>
        <v/>
      </c>
      <c r="AN131" s="187">
        <f>'Interest Rates data'!AK53</f>
        <v/>
      </c>
      <c r="AO131" s="187">
        <f>'Interest Rates data'!AL53</f>
        <v/>
      </c>
      <c r="AP131" s="187">
        <f>'Interest Rates data'!AM53</f>
        <v/>
      </c>
      <c r="AQ131" s="187">
        <f>'Interest Rates data'!AN53</f>
        <v/>
      </c>
      <c r="AR131" s="187">
        <f>'Interest Rates data'!AO53</f>
        <v/>
      </c>
      <c r="AS131" s="187">
        <f>'Interest Rates data'!AP53</f>
        <v/>
      </c>
      <c r="AT131" s="187">
        <f>'Interest Rates data'!AQ53</f>
        <v/>
      </c>
      <c r="AU131" s="187">
        <f>'Interest Rates data'!AR53</f>
        <v/>
      </c>
      <c r="AV131" s="187">
        <f>'Interest Rates data'!AS53</f>
        <v/>
      </c>
      <c r="AW131" s="187">
        <f>'Interest Rates data'!AT53</f>
        <v/>
      </c>
      <c r="AX131" s="187">
        <f>'Interest Rates data'!AU53</f>
        <v/>
      </c>
    </row>
    <row r="132" ht="21" customHeight="1">
      <c r="E132" s="239" t="inlineStr">
        <is>
          <t>EUR NZD</t>
        </is>
      </c>
      <c r="F132" s="187">
        <f>'Interest Rates data'!C54</f>
        <v/>
      </c>
      <c r="G132" s="187">
        <f>'Interest Rates data'!D54</f>
        <v/>
      </c>
      <c r="H132" s="187">
        <f>'Interest Rates data'!E54</f>
        <v/>
      </c>
      <c r="I132" s="187">
        <f>'Interest Rates data'!F54</f>
        <v/>
      </c>
      <c r="J132" s="187">
        <f>'Interest Rates data'!G54</f>
        <v/>
      </c>
      <c r="K132" s="187">
        <f>'Interest Rates data'!H54</f>
        <v/>
      </c>
      <c r="L132" s="187">
        <f>'Interest Rates data'!I54</f>
        <v/>
      </c>
      <c r="M132" s="187">
        <f>'Interest Rates data'!J54</f>
        <v/>
      </c>
      <c r="N132" s="187">
        <f>'Interest Rates data'!K54</f>
        <v/>
      </c>
      <c r="O132" s="187">
        <f>'Interest Rates data'!L54</f>
        <v/>
      </c>
      <c r="P132" s="187">
        <f>'Interest Rates data'!M54</f>
        <v/>
      </c>
      <c r="Q132" s="187">
        <f>'Interest Rates data'!N54</f>
        <v/>
      </c>
      <c r="R132" s="187">
        <f>'Interest Rates data'!O54</f>
        <v/>
      </c>
      <c r="S132" s="187">
        <f>'Interest Rates data'!P54</f>
        <v/>
      </c>
      <c r="T132" s="187">
        <f>'Interest Rates data'!Q54</f>
        <v/>
      </c>
      <c r="U132" s="187">
        <f>'Interest Rates data'!R54</f>
        <v/>
      </c>
      <c r="V132" s="187">
        <f>'Interest Rates data'!S54</f>
        <v/>
      </c>
      <c r="W132" s="187">
        <f>'Interest Rates data'!T54</f>
        <v/>
      </c>
      <c r="X132" s="187">
        <f>'Interest Rates data'!U54</f>
        <v/>
      </c>
      <c r="Y132" s="187">
        <f>'Interest Rates data'!V54</f>
        <v/>
      </c>
      <c r="Z132" s="187">
        <f>'Interest Rates data'!W54</f>
        <v/>
      </c>
      <c r="AA132" s="187">
        <f>'Interest Rates data'!X54</f>
        <v/>
      </c>
      <c r="AB132" s="187">
        <f>'Interest Rates data'!Y54</f>
        <v/>
      </c>
      <c r="AC132" s="187">
        <f>'Interest Rates data'!Z54</f>
        <v/>
      </c>
      <c r="AD132" s="187">
        <f>'Interest Rates data'!AA54</f>
        <v/>
      </c>
      <c r="AE132" s="187">
        <f>'Interest Rates data'!AB54</f>
        <v/>
      </c>
      <c r="AF132" s="187">
        <f>'Interest Rates data'!AC54</f>
        <v/>
      </c>
      <c r="AG132" s="187">
        <f>'Interest Rates data'!AD54</f>
        <v/>
      </c>
      <c r="AH132" s="187">
        <f>'Interest Rates data'!AE54</f>
        <v/>
      </c>
      <c r="AI132" s="187">
        <f>'Interest Rates data'!AF54</f>
        <v/>
      </c>
      <c r="AJ132" s="187">
        <f>'Interest Rates data'!AG54</f>
        <v/>
      </c>
      <c r="AK132" s="187">
        <f>'Interest Rates data'!AH54</f>
        <v/>
      </c>
      <c r="AL132" s="187">
        <f>'Interest Rates data'!AI54</f>
        <v/>
      </c>
      <c r="AM132" s="187">
        <f>'Interest Rates data'!AJ54</f>
        <v/>
      </c>
      <c r="AN132" s="187">
        <f>'Interest Rates data'!AK54</f>
        <v/>
      </c>
      <c r="AO132" s="187">
        <f>'Interest Rates data'!AL54</f>
        <v/>
      </c>
      <c r="AP132" s="187">
        <f>'Interest Rates data'!AM54</f>
        <v/>
      </c>
      <c r="AQ132" s="187">
        <f>'Interest Rates data'!AN54</f>
        <v/>
      </c>
      <c r="AR132" s="187">
        <f>'Interest Rates data'!AO54</f>
        <v/>
      </c>
      <c r="AS132" s="187">
        <f>'Interest Rates data'!AP54</f>
        <v/>
      </c>
      <c r="AT132" s="187">
        <f>'Interest Rates data'!AQ54</f>
        <v/>
      </c>
      <c r="AU132" s="187">
        <f>'Interest Rates data'!AR54</f>
        <v/>
      </c>
      <c r="AV132" s="187">
        <f>'Interest Rates data'!AS54</f>
        <v/>
      </c>
      <c r="AW132" s="187">
        <f>'Interest Rates data'!AT54</f>
        <v/>
      </c>
      <c r="AX132" s="187">
        <f>'Interest Rates data'!AU54</f>
        <v/>
      </c>
    </row>
    <row r="133" ht="21" customHeight="1">
      <c r="E133" s="240" t="inlineStr">
        <is>
          <t>GBP USD</t>
        </is>
      </c>
      <c r="F133" s="187">
        <f>'Interest Rates data'!C55</f>
        <v/>
      </c>
      <c r="G133" s="187">
        <f>'Interest Rates data'!D55</f>
        <v/>
      </c>
      <c r="H133" s="187">
        <f>'Interest Rates data'!E55</f>
        <v/>
      </c>
      <c r="I133" s="187">
        <f>'Interest Rates data'!F55</f>
        <v/>
      </c>
      <c r="J133" s="187">
        <f>'Interest Rates data'!G55</f>
        <v/>
      </c>
      <c r="K133" s="187">
        <f>'Interest Rates data'!H55</f>
        <v/>
      </c>
      <c r="L133" s="187">
        <f>'Interest Rates data'!I55</f>
        <v/>
      </c>
      <c r="M133" s="187">
        <f>'Interest Rates data'!J55</f>
        <v/>
      </c>
      <c r="N133" s="187">
        <f>'Interest Rates data'!K55</f>
        <v/>
      </c>
      <c r="O133" s="187">
        <f>'Interest Rates data'!L55</f>
        <v/>
      </c>
      <c r="P133" s="187">
        <f>'Interest Rates data'!M55</f>
        <v/>
      </c>
      <c r="Q133" s="187">
        <f>'Interest Rates data'!N55</f>
        <v/>
      </c>
      <c r="R133" s="187">
        <f>'Interest Rates data'!O55</f>
        <v/>
      </c>
      <c r="S133" s="187">
        <f>'Interest Rates data'!P55</f>
        <v/>
      </c>
      <c r="T133" s="187">
        <f>'Interest Rates data'!Q55</f>
        <v/>
      </c>
      <c r="U133" s="187">
        <f>'Interest Rates data'!R55</f>
        <v/>
      </c>
      <c r="V133" s="187">
        <f>'Interest Rates data'!S55</f>
        <v/>
      </c>
      <c r="W133" s="187">
        <f>'Interest Rates data'!T55</f>
        <v/>
      </c>
      <c r="X133" s="187">
        <f>'Interest Rates data'!U55</f>
        <v/>
      </c>
      <c r="Y133" s="187">
        <f>'Interest Rates data'!V55</f>
        <v/>
      </c>
      <c r="Z133" s="187">
        <f>'Interest Rates data'!W55</f>
        <v/>
      </c>
      <c r="AA133" s="187">
        <f>'Interest Rates data'!X55</f>
        <v/>
      </c>
      <c r="AB133" s="187">
        <f>'Interest Rates data'!Y55</f>
        <v/>
      </c>
      <c r="AC133" s="187">
        <f>'Interest Rates data'!Z55</f>
        <v/>
      </c>
      <c r="AD133" s="187">
        <f>'Interest Rates data'!AA55</f>
        <v/>
      </c>
      <c r="AE133" s="187">
        <f>'Interest Rates data'!AB55</f>
        <v/>
      </c>
      <c r="AF133" s="187">
        <f>'Interest Rates data'!AC55</f>
        <v/>
      </c>
      <c r="AG133" s="187">
        <f>'Interest Rates data'!AD55</f>
        <v/>
      </c>
      <c r="AH133" s="187">
        <f>'Interest Rates data'!AE55</f>
        <v/>
      </c>
      <c r="AI133" s="187">
        <f>'Interest Rates data'!AF55</f>
        <v/>
      </c>
      <c r="AJ133" s="187">
        <f>'Interest Rates data'!AG55</f>
        <v/>
      </c>
      <c r="AK133" s="187">
        <f>'Interest Rates data'!AH55</f>
        <v/>
      </c>
      <c r="AL133" s="187">
        <f>'Interest Rates data'!AI55</f>
        <v/>
      </c>
      <c r="AM133" s="187">
        <f>'Interest Rates data'!AJ55</f>
        <v/>
      </c>
      <c r="AN133" s="187">
        <f>'Interest Rates data'!AK55</f>
        <v/>
      </c>
      <c r="AO133" s="187">
        <f>'Interest Rates data'!AL55</f>
        <v/>
      </c>
      <c r="AP133" s="187">
        <f>'Interest Rates data'!AM55</f>
        <v/>
      </c>
      <c r="AQ133" s="187">
        <f>'Interest Rates data'!AN55</f>
        <v/>
      </c>
      <c r="AR133" s="187">
        <f>'Interest Rates data'!AO55</f>
        <v/>
      </c>
      <c r="AS133" s="187">
        <f>'Interest Rates data'!AP55</f>
        <v/>
      </c>
      <c r="AT133" s="187">
        <f>'Interest Rates data'!AQ55</f>
        <v/>
      </c>
      <c r="AU133" s="187">
        <f>'Interest Rates data'!AR55</f>
        <v/>
      </c>
      <c r="AV133" s="187">
        <f>'Interest Rates data'!AS55</f>
        <v/>
      </c>
      <c r="AW133" s="187">
        <f>'Interest Rates data'!AT55</f>
        <v/>
      </c>
      <c r="AX133" s="187">
        <f>'Interest Rates data'!AU55</f>
        <v/>
      </c>
    </row>
    <row r="134" ht="21" customHeight="1">
      <c r="E134" s="240" t="inlineStr">
        <is>
          <t>GBP JPY</t>
        </is>
      </c>
      <c r="F134" s="187">
        <f>'Interest Rates data'!C56</f>
        <v/>
      </c>
      <c r="G134" s="187">
        <f>'Interest Rates data'!D56</f>
        <v/>
      </c>
      <c r="H134" s="187">
        <f>'Interest Rates data'!E56</f>
        <v/>
      </c>
      <c r="I134" s="187">
        <f>'Interest Rates data'!F56</f>
        <v/>
      </c>
      <c r="J134" s="187">
        <f>'Interest Rates data'!G56</f>
        <v/>
      </c>
      <c r="K134" s="187">
        <f>'Interest Rates data'!H56</f>
        <v/>
      </c>
      <c r="L134" s="187">
        <f>'Interest Rates data'!I56</f>
        <v/>
      </c>
      <c r="M134" s="187">
        <f>'Interest Rates data'!J56</f>
        <v/>
      </c>
      <c r="N134" s="187">
        <f>'Interest Rates data'!K56</f>
        <v/>
      </c>
      <c r="O134" s="187">
        <f>'Interest Rates data'!L56</f>
        <v/>
      </c>
      <c r="P134" s="187">
        <f>'Interest Rates data'!M56</f>
        <v/>
      </c>
      <c r="Q134" s="187">
        <f>'Interest Rates data'!N56</f>
        <v/>
      </c>
      <c r="R134" s="187">
        <f>'Interest Rates data'!O56</f>
        <v/>
      </c>
      <c r="S134" s="187">
        <f>'Interest Rates data'!P56</f>
        <v/>
      </c>
      <c r="T134" s="187">
        <f>'Interest Rates data'!Q56</f>
        <v/>
      </c>
      <c r="U134" s="187">
        <f>'Interest Rates data'!R56</f>
        <v/>
      </c>
      <c r="V134" s="187">
        <f>'Interest Rates data'!S56</f>
        <v/>
      </c>
      <c r="W134" s="187">
        <f>'Interest Rates data'!T56</f>
        <v/>
      </c>
      <c r="X134" s="187">
        <f>'Interest Rates data'!U56</f>
        <v/>
      </c>
      <c r="Y134" s="187">
        <f>'Interest Rates data'!V56</f>
        <v/>
      </c>
      <c r="Z134" s="187">
        <f>'Interest Rates data'!W56</f>
        <v/>
      </c>
      <c r="AA134" s="187">
        <f>'Interest Rates data'!X56</f>
        <v/>
      </c>
      <c r="AB134" s="187">
        <f>'Interest Rates data'!Y56</f>
        <v/>
      </c>
      <c r="AC134" s="187">
        <f>'Interest Rates data'!Z56</f>
        <v/>
      </c>
      <c r="AD134" s="187">
        <f>'Interest Rates data'!AA56</f>
        <v/>
      </c>
      <c r="AE134" s="187">
        <f>'Interest Rates data'!AB56</f>
        <v/>
      </c>
      <c r="AF134" s="187">
        <f>'Interest Rates data'!AC56</f>
        <v/>
      </c>
      <c r="AG134" s="187">
        <f>'Interest Rates data'!AD56</f>
        <v/>
      </c>
      <c r="AH134" s="187">
        <f>'Interest Rates data'!AE56</f>
        <v/>
      </c>
      <c r="AI134" s="187">
        <f>'Interest Rates data'!AF56</f>
        <v/>
      </c>
      <c r="AJ134" s="187">
        <f>'Interest Rates data'!AG56</f>
        <v/>
      </c>
      <c r="AK134" s="187">
        <f>'Interest Rates data'!AH56</f>
        <v/>
      </c>
      <c r="AL134" s="187">
        <f>'Interest Rates data'!AI56</f>
        <v/>
      </c>
      <c r="AM134" s="187">
        <f>'Interest Rates data'!AJ56</f>
        <v/>
      </c>
      <c r="AN134" s="187">
        <f>'Interest Rates data'!AK56</f>
        <v/>
      </c>
      <c r="AO134" s="187">
        <f>'Interest Rates data'!AL56</f>
        <v/>
      </c>
      <c r="AP134" s="187">
        <f>'Interest Rates data'!AM56</f>
        <v/>
      </c>
      <c r="AQ134" s="187">
        <f>'Interest Rates data'!AN56</f>
        <v/>
      </c>
      <c r="AR134" s="187">
        <f>'Interest Rates data'!AO56</f>
        <v/>
      </c>
      <c r="AS134" s="187">
        <f>'Interest Rates data'!AP56</f>
        <v/>
      </c>
      <c r="AT134" s="187">
        <f>'Interest Rates data'!AQ56</f>
        <v/>
      </c>
      <c r="AU134" s="187">
        <f>'Interest Rates data'!AR56</f>
        <v/>
      </c>
      <c r="AV134" s="187">
        <f>'Interest Rates data'!AS56</f>
        <v/>
      </c>
      <c r="AW134" s="187">
        <f>'Interest Rates data'!AT56</f>
        <v/>
      </c>
      <c r="AX134" s="187">
        <f>'Interest Rates data'!AU56</f>
        <v/>
      </c>
    </row>
    <row r="135" ht="21" customHeight="1">
      <c r="E135" s="240" t="inlineStr">
        <is>
          <t>GBP CHF</t>
        </is>
      </c>
      <c r="F135" s="187">
        <f>'Interest Rates data'!C57</f>
        <v/>
      </c>
      <c r="G135" s="187">
        <f>'Interest Rates data'!D57</f>
        <v/>
      </c>
      <c r="H135" s="187">
        <f>'Interest Rates data'!E57</f>
        <v/>
      </c>
      <c r="I135" s="187">
        <f>'Interest Rates data'!F57</f>
        <v/>
      </c>
      <c r="J135" s="187">
        <f>'Interest Rates data'!G57</f>
        <v/>
      </c>
      <c r="K135" s="187">
        <f>'Interest Rates data'!H57</f>
        <v/>
      </c>
      <c r="L135" s="187">
        <f>'Interest Rates data'!I57</f>
        <v/>
      </c>
      <c r="M135" s="187">
        <f>'Interest Rates data'!J57</f>
        <v/>
      </c>
      <c r="N135" s="187">
        <f>'Interest Rates data'!K57</f>
        <v/>
      </c>
      <c r="O135" s="187">
        <f>'Interest Rates data'!L57</f>
        <v/>
      </c>
      <c r="P135" s="187">
        <f>'Interest Rates data'!M57</f>
        <v/>
      </c>
      <c r="Q135" s="187">
        <f>'Interest Rates data'!N57</f>
        <v/>
      </c>
      <c r="R135" s="187">
        <f>'Interest Rates data'!O57</f>
        <v/>
      </c>
      <c r="S135" s="187">
        <f>'Interest Rates data'!P57</f>
        <v/>
      </c>
      <c r="T135" s="187">
        <f>'Interest Rates data'!Q57</f>
        <v/>
      </c>
      <c r="U135" s="187">
        <f>'Interest Rates data'!R57</f>
        <v/>
      </c>
      <c r="V135" s="187">
        <f>'Interest Rates data'!S57</f>
        <v/>
      </c>
      <c r="W135" s="187">
        <f>'Interest Rates data'!T57</f>
        <v/>
      </c>
      <c r="X135" s="187">
        <f>'Interest Rates data'!U57</f>
        <v/>
      </c>
      <c r="Y135" s="187">
        <f>'Interest Rates data'!V57</f>
        <v/>
      </c>
      <c r="Z135" s="187">
        <f>'Interest Rates data'!W57</f>
        <v/>
      </c>
      <c r="AA135" s="187">
        <f>'Interest Rates data'!X57</f>
        <v/>
      </c>
      <c r="AB135" s="187">
        <f>'Interest Rates data'!Y57</f>
        <v/>
      </c>
      <c r="AC135" s="187">
        <f>'Interest Rates data'!Z57</f>
        <v/>
      </c>
      <c r="AD135" s="187">
        <f>'Interest Rates data'!AA57</f>
        <v/>
      </c>
      <c r="AE135" s="187">
        <f>'Interest Rates data'!AB57</f>
        <v/>
      </c>
      <c r="AF135" s="187">
        <f>'Interest Rates data'!AC57</f>
        <v/>
      </c>
      <c r="AG135" s="187">
        <f>'Interest Rates data'!AD57</f>
        <v/>
      </c>
      <c r="AH135" s="187">
        <f>'Interest Rates data'!AE57</f>
        <v/>
      </c>
      <c r="AI135" s="187">
        <f>'Interest Rates data'!AF57</f>
        <v/>
      </c>
      <c r="AJ135" s="187">
        <f>'Interest Rates data'!AG57</f>
        <v/>
      </c>
      <c r="AK135" s="187">
        <f>'Interest Rates data'!AH57</f>
        <v/>
      </c>
      <c r="AL135" s="187">
        <f>'Interest Rates data'!AI57</f>
        <v/>
      </c>
      <c r="AM135" s="187">
        <f>'Interest Rates data'!AJ57</f>
        <v/>
      </c>
      <c r="AN135" s="187">
        <f>'Interest Rates data'!AK57</f>
        <v/>
      </c>
      <c r="AO135" s="187">
        <f>'Interest Rates data'!AL57</f>
        <v/>
      </c>
      <c r="AP135" s="187">
        <f>'Interest Rates data'!AM57</f>
        <v/>
      </c>
      <c r="AQ135" s="187">
        <f>'Interest Rates data'!AN57</f>
        <v/>
      </c>
      <c r="AR135" s="187">
        <f>'Interest Rates data'!AO57</f>
        <v/>
      </c>
      <c r="AS135" s="187">
        <f>'Interest Rates data'!AP57</f>
        <v/>
      </c>
      <c r="AT135" s="187">
        <f>'Interest Rates data'!AQ57</f>
        <v/>
      </c>
      <c r="AU135" s="187">
        <f>'Interest Rates data'!AR57</f>
        <v/>
      </c>
      <c r="AV135" s="187">
        <f>'Interest Rates data'!AS57</f>
        <v/>
      </c>
      <c r="AW135" s="187">
        <f>'Interest Rates data'!AT57</f>
        <v/>
      </c>
      <c r="AX135" s="187">
        <f>'Interest Rates data'!AU57</f>
        <v/>
      </c>
    </row>
    <row r="136" ht="21" customHeight="1">
      <c r="E136" s="240" t="inlineStr">
        <is>
          <t>GBP CAD</t>
        </is>
      </c>
      <c r="F136" s="187">
        <f>'Interest Rates data'!C58</f>
        <v/>
      </c>
      <c r="G136" s="187">
        <f>'Interest Rates data'!D58</f>
        <v/>
      </c>
      <c r="H136" s="187">
        <f>'Interest Rates data'!E58</f>
        <v/>
      </c>
      <c r="I136" s="187">
        <f>'Interest Rates data'!F58</f>
        <v/>
      </c>
      <c r="J136" s="187">
        <f>'Interest Rates data'!G58</f>
        <v/>
      </c>
      <c r="K136" s="187">
        <f>'Interest Rates data'!H58</f>
        <v/>
      </c>
      <c r="L136" s="187">
        <f>'Interest Rates data'!I58</f>
        <v/>
      </c>
      <c r="M136" s="187">
        <f>'Interest Rates data'!J58</f>
        <v/>
      </c>
      <c r="N136" s="187">
        <f>'Interest Rates data'!K58</f>
        <v/>
      </c>
      <c r="O136" s="187">
        <f>'Interest Rates data'!L58</f>
        <v/>
      </c>
      <c r="P136" s="187">
        <f>'Interest Rates data'!M58</f>
        <v/>
      </c>
      <c r="Q136" s="187">
        <f>'Interest Rates data'!N58</f>
        <v/>
      </c>
      <c r="R136" s="187">
        <f>'Interest Rates data'!O58</f>
        <v/>
      </c>
      <c r="S136" s="187">
        <f>'Interest Rates data'!P58</f>
        <v/>
      </c>
      <c r="T136" s="187">
        <f>'Interest Rates data'!Q58</f>
        <v/>
      </c>
      <c r="U136" s="187">
        <f>'Interest Rates data'!R58</f>
        <v/>
      </c>
      <c r="V136" s="187">
        <f>'Interest Rates data'!S58</f>
        <v/>
      </c>
      <c r="W136" s="187">
        <f>'Interest Rates data'!T58</f>
        <v/>
      </c>
      <c r="X136" s="187">
        <f>'Interest Rates data'!U58</f>
        <v/>
      </c>
      <c r="Y136" s="187">
        <f>'Interest Rates data'!V58</f>
        <v/>
      </c>
      <c r="Z136" s="187">
        <f>'Interest Rates data'!W58</f>
        <v/>
      </c>
      <c r="AA136" s="187">
        <f>'Interest Rates data'!X58</f>
        <v/>
      </c>
      <c r="AB136" s="187">
        <f>'Interest Rates data'!Y58</f>
        <v/>
      </c>
      <c r="AC136" s="187">
        <f>'Interest Rates data'!Z58</f>
        <v/>
      </c>
      <c r="AD136" s="187">
        <f>'Interest Rates data'!AA58</f>
        <v/>
      </c>
      <c r="AE136" s="187">
        <f>'Interest Rates data'!AB58</f>
        <v/>
      </c>
      <c r="AF136" s="187">
        <f>'Interest Rates data'!AC58</f>
        <v/>
      </c>
      <c r="AG136" s="187">
        <f>'Interest Rates data'!AD58</f>
        <v/>
      </c>
      <c r="AH136" s="187">
        <f>'Interest Rates data'!AE58</f>
        <v/>
      </c>
      <c r="AI136" s="187">
        <f>'Interest Rates data'!AF58</f>
        <v/>
      </c>
      <c r="AJ136" s="187">
        <f>'Interest Rates data'!AG58</f>
        <v/>
      </c>
      <c r="AK136" s="187">
        <f>'Interest Rates data'!AH58</f>
        <v/>
      </c>
      <c r="AL136" s="187">
        <f>'Interest Rates data'!AI58</f>
        <v/>
      </c>
      <c r="AM136" s="187">
        <f>'Interest Rates data'!AJ58</f>
        <v/>
      </c>
      <c r="AN136" s="187">
        <f>'Interest Rates data'!AK58</f>
        <v/>
      </c>
      <c r="AO136" s="187">
        <f>'Interest Rates data'!AL58</f>
        <v/>
      </c>
      <c r="AP136" s="187">
        <f>'Interest Rates data'!AM58</f>
        <v/>
      </c>
      <c r="AQ136" s="187">
        <f>'Interest Rates data'!AN58</f>
        <v/>
      </c>
      <c r="AR136" s="187">
        <f>'Interest Rates data'!AO58</f>
        <v/>
      </c>
      <c r="AS136" s="187">
        <f>'Interest Rates data'!AP58</f>
        <v/>
      </c>
      <c r="AT136" s="187">
        <f>'Interest Rates data'!AQ58</f>
        <v/>
      </c>
      <c r="AU136" s="187">
        <f>'Interest Rates data'!AR58</f>
        <v/>
      </c>
      <c r="AV136" s="187">
        <f>'Interest Rates data'!AS58</f>
        <v/>
      </c>
      <c r="AW136" s="187">
        <f>'Interest Rates data'!AT58</f>
        <v/>
      </c>
      <c r="AX136" s="187">
        <f>'Interest Rates data'!AU58</f>
        <v/>
      </c>
    </row>
    <row r="137" ht="21" customHeight="1">
      <c r="E137" s="240" t="inlineStr">
        <is>
          <t>GBP AUD</t>
        </is>
      </c>
      <c r="F137" s="187">
        <f>'Interest Rates data'!C59</f>
        <v/>
      </c>
      <c r="G137" s="187">
        <f>'Interest Rates data'!D59</f>
        <v/>
      </c>
      <c r="H137" s="187">
        <f>'Interest Rates data'!E59</f>
        <v/>
      </c>
      <c r="I137" s="187">
        <f>'Interest Rates data'!F59</f>
        <v/>
      </c>
      <c r="J137" s="187">
        <f>'Interest Rates data'!G59</f>
        <v/>
      </c>
      <c r="K137" s="187">
        <f>'Interest Rates data'!H59</f>
        <v/>
      </c>
      <c r="L137" s="187">
        <f>'Interest Rates data'!I59</f>
        <v/>
      </c>
      <c r="M137" s="187">
        <f>'Interest Rates data'!J59</f>
        <v/>
      </c>
      <c r="N137" s="187">
        <f>'Interest Rates data'!K59</f>
        <v/>
      </c>
      <c r="O137" s="187">
        <f>'Interest Rates data'!L59</f>
        <v/>
      </c>
      <c r="P137" s="187">
        <f>'Interest Rates data'!M59</f>
        <v/>
      </c>
      <c r="Q137" s="187">
        <f>'Interest Rates data'!N59</f>
        <v/>
      </c>
      <c r="R137" s="187">
        <f>'Interest Rates data'!O59</f>
        <v/>
      </c>
      <c r="S137" s="187">
        <f>'Interest Rates data'!P59</f>
        <v/>
      </c>
      <c r="T137" s="187">
        <f>'Interest Rates data'!Q59</f>
        <v/>
      </c>
      <c r="U137" s="187">
        <f>'Interest Rates data'!R59</f>
        <v/>
      </c>
      <c r="V137" s="187">
        <f>'Interest Rates data'!S59</f>
        <v/>
      </c>
      <c r="W137" s="187">
        <f>'Interest Rates data'!T59</f>
        <v/>
      </c>
      <c r="X137" s="187">
        <f>'Interest Rates data'!U59</f>
        <v/>
      </c>
      <c r="Y137" s="187">
        <f>'Interest Rates data'!V59</f>
        <v/>
      </c>
      <c r="Z137" s="187">
        <f>'Interest Rates data'!W59</f>
        <v/>
      </c>
      <c r="AA137" s="187">
        <f>'Interest Rates data'!X59</f>
        <v/>
      </c>
      <c r="AB137" s="187">
        <f>'Interest Rates data'!Y59</f>
        <v/>
      </c>
      <c r="AC137" s="187">
        <f>'Interest Rates data'!Z59</f>
        <v/>
      </c>
      <c r="AD137" s="187">
        <f>'Interest Rates data'!AA59</f>
        <v/>
      </c>
      <c r="AE137" s="187">
        <f>'Interest Rates data'!AB59</f>
        <v/>
      </c>
      <c r="AF137" s="187">
        <f>'Interest Rates data'!AC59</f>
        <v/>
      </c>
      <c r="AG137" s="187">
        <f>'Interest Rates data'!AD59</f>
        <v/>
      </c>
      <c r="AH137" s="187">
        <f>'Interest Rates data'!AE59</f>
        <v/>
      </c>
      <c r="AI137" s="187">
        <f>'Interest Rates data'!AF59</f>
        <v/>
      </c>
      <c r="AJ137" s="187">
        <f>'Interest Rates data'!AG59</f>
        <v/>
      </c>
      <c r="AK137" s="187">
        <f>'Interest Rates data'!AH59</f>
        <v/>
      </c>
      <c r="AL137" s="187">
        <f>'Interest Rates data'!AI59</f>
        <v/>
      </c>
      <c r="AM137" s="187">
        <f>'Interest Rates data'!AJ59</f>
        <v/>
      </c>
      <c r="AN137" s="187">
        <f>'Interest Rates data'!AK59</f>
        <v/>
      </c>
      <c r="AO137" s="187">
        <f>'Interest Rates data'!AL59</f>
        <v/>
      </c>
      <c r="AP137" s="187">
        <f>'Interest Rates data'!AM59</f>
        <v/>
      </c>
      <c r="AQ137" s="187">
        <f>'Interest Rates data'!AN59</f>
        <v/>
      </c>
      <c r="AR137" s="187">
        <f>'Interest Rates data'!AO59</f>
        <v/>
      </c>
      <c r="AS137" s="187">
        <f>'Interest Rates data'!AP59</f>
        <v/>
      </c>
      <c r="AT137" s="187">
        <f>'Interest Rates data'!AQ59</f>
        <v/>
      </c>
      <c r="AU137" s="187">
        <f>'Interest Rates data'!AR59</f>
        <v/>
      </c>
      <c r="AV137" s="187">
        <f>'Interest Rates data'!AS59</f>
        <v/>
      </c>
      <c r="AW137" s="187">
        <f>'Interest Rates data'!AT59</f>
        <v/>
      </c>
      <c r="AX137" s="187">
        <f>'Interest Rates data'!AU59</f>
        <v/>
      </c>
    </row>
    <row r="138" ht="21" customHeight="1">
      <c r="E138" s="241" t="inlineStr">
        <is>
          <t>GBP NZD</t>
        </is>
      </c>
      <c r="F138" s="187">
        <f>'Interest Rates data'!C60</f>
        <v/>
      </c>
      <c r="G138" s="187">
        <f>'Interest Rates data'!D60</f>
        <v/>
      </c>
      <c r="H138" s="187">
        <f>'Interest Rates data'!E60</f>
        <v/>
      </c>
      <c r="I138" s="187">
        <f>'Interest Rates data'!F60</f>
        <v/>
      </c>
      <c r="J138" s="187">
        <f>'Interest Rates data'!G60</f>
        <v/>
      </c>
      <c r="K138" s="187">
        <f>'Interest Rates data'!H60</f>
        <v/>
      </c>
      <c r="L138" s="187">
        <f>'Interest Rates data'!I60</f>
        <v/>
      </c>
      <c r="M138" s="187">
        <f>'Interest Rates data'!J60</f>
        <v/>
      </c>
      <c r="N138" s="187">
        <f>'Interest Rates data'!K60</f>
        <v/>
      </c>
      <c r="O138" s="187">
        <f>'Interest Rates data'!L60</f>
        <v/>
      </c>
      <c r="P138" s="187">
        <f>'Interest Rates data'!M60</f>
        <v/>
      </c>
      <c r="Q138" s="187">
        <f>'Interest Rates data'!N60</f>
        <v/>
      </c>
      <c r="R138" s="187">
        <f>'Interest Rates data'!O60</f>
        <v/>
      </c>
      <c r="S138" s="187">
        <f>'Interest Rates data'!P60</f>
        <v/>
      </c>
      <c r="T138" s="187">
        <f>'Interest Rates data'!Q60</f>
        <v/>
      </c>
      <c r="U138" s="187">
        <f>'Interest Rates data'!R60</f>
        <v/>
      </c>
      <c r="V138" s="187">
        <f>'Interest Rates data'!S60</f>
        <v/>
      </c>
      <c r="W138" s="187">
        <f>'Interest Rates data'!T60</f>
        <v/>
      </c>
      <c r="X138" s="187">
        <f>'Interest Rates data'!U60</f>
        <v/>
      </c>
      <c r="Y138" s="187">
        <f>'Interest Rates data'!V60</f>
        <v/>
      </c>
      <c r="Z138" s="187">
        <f>'Interest Rates data'!W60</f>
        <v/>
      </c>
      <c r="AA138" s="187">
        <f>'Interest Rates data'!X60</f>
        <v/>
      </c>
      <c r="AB138" s="187">
        <f>'Interest Rates data'!Y60</f>
        <v/>
      </c>
      <c r="AC138" s="187">
        <f>'Interest Rates data'!Z60</f>
        <v/>
      </c>
      <c r="AD138" s="187">
        <f>'Interest Rates data'!AA60</f>
        <v/>
      </c>
      <c r="AE138" s="187">
        <f>'Interest Rates data'!AB60</f>
        <v/>
      </c>
      <c r="AF138" s="187">
        <f>'Interest Rates data'!AC60</f>
        <v/>
      </c>
      <c r="AG138" s="187">
        <f>'Interest Rates data'!AD60</f>
        <v/>
      </c>
      <c r="AH138" s="187">
        <f>'Interest Rates data'!AE60</f>
        <v/>
      </c>
      <c r="AI138" s="187">
        <f>'Interest Rates data'!AF60</f>
        <v/>
      </c>
      <c r="AJ138" s="187">
        <f>'Interest Rates data'!AG60</f>
        <v/>
      </c>
      <c r="AK138" s="187">
        <f>'Interest Rates data'!AH60</f>
        <v/>
      </c>
      <c r="AL138" s="187">
        <f>'Interest Rates data'!AI60</f>
        <v/>
      </c>
      <c r="AM138" s="187">
        <f>'Interest Rates data'!AJ60</f>
        <v/>
      </c>
      <c r="AN138" s="187">
        <f>'Interest Rates data'!AK60</f>
        <v/>
      </c>
      <c r="AO138" s="187">
        <f>'Interest Rates data'!AL60</f>
        <v/>
      </c>
      <c r="AP138" s="187">
        <f>'Interest Rates data'!AM60</f>
        <v/>
      </c>
      <c r="AQ138" s="187">
        <f>'Interest Rates data'!AN60</f>
        <v/>
      </c>
      <c r="AR138" s="187">
        <f>'Interest Rates data'!AO60</f>
        <v/>
      </c>
      <c r="AS138" s="187">
        <f>'Interest Rates data'!AP60</f>
        <v/>
      </c>
      <c r="AT138" s="187">
        <f>'Interest Rates data'!AQ60</f>
        <v/>
      </c>
      <c r="AU138" s="187">
        <f>'Interest Rates data'!AR60</f>
        <v/>
      </c>
      <c r="AV138" s="187">
        <f>'Interest Rates data'!AS60</f>
        <v/>
      </c>
      <c r="AW138" s="187">
        <f>'Interest Rates data'!AT60</f>
        <v/>
      </c>
      <c r="AX138" s="187">
        <f>'Interest Rates data'!AU60</f>
        <v/>
      </c>
    </row>
    <row r="139" ht="21" customHeight="1">
      <c r="E139" s="242" t="inlineStr">
        <is>
          <t xml:space="preserve">CHF JPY </t>
        </is>
      </c>
      <c r="F139" s="187">
        <f>'Interest Rates data'!C61</f>
        <v/>
      </c>
      <c r="G139" s="187">
        <f>'Interest Rates data'!D61</f>
        <v/>
      </c>
      <c r="H139" s="187">
        <f>'Interest Rates data'!E61</f>
        <v/>
      </c>
      <c r="I139" s="187">
        <f>'Interest Rates data'!F61</f>
        <v/>
      </c>
      <c r="J139" s="187">
        <f>'Interest Rates data'!G61</f>
        <v/>
      </c>
      <c r="K139" s="187">
        <f>'Interest Rates data'!H61</f>
        <v/>
      </c>
      <c r="L139" s="187">
        <f>'Interest Rates data'!I61</f>
        <v/>
      </c>
      <c r="M139" s="187">
        <f>'Interest Rates data'!J61</f>
        <v/>
      </c>
      <c r="N139" s="187">
        <f>'Interest Rates data'!K61</f>
        <v/>
      </c>
      <c r="O139" s="187">
        <f>'Interest Rates data'!L61</f>
        <v/>
      </c>
      <c r="P139" s="187">
        <f>'Interest Rates data'!M61</f>
        <v/>
      </c>
      <c r="Q139" s="187">
        <f>'Interest Rates data'!N61</f>
        <v/>
      </c>
      <c r="R139" s="187">
        <f>'Interest Rates data'!O61</f>
        <v/>
      </c>
      <c r="S139" s="187">
        <f>'Interest Rates data'!P61</f>
        <v/>
      </c>
      <c r="T139" s="187">
        <f>'Interest Rates data'!Q61</f>
        <v/>
      </c>
      <c r="U139" s="187">
        <f>'Interest Rates data'!R61</f>
        <v/>
      </c>
      <c r="V139" s="187">
        <f>'Interest Rates data'!S61</f>
        <v/>
      </c>
      <c r="W139" s="187">
        <f>'Interest Rates data'!T61</f>
        <v/>
      </c>
      <c r="X139" s="187">
        <f>'Interest Rates data'!U61</f>
        <v/>
      </c>
      <c r="Y139" s="187">
        <f>'Interest Rates data'!V61</f>
        <v/>
      </c>
      <c r="Z139" s="187">
        <f>'Interest Rates data'!W61</f>
        <v/>
      </c>
      <c r="AA139" s="187">
        <f>'Interest Rates data'!X61</f>
        <v/>
      </c>
      <c r="AB139" s="187">
        <f>'Interest Rates data'!Y61</f>
        <v/>
      </c>
      <c r="AC139" s="187">
        <f>'Interest Rates data'!Z61</f>
        <v/>
      </c>
      <c r="AD139" s="187">
        <f>'Interest Rates data'!AA61</f>
        <v/>
      </c>
      <c r="AE139" s="187">
        <f>'Interest Rates data'!AB61</f>
        <v/>
      </c>
      <c r="AF139" s="187">
        <f>'Interest Rates data'!AC61</f>
        <v/>
      </c>
      <c r="AG139" s="187">
        <f>'Interest Rates data'!AD61</f>
        <v/>
      </c>
      <c r="AH139" s="187">
        <f>'Interest Rates data'!AE61</f>
        <v/>
      </c>
      <c r="AI139" s="187">
        <f>'Interest Rates data'!AF61</f>
        <v/>
      </c>
      <c r="AJ139" s="187">
        <f>'Interest Rates data'!AG61</f>
        <v/>
      </c>
      <c r="AK139" s="187">
        <f>'Interest Rates data'!AH61</f>
        <v/>
      </c>
      <c r="AL139" s="187">
        <f>'Interest Rates data'!AI61</f>
        <v/>
      </c>
      <c r="AM139" s="187">
        <f>'Interest Rates data'!AJ61</f>
        <v/>
      </c>
      <c r="AN139" s="187">
        <f>'Interest Rates data'!AK61</f>
        <v/>
      </c>
      <c r="AO139" s="187">
        <f>'Interest Rates data'!AL61</f>
        <v/>
      </c>
      <c r="AP139" s="187">
        <f>'Interest Rates data'!AM61</f>
        <v/>
      </c>
      <c r="AQ139" s="187">
        <f>'Interest Rates data'!AN61</f>
        <v/>
      </c>
      <c r="AR139" s="187">
        <f>'Interest Rates data'!AO61</f>
        <v/>
      </c>
      <c r="AS139" s="187">
        <f>'Interest Rates data'!AP61</f>
        <v/>
      </c>
      <c r="AT139" s="187">
        <f>'Interest Rates data'!AQ61</f>
        <v/>
      </c>
      <c r="AU139" s="187">
        <f>'Interest Rates data'!AR61</f>
        <v/>
      </c>
      <c r="AV139" s="187">
        <f>'Interest Rates data'!AS61</f>
        <v/>
      </c>
      <c r="AW139" s="187">
        <f>'Interest Rates data'!AT61</f>
        <v/>
      </c>
      <c r="AX139" s="187">
        <f>'Interest Rates data'!AU61</f>
        <v/>
      </c>
    </row>
    <row r="140" ht="21" customHeight="1">
      <c r="E140" s="243" t="inlineStr">
        <is>
          <t>AUD USD</t>
        </is>
      </c>
      <c r="F140" s="187">
        <f>'Interest Rates data'!C62</f>
        <v/>
      </c>
      <c r="G140" s="187">
        <f>'Interest Rates data'!D62</f>
        <v/>
      </c>
      <c r="H140" s="187">
        <f>'Interest Rates data'!E62</f>
        <v/>
      </c>
      <c r="I140" s="187">
        <f>'Interest Rates data'!F62</f>
        <v/>
      </c>
      <c r="J140" s="187">
        <f>'Interest Rates data'!G62</f>
        <v/>
      </c>
      <c r="K140" s="187">
        <f>'Interest Rates data'!H62</f>
        <v/>
      </c>
      <c r="L140" s="187">
        <f>'Interest Rates data'!I62</f>
        <v/>
      </c>
      <c r="M140" s="187">
        <f>'Interest Rates data'!J62</f>
        <v/>
      </c>
      <c r="N140" s="187">
        <f>'Interest Rates data'!K62</f>
        <v/>
      </c>
      <c r="O140" s="187">
        <f>'Interest Rates data'!L62</f>
        <v/>
      </c>
      <c r="P140" s="187">
        <f>'Interest Rates data'!M62</f>
        <v/>
      </c>
      <c r="Q140" s="187">
        <f>'Interest Rates data'!N62</f>
        <v/>
      </c>
      <c r="R140" s="187">
        <f>'Interest Rates data'!O62</f>
        <v/>
      </c>
      <c r="S140" s="187">
        <f>'Interest Rates data'!P62</f>
        <v/>
      </c>
      <c r="T140" s="187">
        <f>'Interest Rates data'!Q62</f>
        <v/>
      </c>
      <c r="U140" s="187">
        <f>'Interest Rates data'!R62</f>
        <v/>
      </c>
      <c r="V140" s="187">
        <f>'Interest Rates data'!S62</f>
        <v/>
      </c>
      <c r="W140" s="187">
        <f>'Interest Rates data'!T62</f>
        <v/>
      </c>
      <c r="X140" s="187">
        <f>'Interest Rates data'!U62</f>
        <v/>
      </c>
      <c r="Y140" s="187">
        <f>'Interest Rates data'!V62</f>
        <v/>
      </c>
      <c r="Z140" s="187">
        <f>'Interest Rates data'!W62</f>
        <v/>
      </c>
      <c r="AA140" s="187">
        <f>'Interest Rates data'!X62</f>
        <v/>
      </c>
      <c r="AB140" s="187">
        <f>'Interest Rates data'!Y62</f>
        <v/>
      </c>
      <c r="AC140" s="187">
        <f>'Interest Rates data'!Z62</f>
        <v/>
      </c>
      <c r="AD140" s="187">
        <f>'Interest Rates data'!AA62</f>
        <v/>
      </c>
      <c r="AE140" s="187">
        <f>'Interest Rates data'!AB62</f>
        <v/>
      </c>
      <c r="AF140" s="187">
        <f>'Interest Rates data'!AC62</f>
        <v/>
      </c>
      <c r="AG140" s="187">
        <f>'Interest Rates data'!AD62</f>
        <v/>
      </c>
      <c r="AH140" s="187">
        <f>'Interest Rates data'!AE62</f>
        <v/>
      </c>
      <c r="AI140" s="187">
        <f>'Interest Rates data'!AF62</f>
        <v/>
      </c>
      <c r="AJ140" s="187">
        <f>'Interest Rates data'!AG62</f>
        <v/>
      </c>
      <c r="AK140" s="187">
        <f>'Interest Rates data'!AH62</f>
        <v/>
      </c>
      <c r="AL140" s="187">
        <f>'Interest Rates data'!AI62</f>
        <v/>
      </c>
      <c r="AM140" s="187">
        <f>'Interest Rates data'!AJ62</f>
        <v/>
      </c>
      <c r="AN140" s="187">
        <f>'Interest Rates data'!AK62</f>
        <v/>
      </c>
      <c r="AO140" s="187">
        <f>'Interest Rates data'!AL62</f>
        <v/>
      </c>
      <c r="AP140" s="187">
        <f>'Interest Rates data'!AM62</f>
        <v/>
      </c>
      <c r="AQ140" s="187">
        <f>'Interest Rates data'!AN62</f>
        <v/>
      </c>
      <c r="AR140" s="187">
        <f>'Interest Rates data'!AO62</f>
        <v/>
      </c>
      <c r="AS140" s="187">
        <f>'Interest Rates data'!AP62</f>
        <v/>
      </c>
      <c r="AT140" s="187">
        <f>'Interest Rates data'!AQ62</f>
        <v/>
      </c>
      <c r="AU140" s="187">
        <f>'Interest Rates data'!AR62</f>
        <v/>
      </c>
      <c r="AV140" s="187">
        <f>'Interest Rates data'!AS62</f>
        <v/>
      </c>
      <c r="AW140" s="187">
        <f>'Interest Rates data'!AT62</f>
        <v/>
      </c>
      <c r="AX140" s="187">
        <f>'Interest Rates data'!AU62</f>
        <v/>
      </c>
    </row>
    <row r="141" ht="21" customHeight="1">
      <c r="E141" s="243" t="inlineStr">
        <is>
          <t>AUD CHF</t>
        </is>
      </c>
      <c r="F141" s="187">
        <f>'Interest Rates data'!C63</f>
        <v/>
      </c>
      <c r="G141" s="187">
        <f>'Interest Rates data'!D63</f>
        <v/>
      </c>
      <c r="H141" s="187">
        <f>'Interest Rates data'!E63</f>
        <v/>
      </c>
      <c r="I141" s="187">
        <f>'Interest Rates data'!F63</f>
        <v/>
      </c>
      <c r="J141" s="187">
        <f>'Interest Rates data'!G63</f>
        <v/>
      </c>
      <c r="K141" s="187">
        <f>'Interest Rates data'!H63</f>
        <v/>
      </c>
      <c r="L141" s="187">
        <f>'Interest Rates data'!I63</f>
        <v/>
      </c>
      <c r="M141" s="187">
        <f>'Interest Rates data'!J63</f>
        <v/>
      </c>
      <c r="N141" s="187">
        <f>'Interest Rates data'!K63</f>
        <v/>
      </c>
      <c r="O141" s="187">
        <f>'Interest Rates data'!L63</f>
        <v/>
      </c>
      <c r="P141" s="187">
        <f>'Interest Rates data'!M63</f>
        <v/>
      </c>
      <c r="Q141" s="187">
        <f>'Interest Rates data'!N63</f>
        <v/>
      </c>
      <c r="R141" s="187">
        <f>'Interest Rates data'!O63</f>
        <v/>
      </c>
      <c r="S141" s="187">
        <f>'Interest Rates data'!P63</f>
        <v/>
      </c>
      <c r="T141" s="187">
        <f>'Interest Rates data'!Q63</f>
        <v/>
      </c>
      <c r="U141" s="187">
        <f>'Interest Rates data'!R63</f>
        <v/>
      </c>
      <c r="V141" s="187">
        <f>'Interest Rates data'!S63</f>
        <v/>
      </c>
      <c r="W141" s="187">
        <f>'Interest Rates data'!T63</f>
        <v/>
      </c>
      <c r="X141" s="187">
        <f>'Interest Rates data'!U63</f>
        <v/>
      </c>
      <c r="Y141" s="187">
        <f>'Interest Rates data'!V63</f>
        <v/>
      </c>
      <c r="Z141" s="187">
        <f>'Interest Rates data'!W63</f>
        <v/>
      </c>
      <c r="AA141" s="187">
        <f>'Interest Rates data'!X63</f>
        <v/>
      </c>
      <c r="AB141" s="187">
        <f>'Interest Rates data'!Y63</f>
        <v/>
      </c>
      <c r="AC141" s="187">
        <f>'Interest Rates data'!Z63</f>
        <v/>
      </c>
      <c r="AD141" s="187">
        <f>'Interest Rates data'!AA63</f>
        <v/>
      </c>
      <c r="AE141" s="187">
        <f>'Interest Rates data'!AB63</f>
        <v/>
      </c>
      <c r="AF141" s="187">
        <f>'Interest Rates data'!AC63</f>
        <v/>
      </c>
      <c r="AG141" s="187">
        <f>'Interest Rates data'!AD63</f>
        <v/>
      </c>
      <c r="AH141" s="187">
        <f>'Interest Rates data'!AE63</f>
        <v/>
      </c>
      <c r="AI141" s="187">
        <f>'Interest Rates data'!AF63</f>
        <v/>
      </c>
      <c r="AJ141" s="187">
        <f>'Interest Rates data'!AG63</f>
        <v/>
      </c>
      <c r="AK141" s="187">
        <f>'Interest Rates data'!AH63</f>
        <v/>
      </c>
      <c r="AL141" s="187">
        <f>'Interest Rates data'!AI63</f>
        <v/>
      </c>
      <c r="AM141" s="187">
        <f>'Interest Rates data'!AJ63</f>
        <v/>
      </c>
      <c r="AN141" s="187">
        <f>'Interest Rates data'!AK63</f>
        <v/>
      </c>
      <c r="AO141" s="187">
        <f>'Interest Rates data'!AL63</f>
        <v/>
      </c>
      <c r="AP141" s="187">
        <f>'Interest Rates data'!AM63</f>
        <v/>
      </c>
      <c r="AQ141" s="187">
        <f>'Interest Rates data'!AN63</f>
        <v/>
      </c>
      <c r="AR141" s="187">
        <f>'Interest Rates data'!AO63</f>
        <v/>
      </c>
      <c r="AS141" s="187">
        <f>'Interest Rates data'!AP63</f>
        <v/>
      </c>
      <c r="AT141" s="187">
        <f>'Interest Rates data'!AQ63</f>
        <v/>
      </c>
      <c r="AU141" s="187">
        <f>'Interest Rates data'!AR63</f>
        <v/>
      </c>
      <c r="AV141" s="187">
        <f>'Interest Rates data'!AS63</f>
        <v/>
      </c>
      <c r="AW141" s="187">
        <f>'Interest Rates data'!AT63</f>
        <v/>
      </c>
      <c r="AX141" s="187">
        <f>'Interest Rates data'!AU63</f>
        <v/>
      </c>
    </row>
    <row r="142" ht="21" customHeight="1">
      <c r="E142" s="243" t="inlineStr">
        <is>
          <t>AUD JPY</t>
        </is>
      </c>
      <c r="F142" s="187">
        <f>'Interest Rates data'!C64</f>
        <v/>
      </c>
      <c r="G142" s="187">
        <f>'Interest Rates data'!D64</f>
        <v/>
      </c>
      <c r="H142" s="187">
        <f>'Interest Rates data'!E64</f>
        <v/>
      </c>
      <c r="I142" s="187">
        <f>'Interest Rates data'!F64</f>
        <v/>
      </c>
      <c r="J142" s="187">
        <f>'Interest Rates data'!G64</f>
        <v/>
      </c>
      <c r="K142" s="187">
        <f>'Interest Rates data'!H64</f>
        <v/>
      </c>
      <c r="L142" s="187">
        <f>'Interest Rates data'!I64</f>
        <v/>
      </c>
      <c r="M142" s="187">
        <f>'Interest Rates data'!J64</f>
        <v/>
      </c>
      <c r="N142" s="187">
        <f>'Interest Rates data'!K64</f>
        <v/>
      </c>
      <c r="O142" s="187">
        <f>'Interest Rates data'!L64</f>
        <v/>
      </c>
      <c r="P142" s="187">
        <f>'Interest Rates data'!M64</f>
        <v/>
      </c>
      <c r="Q142" s="187">
        <f>'Interest Rates data'!N64</f>
        <v/>
      </c>
      <c r="R142" s="187">
        <f>'Interest Rates data'!O64</f>
        <v/>
      </c>
      <c r="S142" s="187">
        <f>'Interest Rates data'!P64</f>
        <v/>
      </c>
      <c r="T142" s="187">
        <f>'Interest Rates data'!Q64</f>
        <v/>
      </c>
      <c r="U142" s="187">
        <f>'Interest Rates data'!R64</f>
        <v/>
      </c>
      <c r="V142" s="187">
        <f>'Interest Rates data'!S64</f>
        <v/>
      </c>
      <c r="W142" s="187">
        <f>'Interest Rates data'!T64</f>
        <v/>
      </c>
      <c r="X142" s="187">
        <f>'Interest Rates data'!U64</f>
        <v/>
      </c>
      <c r="Y142" s="187">
        <f>'Interest Rates data'!V64</f>
        <v/>
      </c>
      <c r="Z142" s="187">
        <f>'Interest Rates data'!W64</f>
        <v/>
      </c>
      <c r="AA142" s="187">
        <f>'Interest Rates data'!X64</f>
        <v/>
      </c>
      <c r="AB142" s="187">
        <f>'Interest Rates data'!Y64</f>
        <v/>
      </c>
      <c r="AC142" s="187">
        <f>'Interest Rates data'!Z64</f>
        <v/>
      </c>
      <c r="AD142" s="187">
        <f>'Interest Rates data'!AA64</f>
        <v/>
      </c>
      <c r="AE142" s="187">
        <f>'Interest Rates data'!AB64</f>
        <v/>
      </c>
      <c r="AF142" s="187">
        <f>'Interest Rates data'!AC64</f>
        <v/>
      </c>
      <c r="AG142" s="187">
        <f>'Interest Rates data'!AD64</f>
        <v/>
      </c>
      <c r="AH142" s="187">
        <f>'Interest Rates data'!AE64</f>
        <v/>
      </c>
      <c r="AI142" s="187">
        <f>'Interest Rates data'!AF64</f>
        <v/>
      </c>
      <c r="AJ142" s="187">
        <f>'Interest Rates data'!AG64</f>
        <v/>
      </c>
      <c r="AK142" s="187">
        <f>'Interest Rates data'!AH64</f>
        <v/>
      </c>
      <c r="AL142" s="187">
        <f>'Interest Rates data'!AI64</f>
        <v/>
      </c>
      <c r="AM142" s="187">
        <f>'Interest Rates data'!AJ64</f>
        <v/>
      </c>
      <c r="AN142" s="187">
        <f>'Interest Rates data'!AK64</f>
        <v/>
      </c>
      <c r="AO142" s="187">
        <f>'Interest Rates data'!AL64</f>
        <v/>
      </c>
      <c r="AP142" s="187">
        <f>'Interest Rates data'!AM64</f>
        <v/>
      </c>
      <c r="AQ142" s="187">
        <f>'Interest Rates data'!AN64</f>
        <v/>
      </c>
      <c r="AR142" s="187">
        <f>'Interest Rates data'!AO64</f>
        <v/>
      </c>
      <c r="AS142" s="187">
        <f>'Interest Rates data'!AP64</f>
        <v/>
      </c>
      <c r="AT142" s="187">
        <f>'Interest Rates data'!AQ64</f>
        <v/>
      </c>
      <c r="AU142" s="187">
        <f>'Interest Rates data'!AR64</f>
        <v/>
      </c>
      <c r="AV142" s="187">
        <f>'Interest Rates data'!AS64</f>
        <v/>
      </c>
      <c r="AW142" s="187">
        <f>'Interest Rates data'!AT64</f>
        <v/>
      </c>
      <c r="AX142" s="187">
        <f>'Interest Rates data'!AU64</f>
        <v/>
      </c>
    </row>
    <row r="143" ht="21" customHeight="1">
      <c r="E143" s="244" t="inlineStr">
        <is>
          <t>AUD NZD</t>
        </is>
      </c>
      <c r="F143" s="187">
        <f>'Interest Rates data'!C65</f>
        <v/>
      </c>
      <c r="G143" s="187">
        <f>'Interest Rates data'!D65</f>
        <v/>
      </c>
      <c r="H143" s="187">
        <f>'Interest Rates data'!E65</f>
        <v/>
      </c>
      <c r="I143" s="187">
        <f>'Interest Rates data'!F65</f>
        <v/>
      </c>
      <c r="J143" s="187">
        <f>'Interest Rates data'!G65</f>
        <v/>
      </c>
      <c r="K143" s="187">
        <f>'Interest Rates data'!H65</f>
        <v/>
      </c>
      <c r="L143" s="187">
        <f>'Interest Rates data'!I65</f>
        <v/>
      </c>
      <c r="M143" s="187">
        <f>'Interest Rates data'!J65</f>
        <v/>
      </c>
      <c r="N143" s="187">
        <f>'Interest Rates data'!K65</f>
        <v/>
      </c>
      <c r="O143" s="187">
        <f>'Interest Rates data'!L65</f>
        <v/>
      </c>
      <c r="P143" s="187">
        <f>'Interest Rates data'!M65</f>
        <v/>
      </c>
      <c r="Q143" s="187">
        <f>'Interest Rates data'!N65</f>
        <v/>
      </c>
      <c r="R143" s="187">
        <f>'Interest Rates data'!O65</f>
        <v/>
      </c>
      <c r="S143" s="187">
        <f>'Interest Rates data'!P65</f>
        <v/>
      </c>
      <c r="T143" s="187">
        <f>'Interest Rates data'!Q65</f>
        <v/>
      </c>
      <c r="U143" s="187">
        <f>'Interest Rates data'!R65</f>
        <v/>
      </c>
      <c r="V143" s="187">
        <f>'Interest Rates data'!S65</f>
        <v/>
      </c>
      <c r="W143" s="187">
        <f>'Interest Rates data'!T65</f>
        <v/>
      </c>
      <c r="X143" s="187">
        <f>'Interest Rates data'!U65</f>
        <v/>
      </c>
      <c r="Y143" s="187">
        <f>'Interest Rates data'!V65</f>
        <v/>
      </c>
      <c r="Z143" s="187">
        <f>'Interest Rates data'!W65</f>
        <v/>
      </c>
      <c r="AA143" s="187">
        <f>'Interest Rates data'!X65</f>
        <v/>
      </c>
      <c r="AB143" s="187">
        <f>'Interest Rates data'!Y65</f>
        <v/>
      </c>
      <c r="AC143" s="187">
        <f>'Interest Rates data'!Z65</f>
        <v/>
      </c>
      <c r="AD143" s="187">
        <f>'Interest Rates data'!AA65</f>
        <v/>
      </c>
      <c r="AE143" s="187">
        <f>'Interest Rates data'!AB65</f>
        <v/>
      </c>
      <c r="AF143" s="187">
        <f>'Interest Rates data'!AC65</f>
        <v/>
      </c>
      <c r="AG143" s="187">
        <f>'Interest Rates data'!AD65</f>
        <v/>
      </c>
      <c r="AH143" s="187">
        <f>'Interest Rates data'!AE65</f>
        <v/>
      </c>
      <c r="AI143" s="187">
        <f>'Interest Rates data'!AF65</f>
        <v/>
      </c>
      <c r="AJ143" s="187">
        <f>'Interest Rates data'!AG65</f>
        <v/>
      </c>
      <c r="AK143" s="187">
        <f>'Interest Rates data'!AH65</f>
        <v/>
      </c>
      <c r="AL143" s="187">
        <f>'Interest Rates data'!AI65</f>
        <v/>
      </c>
      <c r="AM143" s="187">
        <f>'Interest Rates data'!AJ65</f>
        <v/>
      </c>
      <c r="AN143" s="187">
        <f>'Interest Rates data'!AK65</f>
        <v/>
      </c>
      <c r="AO143" s="187">
        <f>'Interest Rates data'!AL65</f>
        <v/>
      </c>
      <c r="AP143" s="187">
        <f>'Interest Rates data'!AM65</f>
        <v/>
      </c>
      <c r="AQ143" s="187">
        <f>'Interest Rates data'!AN65</f>
        <v/>
      </c>
      <c r="AR143" s="187">
        <f>'Interest Rates data'!AO65</f>
        <v/>
      </c>
      <c r="AS143" s="187">
        <f>'Interest Rates data'!AP65</f>
        <v/>
      </c>
      <c r="AT143" s="187">
        <f>'Interest Rates data'!AQ65</f>
        <v/>
      </c>
      <c r="AU143" s="187">
        <f>'Interest Rates data'!AR65</f>
        <v/>
      </c>
      <c r="AV143" s="187">
        <f>'Interest Rates data'!AS65</f>
        <v/>
      </c>
      <c r="AW143" s="187">
        <f>'Interest Rates data'!AT65</f>
        <v/>
      </c>
      <c r="AX143" s="187">
        <f>'Interest Rates data'!AU65</f>
        <v/>
      </c>
    </row>
    <row r="144" ht="21" customHeight="1">
      <c r="E144" s="244" t="inlineStr">
        <is>
          <t>AUD CAD</t>
        </is>
      </c>
      <c r="F144" s="187">
        <f>'Interest Rates data'!C66</f>
        <v/>
      </c>
      <c r="G144" s="187">
        <f>'Interest Rates data'!D66</f>
        <v/>
      </c>
      <c r="H144" s="187">
        <f>'Interest Rates data'!E66</f>
        <v/>
      </c>
      <c r="I144" s="187">
        <f>'Interest Rates data'!F66</f>
        <v/>
      </c>
      <c r="J144" s="187">
        <f>'Interest Rates data'!G66</f>
        <v/>
      </c>
      <c r="K144" s="187">
        <f>'Interest Rates data'!H66</f>
        <v/>
      </c>
      <c r="L144" s="187">
        <f>'Interest Rates data'!I66</f>
        <v/>
      </c>
      <c r="M144" s="187">
        <f>'Interest Rates data'!J66</f>
        <v/>
      </c>
      <c r="N144" s="187">
        <f>'Interest Rates data'!K66</f>
        <v/>
      </c>
      <c r="O144" s="187">
        <f>'Interest Rates data'!L66</f>
        <v/>
      </c>
      <c r="P144" s="187">
        <f>'Interest Rates data'!M66</f>
        <v/>
      </c>
      <c r="Q144" s="187">
        <f>'Interest Rates data'!N66</f>
        <v/>
      </c>
      <c r="R144" s="187">
        <f>'Interest Rates data'!O66</f>
        <v/>
      </c>
      <c r="S144" s="187">
        <f>'Interest Rates data'!P66</f>
        <v/>
      </c>
      <c r="T144" s="187">
        <f>'Interest Rates data'!Q66</f>
        <v/>
      </c>
      <c r="U144" s="187">
        <f>'Interest Rates data'!R66</f>
        <v/>
      </c>
      <c r="V144" s="187">
        <f>'Interest Rates data'!S66</f>
        <v/>
      </c>
      <c r="W144" s="187">
        <f>'Interest Rates data'!T66</f>
        <v/>
      </c>
      <c r="X144" s="187">
        <f>'Interest Rates data'!U66</f>
        <v/>
      </c>
      <c r="Y144" s="187">
        <f>'Interest Rates data'!V66</f>
        <v/>
      </c>
      <c r="Z144" s="187">
        <f>'Interest Rates data'!W66</f>
        <v/>
      </c>
      <c r="AA144" s="187">
        <f>'Interest Rates data'!X66</f>
        <v/>
      </c>
      <c r="AB144" s="187">
        <f>'Interest Rates data'!Y66</f>
        <v/>
      </c>
      <c r="AC144" s="187">
        <f>'Interest Rates data'!Z66</f>
        <v/>
      </c>
      <c r="AD144" s="187">
        <f>'Interest Rates data'!AA66</f>
        <v/>
      </c>
      <c r="AE144" s="187">
        <f>'Interest Rates data'!AB66</f>
        <v/>
      </c>
      <c r="AF144" s="187">
        <f>'Interest Rates data'!AC66</f>
        <v/>
      </c>
      <c r="AG144" s="187">
        <f>'Interest Rates data'!AD66</f>
        <v/>
      </c>
      <c r="AH144" s="187">
        <f>'Interest Rates data'!AE66</f>
        <v/>
      </c>
      <c r="AI144" s="187">
        <f>'Interest Rates data'!AF66</f>
        <v/>
      </c>
      <c r="AJ144" s="187">
        <f>'Interest Rates data'!AG66</f>
        <v/>
      </c>
      <c r="AK144" s="187">
        <f>'Interest Rates data'!AH66</f>
        <v/>
      </c>
      <c r="AL144" s="187">
        <f>'Interest Rates data'!AI66</f>
        <v/>
      </c>
      <c r="AM144" s="187">
        <f>'Interest Rates data'!AJ66</f>
        <v/>
      </c>
      <c r="AN144" s="187">
        <f>'Interest Rates data'!AK66</f>
        <v/>
      </c>
      <c r="AO144" s="187">
        <f>'Interest Rates data'!AL66</f>
        <v/>
      </c>
      <c r="AP144" s="187">
        <f>'Interest Rates data'!AM66</f>
        <v/>
      </c>
      <c r="AQ144" s="187">
        <f>'Interest Rates data'!AN66</f>
        <v/>
      </c>
      <c r="AR144" s="187">
        <f>'Interest Rates data'!AO66</f>
        <v/>
      </c>
      <c r="AS144" s="187">
        <f>'Interest Rates data'!AP66</f>
        <v/>
      </c>
      <c r="AT144" s="187">
        <f>'Interest Rates data'!AQ66</f>
        <v/>
      </c>
      <c r="AU144" s="187">
        <f>'Interest Rates data'!AR66</f>
        <v/>
      </c>
      <c r="AV144" s="187">
        <f>'Interest Rates data'!AS66</f>
        <v/>
      </c>
      <c r="AW144" s="187">
        <f>'Interest Rates data'!AT66</f>
        <v/>
      </c>
      <c r="AX144" s="187">
        <f>'Interest Rates data'!AU66</f>
        <v/>
      </c>
    </row>
    <row r="145" ht="21" customHeight="1">
      <c r="E145" s="245" t="inlineStr">
        <is>
          <t>CAD JPY</t>
        </is>
      </c>
      <c r="F145" s="187">
        <f>'Interest Rates data'!C67</f>
        <v/>
      </c>
      <c r="G145" s="187">
        <f>'Interest Rates data'!D67</f>
        <v/>
      </c>
      <c r="H145" s="187">
        <f>'Interest Rates data'!E67</f>
        <v/>
      </c>
      <c r="I145" s="187">
        <f>'Interest Rates data'!F67</f>
        <v/>
      </c>
      <c r="J145" s="187">
        <f>'Interest Rates data'!G67</f>
        <v/>
      </c>
      <c r="K145" s="187">
        <f>'Interest Rates data'!H67</f>
        <v/>
      </c>
      <c r="L145" s="187">
        <f>'Interest Rates data'!I67</f>
        <v/>
      </c>
      <c r="M145" s="187">
        <f>'Interest Rates data'!J67</f>
        <v/>
      </c>
      <c r="N145" s="187">
        <f>'Interest Rates data'!K67</f>
        <v/>
      </c>
      <c r="O145" s="187">
        <f>'Interest Rates data'!L67</f>
        <v/>
      </c>
      <c r="P145" s="187">
        <f>'Interest Rates data'!M67</f>
        <v/>
      </c>
      <c r="Q145" s="187">
        <f>'Interest Rates data'!N67</f>
        <v/>
      </c>
      <c r="R145" s="187">
        <f>'Interest Rates data'!O67</f>
        <v/>
      </c>
      <c r="S145" s="187">
        <f>'Interest Rates data'!P67</f>
        <v/>
      </c>
      <c r="T145" s="187">
        <f>'Interest Rates data'!Q67</f>
        <v/>
      </c>
      <c r="U145" s="187">
        <f>'Interest Rates data'!R67</f>
        <v/>
      </c>
      <c r="V145" s="187">
        <f>'Interest Rates data'!S67</f>
        <v/>
      </c>
      <c r="W145" s="187">
        <f>'Interest Rates data'!T67</f>
        <v/>
      </c>
      <c r="X145" s="187">
        <f>'Interest Rates data'!U67</f>
        <v/>
      </c>
      <c r="Y145" s="187">
        <f>'Interest Rates data'!V67</f>
        <v/>
      </c>
      <c r="Z145" s="187">
        <f>'Interest Rates data'!W67</f>
        <v/>
      </c>
      <c r="AA145" s="187">
        <f>'Interest Rates data'!X67</f>
        <v/>
      </c>
      <c r="AB145" s="187">
        <f>'Interest Rates data'!Y67</f>
        <v/>
      </c>
      <c r="AC145" s="187">
        <f>'Interest Rates data'!Z67</f>
        <v/>
      </c>
      <c r="AD145" s="187">
        <f>'Interest Rates data'!AA67</f>
        <v/>
      </c>
      <c r="AE145" s="187">
        <f>'Interest Rates data'!AB67</f>
        <v/>
      </c>
      <c r="AF145" s="187">
        <f>'Interest Rates data'!AC67</f>
        <v/>
      </c>
      <c r="AG145" s="187">
        <f>'Interest Rates data'!AD67</f>
        <v/>
      </c>
      <c r="AH145" s="187">
        <f>'Interest Rates data'!AE67</f>
        <v/>
      </c>
      <c r="AI145" s="187">
        <f>'Interest Rates data'!AF67</f>
        <v/>
      </c>
      <c r="AJ145" s="187">
        <f>'Interest Rates data'!AG67</f>
        <v/>
      </c>
      <c r="AK145" s="187">
        <f>'Interest Rates data'!AH67</f>
        <v/>
      </c>
      <c r="AL145" s="187">
        <f>'Interest Rates data'!AI67</f>
        <v/>
      </c>
      <c r="AM145" s="187">
        <f>'Interest Rates data'!AJ67</f>
        <v/>
      </c>
      <c r="AN145" s="187">
        <f>'Interest Rates data'!AK67</f>
        <v/>
      </c>
      <c r="AO145" s="187">
        <f>'Interest Rates data'!AL67</f>
        <v/>
      </c>
      <c r="AP145" s="187">
        <f>'Interest Rates data'!AM67</f>
        <v/>
      </c>
      <c r="AQ145" s="187">
        <f>'Interest Rates data'!AN67</f>
        <v/>
      </c>
      <c r="AR145" s="187">
        <f>'Interest Rates data'!AO67</f>
        <v/>
      </c>
      <c r="AS145" s="187">
        <f>'Interest Rates data'!AP67</f>
        <v/>
      </c>
      <c r="AT145" s="187">
        <f>'Interest Rates data'!AQ67</f>
        <v/>
      </c>
      <c r="AU145" s="187">
        <f>'Interest Rates data'!AR67</f>
        <v/>
      </c>
      <c r="AV145" s="187">
        <f>'Interest Rates data'!AS67</f>
        <v/>
      </c>
      <c r="AW145" s="187">
        <f>'Interest Rates data'!AT67</f>
        <v/>
      </c>
      <c r="AX145" s="187">
        <f>'Interest Rates data'!AU67</f>
        <v/>
      </c>
    </row>
    <row r="146"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</row>
    <row r="147"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</row>
    <row r="148">
      <c r="E148" s="248" t="inlineStr">
        <is>
          <t>EQUITY</t>
        </is>
      </c>
      <c r="F148" s="249" t="n">
        <v>44927</v>
      </c>
      <c r="G148" s="208" t="n">
        <v>44958</v>
      </c>
      <c r="H148" s="208" t="n">
        <v>44986</v>
      </c>
      <c r="I148" s="249" t="n">
        <v>45017</v>
      </c>
      <c r="J148" s="208" t="n">
        <v>45047</v>
      </c>
      <c r="K148" s="208" t="n">
        <v>45078</v>
      </c>
      <c r="L148" s="249" t="n">
        <v>45108</v>
      </c>
      <c r="M148" s="208" t="n">
        <v>45139</v>
      </c>
      <c r="N148" s="208" t="n">
        <v>45170</v>
      </c>
      <c r="O148" s="249" t="n">
        <v>45200</v>
      </c>
      <c r="P148" s="208" t="n">
        <v>45231</v>
      </c>
      <c r="Q148" s="208" t="n">
        <v>45261</v>
      </c>
      <c r="R148" s="249" t="n">
        <v>45292</v>
      </c>
      <c r="S148" s="208" t="n">
        <v>45323</v>
      </c>
      <c r="T148" s="208" t="n">
        <v>45352</v>
      </c>
      <c r="U148" s="249" t="n">
        <v>45383</v>
      </c>
      <c r="V148" s="208" t="n">
        <v>45413</v>
      </c>
      <c r="W148" s="208" t="n">
        <v>45444</v>
      </c>
      <c r="X148" s="249" t="n">
        <v>45474</v>
      </c>
      <c r="Y148" s="208" t="n">
        <v>45505</v>
      </c>
      <c r="Z148" s="208" t="n">
        <v>45536</v>
      </c>
      <c r="AA148" s="249" t="n">
        <v>45566</v>
      </c>
      <c r="AB148" s="208" t="n">
        <v>45597</v>
      </c>
      <c r="AC148" s="208" t="n">
        <v>45627</v>
      </c>
      <c r="AD148" s="249" t="n">
        <v>45658</v>
      </c>
      <c r="AE148" s="208" t="n">
        <v>45689</v>
      </c>
      <c r="AF148" s="208" t="n">
        <v>45717</v>
      </c>
      <c r="AG148" s="208" t="n">
        <v>45748</v>
      </c>
      <c r="AH148" s="208" t="n">
        <v>45778</v>
      </c>
      <c r="AI148" s="208" t="n">
        <v>45809</v>
      </c>
      <c r="AJ148" s="208" t="n">
        <v>45839</v>
      </c>
      <c r="AK148" s="208" t="n">
        <v>45870</v>
      </c>
      <c r="AL148" s="208" t="n">
        <v>45901</v>
      </c>
      <c r="AM148" s="208" t="n">
        <v>45931</v>
      </c>
      <c r="AN148" s="208" t="n">
        <v>45962</v>
      </c>
      <c r="AO148" s="208" t="n">
        <v>45992</v>
      </c>
      <c r="AP148" s="208" t="n">
        <v>46023</v>
      </c>
      <c r="AQ148" s="208" t="n">
        <v>46054</v>
      </c>
      <c r="AR148" s="208" t="n">
        <v>46082</v>
      </c>
      <c r="AS148" s="208" t="n">
        <v>46113</v>
      </c>
      <c r="AT148" s="208" t="n">
        <v>46143</v>
      </c>
      <c r="AU148" s="208" t="n">
        <v>46174</v>
      </c>
      <c r="AV148" s="208" t="n">
        <v>46204</v>
      </c>
      <c r="AW148" s="208" t="n">
        <v>46235</v>
      </c>
      <c r="AX148" s="208" t="n">
        <v>46266</v>
      </c>
    </row>
    <row r="149" ht="21" customHeight="1">
      <c r="E149" s="236" t="inlineStr">
        <is>
          <t>USD JPY</t>
        </is>
      </c>
      <c r="F149" s="250">
        <f>EQUITY!C13</f>
        <v/>
      </c>
      <c r="G149" s="250">
        <f>EQUITY!D13</f>
        <v/>
      </c>
      <c r="H149" s="250">
        <f>EQUITY!E13</f>
        <v/>
      </c>
      <c r="I149" s="250">
        <f>EQUITY!F13</f>
        <v/>
      </c>
      <c r="J149" s="250">
        <f>EQUITY!G13</f>
        <v/>
      </c>
      <c r="K149" s="250">
        <f>EQUITY!H13</f>
        <v/>
      </c>
      <c r="L149" s="250">
        <f>EQUITY!I13</f>
        <v/>
      </c>
      <c r="M149" s="250">
        <f>EQUITY!J13</f>
        <v/>
      </c>
      <c r="N149" s="250">
        <f>EQUITY!K13</f>
        <v/>
      </c>
      <c r="O149" s="250">
        <f>EQUITY!L13</f>
        <v/>
      </c>
      <c r="P149" s="250">
        <f>EQUITY!M13</f>
        <v/>
      </c>
      <c r="Q149" s="250">
        <f>EQUITY!N13</f>
        <v/>
      </c>
      <c r="R149" s="250">
        <f>EQUITY!O13</f>
        <v/>
      </c>
      <c r="S149" s="250">
        <f>EQUITY!P13</f>
        <v/>
      </c>
      <c r="T149" s="250">
        <f>EQUITY!Q13</f>
        <v/>
      </c>
      <c r="U149" s="250">
        <f>EQUITY!R13</f>
        <v/>
      </c>
      <c r="V149" s="250">
        <f>EQUITY!S13</f>
        <v/>
      </c>
      <c r="W149" s="250">
        <f>EQUITY!T13</f>
        <v/>
      </c>
      <c r="X149" s="250">
        <f>EQUITY!U13</f>
        <v/>
      </c>
      <c r="Y149" s="250">
        <f>EQUITY!V13</f>
        <v/>
      </c>
      <c r="Z149" s="250">
        <f>EQUITY!W13</f>
        <v/>
      </c>
      <c r="AA149" s="250">
        <f>EQUITY!X13</f>
        <v/>
      </c>
      <c r="AB149" s="250">
        <f>EQUITY!Y13</f>
        <v/>
      </c>
      <c r="AC149" s="250">
        <f>EQUITY!Z13</f>
        <v/>
      </c>
      <c r="AD149" s="250">
        <f>EQUITY!AA13</f>
        <v/>
      </c>
      <c r="AE149" s="187">
        <f>EQUITY!AB13</f>
        <v/>
      </c>
      <c r="AF149" s="187">
        <f>EQUITY!AC13</f>
        <v/>
      </c>
      <c r="AG149" s="187">
        <f>EQUITY!AD13</f>
        <v/>
      </c>
      <c r="AH149" s="187">
        <f>EQUITY!AE13</f>
        <v/>
      </c>
      <c r="AI149" s="187">
        <f>EQUITY!AF13</f>
        <v/>
      </c>
      <c r="AJ149" s="187">
        <f>EQUITY!AG13</f>
        <v/>
      </c>
      <c r="AK149" s="187">
        <f>EQUITY!AH13</f>
        <v/>
      </c>
      <c r="AL149" s="187">
        <f>EQUITY!AI13</f>
        <v/>
      </c>
      <c r="AM149" s="187">
        <f>EQUITY!AJ13</f>
        <v/>
      </c>
      <c r="AN149" s="187">
        <f>EQUITY!AK13</f>
        <v/>
      </c>
      <c r="AO149" s="187">
        <f>EQUITY!AL13</f>
        <v/>
      </c>
      <c r="AP149" s="187">
        <f>EQUITY!AM13</f>
        <v/>
      </c>
      <c r="AQ149" s="187">
        <f>EQUITY!AN13</f>
        <v/>
      </c>
      <c r="AR149" s="187">
        <f>EQUITY!AO13</f>
        <v/>
      </c>
      <c r="AS149" s="187">
        <f>EQUITY!AP13</f>
        <v/>
      </c>
      <c r="AT149" s="187">
        <f>EQUITY!AQ13</f>
        <v/>
      </c>
      <c r="AU149" s="187">
        <f>EQUITY!AR13</f>
        <v/>
      </c>
      <c r="AV149" s="187">
        <f>EQUITY!AS13</f>
        <v/>
      </c>
      <c r="AW149" s="187">
        <f>EQUITY!AT13</f>
        <v/>
      </c>
      <c r="AX149" s="187">
        <f>EQUITY!AU13</f>
        <v/>
      </c>
      <c r="AY149">
        <f>EQUITY!AV13</f>
        <v/>
      </c>
      <c r="AZ149">
        <f>EQUITY!AW13</f>
        <v/>
      </c>
      <c r="BA149">
        <f>EQUITY!AX13</f>
        <v/>
      </c>
    </row>
    <row r="150" ht="21" customHeight="1">
      <c r="E150" s="237" t="inlineStr">
        <is>
          <t>USD CHF</t>
        </is>
      </c>
      <c r="F150" s="250">
        <f>EQUITY!C21</f>
        <v/>
      </c>
      <c r="G150" s="250">
        <f>EQUITY!D21</f>
        <v/>
      </c>
      <c r="H150" s="250">
        <f>EQUITY!E21</f>
        <v/>
      </c>
      <c r="I150" s="250">
        <f>EQUITY!F21</f>
        <v/>
      </c>
      <c r="J150" s="250">
        <f>EQUITY!G21</f>
        <v/>
      </c>
      <c r="K150" s="250">
        <f>EQUITY!H21</f>
        <v/>
      </c>
      <c r="L150" s="250">
        <f>EQUITY!I21</f>
        <v/>
      </c>
      <c r="M150" s="250">
        <f>EQUITY!J21</f>
        <v/>
      </c>
      <c r="N150" s="250">
        <f>EQUITY!K21</f>
        <v/>
      </c>
      <c r="O150" s="250">
        <f>EQUITY!L21</f>
        <v/>
      </c>
      <c r="P150" s="250">
        <f>EQUITY!M21</f>
        <v/>
      </c>
      <c r="Q150" s="250">
        <f>EQUITY!N21</f>
        <v/>
      </c>
      <c r="R150" s="250">
        <f>EQUITY!O21</f>
        <v/>
      </c>
      <c r="S150" s="250">
        <f>EQUITY!P21</f>
        <v/>
      </c>
      <c r="T150" s="250">
        <f>EQUITY!Q21</f>
        <v/>
      </c>
      <c r="U150" s="250">
        <f>EQUITY!R21</f>
        <v/>
      </c>
      <c r="V150" s="250">
        <f>EQUITY!S21</f>
        <v/>
      </c>
      <c r="W150" s="250">
        <f>EQUITY!T21</f>
        <v/>
      </c>
      <c r="X150" s="250">
        <f>EQUITY!U21</f>
        <v/>
      </c>
      <c r="Y150" s="250">
        <f>EQUITY!V21</f>
        <v/>
      </c>
      <c r="Z150" s="250">
        <f>EQUITY!W21</f>
        <v/>
      </c>
      <c r="AA150" s="250">
        <f>EQUITY!X21</f>
        <v/>
      </c>
      <c r="AB150" s="250">
        <f>EQUITY!Y21</f>
        <v/>
      </c>
      <c r="AC150" s="250">
        <f>EQUITY!Z21</f>
        <v/>
      </c>
      <c r="AD150" s="250">
        <f>EQUITY!AA21</f>
        <v/>
      </c>
      <c r="AE150" s="187">
        <f>EQUITY!AB21</f>
        <v/>
      </c>
      <c r="AF150" s="187">
        <f>EQUITY!AC21</f>
        <v/>
      </c>
      <c r="AG150" s="187">
        <f>EQUITY!AD21</f>
        <v/>
      </c>
      <c r="AH150" s="187">
        <f>EQUITY!AE21</f>
        <v/>
      </c>
      <c r="AI150" s="187">
        <f>EQUITY!AF21</f>
        <v/>
      </c>
      <c r="AJ150" s="187">
        <f>EQUITY!AG21</f>
        <v/>
      </c>
      <c r="AK150" s="187">
        <f>EQUITY!AH21</f>
        <v/>
      </c>
      <c r="AL150" s="187">
        <f>EQUITY!AI21</f>
        <v/>
      </c>
      <c r="AM150" s="187">
        <f>EQUITY!AJ21</f>
        <v/>
      </c>
      <c r="AN150" s="187">
        <f>EQUITY!AK21</f>
        <v/>
      </c>
      <c r="AO150" s="187">
        <f>EQUITY!AL21</f>
        <v/>
      </c>
      <c r="AP150" s="187">
        <f>EQUITY!AM21</f>
        <v/>
      </c>
      <c r="AQ150" s="187">
        <f>EQUITY!AN21</f>
        <v/>
      </c>
      <c r="AR150" s="187">
        <f>EQUITY!AO21</f>
        <v/>
      </c>
      <c r="AS150" s="187">
        <f>EQUITY!AP21</f>
        <v/>
      </c>
      <c r="AT150" s="187">
        <f>EQUITY!AQ21</f>
        <v/>
      </c>
      <c r="AU150" s="187">
        <f>EQUITY!AR21</f>
        <v/>
      </c>
      <c r="AV150" s="187">
        <f>EQUITY!AS21</f>
        <v/>
      </c>
      <c r="AW150" s="187">
        <f>EQUITY!AT21</f>
        <v/>
      </c>
      <c r="AX150" s="187">
        <f>EQUITY!AU21</f>
        <v/>
      </c>
      <c r="AY150">
        <f>EQUITY!AV21</f>
        <v/>
      </c>
      <c r="AZ150">
        <f>EQUITY!AW21</f>
        <v/>
      </c>
      <c r="BA150">
        <f>EQUITY!AX21</f>
        <v/>
      </c>
    </row>
    <row r="151" ht="21" customHeight="1">
      <c r="E151" s="237" t="inlineStr">
        <is>
          <t>USD CAD</t>
        </is>
      </c>
      <c r="F151" s="250">
        <f>EQUITY!C29</f>
        <v/>
      </c>
      <c r="G151" s="250">
        <f>EQUITY!D29</f>
        <v/>
      </c>
      <c r="H151" s="250">
        <f>EQUITY!E29</f>
        <v/>
      </c>
      <c r="I151" s="250">
        <f>EQUITY!F29</f>
        <v/>
      </c>
      <c r="J151" s="250">
        <f>EQUITY!G29</f>
        <v/>
      </c>
      <c r="K151" s="250">
        <f>EQUITY!H29</f>
        <v/>
      </c>
      <c r="L151" s="250">
        <f>EQUITY!I29</f>
        <v/>
      </c>
      <c r="M151" s="250">
        <f>EQUITY!J29</f>
        <v/>
      </c>
      <c r="N151" s="250">
        <f>EQUITY!K29</f>
        <v/>
      </c>
      <c r="O151" s="250">
        <f>EQUITY!L29</f>
        <v/>
      </c>
      <c r="P151" s="250">
        <f>EQUITY!M29</f>
        <v/>
      </c>
      <c r="Q151" s="250">
        <f>EQUITY!N29</f>
        <v/>
      </c>
      <c r="R151" s="250">
        <f>EQUITY!O29</f>
        <v/>
      </c>
      <c r="S151" s="250">
        <f>EQUITY!P29</f>
        <v/>
      </c>
      <c r="T151" s="250">
        <f>EQUITY!Q29</f>
        <v/>
      </c>
      <c r="U151" s="250">
        <f>EQUITY!R29</f>
        <v/>
      </c>
      <c r="V151" s="250">
        <f>EQUITY!S29</f>
        <v/>
      </c>
      <c r="W151" s="250">
        <f>EQUITY!T29</f>
        <v/>
      </c>
      <c r="X151" s="250">
        <f>EQUITY!U29</f>
        <v/>
      </c>
      <c r="Y151" s="250">
        <f>EQUITY!V29</f>
        <v/>
      </c>
      <c r="Z151" s="250">
        <f>EQUITY!W29</f>
        <v/>
      </c>
      <c r="AA151" s="250">
        <f>EQUITY!X29</f>
        <v/>
      </c>
      <c r="AB151" s="250">
        <f>EQUITY!Y29</f>
        <v/>
      </c>
      <c r="AC151" s="250">
        <f>EQUITY!Z29</f>
        <v/>
      </c>
      <c r="AD151" s="250">
        <f>EQUITY!AA29</f>
        <v/>
      </c>
      <c r="AE151" s="187">
        <f>EQUITY!AB29</f>
        <v/>
      </c>
      <c r="AF151" s="187">
        <f>EQUITY!AC29</f>
        <v/>
      </c>
      <c r="AG151" s="187">
        <f>EQUITY!AD29</f>
        <v/>
      </c>
      <c r="AH151" s="187">
        <f>EQUITY!AE29</f>
        <v/>
      </c>
      <c r="AI151" s="187">
        <f>EQUITY!AF29</f>
        <v/>
      </c>
      <c r="AJ151" s="187">
        <f>EQUITY!AG29</f>
        <v/>
      </c>
      <c r="AK151" s="187">
        <f>EQUITY!AH29</f>
        <v/>
      </c>
      <c r="AL151" s="187">
        <f>EQUITY!AI29</f>
        <v/>
      </c>
      <c r="AM151" s="187">
        <f>EQUITY!AJ29</f>
        <v/>
      </c>
      <c r="AN151" s="187">
        <f>EQUITY!AK29</f>
        <v/>
      </c>
      <c r="AO151" s="187">
        <f>EQUITY!AL29</f>
        <v/>
      </c>
      <c r="AP151" s="187">
        <f>EQUITY!AM29</f>
        <v/>
      </c>
      <c r="AQ151" s="187">
        <f>EQUITY!AN29</f>
        <v/>
      </c>
      <c r="AR151" s="187">
        <f>EQUITY!AO29</f>
        <v/>
      </c>
      <c r="AS151" s="187">
        <f>EQUITY!AP29</f>
        <v/>
      </c>
      <c r="AT151" s="187">
        <f>EQUITY!AQ29</f>
        <v/>
      </c>
      <c r="AU151" s="187">
        <f>EQUITY!AR29</f>
        <v/>
      </c>
      <c r="AV151" s="187">
        <f>EQUITY!AS29</f>
        <v/>
      </c>
      <c r="AW151" s="187">
        <f>EQUITY!AT29</f>
        <v/>
      </c>
      <c r="AX151" s="187">
        <f>EQUITY!AU29</f>
        <v/>
      </c>
      <c r="AY151">
        <f>EQUITY!AV29</f>
        <v/>
      </c>
      <c r="AZ151">
        <f>EQUITY!AW29</f>
        <v/>
      </c>
      <c r="BA151">
        <f>EQUITY!AX29</f>
        <v/>
      </c>
    </row>
    <row r="152" ht="21" customHeight="1">
      <c r="E152" s="238" t="inlineStr">
        <is>
          <t>EUR USD</t>
        </is>
      </c>
      <c r="F152" s="250">
        <f>EQUITY!C37</f>
        <v/>
      </c>
      <c r="G152" s="250">
        <f>EQUITY!D37</f>
        <v/>
      </c>
      <c r="H152" s="250">
        <f>EQUITY!E37</f>
        <v/>
      </c>
      <c r="I152" s="250">
        <f>EQUITY!F37</f>
        <v/>
      </c>
      <c r="J152" s="250">
        <f>EQUITY!G37</f>
        <v/>
      </c>
      <c r="K152" s="250">
        <f>EQUITY!H37</f>
        <v/>
      </c>
      <c r="L152" s="250">
        <f>EQUITY!I37</f>
        <v/>
      </c>
      <c r="M152" s="250">
        <f>EQUITY!J37</f>
        <v/>
      </c>
      <c r="N152" s="250">
        <f>EQUITY!K37</f>
        <v/>
      </c>
      <c r="O152" s="250">
        <f>EQUITY!L37</f>
        <v/>
      </c>
      <c r="P152" s="250">
        <f>EQUITY!M37</f>
        <v/>
      </c>
      <c r="Q152" s="250">
        <f>EQUITY!N37</f>
        <v/>
      </c>
      <c r="R152" s="250">
        <f>EQUITY!O37</f>
        <v/>
      </c>
      <c r="S152" s="250">
        <f>EQUITY!P37</f>
        <v/>
      </c>
      <c r="T152" s="250">
        <f>EQUITY!Q37</f>
        <v/>
      </c>
      <c r="U152" s="250">
        <f>EQUITY!R37</f>
        <v/>
      </c>
      <c r="V152" s="250">
        <f>EQUITY!S37</f>
        <v/>
      </c>
      <c r="W152" s="250">
        <f>EQUITY!T37</f>
        <v/>
      </c>
      <c r="X152" s="250">
        <f>EQUITY!U37</f>
        <v/>
      </c>
      <c r="Y152" s="250">
        <f>EQUITY!V37</f>
        <v/>
      </c>
      <c r="Z152" s="250">
        <f>EQUITY!W37</f>
        <v/>
      </c>
      <c r="AA152" s="250">
        <f>EQUITY!X37</f>
        <v/>
      </c>
      <c r="AB152" s="250">
        <f>EQUITY!Y37</f>
        <v/>
      </c>
      <c r="AC152" s="250">
        <f>EQUITY!Z37</f>
        <v/>
      </c>
      <c r="AD152" s="250">
        <f>EQUITY!AA37</f>
        <v/>
      </c>
      <c r="AE152" s="187">
        <f>EQUITY!AB37</f>
        <v/>
      </c>
      <c r="AF152" s="187">
        <f>EQUITY!AC37</f>
        <v/>
      </c>
      <c r="AG152" s="187">
        <f>EQUITY!AD37</f>
        <v/>
      </c>
      <c r="AH152" s="187">
        <f>EQUITY!AE37</f>
        <v/>
      </c>
      <c r="AI152" s="187">
        <f>EQUITY!AF37</f>
        <v/>
      </c>
      <c r="AJ152" s="187">
        <f>EQUITY!AG37</f>
        <v/>
      </c>
      <c r="AK152" s="187">
        <f>EQUITY!AH37</f>
        <v/>
      </c>
      <c r="AL152" s="187">
        <f>EQUITY!AI37</f>
        <v/>
      </c>
      <c r="AM152" s="187">
        <f>EQUITY!AJ37</f>
        <v/>
      </c>
      <c r="AN152" s="187">
        <f>EQUITY!AK37</f>
        <v/>
      </c>
      <c r="AO152" s="187">
        <f>EQUITY!AL37</f>
        <v/>
      </c>
      <c r="AP152" s="187">
        <f>EQUITY!AM37</f>
        <v/>
      </c>
      <c r="AQ152" s="187">
        <f>EQUITY!AN37</f>
        <v/>
      </c>
      <c r="AR152" s="187">
        <f>EQUITY!AO37</f>
        <v/>
      </c>
      <c r="AS152" s="187">
        <f>EQUITY!AP37</f>
        <v/>
      </c>
      <c r="AT152" s="187">
        <f>EQUITY!AQ37</f>
        <v/>
      </c>
      <c r="AU152" s="187">
        <f>EQUITY!AR37</f>
        <v/>
      </c>
      <c r="AV152" s="187">
        <f>EQUITY!AS37</f>
        <v/>
      </c>
      <c r="AW152" s="187">
        <f>EQUITY!AT37</f>
        <v/>
      </c>
      <c r="AX152" s="187">
        <f>EQUITY!AU37</f>
        <v/>
      </c>
      <c r="AY152">
        <f>EQUITY!AV37</f>
        <v/>
      </c>
      <c r="AZ152">
        <f>EQUITY!AW37</f>
        <v/>
      </c>
      <c r="BA152">
        <f>EQUITY!AX37</f>
        <v/>
      </c>
    </row>
    <row r="153" ht="21" customHeight="1">
      <c r="E153" s="238" t="inlineStr">
        <is>
          <t>EUR JPY</t>
        </is>
      </c>
      <c r="F153" s="250">
        <f>EQUITY!C45</f>
        <v/>
      </c>
      <c r="G153" s="250">
        <f>EQUITY!D45</f>
        <v/>
      </c>
      <c r="H153" s="250">
        <f>EQUITY!E45</f>
        <v/>
      </c>
      <c r="I153" s="250">
        <f>EQUITY!F45</f>
        <v/>
      </c>
      <c r="J153" s="250">
        <f>EQUITY!G45</f>
        <v/>
      </c>
      <c r="K153" s="250">
        <f>EQUITY!H45</f>
        <v/>
      </c>
      <c r="L153" s="250">
        <f>EQUITY!I45</f>
        <v/>
      </c>
      <c r="M153" s="250">
        <f>EQUITY!J45</f>
        <v/>
      </c>
      <c r="N153" s="250">
        <f>EQUITY!K45</f>
        <v/>
      </c>
      <c r="O153" s="250">
        <f>EQUITY!L45</f>
        <v/>
      </c>
      <c r="P153" s="250">
        <f>EQUITY!M45</f>
        <v/>
      </c>
      <c r="Q153" s="250">
        <f>EQUITY!N45</f>
        <v/>
      </c>
      <c r="R153" s="250">
        <f>EQUITY!O45</f>
        <v/>
      </c>
      <c r="S153" s="250">
        <f>EQUITY!P45</f>
        <v/>
      </c>
      <c r="T153" s="250">
        <f>EQUITY!Q45</f>
        <v/>
      </c>
      <c r="U153" s="250">
        <f>EQUITY!R45</f>
        <v/>
      </c>
      <c r="V153" s="250">
        <f>EQUITY!S45</f>
        <v/>
      </c>
      <c r="W153" s="250">
        <f>EQUITY!T45</f>
        <v/>
      </c>
      <c r="X153" s="250">
        <f>EQUITY!U45</f>
        <v/>
      </c>
      <c r="Y153" s="250">
        <f>EQUITY!V45</f>
        <v/>
      </c>
      <c r="Z153" s="250">
        <f>EQUITY!W45</f>
        <v/>
      </c>
      <c r="AA153" s="250">
        <f>EQUITY!X45</f>
        <v/>
      </c>
      <c r="AB153" s="250">
        <f>EQUITY!Y45</f>
        <v/>
      </c>
      <c r="AC153" s="250">
        <f>EQUITY!Z45</f>
        <v/>
      </c>
      <c r="AD153" s="250">
        <f>EQUITY!AA45</f>
        <v/>
      </c>
      <c r="AE153" s="187">
        <f>EQUITY!AB45</f>
        <v/>
      </c>
      <c r="AF153" s="187">
        <f>EQUITY!AC45</f>
        <v/>
      </c>
      <c r="AG153" s="187">
        <f>EQUITY!AD45</f>
        <v/>
      </c>
      <c r="AH153" s="187">
        <f>EQUITY!AE45</f>
        <v/>
      </c>
      <c r="AI153" s="187">
        <f>EQUITY!AF45</f>
        <v/>
      </c>
      <c r="AJ153" s="187">
        <f>EQUITY!AG45</f>
        <v/>
      </c>
      <c r="AK153" s="187">
        <f>EQUITY!AH45</f>
        <v/>
      </c>
      <c r="AL153" s="187">
        <f>EQUITY!AI45</f>
        <v/>
      </c>
      <c r="AM153" s="187">
        <f>EQUITY!AJ45</f>
        <v/>
      </c>
      <c r="AN153" s="187">
        <f>EQUITY!AK45</f>
        <v/>
      </c>
      <c r="AO153" s="187">
        <f>EQUITY!AL45</f>
        <v/>
      </c>
      <c r="AP153" s="187">
        <f>EQUITY!AM45</f>
        <v/>
      </c>
      <c r="AQ153" s="187">
        <f>EQUITY!AN45</f>
        <v/>
      </c>
      <c r="AR153" s="187">
        <f>EQUITY!AO45</f>
        <v/>
      </c>
      <c r="AS153" s="187">
        <f>EQUITY!AP45</f>
        <v/>
      </c>
      <c r="AT153" s="187">
        <f>EQUITY!AQ45</f>
        <v/>
      </c>
      <c r="AU153" s="187">
        <f>EQUITY!AR45</f>
        <v/>
      </c>
      <c r="AV153" s="187">
        <f>EQUITY!AS45</f>
        <v/>
      </c>
      <c r="AW153" s="187">
        <f>EQUITY!AT45</f>
        <v/>
      </c>
      <c r="AX153" s="187">
        <f>EQUITY!AU45</f>
        <v/>
      </c>
      <c r="AY153">
        <f>EQUITY!AV45</f>
        <v/>
      </c>
      <c r="AZ153">
        <f>EQUITY!AW45</f>
        <v/>
      </c>
      <c r="BA153">
        <f>EQUITY!AX45</f>
        <v/>
      </c>
    </row>
    <row r="154" ht="21" customHeight="1">
      <c r="E154" s="238" t="inlineStr">
        <is>
          <t>EUR CHF</t>
        </is>
      </c>
      <c r="F154" s="250">
        <f>EQUITY!C53</f>
        <v/>
      </c>
      <c r="G154" s="250">
        <f>EQUITY!D53</f>
        <v/>
      </c>
      <c r="H154" s="250">
        <f>EQUITY!E53</f>
        <v/>
      </c>
      <c r="I154" s="250">
        <f>EQUITY!F53</f>
        <v/>
      </c>
      <c r="J154" s="250">
        <f>EQUITY!G53</f>
        <v/>
      </c>
      <c r="K154" s="250">
        <f>EQUITY!H53</f>
        <v/>
      </c>
      <c r="L154" s="250">
        <f>EQUITY!I53</f>
        <v/>
      </c>
      <c r="M154" s="250">
        <f>EQUITY!J53</f>
        <v/>
      </c>
      <c r="N154" s="250">
        <f>EQUITY!K53</f>
        <v/>
      </c>
      <c r="O154" s="250">
        <f>EQUITY!L53</f>
        <v/>
      </c>
      <c r="P154" s="250">
        <f>EQUITY!M53</f>
        <v/>
      </c>
      <c r="Q154" s="250">
        <f>EQUITY!N53</f>
        <v/>
      </c>
      <c r="R154" s="250">
        <f>EQUITY!O53</f>
        <v/>
      </c>
      <c r="S154" s="250">
        <f>EQUITY!P53</f>
        <v/>
      </c>
      <c r="T154" s="250">
        <f>EQUITY!Q53</f>
        <v/>
      </c>
      <c r="U154" s="250">
        <f>EQUITY!R53</f>
        <v/>
      </c>
      <c r="V154" s="250">
        <f>EQUITY!S53</f>
        <v/>
      </c>
      <c r="W154" s="250">
        <f>EQUITY!T53</f>
        <v/>
      </c>
      <c r="X154" s="250">
        <f>EQUITY!U53</f>
        <v/>
      </c>
      <c r="Y154" s="250">
        <f>EQUITY!V53</f>
        <v/>
      </c>
      <c r="Z154" s="250">
        <f>EQUITY!W53</f>
        <v/>
      </c>
      <c r="AA154" s="250">
        <f>EQUITY!X53</f>
        <v/>
      </c>
      <c r="AB154" s="250">
        <f>EQUITY!Y53</f>
        <v/>
      </c>
      <c r="AC154" s="250">
        <f>EQUITY!Z53</f>
        <v/>
      </c>
      <c r="AD154" s="250">
        <f>EQUITY!AA53</f>
        <v/>
      </c>
      <c r="AE154" s="187">
        <f>EQUITY!AB53</f>
        <v/>
      </c>
      <c r="AF154" s="187">
        <f>EQUITY!AC53</f>
        <v/>
      </c>
      <c r="AG154" s="187">
        <f>EQUITY!AD53</f>
        <v/>
      </c>
      <c r="AH154" s="187">
        <f>EQUITY!AE53</f>
        <v/>
      </c>
      <c r="AI154" s="187">
        <f>EQUITY!AF53</f>
        <v/>
      </c>
      <c r="AJ154" s="187">
        <f>EQUITY!AG53</f>
        <v/>
      </c>
      <c r="AK154" s="187">
        <f>EQUITY!AH53</f>
        <v/>
      </c>
      <c r="AL154" s="187">
        <f>EQUITY!AI53</f>
        <v/>
      </c>
      <c r="AM154" s="187">
        <f>EQUITY!AJ53</f>
        <v/>
      </c>
      <c r="AN154" s="187">
        <f>EQUITY!AK53</f>
        <v/>
      </c>
      <c r="AO154" s="187">
        <f>EQUITY!AL53</f>
        <v/>
      </c>
      <c r="AP154" s="187">
        <f>EQUITY!AM53</f>
        <v/>
      </c>
      <c r="AQ154" s="187">
        <f>EQUITY!AN53</f>
        <v/>
      </c>
      <c r="AR154" s="187">
        <f>EQUITY!AO53</f>
        <v/>
      </c>
      <c r="AS154" s="187">
        <f>EQUITY!AP53</f>
        <v/>
      </c>
      <c r="AT154" s="187">
        <f>EQUITY!AQ53</f>
        <v/>
      </c>
      <c r="AU154" s="187">
        <f>EQUITY!AR53</f>
        <v/>
      </c>
      <c r="AV154" s="187">
        <f>EQUITY!AS53</f>
        <v/>
      </c>
      <c r="AW154" s="187">
        <f>EQUITY!AT53</f>
        <v/>
      </c>
      <c r="AX154" s="187">
        <f>EQUITY!AU53</f>
        <v/>
      </c>
      <c r="AY154">
        <f>EQUITY!AV53</f>
        <v/>
      </c>
      <c r="AZ154">
        <f>EQUITY!AW53</f>
        <v/>
      </c>
      <c r="BA154">
        <f>EQUITY!AX53</f>
        <v/>
      </c>
    </row>
    <row r="155" ht="21" customHeight="1">
      <c r="E155" s="238" t="inlineStr">
        <is>
          <t>EUR GBP</t>
        </is>
      </c>
      <c r="F155" s="250">
        <f>EQUITY!C61</f>
        <v/>
      </c>
      <c r="G155" s="250">
        <f>EQUITY!D61</f>
        <v/>
      </c>
      <c r="H155" s="250">
        <f>EQUITY!E61</f>
        <v/>
      </c>
      <c r="I155" s="250">
        <f>EQUITY!F61</f>
        <v/>
      </c>
      <c r="J155" s="250">
        <f>EQUITY!G61</f>
        <v/>
      </c>
      <c r="K155" s="250">
        <f>EQUITY!H61</f>
        <v/>
      </c>
      <c r="L155" s="250">
        <f>EQUITY!I61</f>
        <v/>
      </c>
      <c r="M155" s="250">
        <f>EQUITY!J61</f>
        <v/>
      </c>
      <c r="N155" s="250">
        <f>EQUITY!K61</f>
        <v/>
      </c>
      <c r="O155" s="250">
        <f>EQUITY!L61</f>
        <v/>
      </c>
      <c r="P155" s="250">
        <f>EQUITY!M61</f>
        <v/>
      </c>
      <c r="Q155" s="250">
        <f>EQUITY!N61</f>
        <v/>
      </c>
      <c r="R155" s="250">
        <f>EQUITY!O61</f>
        <v/>
      </c>
      <c r="S155" s="250">
        <f>EQUITY!P61</f>
        <v/>
      </c>
      <c r="T155" s="250">
        <f>EQUITY!Q61</f>
        <v/>
      </c>
      <c r="U155" s="250">
        <f>EQUITY!R61</f>
        <v/>
      </c>
      <c r="V155" s="250">
        <f>EQUITY!S61</f>
        <v/>
      </c>
      <c r="W155" s="250">
        <f>EQUITY!T61</f>
        <v/>
      </c>
      <c r="X155" s="250">
        <f>EQUITY!U61</f>
        <v/>
      </c>
      <c r="Y155" s="250">
        <f>EQUITY!V61</f>
        <v/>
      </c>
      <c r="Z155" s="250">
        <f>EQUITY!W61</f>
        <v/>
      </c>
      <c r="AA155" s="250">
        <f>EQUITY!X61</f>
        <v/>
      </c>
      <c r="AB155" s="250">
        <f>EQUITY!Y61</f>
        <v/>
      </c>
      <c r="AC155" s="250">
        <f>EQUITY!Z61</f>
        <v/>
      </c>
      <c r="AD155" s="250">
        <f>EQUITY!AA61</f>
        <v/>
      </c>
      <c r="AE155" s="187">
        <f>EQUITY!AB61</f>
        <v/>
      </c>
      <c r="AF155" s="187">
        <f>EQUITY!AC61</f>
        <v/>
      </c>
      <c r="AG155" s="187">
        <f>EQUITY!AD61</f>
        <v/>
      </c>
      <c r="AH155" s="187">
        <f>EQUITY!AE61</f>
        <v/>
      </c>
      <c r="AI155" s="187">
        <f>EQUITY!AF61</f>
        <v/>
      </c>
      <c r="AJ155" s="187">
        <f>EQUITY!AG61</f>
        <v/>
      </c>
      <c r="AK155" s="187">
        <f>EQUITY!AH61</f>
        <v/>
      </c>
      <c r="AL155" s="187">
        <f>EQUITY!AI61</f>
        <v/>
      </c>
      <c r="AM155" s="187">
        <f>EQUITY!AJ61</f>
        <v/>
      </c>
      <c r="AN155" s="187">
        <f>EQUITY!AK61</f>
        <v/>
      </c>
      <c r="AO155" s="187">
        <f>EQUITY!AL61</f>
        <v/>
      </c>
      <c r="AP155" s="187">
        <f>EQUITY!AM61</f>
        <v/>
      </c>
      <c r="AQ155" s="187">
        <f>EQUITY!AN61</f>
        <v/>
      </c>
      <c r="AR155" s="187">
        <f>EQUITY!AO61</f>
        <v/>
      </c>
      <c r="AS155" s="187">
        <f>EQUITY!AP61</f>
        <v/>
      </c>
      <c r="AT155" s="187">
        <f>EQUITY!AQ61</f>
        <v/>
      </c>
      <c r="AU155" s="187">
        <f>EQUITY!AR61</f>
        <v/>
      </c>
      <c r="AV155" s="187">
        <f>EQUITY!AS61</f>
        <v/>
      </c>
      <c r="AW155" s="187">
        <f>EQUITY!AT61</f>
        <v/>
      </c>
      <c r="AX155" s="187">
        <f>EQUITY!AU61</f>
        <v/>
      </c>
      <c r="AY155">
        <f>EQUITY!AV61</f>
        <v/>
      </c>
      <c r="AZ155">
        <f>EQUITY!AW61</f>
        <v/>
      </c>
      <c r="BA155">
        <f>EQUITY!AX61</f>
        <v/>
      </c>
    </row>
    <row r="156" ht="21" customHeight="1">
      <c r="E156" s="239" t="inlineStr">
        <is>
          <t>EUR CAD</t>
        </is>
      </c>
      <c r="F156" s="250">
        <f>EQUITY!C69</f>
        <v/>
      </c>
      <c r="G156" s="250">
        <f>EQUITY!D69</f>
        <v/>
      </c>
      <c r="H156" s="250">
        <f>EQUITY!E69</f>
        <v/>
      </c>
      <c r="I156" s="250">
        <f>EQUITY!F69</f>
        <v/>
      </c>
      <c r="J156" s="250">
        <f>EQUITY!G69</f>
        <v/>
      </c>
      <c r="K156" s="250">
        <f>EQUITY!H69</f>
        <v/>
      </c>
      <c r="L156" s="250">
        <f>EQUITY!I69</f>
        <v/>
      </c>
      <c r="M156" s="250">
        <f>EQUITY!J69</f>
        <v/>
      </c>
      <c r="N156" s="250">
        <f>EQUITY!K69</f>
        <v/>
      </c>
      <c r="O156" s="250">
        <f>EQUITY!L69</f>
        <v/>
      </c>
      <c r="P156" s="250">
        <f>EQUITY!M69</f>
        <v/>
      </c>
      <c r="Q156" s="250">
        <f>EQUITY!N69</f>
        <v/>
      </c>
      <c r="R156" s="250">
        <f>EQUITY!O69</f>
        <v/>
      </c>
      <c r="S156" s="250">
        <f>EQUITY!P69</f>
        <v/>
      </c>
      <c r="T156" s="250">
        <f>EQUITY!Q69</f>
        <v/>
      </c>
      <c r="U156" s="250">
        <f>EQUITY!R69</f>
        <v/>
      </c>
      <c r="V156" s="250">
        <f>EQUITY!S69</f>
        <v/>
      </c>
      <c r="W156" s="250">
        <f>EQUITY!T69</f>
        <v/>
      </c>
      <c r="X156" s="250">
        <f>EQUITY!U69</f>
        <v/>
      </c>
      <c r="Y156" s="250">
        <f>EQUITY!V69</f>
        <v/>
      </c>
      <c r="Z156" s="250">
        <f>EQUITY!W69</f>
        <v/>
      </c>
      <c r="AA156" s="250">
        <f>EQUITY!X69</f>
        <v/>
      </c>
      <c r="AB156" s="250">
        <f>EQUITY!Y69</f>
        <v/>
      </c>
      <c r="AC156" s="250">
        <f>EQUITY!Z69</f>
        <v/>
      </c>
      <c r="AD156" s="250">
        <f>EQUITY!AA69</f>
        <v/>
      </c>
      <c r="AE156" s="187">
        <f>EQUITY!AB69</f>
        <v/>
      </c>
      <c r="AF156" s="187">
        <f>EQUITY!AC69</f>
        <v/>
      </c>
      <c r="AG156" s="187">
        <f>EQUITY!AD69</f>
        <v/>
      </c>
      <c r="AH156" s="187">
        <f>EQUITY!AE69</f>
        <v/>
      </c>
      <c r="AI156" s="187">
        <f>EQUITY!AF69</f>
        <v/>
      </c>
      <c r="AJ156" s="187">
        <f>EQUITY!AG69</f>
        <v/>
      </c>
      <c r="AK156" s="187">
        <f>EQUITY!AH69</f>
        <v/>
      </c>
      <c r="AL156" s="187">
        <f>EQUITY!AI69</f>
        <v/>
      </c>
      <c r="AM156" s="187">
        <f>EQUITY!AJ69</f>
        <v/>
      </c>
      <c r="AN156" s="187">
        <f>EQUITY!AK69</f>
        <v/>
      </c>
      <c r="AO156" s="187">
        <f>EQUITY!AL69</f>
        <v/>
      </c>
      <c r="AP156" s="187">
        <f>EQUITY!AM69</f>
        <v/>
      </c>
      <c r="AQ156" s="187">
        <f>EQUITY!AN69</f>
        <v/>
      </c>
      <c r="AR156" s="187">
        <f>EQUITY!AO69</f>
        <v/>
      </c>
      <c r="AS156" s="187">
        <f>EQUITY!AP69</f>
        <v/>
      </c>
      <c r="AT156" s="187">
        <f>EQUITY!AQ69</f>
        <v/>
      </c>
      <c r="AU156" s="187">
        <f>EQUITY!AR69</f>
        <v/>
      </c>
      <c r="AV156" s="187">
        <f>EQUITY!AS69</f>
        <v/>
      </c>
      <c r="AW156" s="187">
        <f>EQUITY!AT69</f>
        <v/>
      </c>
      <c r="AX156" s="187">
        <f>EQUITY!AU69</f>
        <v/>
      </c>
      <c r="AY156">
        <f>EQUITY!AV69</f>
        <v/>
      </c>
      <c r="AZ156">
        <f>EQUITY!AW69</f>
        <v/>
      </c>
      <c r="BA156">
        <f>EQUITY!AX69</f>
        <v/>
      </c>
    </row>
    <row r="157" ht="21" customHeight="1">
      <c r="E157" s="238" t="inlineStr">
        <is>
          <t>EUR AUD</t>
        </is>
      </c>
      <c r="F157" s="250">
        <f>EQUITY!C77</f>
        <v/>
      </c>
      <c r="G157" s="250">
        <f>EQUITY!D77</f>
        <v/>
      </c>
      <c r="H157" s="250">
        <f>EQUITY!E77</f>
        <v/>
      </c>
      <c r="I157" s="250">
        <f>EQUITY!F77</f>
        <v/>
      </c>
      <c r="J157" s="250">
        <f>EQUITY!G77</f>
        <v/>
      </c>
      <c r="K157" s="250">
        <f>EQUITY!H77</f>
        <v/>
      </c>
      <c r="L157" s="250">
        <f>EQUITY!I77</f>
        <v/>
      </c>
      <c r="M157" s="250">
        <f>EQUITY!J77</f>
        <v/>
      </c>
      <c r="N157" s="250">
        <f>EQUITY!K77</f>
        <v/>
      </c>
      <c r="O157" s="250">
        <f>EQUITY!L77</f>
        <v/>
      </c>
      <c r="P157" s="250">
        <f>EQUITY!M77</f>
        <v/>
      </c>
      <c r="Q157" s="250">
        <f>EQUITY!N77</f>
        <v/>
      </c>
      <c r="R157" s="250">
        <f>EQUITY!O77</f>
        <v/>
      </c>
      <c r="S157" s="250">
        <f>EQUITY!P77</f>
        <v/>
      </c>
      <c r="T157" s="250">
        <f>EQUITY!Q77</f>
        <v/>
      </c>
      <c r="U157" s="250">
        <f>EQUITY!R77</f>
        <v/>
      </c>
      <c r="V157" s="250">
        <f>EQUITY!S77</f>
        <v/>
      </c>
      <c r="W157" s="250">
        <f>EQUITY!T77</f>
        <v/>
      </c>
      <c r="X157" s="250">
        <f>EQUITY!U77</f>
        <v/>
      </c>
      <c r="Y157" s="250">
        <f>EQUITY!V77</f>
        <v/>
      </c>
      <c r="Z157" s="250">
        <f>EQUITY!W77</f>
        <v/>
      </c>
      <c r="AA157" s="250">
        <f>EQUITY!X77</f>
        <v/>
      </c>
      <c r="AB157" s="250">
        <f>EQUITY!Y77</f>
        <v/>
      </c>
      <c r="AC157" s="250">
        <f>EQUITY!Z77</f>
        <v/>
      </c>
      <c r="AD157" s="250">
        <f>EQUITY!AA77</f>
        <v/>
      </c>
      <c r="AE157" s="187">
        <f>EQUITY!AB77</f>
        <v/>
      </c>
      <c r="AF157" s="187">
        <f>EQUITY!AC77</f>
        <v/>
      </c>
      <c r="AG157" s="187">
        <f>EQUITY!AD77</f>
        <v/>
      </c>
      <c r="AH157" s="187">
        <f>EQUITY!AE77</f>
        <v/>
      </c>
      <c r="AI157" s="187">
        <f>EQUITY!AF77</f>
        <v/>
      </c>
      <c r="AJ157" s="187">
        <f>EQUITY!AG77</f>
        <v/>
      </c>
      <c r="AK157" s="187">
        <f>EQUITY!AH77</f>
        <v/>
      </c>
      <c r="AL157" s="187">
        <f>EQUITY!AI77</f>
        <v/>
      </c>
      <c r="AM157" s="187">
        <f>EQUITY!AJ77</f>
        <v/>
      </c>
      <c r="AN157" s="187">
        <f>EQUITY!AK77</f>
        <v/>
      </c>
      <c r="AO157" s="187">
        <f>EQUITY!AL77</f>
        <v/>
      </c>
      <c r="AP157" s="187">
        <f>EQUITY!AM77</f>
        <v/>
      </c>
      <c r="AQ157" s="187">
        <f>EQUITY!AN77</f>
        <v/>
      </c>
      <c r="AR157" s="187">
        <f>EQUITY!AO77</f>
        <v/>
      </c>
      <c r="AS157" s="187">
        <f>EQUITY!AP77</f>
        <v/>
      </c>
      <c r="AT157" s="187">
        <f>EQUITY!AQ77</f>
        <v/>
      </c>
      <c r="AU157" s="187">
        <f>EQUITY!AR77</f>
        <v/>
      </c>
      <c r="AV157" s="187">
        <f>EQUITY!AS77</f>
        <v/>
      </c>
      <c r="AW157" s="187">
        <f>EQUITY!AT77</f>
        <v/>
      </c>
      <c r="AX157" s="187">
        <f>EQUITY!AU77</f>
        <v/>
      </c>
      <c r="AY157">
        <f>EQUITY!AV77</f>
        <v/>
      </c>
      <c r="AZ157">
        <f>EQUITY!AW77</f>
        <v/>
      </c>
      <c r="BA157">
        <f>EQUITY!AX77</f>
        <v/>
      </c>
    </row>
    <row r="158" ht="21" customHeight="1">
      <c r="E158" s="239" t="inlineStr">
        <is>
          <t>EUR NZD</t>
        </is>
      </c>
      <c r="F158" s="250">
        <f>EQUITY!C85</f>
        <v/>
      </c>
      <c r="G158" s="250">
        <f>EQUITY!D85</f>
        <v/>
      </c>
      <c r="H158" s="250">
        <f>EQUITY!E85</f>
        <v/>
      </c>
      <c r="I158" s="250">
        <f>EQUITY!F85</f>
        <v/>
      </c>
      <c r="J158" s="250">
        <f>EQUITY!G85</f>
        <v/>
      </c>
      <c r="K158" s="250">
        <f>EQUITY!H85</f>
        <v/>
      </c>
      <c r="L158" s="250">
        <f>EQUITY!I85</f>
        <v/>
      </c>
      <c r="M158" s="250">
        <f>EQUITY!J85</f>
        <v/>
      </c>
      <c r="N158" s="250">
        <f>EQUITY!K85</f>
        <v/>
      </c>
      <c r="O158" s="250">
        <f>EQUITY!L85</f>
        <v/>
      </c>
      <c r="P158" s="250">
        <f>EQUITY!M85</f>
        <v/>
      </c>
      <c r="Q158" s="250">
        <f>EQUITY!N85</f>
        <v/>
      </c>
      <c r="R158" s="250">
        <f>EQUITY!O85</f>
        <v/>
      </c>
      <c r="S158" s="250">
        <f>EQUITY!P85</f>
        <v/>
      </c>
      <c r="T158" s="250">
        <f>EQUITY!Q85</f>
        <v/>
      </c>
      <c r="U158" s="250">
        <f>EQUITY!R85</f>
        <v/>
      </c>
      <c r="V158" s="250">
        <f>EQUITY!S85</f>
        <v/>
      </c>
      <c r="W158" s="250">
        <f>EQUITY!T85</f>
        <v/>
      </c>
      <c r="X158" s="250">
        <f>EQUITY!U85</f>
        <v/>
      </c>
      <c r="Y158" s="250">
        <f>EQUITY!V85</f>
        <v/>
      </c>
      <c r="Z158" s="250">
        <f>EQUITY!W85</f>
        <v/>
      </c>
      <c r="AA158" s="250">
        <f>EQUITY!X85</f>
        <v/>
      </c>
      <c r="AB158" s="250">
        <f>EQUITY!Y85</f>
        <v/>
      </c>
      <c r="AC158" s="250">
        <f>EQUITY!Z85</f>
        <v/>
      </c>
      <c r="AD158" s="250">
        <f>EQUITY!AA85</f>
        <v/>
      </c>
      <c r="AE158" s="187">
        <f>EQUITY!AB85</f>
        <v/>
      </c>
      <c r="AF158" s="187">
        <f>EQUITY!AC85</f>
        <v/>
      </c>
      <c r="AG158" s="187">
        <f>EQUITY!AD85</f>
        <v/>
      </c>
      <c r="AH158" s="187">
        <f>EQUITY!AE85</f>
        <v/>
      </c>
      <c r="AI158" s="187">
        <f>EQUITY!AF85</f>
        <v/>
      </c>
      <c r="AJ158" s="187">
        <f>EQUITY!AG85</f>
        <v/>
      </c>
      <c r="AK158" s="187">
        <f>EQUITY!AH85</f>
        <v/>
      </c>
      <c r="AL158" s="187">
        <f>EQUITY!AI85</f>
        <v/>
      </c>
      <c r="AM158" s="187">
        <f>EQUITY!AJ85</f>
        <v/>
      </c>
      <c r="AN158" s="187">
        <f>EQUITY!AK85</f>
        <v/>
      </c>
      <c r="AO158" s="187">
        <f>EQUITY!AL85</f>
        <v/>
      </c>
      <c r="AP158" s="187">
        <f>EQUITY!AM85</f>
        <v/>
      </c>
      <c r="AQ158" s="187">
        <f>EQUITY!AN85</f>
        <v/>
      </c>
      <c r="AR158" s="187">
        <f>EQUITY!AO85</f>
        <v/>
      </c>
      <c r="AS158" s="187">
        <f>EQUITY!AP85</f>
        <v/>
      </c>
      <c r="AT158" s="187">
        <f>EQUITY!AQ85</f>
        <v/>
      </c>
      <c r="AU158" s="187">
        <f>EQUITY!AR85</f>
        <v/>
      </c>
      <c r="AV158" s="187">
        <f>EQUITY!AS85</f>
        <v/>
      </c>
      <c r="AW158" s="187">
        <f>EQUITY!AT85</f>
        <v/>
      </c>
      <c r="AX158" s="187">
        <f>EQUITY!AU85</f>
        <v/>
      </c>
      <c r="AY158">
        <f>EQUITY!AV85</f>
        <v/>
      </c>
      <c r="AZ158">
        <f>EQUITY!AW85</f>
        <v/>
      </c>
      <c r="BA158">
        <f>EQUITY!AX85</f>
        <v/>
      </c>
    </row>
    <row r="159" ht="21" customHeight="1">
      <c r="E159" s="240" t="inlineStr">
        <is>
          <t>GBP USD</t>
        </is>
      </c>
      <c r="F159" s="250">
        <f>EQUITY!C93</f>
        <v/>
      </c>
      <c r="G159" s="250">
        <f>EQUITY!D93</f>
        <v/>
      </c>
      <c r="H159" s="250">
        <f>EQUITY!E93</f>
        <v/>
      </c>
      <c r="I159" s="250">
        <f>EQUITY!F93</f>
        <v/>
      </c>
      <c r="J159" s="250">
        <f>EQUITY!G93</f>
        <v/>
      </c>
      <c r="K159" s="250">
        <f>EQUITY!H93</f>
        <v/>
      </c>
      <c r="L159" s="250">
        <f>EQUITY!I93</f>
        <v/>
      </c>
      <c r="M159" s="250">
        <f>EQUITY!J93</f>
        <v/>
      </c>
      <c r="N159" s="250">
        <f>EQUITY!K93</f>
        <v/>
      </c>
      <c r="O159" s="250">
        <f>EQUITY!L93</f>
        <v/>
      </c>
      <c r="P159" s="250">
        <f>EQUITY!M93</f>
        <v/>
      </c>
      <c r="Q159" s="250">
        <f>EQUITY!N93</f>
        <v/>
      </c>
      <c r="R159" s="250">
        <f>EQUITY!O93</f>
        <v/>
      </c>
      <c r="S159" s="250">
        <f>EQUITY!P93</f>
        <v/>
      </c>
      <c r="T159" s="250">
        <f>EQUITY!Q93</f>
        <v/>
      </c>
      <c r="U159" s="250">
        <f>EQUITY!R93</f>
        <v/>
      </c>
      <c r="V159" s="250">
        <f>EQUITY!S93</f>
        <v/>
      </c>
      <c r="W159" s="250">
        <f>EQUITY!T93</f>
        <v/>
      </c>
      <c r="X159" s="250">
        <f>EQUITY!U93</f>
        <v/>
      </c>
      <c r="Y159" s="250">
        <f>EQUITY!V93</f>
        <v/>
      </c>
      <c r="Z159" s="250">
        <f>EQUITY!W93</f>
        <v/>
      </c>
      <c r="AA159" s="250">
        <f>EQUITY!X93</f>
        <v/>
      </c>
      <c r="AB159" s="250">
        <f>EQUITY!Y93</f>
        <v/>
      </c>
      <c r="AC159" s="250">
        <f>EQUITY!Z93</f>
        <v/>
      </c>
      <c r="AD159" s="250">
        <f>EQUITY!AA93</f>
        <v/>
      </c>
      <c r="AE159" s="187">
        <f>EQUITY!AB93</f>
        <v/>
      </c>
      <c r="AF159" s="187">
        <f>EQUITY!AC93</f>
        <v/>
      </c>
      <c r="AG159" s="187">
        <f>EQUITY!AD93</f>
        <v/>
      </c>
      <c r="AH159" s="187">
        <f>EQUITY!AE93</f>
        <v/>
      </c>
      <c r="AI159" s="187">
        <f>EQUITY!AF93</f>
        <v/>
      </c>
      <c r="AJ159" s="187">
        <f>EQUITY!AG93</f>
        <v/>
      </c>
      <c r="AK159" s="187">
        <f>EQUITY!AH93</f>
        <v/>
      </c>
      <c r="AL159" s="187">
        <f>EQUITY!AI93</f>
        <v/>
      </c>
      <c r="AM159" s="187">
        <f>EQUITY!AJ93</f>
        <v/>
      </c>
      <c r="AN159" s="187">
        <f>EQUITY!AK93</f>
        <v/>
      </c>
      <c r="AO159" s="187">
        <f>EQUITY!AL93</f>
        <v/>
      </c>
      <c r="AP159" s="187">
        <f>EQUITY!AM93</f>
        <v/>
      </c>
      <c r="AQ159" s="187">
        <f>EQUITY!AN93</f>
        <v/>
      </c>
      <c r="AR159" s="187">
        <f>EQUITY!AO93</f>
        <v/>
      </c>
      <c r="AS159" s="187">
        <f>EQUITY!AP93</f>
        <v/>
      </c>
      <c r="AT159" s="187">
        <f>EQUITY!AQ93</f>
        <v/>
      </c>
      <c r="AU159" s="187">
        <f>EQUITY!AR93</f>
        <v/>
      </c>
      <c r="AV159" s="187">
        <f>EQUITY!AS93</f>
        <v/>
      </c>
      <c r="AW159" s="187">
        <f>EQUITY!AT93</f>
        <v/>
      </c>
      <c r="AX159" s="187">
        <f>EQUITY!AU93</f>
        <v/>
      </c>
      <c r="AY159">
        <f>EQUITY!AV93</f>
        <v/>
      </c>
      <c r="AZ159">
        <f>EQUITY!AW93</f>
        <v/>
      </c>
      <c r="BA159">
        <f>EQUITY!AX93</f>
        <v/>
      </c>
    </row>
    <row r="160" ht="21" customHeight="1">
      <c r="E160" s="240" t="inlineStr">
        <is>
          <t>GBP JPY</t>
        </is>
      </c>
      <c r="F160" s="250">
        <f>EQUITY!C101</f>
        <v/>
      </c>
      <c r="G160" s="250">
        <f>EQUITY!D101</f>
        <v/>
      </c>
      <c r="H160" s="250">
        <f>EQUITY!E101</f>
        <v/>
      </c>
      <c r="I160" s="250">
        <f>EQUITY!F101</f>
        <v/>
      </c>
      <c r="J160" s="250">
        <f>EQUITY!G101</f>
        <v/>
      </c>
      <c r="K160" s="250">
        <f>EQUITY!H101</f>
        <v/>
      </c>
      <c r="L160" s="250">
        <f>EQUITY!I101</f>
        <v/>
      </c>
      <c r="M160" s="250">
        <f>EQUITY!J101</f>
        <v/>
      </c>
      <c r="N160" s="250">
        <f>EQUITY!K101</f>
        <v/>
      </c>
      <c r="O160" s="250">
        <f>EQUITY!L101</f>
        <v/>
      </c>
      <c r="P160" s="250">
        <f>EQUITY!M101</f>
        <v/>
      </c>
      <c r="Q160" s="250">
        <f>EQUITY!N101</f>
        <v/>
      </c>
      <c r="R160" s="250">
        <f>EQUITY!O101</f>
        <v/>
      </c>
      <c r="S160" s="250">
        <f>EQUITY!P101</f>
        <v/>
      </c>
      <c r="T160" s="250">
        <f>EQUITY!Q101</f>
        <v/>
      </c>
      <c r="U160" s="250">
        <f>EQUITY!R101</f>
        <v/>
      </c>
      <c r="V160" s="250">
        <f>EQUITY!S101</f>
        <v/>
      </c>
      <c r="W160" s="250">
        <f>EQUITY!T101</f>
        <v/>
      </c>
      <c r="X160" s="250">
        <f>EQUITY!U101</f>
        <v/>
      </c>
      <c r="Y160" s="250">
        <f>EQUITY!V101</f>
        <v/>
      </c>
      <c r="Z160" s="250">
        <f>EQUITY!W101</f>
        <v/>
      </c>
      <c r="AA160" s="250">
        <f>EQUITY!X101</f>
        <v/>
      </c>
      <c r="AB160" s="250">
        <f>EQUITY!Y101</f>
        <v/>
      </c>
      <c r="AC160" s="250">
        <f>EQUITY!Z101</f>
        <v/>
      </c>
      <c r="AD160" s="250">
        <f>EQUITY!AA101</f>
        <v/>
      </c>
      <c r="AE160" s="187">
        <f>EQUITY!AB101</f>
        <v/>
      </c>
      <c r="AF160" s="187">
        <f>EQUITY!AC101</f>
        <v/>
      </c>
      <c r="AG160" s="187">
        <f>EQUITY!AD101</f>
        <v/>
      </c>
      <c r="AH160" s="187">
        <f>EQUITY!AE101</f>
        <v/>
      </c>
      <c r="AI160" s="187">
        <f>EQUITY!AF101</f>
        <v/>
      </c>
      <c r="AJ160" s="187">
        <f>EQUITY!AG101</f>
        <v/>
      </c>
      <c r="AK160" s="187">
        <f>EQUITY!AH101</f>
        <v/>
      </c>
      <c r="AL160" s="187">
        <f>EQUITY!AI101</f>
        <v/>
      </c>
      <c r="AM160" s="187">
        <f>EQUITY!AJ101</f>
        <v/>
      </c>
      <c r="AN160" s="187">
        <f>EQUITY!AK101</f>
        <v/>
      </c>
      <c r="AO160" s="187">
        <f>EQUITY!AL101</f>
        <v/>
      </c>
      <c r="AP160" s="187">
        <f>EQUITY!AM101</f>
        <v/>
      </c>
      <c r="AQ160" s="187">
        <f>EQUITY!AN101</f>
        <v/>
      </c>
      <c r="AR160" s="187">
        <f>EQUITY!AO101</f>
        <v/>
      </c>
      <c r="AS160" s="187">
        <f>EQUITY!AP101</f>
        <v/>
      </c>
      <c r="AT160" s="187">
        <f>EQUITY!AQ101</f>
        <v/>
      </c>
      <c r="AU160" s="187">
        <f>EQUITY!AR101</f>
        <v/>
      </c>
      <c r="AV160" s="187">
        <f>EQUITY!AS101</f>
        <v/>
      </c>
      <c r="AW160" s="187">
        <f>EQUITY!AT101</f>
        <v/>
      </c>
      <c r="AX160" s="187">
        <f>EQUITY!AU101</f>
        <v/>
      </c>
      <c r="AY160">
        <f>EQUITY!AV101</f>
        <v/>
      </c>
      <c r="AZ160">
        <f>EQUITY!AW101</f>
        <v/>
      </c>
      <c r="BA160">
        <f>EQUITY!AX101</f>
        <v/>
      </c>
    </row>
    <row r="161" ht="21" customHeight="1">
      <c r="E161" s="240" t="inlineStr">
        <is>
          <t>GBP CHF</t>
        </is>
      </c>
      <c r="F161" s="250">
        <f>EQUITY!C109</f>
        <v/>
      </c>
      <c r="G161" s="250">
        <f>EQUITY!D109</f>
        <v/>
      </c>
      <c r="H161" s="250">
        <f>EQUITY!E109</f>
        <v/>
      </c>
      <c r="I161" s="250">
        <f>EQUITY!F109</f>
        <v/>
      </c>
      <c r="J161" s="250">
        <f>EQUITY!G109</f>
        <v/>
      </c>
      <c r="K161" s="250">
        <f>EQUITY!H109</f>
        <v/>
      </c>
      <c r="L161" s="250">
        <f>EQUITY!I109</f>
        <v/>
      </c>
      <c r="M161" s="250">
        <f>EQUITY!J109</f>
        <v/>
      </c>
      <c r="N161" s="250">
        <f>EQUITY!K109</f>
        <v/>
      </c>
      <c r="O161" s="250">
        <f>EQUITY!L109</f>
        <v/>
      </c>
      <c r="P161" s="250">
        <f>EQUITY!M109</f>
        <v/>
      </c>
      <c r="Q161" s="250">
        <f>EQUITY!N109</f>
        <v/>
      </c>
      <c r="R161" s="250">
        <f>EQUITY!O109</f>
        <v/>
      </c>
      <c r="S161" s="250">
        <f>EQUITY!P109</f>
        <v/>
      </c>
      <c r="T161" s="250">
        <f>EQUITY!Q109</f>
        <v/>
      </c>
      <c r="U161" s="250">
        <f>EQUITY!R109</f>
        <v/>
      </c>
      <c r="V161" s="250">
        <f>EQUITY!S109</f>
        <v/>
      </c>
      <c r="W161" s="250">
        <f>EQUITY!T109</f>
        <v/>
      </c>
      <c r="X161" s="250">
        <f>EQUITY!U109</f>
        <v/>
      </c>
      <c r="Y161" s="250">
        <f>EQUITY!V109</f>
        <v/>
      </c>
      <c r="Z161" s="250">
        <f>EQUITY!W109</f>
        <v/>
      </c>
      <c r="AA161" s="250">
        <f>EQUITY!X109</f>
        <v/>
      </c>
      <c r="AB161" s="250">
        <f>EQUITY!Y109</f>
        <v/>
      </c>
      <c r="AC161" s="250">
        <f>EQUITY!Z109</f>
        <v/>
      </c>
      <c r="AD161" s="250">
        <f>EQUITY!AA109</f>
        <v/>
      </c>
      <c r="AE161" s="187">
        <f>EQUITY!AB109</f>
        <v/>
      </c>
      <c r="AF161" s="187">
        <f>EQUITY!AC109</f>
        <v/>
      </c>
      <c r="AG161" s="187">
        <f>EQUITY!AD109</f>
        <v/>
      </c>
      <c r="AH161" s="187">
        <f>EQUITY!AE109</f>
        <v/>
      </c>
      <c r="AI161" s="187">
        <f>EQUITY!AF109</f>
        <v/>
      </c>
      <c r="AJ161" s="187">
        <f>EQUITY!AG109</f>
        <v/>
      </c>
      <c r="AK161" s="187">
        <f>EQUITY!AH109</f>
        <v/>
      </c>
      <c r="AL161" s="187">
        <f>EQUITY!AI109</f>
        <v/>
      </c>
      <c r="AM161" s="187">
        <f>EQUITY!AJ109</f>
        <v/>
      </c>
      <c r="AN161" s="187">
        <f>EQUITY!AK109</f>
        <v/>
      </c>
      <c r="AO161" s="187">
        <f>EQUITY!AL109</f>
        <v/>
      </c>
      <c r="AP161" s="187">
        <f>EQUITY!AM109</f>
        <v/>
      </c>
      <c r="AQ161" s="187">
        <f>EQUITY!AN109</f>
        <v/>
      </c>
      <c r="AR161" s="187">
        <f>EQUITY!AO109</f>
        <v/>
      </c>
      <c r="AS161" s="187">
        <f>EQUITY!AP109</f>
        <v/>
      </c>
      <c r="AT161" s="187">
        <f>EQUITY!AQ109</f>
        <v/>
      </c>
      <c r="AU161" s="187">
        <f>EQUITY!AR109</f>
        <v/>
      </c>
      <c r="AV161" s="187">
        <f>EQUITY!AS109</f>
        <v/>
      </c>
      <c r="AW161" s="187">
        <f>EQUITY!AT109</f>
        <v/>
      </c>
      <c r="AX161" s="187">
        <f>EQUITY!AU109</f>
        <v/>
      </c>
      <c r="AY161">
        <f>EQUITY!AV109</f>
        <v/>
      </c>
      <c r="AZ161">
        <f>EQUITY!AW109</f>
        <v/>
      </c>
      <c r="BA161">
        <f>EQUITY!AX109</f>
        <v/>
      </c>
    </row>
    <row r="162" ht="21" customHeight="1">
      <c r="E162" s="240" t="inlineStr">
        <is>
          <t>GBP CAD</t>
        </is>
      </c>
      <c r="F162" s="250">
        <f>EQUITY!C117</f>
        <v/>
      </c>
      <c r="G162" s="250">
        <f>EQUITY!D117</f>
        <v/>
      </c>
      <c r="H162" s="250">
        <f>EQUITY!E117</f>
        <v/>
      </c>
      <c r="I162" s="250">
        <f>EQUITY!F117</f>
        <v/>
      </c>
      <c r="J162" s="250">
        <f>EQUITY!G117</f>
        <v/>
      </c>
      <c r="K162" s="250">
        <f>EQUITY!H117</f>
        <v/>
      </c>
      <c r="L162" s="250">
        <f>EQUITY!I117</f>
        <v/>
      </c>
      <c r="M162" s="250">
        <f>EQUITY!J117</f>
        <v/>
      </c>
      <c r="N162" s="250">
        <f>EQUITY!K117</f>
        <v/>
      </c>
      <c r="O162" s="250">
        <f>EQUITY!L117</f>
        <v/>
      </c>
      <c r="P162" s="250">
        <f>EQUITY!M117</f>
        <v/>
      </c>
      <c r="Q162" s="250">
        <f>EQUITY!N117</f>
        <v/>
      </c>
      <c r="R162" s="250">
        <f>EQUITY!O117</f>
        <v/>
      </c>
      <c r="S162" s="250">
        <f>EQUITY!P117</f>
        <v/>
      </c>
      <c r="T162" s="250">
        <f>EQUITY!Q117</f>
        <v/>
      </c>
      <c r="U162" s="250">
        <f>EQUITY!R117</f>
        <v/>
      </c>
      <c r="V162" s="250">
        <f>EQUITY!S117</f>
        <v/>
      </c>
      <c r="W162" s="250">
        <f>EQUITY!T117</f>
        <v/>
      </c>
      <c r="X162" s="250">
        <f>EQUITY!U117</f>
        <v/>
      </c>
      <c r="Y162" s="250">
        <f>EQUITY!V117</f>
        <v/>
      </c>
      <c r="Z162" s="250">
        <f>EQUITY!W117</f>
        <v/>
      </c>
      <c r="AA162" s="250">
        <f>EQUITY!X117</f>
        <v/>
      </c>
      <c r="AB162" s="250">
        <f>EQUITY!Y117</f>
        <v/>
      </c>
      <c r="AC162" s="250">
        <f>EQUITY!Z117</f>
        <v/>
      </c>
      <c r="AD162" s="250">
        <f>EQUITY!AA117</f>
        <v/>
      </c>
      <c r="AE162" s="187">
        <f>EQUITY!AB117</f>
        <v/>
      </c>
      <c r="AF162" s="187">
        <f>EQUITY!AC117</f>
        <v/>
      </c>
      <c r="AG162" s="187">
        <f>EQUITY!AD117</f>
        <v/>
      </c>
      <c r="AH162" s="187">
        <f>EQUITY!AE117</f>
        <v/>
      </c>
      <c r="AI162" s="187">
        <f>EQUITY!AF117</f>
        <v/>
      </c>
      <c r="AJ162" s="187">
        <f>EQUITY!AG117</f>
        <v/>
      </c>
      <c r="AK162" s="187">
        <f>EQUITY!AH117</f>
        <v/>
      </c>
      <c r="AL162" s="187">
        <f>EQUITY!AI117</f>
        <v/>
      </c>
      <c r="AM162" s="187">
        <f>EQUITY!AJ117</f>
        <v/>
      </c>
      <c r="AN162" s="187">
        <f>EQUITY!AK117</f>
        <v/>
      </c>
      <c r="AO162" s="187">
        <f>EQUITY!AL117</f>
        <v/>
      </c>
      <c r="AP162" s="187">
        <f>EQUITY!AM117</f>
        <v/>
      </c>
      <c r="AQ162" s="187">
        <f>EQUITY!AN117</f>
        <v/>
      </c>
      <c r="AR162" s="187">
        <f>EQUITY!AO117</f>
        <v/>
      </c>
      <c r="AS162" s="187">
        <f>EQUITY!AP117</f>
        <v/>
      </c>
      <c r="AT162" s="187">
        <f>EQUITY!AQ117</f>
        <v/>
      </c>
      <c r="AU162" s="187">
        <f>EQUITY!AR117</f>
        <v/>
      </c>
      <c r="AV162" s="187">
        <f>EQUITY!AS117</f>
        <v/>
      </c>
      <c r="AW162" s="187">
        <f>EQUITY!AT117</f>
        <v/>
      </c>
      <c r="AX162" s="187">
        <f>EQUITY!AU117</f>
        <v/>
      </c>
      <c r="AY162">
        <f>EQUITY!AV117</f>
        <v/>
      </c>
      <c r="AZ162">
        <f>EQUITY!AW117</f>
        <v/>
      </c>
      <c r="BA162">
        <f>EQUITY!AX117</f>
        <v/>
      </c>
    </row>
    <row r="163" ht="21" customHeight="1">
      <c r="E163" s="240" t="inlineStr">
        <is>
          <t>GBP AUD</t>
        </is>
      </c>
      <c r="F163" s="250">
        <f>EQUITY!C125</f>
        <v/>
      </c>
      <c r="G163" s="250">
        <f>EQUITY!D125</f>
        <v/>
      </c>
      <c r="H163" s="250">
        <f>EQUITY!E125</f>
        <v/>
      </c>
      <c r="I163" s="250">
        <f>EQUITY!F125</f>
        <v/>
      </c>
      <c r="J163" s="250">
        <f>EQUITY!G125</f>
        <v/>
      </c>
      <c r="K163" s="250">
        <f>EQUITY!H125</f>
        <v/>
      </c>
      <c r="L163" s="250">
        <f>EQUITY!I125</f>
        <v/>
      </c>
      <c r="M163" s="250">
        <f>EQUITY!J125</f>
        <v/>
      </c>
      <c r="N163" s="250">
        <f>EQUITY!K125</f>
        <v/>
      </c>
      <c r="O163" s="250">
        <f>EQUITY!L125</f>
        <v/>
      </c>
      <c r="P163" s="250">
        <f>EQUITY!M125</f>
        <v/>
      </c>
      <c r="Q163" s="250">
        <f>EQUITY!N125</f>
        <v/>
      </c>
      <c r="R163" s="250">
        <f>EQUITY!O125</f>
        <v/>
      </c>
      <c r="S163" s="250">
        <f>EQUITY!P125</f>
        <v/>
      </c>
      <c r="T163" s="250">
        <f>EQUITY!Q125</f>
        <v/>
      </c>
      <c r="U163" s="250">
        <f>EQUITY!R125</f>
        <v/>
      </c>
      <c r="V163" s="250">
        <f>EQUITY!S125</f>
        <v/>
      </c>
      <c r="W163" s="250">
        <f>EQUITY!T125</f>
        <v/>
      </c>
      <c r="X163" s="250">
        <f>EQUITY!U125</f>
        <v/>
      </c>
      <c r="Y163" s="250">
        <f>EQUITY!V125</f>
        <v/>
      </c>
      <c r="Z163" s="250">
        <f>EQUITY!W125</f>
        <v/>
      </c>
      <c r="AA163" s="250">
        <f>EQUITY!X125</f>
        <v/>
      </c>
      <c r="AB163" s="250">
        <f>EQUITY!Y125</f>
        <v/>
      </c>
      <c r="AC163" s="250">
        <f>EQUITY!Z125</f>
        <v/>
      </c>
      <c r="AD163" s="250">
        <f>EQUITY!AA125</f>
        <v/>
      </c>
      <c r="AE163" s="187">
        <f>EQUITY!AB125</f>
        <v/>
      </c>
      <c r="AF163" s="187">
        <f>EQUITY!AC125</f>
        <v/>
      </c>
      <c r="AG163" s="187">
        <f>EQUITY!AD125</f>
        <v/>
      </c>
      <c r="AH163" s="187">
        <f>EQUITY!AE125</f>
        <v/>
      </c>
      <c r="AI163" s="187">
        <f>EQUITY!AF125</f>
        <v/>
      </c>
      <c r="AJ163" s="187">
        <f>EQUITY!AG125</f>
        <v/>
      </c>
      <c r="AK163" s="187">
        <f>EQUITY!AH125</f>
        <v/>
      </c>
      <c r="AL163" s="187">
        <f>EQUITY!AI125</f>
        <v/>
      </c>
      <c r="AM163" s="187">
        <f>EQUITY!AJ125</f>
        <v/>
      </c>
      <c r="AN163" s="187">
        <f>EQUITY!AK125</f>
        <v/>
      </c>
      <c r="AO163" s="187">
        <f>EQUITY!AL125</f>
        <v/>
      </c>
      <c r="AP163" s="187">
        <f>EQUITY!AM125</f>
        <v/>
      </c>
      <c r="AQ163" s="187">
        <f>EQUITY!AN125</f>
        <v/>
      </c>
      <c r="AR163" s="187">
        <f>EQUITY!AO125</f>
        <v/>
      </c>
      <c r="AS163" s="187">
        <f>EQUITY!AP125</f>
        <v/>
      </c>
      <c r="AT163" s="187">
        <f>EQUITY!AQ125</f>
        <v/>
      </c>
      <c r="AU163" s="187">
        <f>EQUITY!AR125</f>
        <v/>
      </c>
      <c r="AV163" s="187">
        <f>EQUITY!AS125</f>
        <v/>
      </c>
      <c r="AW163" s="187">
        <f>EQUITY!AT125</f>
        <v/>
      </c>
      <c r="AX163" s="187">
        <f>EQUITY!AU125</f>
        <v/>
      </c>
      <c r="AY163">
        <f>EQUITY!AV125</f>
        <v/>
      </c>
      <c r="AZ163">
        <f>EQUITY!AW125</f>
        <v/>
      </c>
      <c r="BA163">
        <f>EQUITY!AX125</f>
        <v/>
      </c>
    </row>
    <row r="164" ht="21" customHeight="1">
      <c r="E164" s="241" t="inlineStr">
        <is>
          <t>GBP NZD</t>
        </is>
      </c>
      <c r="F164" s="250">
        <f>EQUITY!C133</f>
        <v/>
      </c>
      <c r="G164" s="250">
        <f>EQUITY!D133</f>
        <v/>
      </c>
      <c r="H164" s="250">
        <f>EQUITY!E133</f>
        <v/>
      </c>
      <c r="I164" s="250">
        <f>EQUITY!F133</f>
        <v/>
      </c>
      <c r="J164" s="250">
        <f>EQUITY!G133</f>
        <v/>
      </c>
      <c r="K164" s="250">
        <f>EQUITY!H133</f>
        <v/>
      </c>
      <c r="L164" s="250">
        <f>EQUITY!I133</f>
        <v/>
      </c>
      <c r="M164" s="250">
        <f>EQUITY!J133</f>
        <v/>
      </c>
      <c r="N164" s="250">
        <f>EQUITY!K133</f>
        <v/>
      </c>
      <c r="O164" s="250">
        <f>EQUITY!L133</f>
        <v/>
      </c>
      <c r="P164" s="250">
        <f>EQUITY!M133</f>
        <v/>
      </c>
      <c r="Q164" s="250">
        <f>EQUITY!N133</f>
        <v/>
      </c>
      <c r="R164" s="250">
        <f>EQUITY!O133</f>
        <v/>
      </c>
      <c r="S164" s="250">
        <f>EQUITY!P133</f>
        <v/>
      </c>
      <c r="T164" s="250">
        <f>EQUITY!Q133</f>
        <v/>
      </c>
      <c r="U164" s="250">
        <f>EQUITY!R133</f>
        <v/>
      </c>
      <c r="V164" s="250">
        <f>EQUITY!S133</f>
        <v/>
      </c>
      <c r="W164" s="250">
        <f>EQUITY!T133</f>
        <v/>
      </c>
      <c r="X164" s="250">
        <f>EQUITY!U133</f>
        <v/>
      </c>
      <c r="Y164" s="250">
        <f>EQUITY!V133</f>
        <v/>
      </c>
      <c r="Z164" s="250">
        <f>EQUITY!W133</f>
        <v/>
      </c>
      <c r="AA164" s="250">
        <f>EQUITY!X133</f>
        <v/>
      </c>
      <c r="AB164" s="250">
        <f>EQUITY!Y133</f>
        <v/>
      </c>
      <c r="AC164" s="250">
        <f>EQUITY!Z133</f>
        <v/>
      </c>
      <c r="AD164" s="250">
        <f>EQUITY!AA133</f>
        <v/>
      </c>
      <c r="AE164" s="187">
        <f>EQUITY!AB133</f>
        <v/>
      </c>
      <c r="AF164" s="187">
        <f>EQUITY!AC133</f>
        <v/>
      </c>
      <c r="AG164" s="187">
        <f>EQUITY!AD133</f>
        <v/>
      </c>
      <c r="AH164" s="187">
        <f>EQUITY!AE133</f>
        <v/>
      </c>
      <c r="AI164" s="187">
        <f>EQUITY!AF133</f>
        <v/>
      </c>
      <c r="AJ164" s="187">
        <f>EQUITY!AG133</f>
        <v/>
      </c>
      <c r="AK164" s="187">
        <f>EQUITY!AH133</f>
        <v/>
      </c>
      <c r="AL164" s="187">
        <f>EQUITY!AI133</f>
        <v/>
      </c>
      <c r="AM164" s="187">
        <f>EQUITY!AJ133</f>
        <v/>
      </c>
      <c r="AN164" s="187">
        <f>EQUITY!AK133</f>
        <v/>
      </c>
      <c r="AO164" s="187">
        <f>EQUITY!AL133</f>
        <v/>
      </c>
      <c r="AP164" s="187">
        <f>EQUITY!AM133</f>
        <v/>
      </c>
      <c r="AQ164" s="187">
        <f>EQUITY!AN133</f>
        <v/>
      </c>
      <c r="AR164" s="187">
        <f>EQUITY!AO133</f>
        <v/>
      </c>
      <c r="AS164" s="187">
        <f>EQUITY!AP133</f>
        <v/>
      </c>
      <c r="AT164" s="187">
        <f>EQUITY!AQ133</f>
        <v/>
      </c>
      <c r="AU164" s="187">
        <f>EQUITY!AR133</f>
        <v/>
      </c>
      <c r="AV164" s="187">
        <f>EQUITY!AS133</f>
        <v/>
      </c>
      <c r="AW164" s="187">
        <f>EQUITY!AT133</f>
        <v/>
      </c>
      <c r="AX164" s="187">
        <f>EQUITY!AU133</f>
        <v/>
      </c>
      <c r="AY164">
        <f>EQUITY!AV133</f>
        <v/>
      </c>
      <c r="AZ164">
        <f>EQUITY!AW133</f>
        <v/>
      </c>
      <c r="BA164">
        <f>EQUITY!AX133</f>
        <v/>
      </c>
    </row>
    <row r="165" ht="21" customHeight="1">
      <c r="E165" s="242" t="inlineStr">
        <is>
          <t>CHF JPY</t>
        </is>
      </c>
      <c r="F165" s="250">
        <f>EQUITY!C141</f>
        <v/>
      </c>
      <c r="G165" s="250">
        <f>EQUITY!D141</f>
        <v/>
      </c>
      <c r="H165" s="250">
        <f>EQUITY!E141</f>
        <v/>
      </c>
      <c r="I165" s="250">
        <f>EQUITY!F141</f>
        <v/>
      </c>
      <c r="J165" s="250">
        <f>EQUITY!G141</f>
        <v/>
      </c>
      <c r="K165" s="250">
        <f>EQUITY!H141</f>
        <v/>
      </c>
      <c r="L165" s="250">
        <f>EQUITY!I141</f>
        <v/>
      </c>
      <c r="M165" s="250">
        <f>EQUITY!J141</f>
        <v/>
      </c>
      <c r="N165" s="250">
        <f>EQUITY!K141</f>
        <v/>
      </c>
      <c r="O165" s="250">
        <f>EQUITY!L141</f>
        <v/>
      </c>
      <c r="P165" s="250">
        <f>EQUITY!M141</f>
        <v/>
      </c>
      <c r="Q165" s="250">
        <f>EQUITY!N141</f>
        <v/>
      </c>
      <c r="R165" s="250">
        <f>EQUITY!O141</f>
        <v/>
      </c>
      <c r="S165" s="250">
        <f>EQUITY!P141</f>
        <v/>
      </c>
      <c r="T165" s="250">
        <f>EQUITY!Q141</f>
        <v/>
      </c>
      <c r="U165" s="250">
        <f>EQUITY!R141</f>
        <v/>
      </c>
      <c r="V165" s="250">
        <f>EQUITY!S141</f>
        <v/>
      </c>
      <c r="W165" s="250">
        <f>EQUITY!T141</f>
        <v/>
      </c>
      <c r="X165" s="250">
        <f>EQUITY!U141</f>
        <v/>
      </c>
      <c r="Y165" s="250">
        <f>EQUITY!V141</f>
        <v/>
      </c>
      <c r="Z165" s="250">
        <f>EQUITY!W141</f>
        <v/>
      </c>
      <c r="AA165" s="250">
        <f>EQUITY!X141</f>
        <v/>
      </c>
      <c r="AB165" s="250">
        <f>EQUITY!Y141</f>
        <v/>
      </c>
      <c r="AC165" s="250">
        <f>EQUITY!Z141</f>
        <v/>
      </c>
      <c r="AD165" s="250">
        <f>EQUITY!AA141</f>
        <v/>
      </c>
      <c r="AE165" s="187">
        <f>EQUITY!AB141</f>
        <v/>
      </c>
      <c r="AF165" s="187">
        <f>EQUITY!AC141</f>
        <v/>
      </c>
      <c r="AG165" s="187">
        <f>EQUITY!AD141</f>
        <v/>
      </c>
      <c r="AH165" s="187">
        <f>EQUITY!AE141</f>
        <v/>
      </c>
      <c r="AI165" s="187">
        <f>EQUITY!AF141</f>
        <v/>
      </c>
      <c r="AJ165" s="187">
        <f>EQUITY!AG141</f>
        <v/>
      </c>
      <c r="AK165" s="187">
        <f>EQUITY!AH141</f>
        <v/>
      </c>
      <c r="AL165" s="187">
        <f>EQUITY!AI141</f>
        <v/>
      </c>
      <c r="AM165" s="187">
        <f>EQUITY!AJ141</f>
        <v/>
      </c>
      <c r="AN165" s="187">
        <f>EQUITY!AK141</f>
        <v/>
      </c>
      <c r="AO165" s="187">
        <f>EQUITY!AL141</f>
        <v/>
      </c>
      <c r="AP165" s="187">
        <f>EQUITY!AM141</f>
        <v/>
      </c>
      <c r="AQ165" s="187">
        <f>EQUITY!AN141</f>
        <v/>
      </c>
      <c r="AR165" s="187">
        <f>EQUITY!AO141</f>
        <v/>
      </c>
      <c r="AS165" s="187">
        <f>EQUITY!AP141</f>
        <v/>
      </c>
      <c r="AT165" s="187">
        <f>EQUITY!AQ141</f>
        <v/>
      </c>
      <c r="AU165" s="187">
        <f>EQUITY!AR141</f>
        <v/>
      </c>
      <c r="AV165" s="187">
        <f>EQUITY!AS141</f>
        <v/>
      </c>
      <c r="AW165" s="187">
        <f>EQUITY!AT141</f>
        <v/>
      </c>
      <c r="AX165" s="187">
        <f>EQUITY!AU141</f>
        <v/>
      </c>
      <c r="AY165">
        <f>EQUITY!AV141</f>
        <v/>
      </c>
      <c r="AZ165">
        <f>EQUITY!AW141</f>
        <v/>
      </c>
      <c r="BA165">
        <f>EQUITY!AX141</f>
        <v/>
      </c>
    </row>
    <row r="166" ht="21" customHeight="1">
      <c r="E166" s="243" t="inlineStr">
        <is>
          <t>AUD USD</t>
        </is>
      </c>
      <c r="F166" s="250">
        <f>EQUITY!C149</f>
        <v/>
      </c>
      <c r="G166" s="250">
        <f>EQUITY!D149</f>
        <v/>
      </c>
      <c r="H166" s="250">
        <f>EQUITY!E149</f>
        <v/>
      </c>
      <c r="I166" s="250">
        <f>EQUITY!F149</f>
        <v/>
      </c>
      <c r="J166" s="250">
        <f>EQUITY!G149</f>
        <v/>
      </c>
      <c r="K166" s="250">
        <f>EQUITY!H149</f>
        <v/>
      </c>
      <c r="L166" s="250">
        <f>EQUITY!I149</f>
        <v/>
      </c>
      <c r="M166" s="250">
        <f>EQUITY!J149</f>
        <v/>
      </c>
      <c r="N166" s="250">
        <f>EQUITY!K149</f>
        <v/>
      </c>
      <c r="O166" s="250">
        <f>EQUITY!L149</f>
        <v/>
      </c>
      <c r="P166" s="250">
        <f>EQUITY!M149</f>
        <v/>
      </c>
      <c r="Q166" s="250">
        <f>EQUITY!N149</f>
        <v/>
      </c>
      <c r="R166" s="250">
        <f>EQUITY!O149</f>
        <v/>
      </c>
      <c r="S166" s="250">
        <f>EQUITY!P149</f>
        <v/>
      </c>
      <c r="T166" s="250">
        <f>EQUITY!Q149</f>
        <v/>
      </c>
      <c r="U166" s="250">
        <f>EQUITY!R149</f>
        <v/>
      </c>
      <c r="V166" s="250">
        <f>EQUITY!S149</f>
        <v/>
      </c>
      <c r="W166" s="250">
        <f>EQUITY!T149</f>
        <v/>
      </c>
      <c r="X166" s="250">
        <f>EQUITY!U149</f>
        <v/>
      </c>
      <c r="Y166" s="250">
        <f>EQUITY!V149</f>
        <v/>
      </c>
      <c r="Z166" s="250">
        <f>EQUITY!W149</f>
        <v/>
      </c>
      <c r="AA166" s="250">
        <f>EQUITY!X149</f>
        <v/>
      </c>
      <c r="AB166" s="250">
        <f>EQUITY!Y149</f>
        <v/>
      </c>
      <c r="AC166" s="250">
        <f>EQUITY!Z149</f>
        <v/>
      </c>
      <c r="AD166" s="250">
        <f>EQUITY!AA149</f>
        <v/>
      </c>
      <c r="AE166" s="187">
        <f>EQUITY!AB149</f>
        <v/>
      </c>
      <c r="AF166" s="187">
        <f>EQUITY!AC149</f>
        <v/>
      </c>
      <c r="AG166" s="187">
        <f>EQUITY!AD149</f>
        <v/>
      </c>
      <c r="AH166" s="187">
        <f>EQUITY!AE149</f>
        <v/>
      </c>
      <c r="AI166" s="187">
        <f>EQUITY!AF149</f>
        <v/>
      </c>
      <c r="AJ166" s="187">
        <f>EQUITY!AG149</f>
        <v/>
      </c>
      <c r="AK166" s="187">
        <f>EQUITY!AH149</f>
        <v/>
      </c>
      <c r="AL166" s="187">
        <f>EQUITY!AI149</f>
        <v/>
      </c>
      <c r="AM166" s="187">
        <f>EQUITY!AJ149</f>
        <v/>
      </c>
      <c r="AN166" s="187">
        <f>EQUITY!AK149</f>
        <v/>
      </c>
      <c r="AO166" s="187">
        <f>EQUITY!AL149</f>
        <v/>
      </c>
      <c r="AP166" s="187">
        <f>EQUITY!AM149</f>
        <v/>
      </c>
      <c r="AQ166" s="187">
        <f>EQUITY!AN149</f>
        <v/>
      </c>
      <c r="AR166" s="187">
        <f>EQUITY!AO149</f>
        <v/>
      </c>
      <c r="AS166" s="187">
        <f>EQUITY!AP149</f>
        <v/>
      </c>
      <c r="AT166" s="187">
        <f>EQUITY!AQ149</f>
        <v/>
      </c>
      <c r="AU166" s="187">
        <f>EQUITY!AR149</f>
        <v/>
      </c>
      <c r="AV166" s="187">
        <f>EQUITY!AS149</f>
        <v/>
      </c>
      <c r="AW166" s="187">
        <f>EQUITY!AT149</f>
        <v/>
      </c>
      <c r="AX166" s="187">
        <f>EQUITY!AU149</f>
        <v/>
      </c>
      <c r="AY166">
        <f>EQUITY!AV149</f>
        <v/>
      </c>
      <c r="AZ166">
        <f>EQUITY!AW149</f>
        <v/>
      </c>
      <c r="BA166">
        <f>EQUITY!AX149</f>
        <v/>
      </c>
    </row>
    <row r="167" ht="21" customHeight="1">
      <c r="E167" s="243" t="inlineStr">
        <is>
          <t>AUD CHF</t>
        </is>
      </c>
      <c r="F167" s="250">
        <f>EQUITY!C157</f>
        <v/>
      </c>
      <c r="G167" s="250">
        <f>EQUITY!D157</f>
        <v/>
      </c>
      <c r="H167" s="250">
        <f>EQUITY!E157</f>
        <v/>
      </c>
      <c r="I167" s="250">
        <f>EQUITY!F157</f>
        <v/>
      </c>
      <c r="J167" s="250">
        <f>EQUITY!G157</f>
        <v/>
      </c>
      <c r="K167" s="250">
        <f>EQUITY!H157</f>
        <v/>
      </c>
      <c r="L167" s="250">
        <f>EQUITY!I157</f>
        <v/>
      </c>
      <c r="M167" s="250">
        <f>EQUITY!J157</f>
        <v/>
      </c>
      <c r="N167" s="250">
        <f>EQUITY!K157</f>
        <v/>
      </c>
      <c r="O167" s="250">
        <f>EQUITY!L157</f>
        <v/>
      </c>
      <c r="P167" s="250">
        <f>EQUITY!M157</f>
        <v/>
      </c>
      <c r="Q167" s="250">
        <f>EQUITY!N157</f>
        <v/>
      </c>
      <c r="R167" s="250">
        <f>EQUITY!O157</f>
        <v/>
      </c>
      <c r="S167" s="250">
        <f>EQUITY!P157</f>
        <v/>
      </c>
      <c r="T167" s="250">
        <f>EQUITY!Q157</f>
        <v/>
      </c>
      <c r="U167" s="250">
        <f>EQUITY!R157</f>
        <v/>
      </c>
      <c r="V167" s="250">
        <f>EQUITY!S157</f>
        <v/>
      </c>
      <c r="W167" s="250">
        <f>EQUITY!T157</f>
        <v/>
      </c>
      <c r="X167" s="250">
        <f>EQUITY!U157</f>
        <v/>
      </c>
      <c r="Y167" s="250">
        <f>EQUITY!V157</f>
        <v/>
      </c>
      <c r="Z167" s="250">
        <f>EQUITY!W157</f>
        <v/>
      </c>
      <c r="AA167" s="250">
        <f>EQUITY!X157</f>
        <v/>
      </c>
      <c r="AB167" s="250">
        <f>EQUITY!Y157</f>
        <v/>
      </c>
      <c r="AC167" s="250">
        <f>EQUITY!Z157</f>
        <v/>
      </c>
      <c r="AD167" s="250">
        <f>EQUITY!AA157</f>
        <v/>
      </c>
      <c r="AE167" s="187">
        <f>EQUITY!AB157</f>
        <v/>
      </c>
      <c r="AF167" s="187">
        <f>EQUITY!AC157</f>
        <v/>
      </c>
      <c r="AG167" s="187">
        <f>EQUITY!AD157</f>
        <v/>
      </c>
      <c r="AH167" s="187">
        <f>EQUITY!AE157</f>
        <v/>
      </c>
      <c r="AI167" s="187">
        <f>EQUITY!AF157</f>
        <v/>
      </c>
      <c r="AJ167" s="187">
        <f>EQUITY!AG157</f>
        <v/>
      </c>
      <c r="AK167" s="187">
        <f>EQUITY!AH157</f>
        <v/>
      </c>
      <c r="AL167" s="187">
        <f>EQUITY!AI157</f>
        <v/>
      </c>
      <c r="AM167" s="187">
        <f>EQUITY!AJ157</f>
        <v/>
      </c>
      <c r="AN167" s="187">
        <f>EQUITY!AK157</f>
        <v/>
      </c>
      <c r="AO167" s="187">
        <f>EQUITY!AL157</f>
        <v/>
      </c>
      <c r="AP167" s="187">
        <f>EQUITY!AM157</f>
        <v/>
      </c>
      <c r="AQ167" s="187">
        <f>EQUITY!AN157</f>
        <v/>
      </c>
      <c r="AR167" s="187">
        <f>EQUITY!AO157</f>
        <v/>
      </c>
      <c r="AS167" s="187">
        <f>EQUITY!AP157</f>
        <v/>
      </c>
      <c r="AT167" s="187">
        <f>EQUITY!AQ157</f>
        <v/>
      </c>
      <c r="AU167" s="187">
        <f>EQUITY!AR157</f>
        <v/>
      </c>
      <c r="AV167" s="187">
        <f>EQUITY!AS157</f>
        <v/>
      </c>
      <c r="AW167" s="187">
        <f>EQUITY!AT157</f>
        <v/>
      </c>
      <c r="AX167" s="187">
        <f>EQUITY!AU157</f>
        <v/>
      </c>
      <c r="AY167">
        <f>EQUITY!AV157</f>
        <v/>
      </c>
      <c r="AZ167">
        <f>EQUITY!AW157</f>
        <v/>
      </c>
      <c r="BA167">
        <f>EQUITY!AX157</f>
        <v/>
      </c>
    </row>
    <row r="168" ht="21" customHeight="1">
      <c r="E168" s="243" t="inlineStr">
        <is>
          <t>AUD JPY</t>
        </is>
      </c>
      <c r="F168" s="250">
        <f>EQUITY!C165</f>
        <v/>
      </c>
      <c r="G168" s="250">
        <f>EQUITY!D165</f>
        <v/>
      </c>
      <c r="H168" s="250">
        <f>EQUITY!E165</f>
        <v/>
      </c>
      <c r="I168" s="250">
        <f>EQUITY!F165</f>
        <v/>
      </c>
      <c r="J168" s="250">
        <f>EQUITY!G165</f>
        <v/>
      </c>
      <c r="K168" s="250">
        <f>EQUITY!H165</f>
        <v/>
      </c>
      <c r="L168" s="250">
        <f>EQUITY!I165</f>
        <v/>
      </c>
      <c r="M168" s="250">
        <f>EQUITY!J165</f>
        <v/>
      </c>
      <c r="N168" s="250">
        <f>EQUITY!K165</f>
        <v/>
      </c>
      <c r="O168" s="250">
        <f>EQUITY!L165</f>
        <v/>
      </c>
      <c r="P168" s="250">
        <f>EQUITY!M165</f>
        <v/>
      </c>
      <c r="Q168" s="250">
        <f>EQUITY!N165</f>
        <v/>
      </c>
      <c r="R168" s="250">
        <f>EQUITY!O165</f>
        <v/>
      </c>
      <c r="S168" s="250">
        <f>EQUITY!P165</f>
        <v/>
      </c>
      <c r="T168" s="250">
        <f>EQUITY!Q165</f>
        <v/>
      </c>
      <c r="U168" s="250">
        <f>EQUITY!R165</f>
        <v/>
      </c>
      <c r="V168" s="250">
        <f>EQUITY!S165</f>
        <v/>
      </c>
      <c r="W168" s="250">
        <f>EQUITY!T165</f>
        <v/>
      </c>
      <c r="X168" s="250">
        <f>EQUITY!U165</f>
        <v/>
      </c>
      <c r="Y168" s="250">
        <f>EQUITY!V165</f>
        <v/>
      </c>
      <c r="Z168" s="250">
        <f>EQUITY!W165</f>
        <v/>
      </c>
      <c r="AA168" s="250">
        <f>EQUITY!X165</f>
        <v/>
      </c>
      <c r="AB168" s="250">
        <f>EQUITY!Y165</f>
        <v/>
      </c>
      <c r="AC168" s="250">
        <f>EQUITY!Z165</f>
        <v/>
      </c>
      <c r="AD168" s="250">
        <f>EQUITY!AA165</f>
        <v/>
      </c>
      <c r="AE168" s="187">
        <f>EQUITY!AB165</f>
        <v/>
      </c>
      <c r="AF168" s="187">
        <f>EQUITY!AC165</f>
        <v/>
      </c>
      <c r="AG168" s="187">
        <f>EQUITY!AD165</f>
        <v/>
      </c>
      <c r="AH168" s="187">
        <f>EQUITY!AE165</f>
        <v/>
      </c>
      <c r="AI168" s="187">
        <f>EQUITY!AF165</f>
        <v/>
      </c>
      <c r="AJ168" s="187">
        <f>EQUITY!AG165</f>
        <v/>
      </c>
      <c r="AK168" s="187">
        <f>EQUITY!AH165</f>
        <v/>
      </c>
      <c r="AL168" s="187">
        <f>EQUITY!AI165</f>
        <v/>
      </c>
      <c r="AM168" s="187">
        <f>EQUITY!AJ165</f>
        <v/>
      </c>
      <c r="AN168" s="187">
        <f>EQUITY!AK165</f>
        <v/>
      </c>
      <c r="AO168" s="187">
        <f>EQUITY!AL165</f>
        <v/>
      </c>
      <c r="AP168" s="187">
        <f>EQUITY!AM165</f>
        <v/>
      </c>
      <c r="AQ168" s="187">
        <f>EQUITY!AN165</f>
        <v/>
      </c>
      <c r="AR168" s="187">
        <f>EQUITY!AO165</f>
        <v/>
      </c>
      <c r="AS168" s="187">
        <f>EQUITY!AP165</f>
        <v/>
      </c>
      <c r="AT168" s="187">
        <f>EQUITY!AQ165</f>
        <v/>
      </c>
      <c r="AU168" s="187">
        <f>EQUITY!AR165</f>
        <v/>
      </c>
      <c r="AV168" s="187">
        <f>EQUITY!AS165</f>
        <v/>
      </c>
      <c r="AW168" s="187">
        <f>EQUITY!AT165</f>
        <v/>
      </c>
      <c r="AX168" s="187">
        <f>EQUITY!AU165</f>
        <v/>
      </c>
      <c r="AY168">
        <f>EQUITY!AV165</f>
        <v/>
      </c>
      <c r="AZ168">
        <f>EQUITY!AW165</f>
        <v/>
      </c>
      <c r="BA168">
        <f>EQUITY!AX165</f>
        <v/>
      </c>
    </row>
    <row r="169" ht="21" customHeight="1">
      <c r="E169" s="244" t="inlineStr">
        <is>
          <t>AUD NZD</t>
        </is>
      </c>
      <c r="F169" s="250">
        <f>EQUITY!C173</f>
        <v/>
      </c>
      <c r="G169" s="250">
        <f>EQUITY!D173</f>
        <v/>
      </c>
      <c r="H169" s="250">
        <f>EQUITY!E173</f>
        <v/>
      </c>
      <c r="I169" s="250">
        <f>EQUITY!F173</f>
        <v/>
      </c>
      <c r="J169" s="250">
        <f>EQUITY!G173</f>
        <v/>
      </c>
      <c r="K169" s="250">
        <f>EQUITY!H173</f>
        <v/>
      </c>
      <c r="L169" s="250">
        <f>EQUITY!I173</f>
        <v/>
      </c>
      <c r="M169" s="250">
        <f>EQUITY!J173</f>
        <v/>
      </c>
      <c r="N169" s="250">
        <f>EQUITY!K173</f>
        <v/>
      </c>
      <c r="O169" s="250">
        <f>EQUITY!L173</f>
        <v/>
      </c>
      <c r="P169" s="250">
        <f>EQUITY!M173</f>
        <v/>
      </c>
      <c r="Q169" s="250">
        <f>EQUITY!N173</f>
        <v/>
      </c>
      <c r="R169" s="250">
        <f>EQUITY!O173</f>
        <v/>
      </c>
      <c r="S169" s="250">
        <f>EQUITY!P173</f>
        <v/>
      </c>
      <c r="T169" s="250">
        <f>EQUITY!Q173</f>
        <v/>
      </c>
      <c r="U169" s="250">
        <f>EQUITY!R173</f>
        <v/>
      </c>
      <c r="V169" s="250">
        <f>EQUITY!S173</f>
        <v/>
      </c>
      <c r="W169" s="250">
        <f>EQUITY!T173</f>
        <v/>
      </c>
      <c r="X169" s="250">
        <f>EQUITY!U173</f>
        <v/>
      </c>
      <c r="Y169" s="250">
        <f>EQUITY!V173</f>
        <v/>
      </c>
      <c r="Z169" s="250">
        <f>EQUITY!W173</f>
        <v/>
      </c>
      <c r="AA169" s="250">
        <f>EQUITY!X173</f>
        <v/>
      </c>
      <c r="AB169" s="250">
        <f>EQUITY!Y173</f>
        <v/>
      </c>
      <c r="AC169" s="250">
        <f>EQUITY!Z173</f>
        <v/>
      </c>
      <c r="AD169" s="250">
        <f>EQUITY!AA173</f>
        <v/>
      </c>
      <c r="AE169" s="187">
        <f>EQUITY!AB173</f>
        <v/>
      </c>
      <c r="AF169" s="187">
        <f>EQUITY!AC173</f>
        <v/>
      </c>
      <c r="AG169" s="187">
        <f>EQUITY!AD173</f>
        <v/>
      </c>
      <c r="AH169" s="187">
        <f>EQUITY!AE173</f>
        <v/>
      </c>
      <c r="AI169" s="187">
        <f>EQUITY!AF173</f>
        <v/>
      </c>
      <c r="AJ169" s="187">
        <f>EQUITY!AG173</f>
        <v/>
      </c>
      <c r="AK169" s="187">
        <f>EQUITY!AH173</f>
        <v/>
      </c>
      <c r="AL169" s="187">
        <f>EQUITY!AI173</f>
        <v/>
      </c>
      <c r="AM169" s="187">
        <f>EQUITY!AJ173</f>
        <v/>
      </c>
      <c r="AN169" s="187">
        <f>EQUITY!AK173</f>
        <v/>
      </c>
      <c r="AO169" s="187">
        <f>EQUITY!AL173</f>
        <v/>
      </c>
      <c r="AP169" s="187">
        <f>EQUITY!AM173</f>
        <v/>
      </c>
      <c r="AQ169" s="187">
        <f>EQUITY!AN173</f>
        <v/>
      </c>
      <c r="AR169" s="187">
        <f>EQUITY!AO173</f>
        <v/>
      </c>
      <c r="AS169" s="187">
        <f>EQUITY!AP173</f>
        <v/>
      </c>
      <c r="AT169" s="187">
        <f>EQUITY!AQ173</f>
        <v/>
      </c>
      <c r="AU169" s="187">
        <f>EQUITY!AR173</f>
        <v/>
      </c>
      <c r="AV169" s="187">
        <f>EQUITY!AS173</f>
        <v/>
      </c>
      <c r="AW169" s="187">
        <f>EQUITY!AT173</f>
        <v/>
      </c>
      <c r="AX169" s="187">
        <f>EQUITY!AU173</f>
        <v/>
      </c>
      <c r="AY169">
        <f>EQUITY!AV173</f>
        <v/>
      </c>
      <c r="AZ169">
        <f>EQUITY!AW173</f>
        <v/>
      </c>
      <c r="BA169">
        <f>EQUITY!AX173</f>
        <v/>
      </c>
    </row>
    <row r="170" ht="21" customHeight="1">
      <c r="E170" s="244" t="inlineStr">
        <is>
          <t>AUD CAD</t>
        </is>
      </c>
      <c r="F170" s="250">
        <f>EQUITY!C181</f>
        <v/>
      </c>
      <c r="G170" s="250">
        <f>EQUITY!D181</f>
        <v/>
      </c>
      <c r="H170" s="250">
        <f>EQUITY!E181</f>
        <v/>
      </c>
      <c r="I170" s="250">
        <f>EQUITY!F181</f>
        <v/>
      </c>
      <c r="J170" s="250">
        <f>EQUITY!G181</f>
        <v/>
      </c>
      <c r="K170" s="250">
        <f>EQUITY!H181</f>
        <v/>
      </c>
      <c r="L170" s="250">
        <f>EQUITY!I181</f>
        <v/>
      </c>
      <c r="M170" s="250">
        <f>EQUITY!J181</f>
        <v/>
      </c>
      <c r="N170" s="250">
        <f>EQUITY!K181</f>
        <v/>
      </c>
      <c r="O170" s="250">
        <f>EQUITY!L181</f>
        <v/>
      </c>
      <c r="P170" s="250">
        <f>EQUITY!M181</f>
        <v/>
      </c>
      <c r="Q170" s="250">
        <f>EQUITY!N181</f>
        <v/>
      </c>
      <c r="R170" s="250">
        <f>EQUITY!O181</f>
        <v/>
      </c>
      <c r="S170" s="250">
        <f>EQUITY!P181</f>
        <v/>
      </c>
      <c r="T170" s="250">
        <f>EQUITY!Q181</f>
        <v/>
      </c>
      <c r="U170" s="250">
        <f>EQUITY!R181</f>
        <v/>
      </c>
      <c r="V170" s="250">
        <f>EQUITY!S181</f>
        <v/>
      </c>
      <c r="W170" s="250">
        <f>EQUITY!T181</f>
        <v/>
      </c>
      <c r="X170" s="250">
        <f>EQUITY!U181</f>
        <v/>
      </c>
      <c r="Y170" s="250">
        <f>EQUITY!V181</f>
        <v/>
      </c>
      <c r="Z170" s="250">
        <f>EQUITY!W181</f>
        <v/>
      </c>
      <c r="AA170" s="250">
        <f>EQUITY!X181</f>
        <v/>
      </c>
      <c r="AB170" s="250">
        <f>EQUITY!Y181</f>
        <v/>
      </c>
      <c r="AC170" s="250">
        <f>EQUITY!Z181</f>
        <v/>
      </c>
      <c r="AD170" s="250">
        <f>EQUITY!AA181</f>
        <v/>
      </c>
      <c r="AE170" s="187">
        <f>EQUITY!AB181</f>
        <v/>
      </c>
      <c r="AF170" s="187">
        <f>EQUITY!AC181</f>
        <v/>
      </c>
      <c r="AG170" s="187">
        <f>EQUITY!AD181</f>
        <v/>
      </c>
      <c r="AH170" s="187">
        <f>EQUITY!AE181</f>
        <v/>
      </c>
      <c r="AI170" s="187">
        <f>EQUITY!AF181</f>
        <v/>
      </c>
      <c r="AJ170" s="187">
        <f>EQUITY!AG181</f>
        <v/>
      </c>
      <c r="AK170" s="187">
        <f>EQUITY!AH181</f>
        <v/>
      </c>
      <c r="AL170" s="187">
        <f>EQUITY!AI181</f>
        <v/>
      </c>
      <c r="AM170" s="187">
        <f>EQUITY!AJ181</f>
        <v/>
      </c>
      <c r="AN170" s="187">
        <f>EQUITY!AK181</f>
        <v/>
      </c>
      <c r="AO170" s="187">
        <f>EQUITY!AL181</f>
        <v/>
      </c>
      <c r="AP170" s="187">
        <f>EQUITY!AM181</f>
        <v/>
      </c>
      <c r="AQ170" s="187">
        <f>EQUITY!AN181</f>
        <v/>
      </c>
      <c r="AR170" s="187">
        <f>EQUITY!AO181</f>
        <v/>
      </c>
      <c r="AS170" s="187">
        <f>EQUITY!AP181</f>
        <v/>
      </c>
      <c r="AT170" s="187">
        <f>EQUITY!AQ181</f>
        <v/>
      </c>
      <c r="AU170" s="187">
        <f>EQUITY!AR181</f>
        <v/>
      </c>
      <c r="AV170" s="187">
        <f>EQUITY!AS181</f>
        <v/>
      </c>
      <c r="AW170" s="187">
        <f>EQUITY!AT181</f>
        <v/>
      </c>
      <c r="AX170" s="187">
        <f>EQUITY!AU181</f>
        <v/>
      </c>
      <c r="AY170">
        <f>EQUITY!AV181</f>
        <v/>
      </c>
      <c r="AZ170">
        <f>EQUITY!AW181</f>
        <v/>
      </c>
      <c r="BA170">
        <f>EQUITY!AX181</f>
        <v/>
      </c>
    </row>
    <row r="171" ht="21" customHeight="1">
      <c r="E171" s="245" t="inlineStr">
        <is>
          <t>CAD JPY</t>
        </is>
      </c>
      <c r="F171" s="250">
        <f>EQUITY!C189</f>
        <v/>
      </c>
      <c r="G171" s="250">
        <f>EQUITY!D189</f>
        <v/>
      </c>
      <c r="H171" s="250">
        <f>EQUITY!E189</f>
        <v/>
      </c>
      <c r="I171" s="250">
        <f>EQUITY!F189</f>
        <v/>
      </c>
      <c r="J171" s="250">
        <f>EQUITY!G189</f>
        <v/>
      </c>
      <c r="K171" s="250">
        <f>EQUITY!H189</f>
        <v/>
      </c>
      <c r="L171" s="250">
        <f>EQUITY!I189</f>
        <v/>
      </c>
      <c r="M171" s="250">
        <f>EQUITY!J189</f>
        <v/>
      </c>
      <c r="N171" s="250">
        <f>EQUITY!K189</f>
        <v/>
      </c>
      <c r="O171" s="250">
        <f>EQUITY!L189</f>
        <v/>
      </c>
      <c r="P171" s="250">
        <f>EQUITY!M189</f>
        <v/>
      </c>
      <c r="Q171" s="250">
        <f>EQUITY!N189</f>
        <v/>
      </c>
      <c r="R171" s="250">
        <f>EQUITY!O189</f>
        <v/>
      </c>
      <c r="S171" s="250">
        <f>EQUITY!P189</f>
        <v/>
      </c>
      <c r="T171" s="250">
        <f>EQUITY!Q189</f>
        <v/>
      </c>
      <c r="U171" s="250">
        <f>EQUITY!R189</f>
        <v/>
      </c>
      <c r="V171" s="250">
        <f>EQUITY!S189</f>
        <v/>
      </c>
      <c r="W171" s="250">
        <f>EQUITY!T189</f>
        <v/>
      </c>
      <c r="X171" s="250">
        <f>EQUITY!U189</f>
        <v/>
      </c>
      <c r="Y171" s="250">
        <f>EQUITY!V189</f>
        <v/>
      </c>
      <c r="Z171" s="250">
        <f>EQUITY!W189</f>
        <v/>
      </c>
      <c r="AA171" s="250">
        <f>EQUITY!X189</f>
        <v/>
      </c>
      <c r="AB171" s="250">
        <f>EQUITY!Y189</f>
        <v/>
      </c>
      <c r="AC171" s="250">
        <f>EQUITY!Z189</f>
        <v/>
      </c>
      <c r="AD171" s="250">
        <f>EQUITY!AA189</f>
        <v/>
      </c>
      <c r="AE171" s="187">
        <f>EQUITY!AB189</f>
        <v/>
      </c>
      <c r="AF171" s="187">
        <f>EQUITY!AC189</f>
        <v/>
      </c>
      <c r="AG171" s="187">
        <f>EQUITY!AD189</f>
        <v/>
      </c>
      <c r="AH171" s="187">
        <f>EQUITY!AE189</f>
        <v/>
      </c>
      <c r="AI171" s="187">
        <f>EQUITY!AF189</f>
        <v/>
      </c>
      <c r="AJ171" s="187">
        <f>EQUITY!AG189</f>
        <v/>
      </c>
      <c r="AK171" s="187">
        <f>EQUITY!AH189</f>
        <v/>
      </c>
      <c r="AL171" s="187">
        <f>EQUITY!AI189</f>
        <v/>
      </c>
      <c r="AM171" s="187">
        <f>EQUITY!AJ189</f>
        <v/>
      </c>
      <c r="AN171" s="187">
        <f>EQUITY!AK189</f>
        <v/>
      </c>
      <c r="AO171" s="187">
        <f>EQUITY!AL189</f>
        <v/>
      </c>
      <c r="AP171" s="187">
        <f>EQUITY!AM189</f>
        <v/>
      </c>
      <c r="AQ171" s="187">
        <f>EQUITY!AN189</f>
        <v/>
      </c>
      <c r="AR171" s="187">
        <f>EQUITY!AO189</f>
        <v/>
      </c>
      <c r="AS171" s="187">
        <f>EQUITY!AP189</f>
        <v/>
      </c>
      <c r="AT171" s="187">
        <f>EQUITY!AQ189</f>
        <v/>
      </c>
      <c r="AU171" s="187">
        <f>EQUITY!AR189</f>
        <v/>
      </c>
      <c r="AV171" s="187">
        <f>EQUITY!AS189</f>
        <v/>
      </c>
      <c r="AW171" s="187">
        <f>EQUITY!AT189</f>
        <v/>
      </c>
      <c r="AX171" s="187">
        <f>EQUITY!AU189</f>
        <v/>
      </c>
      <c r="AY171">
        <f>EQUITY!AV189</f>
        <v/>
      </c>
      <c r="AZ171">
        <f>EQUITY!AW189</f>
        <v/>
      </c>
      <c r="BA171">
        <f>EQUITY!AX189</f>
        <v/>
      </c>
    </row>
    <row r="172">
      <c r="AZ172" s="286" t="n"/>
      <c r="BA172" s="307" t="n"/>
      <c r="BB172" s="286" t="n"/>
      <c r="BC172" s="307" t="n"/>
      <c r="BD172" s="286" t="n"/>
      <c r="BE172" s="307" t="n"/>
    </row>
    <row r="173">
      <c r="A173" s="223" t="inlineStr">
        <is>
          <t>accuracy_pct</t>
        </is>
      </c>
      <c r="B173" s="223" t="inlineStr">
        <is>
          <t>correlation</t>
        </is>
      </c>
      <c r="C173" s="223" t="inlineStr">
        <is>
          <t>flips</t>
        </is>
      </c>
      <c r="D173" s="223" t="n"/>
      <c r="E173" s="3" t="inlineStr">
        <is>
          <t>TOTAL</t>
        </is>
      </c>
      <c r="F173" s="249" t="n">
        <v>44927</v>
      </c>
      <c r="G173" s="208" t="n">
        <v>44958</v>
      </c>
      <c r="H173" s="208" t="n">
        <v>44986</v>
      </c>
      <c r="I173" s="249" t="n">
        <v>45017</v>
      </c>
      <c r="J173" s="208" t="n">
        <v>45047</v>
      </c>
      <c r="K173" s="208" t="n">
        <v>45078</v>
      </c>
      <c r="L173" s="249" t="n">
        <v>45108</v>
      </c>
      <c r="M173" s="208" t="n">
        <v>45139</v>
      </c>
      <c r="N173" s="208" t="n">
        <v>45170</v>
      </c>
      <c r="O173" s="249" t="n">
        <v>45200</v>
      </c>
      <c r="P173" s="208" t="n">
        <v>45231</v>
      </c>
      <c r="Q173" s="208" t="n">
        <v>45261</v>
      </c>
      <c r="R173" s="249" t="n">
        <v>45292</v>
      </c>
      <c r="S173" s="208" t="n">
        <v>45323</v>
      </c>
      <c r="T173" s="208" t="n">
        <v>45352</v>
      </c>
      <c r="U173" s="249" t="n">
        <v>45383</v>
      </c>
      <c r="V173" s="208" t="n">
        <v>45413</v>
      </c>
      <c r="W173" s="208" t="n">
        <v>45444</v>
      </c>
      <c r="X173" s="249" t="n">
        <v>45474</v>
      </c>
      <c r="Y173" s="208" t="n">
        <v>45505</v>
      </c>
      <c r="Z173" s="208" t="n">
        <v>45536</v>
      </c>
      <c r="AA173" s="249" t="n">
        <v>45566</v>
      </c>
      <c r="AB173" s="208" t="n">
        <v>45597</v>
      </c>
      <c r="AC173" s="208" t="n">
        <v>45627</v>
      </c>
      <c r="AD173" s="208" t="n">
        <v>45658</v>
      </c>
      <c r="AE173" s="208" t="n">
        <v>45689</v>
      </c>
      <c r="AF173" s="208" t="n">
        <v>45717</v>
      </c>
      <c r="AG173" s="208" t="n">
        <v>45748</v>
      </c>
      <c r="AH173" s="208" t="n">
        <v>45778</v>
      </c>
      <c r="AI173" s="208" t="n">
        <v>45809</v>
      </c>
      <c r="AJ173" s="208" t="n">
        <v>45839</v>
      </c>
      <c r="AK173" s="208" t="n">
        <v>45870</v>
      </c>
      <c r="AL173" s="208" t="n">
        <v>45901</v>
      </c>
      <c r="AM173" s="208" t="n">
        <v>45931</v>
      </c>
      <c r="AN173" s="208" t="n">
        <v>45962</v>
      </c>
      <c r="AO173" s="208" t="n">
        <v>45992</v>
      </c>
      <c r="AP173" s="208" t="n">
        <v>46023</v>
      </c>
      <c r="AQ173" s="208" t="n">
        <v>46054</v>
      </c>
      <c r="AR173" s="208" t="n">
        <v>46082</v>
      </c>
      <c r="AS173" s="208" t="n">
        <v>46113</v>
      </c>
      <c r="AT173" s="208" t="n">
        <v>46143</v>
      </c>
      <c r="AU173" s="208" t="n">
        <v>46174</v>
      </c>
      <c r="AV173" s="273" t="n">
        <v>46204</v>
      </c>
      <c r="AW173" s="208" t="n">
        <v>46235</v>
      </c>
      <c r="AX173" s="273" t="n">
        <v>46266</v>
      </c>
      <c r="AZ173" s="251" t="n"/>
      <c r="BA173" s="251" t="n"/>
      <c r="BB173" s="251" t="n"/>
      <c r="BC173" s="251" t="n"/>
      <c r="BD173" s="251" t="n"/>
      <c r="BE173" s="251" t="n"/>
    </row>
    <row r="174" ht="21" customHeight="1">
      <c r="A174" s="223" t="n">
        <v>80</v>
      </c>
      <c r="B174" s="225" t="n">
        <v>0.697</v>
      </c>
      <c r="C174" s="225" t="n">
        <v>3</v>
      </c>
      <c r="D174" s="221" t="n">
        <v>2</v>
      </c>
      <c r="E174" s="219" t="inlineStr">
        <is>
          <t>USD JPY</t>
        </is>
      </c>
      <c r="F174" s="209">
        <f>(F19+F45+F72+F98+F123+F149)/60</f>
        <v/>
      </c>
      <c r="G174" s="209">
        <f>(G19+G45+G72+G98+G123+G149)/60</f>
        <v/>
      </c>
      <c r="H174" s="209">
        <f>(H19+H45+H72+H98+H123+H149)/60</f>
        <v/>
      </c>
      <c r="I174" s="209">
        <f>(I19+I45+I72+I98+I123+I149)/60</f>
        <v/>
      </c>
      <c r="J174" s="209">
        <f>(J19+J45+J72+J98+J123+J149)/60</f>
        <v/>
      </c>
      <c r="K174" s="209">
        <f>(K19+K45+K72+K98+K123+K149)/60</f>
        <v/>
      </c>
      <c r="L174" s="209">
        <f>(L19+L45+L72+L98+L123+L149)/60</f>
        <v/>
      </c>
      <c r="M174" s="209">
        <f>(M19+M45+M72+M98+M123+M149)/60</f>
        <v/>
      </c>
      <c r="N174" s="209">
        <f>(N19+N45+N72+N98+N123+N149)/60</f>
        <v/>
      </c>
      <c r="O174" s="209">
        <f>(O19+O45+O72+O98+O123+O149)/60</f>
        <v/>
      </c>
      <c r="P174" s="209">
        <f>(P19+P45+P72+P98+P123+P149)/60</f>
        <v/>
      </c>
      <c r="Q174" s="209">
        <f>(Q19+Q45+Q72+Q98+Q123+Q149)/60</f>
        <v/>
      </c>
      <c r="R174" s="209">
        <f>(R19+R45+R72+R98+R123+R149)/60</f>
        <v/>
      </c>
      <c r="S174" s="209">
        <f>(S19+S45+S72+S98+S123+S149)/60</f>
        <v/>
      </c>
      <c r="T174" s="209">
        <f>(T19+T45+T72+T98+T123+T149)/60</f>
        <v/>
      </c>
      <c r="U174" s="209">
        <f>(U19+U45+U72+U98+U123+U149)/60</f>
        <v/>
      </c>
      <c r="V174" s="209">
        <f>(V19+V45+V72+V98+V123+V149)/60</f>
        <v/>
      </c>
      <c r="W174" s="209">
        <f>(W19+W45+W72+W98+W123+W149)/60</f>
        <v/>
      </c>
      <c r="X174" s="209">
        <f>(X19+X45+X72+X98+X123+X149)/60</f>
        <v/>
      </c>
      <c r="Y174" s="209">
        <f>(Y19+Y45+Y72+Y98+Y123+Y149)/60</f>
        <v/>
      </c>
      <c r="Z174" s="209">
        <f>(Z19+Z45+Z72+Z98+Z123+Z149)/60</f>
        <v/>
      </c>
      <c r="AA174" s="209">
        <f>(AA19+AA45+AA72+AA98+AA123+AA149)/60</f>
        <v/>
      </c>
      <c r="AB174" s="209">
        <f>(AB19+AB45+AB72+AB98+AB123+AB149)/60</f>
        <v/>
      </c>
      <c r="AC174" s="209">
        <f>(AC19+AC45+AC72+AC98+AC123+AC149)/60</f>
        <v/>
      </c>
      <c r="AD174" s="209">
        <f>(AD19+AD45+AD72+AD98+AD123+AD149)/60</f>
        <v/>
      </c>
      <c r="AE174" s="209">
        <f>(AE19+AE45+AE72+AE98+AE123+AE149)/60</f>
        <v/>
      </c>
      <c r="AF174" s="209">
        <f>(AF19+AF45+AF72+AF98+AF123+AF149)/60</f>
        <v/>
      </c>
      <c r="AG174" s="209">
        <f>(AG19+AG45+AG72+AG98+AG123+AG149)/60</f>
        <v/>
      </c>
      <c r="AH174" s="209">
        <f>(AH19+AH45+AH72+AH98+AH123+AH149)/60</f>
        <v/>
      </c>
      <c r="AI174" s="209">
        <f>(AI19+AI45+AI72+AI98+AI123+AI149)/60</f>
        <v/>
      </c>
      <c r="AJ174" s="209">
        <f>(AJ19+AJ45+AJ72+AJ98+AJ123+AJ149)/60</f>
        <v/>
      </c>
      <c r="AK174" s="209">
        <f>(AK19+AK45+AK72+AK98+AK123+AK149)/60</f>
        <v/>
      </c>
      <c r="AL174" s="209">
        <f>(AL19+AL45+AL72+AL98+AL123+AL149)/60</f>
        <v/>
      </c>
      <c r="AM174" s="209">
        <f>(AM19+AM45+AM72+AM98+AM123+AM149)/60</f>
        <v/>
      </c>
      <c r="AN174" s="209">
        <f>(AN19+AN45+AN72+AN98+AN123+AN149)/60</f>
        <v/>
      </c>
      <c r="AO174" s="209">
        <f>(AO19+AO45+AO72+AO98+AO123+AO149)/60</f>
        <v/>
      </c>
      <c r="AP174" s="209">
        <f>(AP19+AP45+AP72+AP98+AP123+AP149)/60</f>
        <v/>
      </c>
      <c r="AQ174" s="209">
        <f>(AQ19+AQ45+AQ72+AQ98+AQ123+AQ149)/60</f>
        <v/>
      </c>
      <c r="AR174" s="209">
        <f>(AR19+AR45+AR72+AR98+AR123+AR149)/60</f>
        <v/>
      </c>
      <c r="AS174" s="209">
        <f>(AS19+AS45+AS72+AS98+AS123+AS149)/60</f>
        <v/>
      </c>
      <c r="AT174" s="209">
        <f>(AT19+AT45+AT72+AT98+AT123+AT149)/60</f>
        <v/>
      </c>
      <c r="AU174" s="209">
        <f>(AU19+AU45+AU72+AU98+AU123+AU149)/60</f>
        <v/>
      </c>
      <c r="AV174" s="209">
        <f>(AV19+AV45+AV72+AV98+AV123+AV149)/60</f>
        <v/>
      </c>
      <c r="AW174" s="258">
        <f>(AW19+AW45+AW72+AW98+AW123+AW149)/60</f>
        <v/>
      </c>
      <c r="AX174" s="258">
        <f>(AX19+AX45+AX72+AX98+AX123+AX149)/60</f>
        <v/>
      </c>
      <c r="AY174" s="274" t="inlineStr">
        <is>
          <t>USD JPY</t>
        </is>
      </c>
      <c r="AZ174" s="251" t="inlineStr">
        <is>
          <t>Paire</t>
        </is>
      </c>
      <c r="BA174" s="251" t="inlineStr">
        <is>
          <t>Corrélation</t>
        </is>
      </c>
      <c r="BB174" s="251" t="inlineStr">
        <is>
          <t>Win Rate (%)</t>
        </is>
      </c>
      <c r="BC174" s="251" t="inlineStr">
        <is>
          <t>Max Drawdown (%)</t>
        </is>
      </c>
      <c r="BD174" s="259" t="n"/>
      <c r="BE174" s="259" t="n"/>
      <c r="BF174" s="260" t="n"/>
    </row>
    <row r="175" ht="21" customHeight="1">
      <c r="A175" s="224" t="n"/>
      <c r="B175" s="224" t="n"/>
      <c r="C175" s="224" t="n"/>
      <c r="D175" s="221" t="n"/>
      <c r="E175" s="217" t="inlineStr">
        <is>
          <t>USD CHF</t>
        </is>
      </c>
      <c r="F175" s="209">
        <f>(F20+F46+F73+F99+F124+F150)/60</f>
        <v/>
      </c>
      <c r="G175" s="209">
        <f>(G20+G46+G73+G99+G124+G150)/60</f>
        <v/>
      </c>
      <c r="H175" s="209">
        <f>(H20+H46+H73+H99+H124+H150)/60</f>
        <v/>
      </c>
      <c r="I175" s="209">
        <f>(I20+I46+I73+I99+I124+I150)/60</f>
        <v/>
      </c>
      <c r="J175" s="209">
        <f>(J20+J46+J73+J99+J124+J150)/60</f>
        <v/>
      </c>
      <c r="K175" s="209">
        <f>(K20+K46+K73+K99+K124+K150)/60</f>
        <v/>
      </c>
      <c r="L175" s="209">
        <f>(L20+L46+L73+L99+L124+L150)/60</f>
        <v/>
      </c>
      <c r="M175" s="209">
        <f>(M20+M46+M73+M99+M124+M150)/60</f>
        <v/>
      </c>
      <c r="N175" s="209">
        <f>(N20+N46+N73+N99+N124+N150)/60</f>
        <v/>
      </c>
      <c r="O175" s="209">
        <f>(O20+O46+O73+O99+O124+O150)/60</f>
        <v/>
      </c>
      <c r="P175" s="209">
        <f>(P20+P46+P73+P99+P124+P150)/60</f>
        <v/>
      </c>
      <c r="Q175" s="209">
        <f>(Q20+Q46+Q73+Q99+Q124+Q150)/60</f>
        <v/>
      </c>
      <c r="R175" s="209">
        <f>(R20+R46+R73+R99+R124+R150)/60</f>
        <v/>
      </c>
      <c r="S175" s="209">
        <f>(S20+S46+S73+S99+S124+S150)/60</f>
        <v/>
      </c>
      <c r="T175" s="209">
        <f>(T20+T46+T73+T99+T124+T150)/60</f>
        <v/>
      </c>
      <c r="U175" s="209">
        <f>(U20+U46+U73+U99+U124+U150)/60</f>
        <v/>
      </c>
      <c r="V175" s="209">
        <f>(V20+V46+V73+V99+V124+V150)/60</f>
        <v/>
      </c>
      <c r="W175" s="209">
        <f>(W20+W46+W73+W99+W124+W150)/60</f>
        <v/>
      </c>
      <c r="X175" s="209">
        <f>(X20+X46+X73+X99+X124+X150)/60</f>
        <v/>
      </c>
      <c r="Y175" s="209">
        <f>(Y20+Y46+Y73+Y99+Y124+Y150)/60</f>
        <v/>
      </c>
      <c r="Z175" s="209">
        <f>(Z20+Z46+Z73+Z99+Z124+Z150)/60</f>
        <v/>
      </c>
      <c r="AA175" s="209">
        <f>(AA20+AA46+AA73+AA99+AA124+AA150)/60</f>
        <v/>
      </c>
      <c r="AB175" s="209">
        <f>(AB20+AB46+AB73+AB99+AB124+AB150)/60</f>
        <v/>
      </c>
      <c r="AC175" s="209">
        <f>(AC20+AC46+AC73+AC99+AC124+AC150)/60</f>
        <v/>
      </c>
      <c r="AD175" s="209">
        <f>(AD20+AD46+AD73+AD99+AD124+AD150)/60</f>
        <v/>
      </c>
      <c r="AE175" s="209">
        <f>(AE20+AE46+AE73+AE99+AE124+AE150)/60</f>
        <v/>
      </c>
      <c r="AF175" s="209">
        <f>(AF20+AF46+AF73+AF99+AF124+AF150)/60</f>
        <v/>
      </c>
      <c r="AG175" s="209">
        <f>(AG20+AG46+AG73+AG99+AG124+AG150)/60</f>
        <v/>
      </c>
      <c r="AH175" s="209">
        <f>(AH20+AH46+AH73+AH99+AH124+AH150)/60</f>
        <v/>
      </c>
      <c r="AI175" s="209">
        <f>(AI20+AI46+AI73+AI99+AI124+AI150)/60</f>
        <v/>
      </c>
      <c r="AJ175" s="209">
        <f>(AJ20+AJ46+AJ73+AJ99+AJ124+AJ150)/60</f>
        <v/>
      </c>
      <c r="AK175" s="209">
        <f>(AK20+AK46+AK73+AK99+AK124+AK150)/60</f>
        <v/>
      </c>
      <c r="AL175" s="209">
        <f>(AL20+AL46+AL73+AL99+AL124+AL150)/60</f>
        <v/>
      </c>
      <c r="AM175" s="209">
        <f>(AM20+AM46+AM73+AM99+AM124+AM150)/60</f>
        <v/>
      </c>
      <c r="AN175" s="209">
        <f>(AN20+AN46+AN73+AN99+AN124+AN150)/60</f>
        <v/>
      </c>
      <c r="AO175" s="209">
        <f>(AO20+AO46+AO73+AO99+AO124+AO150)/60</f>
        <v/>
      </c>
      <c r="AP175" s="209">
        <f>(AP20+AP46+AP73+AP99+AP124+AP150)/60</f>
        <v/>
      </c>
      <c r="AQ175" s="209">
        <f>(AQ20+AQ46+AQ73+AQ99+AQ124+AQ150)/60</f>
        <v/>
      </c>
      <c r="AR175" s="209">
        <f>(AR20+AR46+AR73+AR99+AR124+AR150)/60</f>
        <v/>
      </c>
      <c r="AS175" s="209">
        <f>(AS20+AS46+AS73+AS99+AS124+AS150)/60</f>
        <v/>
      </c>
      <c r="AT175" s="209">
        <f>(AT20+AT46+AT73+AT99+AT124+AT150)/60</f>
        <v/>
      </c>
      <c r="AU175" s="209">
        <f>(AU20+AU46+AU73+AU99+AU124+AU150)/60</f>
        <v/>
      </c>
      <c r="AV175" s="209">
        <f>(AV20+AV46+AV73+AV99+AV124+AV150)/60</f>
        <v/>
      </c>
      <c r="AW175" s="258">
        <f>(AW20+AW46+AW73+AW99+AW124+AW150)/60</f>
        <v/>
      </c>
      <c r="AX175" s="258">
        <f>(AX20+AX46+AX73+AX99+AX124+AX150)/60</f>
        <v/>
      </c>
      <c r="AY175" s="274" t="inlineStr">
        <is>
          <t>USD CHF</t>
        </is>
      </c>
      <c r="AZ175" s="277" t="inlineStr">
        <is>
          <t>EUR AUD</t>
        </is>
      </c>
      <c r="BA175" s="278" t="n">
        <v>0.330226848756773</v>
      </c>
      <c r="BB175" s="278" t="n">
        <v>71.4285714285714</v>
      </c>
      <c r="BC175" s="278" t="n">
        <v>-2.34655746857141</v>
      </c>
      <c r="BD175" s="259" t="n"/>
      <c r="BE175" s="259" t="n"/>
      <c r="BF175" s="260" t="n"/>
    </row>
    <row r="176" ht="21" customHeight="1">
      <c r="A176" s="224" t="n"/>
      <c r="B176" s="224" t="n"/>
      <c r="C176" s="224" t="n"/>
      <c r="D176" s="221" t="n"/>
      <c r="E176" s="217" t="inlineStr">
        <is>
          <t>USD CAD</t>
        </is>
      </c>
      <c r="F176" s="209">
        <f>(F21+F47+F74+F100+F125+F151)/60</f>
        <v/>
      </c>
      <c r="G176" s="209">
        <f>(G21+G47+G74+G100+G125+G151)/60</f>
        <v/>
      </c>
      <c r="H176" s="209">
        <f>(H21+H47+H74+H100+H125+H151)/60</f>
        <v/>
      </c>
      <c r="I176" s="209">
        <f>(I21+I47+I74+I100+I125+I151)/60</f>
        <v/>
      </c>
      <c r="J176" s="209">
        <f>(J21+J47+J74+J100+J125+J151)/60</f>
        <v/>
      </c>
      <c r="K176" s="209">
        <f>(K21+K47+K74+K100+K125+K151)/60</f>
        <v/>
      </c>
      <c r="L176" s="209">
        <f>(L21+L47+L74+L100+L125+L151)/60</f>
        <v/>
      </c>
      <c r="M176" s="209">
        <f>(M21+M47+M74+M100+M125+M151)/60</f>
        <v/>
      </c>
      <c r="N176" s="209">
        <f>(N21+N47+N74+N100+N125+N151)/60</f>
        <v/>
      </c>
      <c r="O176" s="209">
        <f>(O21+O47+O74+O100+O125+O151)/60</f>
        <v/>
      </c>
      <c r="P176" s="209">
        <f>(P21+P47+P74+P100+P125+P151)/60</f>
        <v/>
      </c>
      <c r="Q176" s="209">
        <f>(Q21+Q47+Q74+Q100+Q125+Q151)/60</f>
        <v/>
      </c>
      <c r="R176" s="209">
        <f>(R21+R47+R74+R100+R125+R151)/60</f>
        <v/>
      </c>
      <c r="S176" s="209">
        <f>(S21+S47+S74+S100+S125+S151)/60</f>
        <v/>
      </c>
      <c r="T176" s="209">
        <f>(T21+T47+T74+T100+T125+T151)/60</f>
        <v/>
      </c>
      <c r="U176" s="209">
        <f>(U21+U47+U74+U100+U125+U151)/60</f>
        <v/>
      </c>
      <c r="V176" s="209">
        <f>(V21+V47+V74+V100+V125+V151)/60</f>
        <v/>
      </c>
      <c r="W176" s="209">
        <f>(W21+W47+W74+W100+W125+W151)/60</f>
        <v/>
      </c>
      <c r="X176" s="209">
        <f>(X21+X47+X74+X100+X125+X151)/60</f>
        <v/>
      </c>
      <c r="Y176" s="209">
        <f>(Y21+Y47+Y74+Y100+Y125+Y151)/60</f>
        <v/>
      </c>
      <c r="Z176" s="209">
        <f>(Z21+Z47+Z74+Z100+Z125+Z151)/60</f>
        <v/>
      </c>
      <c r="AA176" s="209">
        <f>(AA21+AA47+AA74+AA100+AA125+AA151)/60</f>
        <v/>
      </c>
      <c r="AB176" s="209">
        <f>(AB21+AB47+AB74+AB100+AB125+AB151)/60</f>
        <v/>
      </c>
      <c r="AC176" s="209">
        <f>(AC21+AC47+AC74+AC100+AC125+AC151)/60</f>
        <v/>
      </c>
      <c r="AD176" s="209">
        <f>(AD21+AD47+AD74+AD100+AD125+AD151)/60</f>
        <v/>
      </c>
      <c r="AE176" s="209">
        <f>(AE21+AE47+AE74+AE100+AE125+AE151)/60</f>
        <v/>
      </c>
      <c r="AF176" s="209">
        <f>(AF21+AF47+AF74+AF100+AF125+AF151)/60</f>
        <v/>
      </c>
      <c r="AG176" s="209">
        <f>(AG21+AG47+AG74+AG100+AG125+AG151)/60</f>
        <v/>
      </c>
      <c r="AH176" s="209">
        <f>(AH21+AH47+AH74+AH100+AH125+AH151)/60</f>
        <v/>
      </c>
      <c r="AI176" s="209">
        <f>(AI21+AI47+AI74+AI100+AI125+AI151)/60</f>
        <v/>
      </c>
      <c r="AJ176" s="209">
        <f>(AJ21+AJ47+AJ74+AJ100+AJ125+AJ151)/60</f>
        <v/>
      </c>
      <c r="AK176" s="209">
        <f>(AK21+AK47+AK74+AK100+AK125+AK151)/60</f>
        <v/>
      </c>
      <c r="AL176" s="209">
        <f>(AL21+AL47+AL74+AL100+AL125+AL151)/60</f>
        <v/>
      </c>
      <c r="AM176" s="209">
        <f>(AM21+AM47+AM74+AM100+AM125+AM151)/60</f>
        <v/>
      </c>
      <c r="AN176" s="209">
        <f>(AN21+AN47+AN74+AN100+AN125+AN151)/60</f>
        <v/>
      </c>
      <c r="AO176" s="209">
        <f>(AO21+AO47+AO74+AO100+AO125+AO151)/60</f>
        <v/>
      </c>
      <c r="AP176" s="209">
        <f>(AP21+AP47+AP74+AP100+AP125+AP151)/60</f>
        <v/>
      </c>
      <c r="AQ176" s="209">
        <f>(AQ21+AQ47+AQ74+AQ100+AQ125+AQ151)/60</f>
        <v/>
      </c>
      <c r="AR176" s="209">
        <f>(AR21+AR47+AR74+AR100+AR125+AR151)/60</f>
        <v/>
      </c>
      <c r="AS176" s="209">
        <f>(AS21+AS47+AS74+AS100+AS125+AS151)/60</f>
        <v/>
      </c>
      <c r="AT176" s="209">
        <f>(AT21+AT47+AT74+AT100+AT125+AT151)/60</f>
        <v/>
      </c>
      <c r="AU176" s="209">
        <f>(AU21+AU47+AU74+AU100+AU125+AU151)/60</f>
        <v/>
      </c>
      <c r="AV176" s="209">
        <f>(AV21+AV47+AV74+AV100+AV125+AV151)/60</f>
        <v/>
      </c>
      <c r="AW176" s="258">
        <f>(AW21+AW47+AW74+AW100+AW125+AW151)/60</f>
        <v/>
      </c>
      <c r="AX176" s="258">
        <f>(AX21+AX47+AX74+AX100+AX125+AX151)/60</f>
        <v/>
      </c>
      <c r="AY176" s="274" t="inlineStr">
        <is>
          <t>USD CAD</t>
        </is>
      </c>
      <c r="AZ176" s="277" t="inlineStr">
        <is>
          <t>EUR CHF</t>
        </is>
      </c>
      <c r="BA176" s="278" t="n">
        <v>0.201354123127892</v>
      </c>
      <c r="BB176" s="278" t="n">
        <v>71.4285714285714</v>
      </c>
      <c r="BC176" s="278" t="n">
        <v>-1.36393210516019</v>
      </c>
      <c r="BD176" s="261" t="n"/>
      <c r="BE176" s="259" t="n"/>
      <c r="BF176" s="260" t="n"/>
    </row>
    <row r="177" ht="21" customHeight="1">
      <c r="A177" s="224" t="n"/>
      <c r="B177" s="224" t="n"/>
      <c r="C177" s="224" t="n"/>
      <c r="D177" s="221" t="n"/>
      <c r="E177" s="217" t="inlineStr">
        <is>
          <t>EUR USD</t>
        </is>
      </c>
      <c r="F177" s="209">
        <f>(F22+F48+F75+F101+F126+F152)/60</f>
        <v/>
      </c>
      <c r="G177" s="209">
        <f>(G22+G48+G75+G101+G126+G152)/60</f>
        <v/>
      </c>
      <c r="H177" s="209">
        <f>(H22+H48+H75+H101+H126+H152)/60</f>
        <v/>
      </c>
      <c r="I177" s="209">
        <f>(I22+I48+I75+I101+I126+I152)/60</f>
        <v/>
      </c>
      <c r="J177" s="209">
        <f>(J22+J48+J75+J101+J126+J152)/60</f>
        <v/>
      </c>
      <c r="K177" s="209">
        <f>(K22+K48+K75+K101+K126+K152)/60</f>
        <v/>
      </c>
      <c r="L177" s="209">
        <f>(L22+L48+L75+L101+L126+L152)/60</f>
        <v/>
      </c>
      <c r="M177" s="209">
        <f>(M22+M48+M75+M101+M126+M152)/60</f>
        <v/>
      </c>
      <c r="N177" s="209">
        <f>(N22+N48+N75+N101+N126+N152)/60</f>
        <v/>
      </c>
      <c r="O177" s="209">
        <f>(O22+O48+O75+O101+O126+O152)/60</f>
        <v/>
      </c>
      <c r="P177" s="209">
        <f>(P22+P48+P75+P101+P126+P152)/60</f>
        <v/>
      </c>
      <c r="Q177" s="209">
        <f>(Q22+Q48+Q75+Q101+Q126+Q152)/60</f>
        <v/>
      </c>
      <c r="R177" s="209">
        <f>(R22+R48+R75+R101+R126+R152)/60</f>
        <v/>
      </c>
      <c r="S177" s="209">
        <f>(S22+S48+S75+S101+S126+S152)/60</f>
        <v/>
      </c>
      <c r="T177" s="209">
        <f>(T22+T48+T75+T101+T126+T152)/60</f>
        <v/>
      </c>
      <c r="U177" s="209">
        <f>(U22+U48+U75+U101+U126+U152)/60</f>
        <v/>
      </c>
      <c r="V177" s="209">
        <f>(V22+V48+V75+V101+V126+V152)/60</f>
        <v/>
      </c>
      <c r="W177" s="209">
        <f>(W22+W48+W75+W101+W126+W152)/60</f>
        <v/>
      </c>
      <c r="X177" s="209">
        <f>(X22+X48+X75+X101+X126+X152)/60</f>
        <v/>
      </c>
      <c r="Y177" s="209">
        <f>(Y22+Y48+Y75+Y101+Y126+Y152)/60</f>
        <v/>
      </c>
      <c r="Z177" s="209">
        <f>(Z22+Z48+Z75+Z101+Z126+Z152)/60</f>
        <v/>
      </c>
      <c r="AA177" s="209">
        <f>(AA22+AA48+AA75+AA101+AA126+AA152)/60</f>
        <v/>
      </c>
      <c r="AB177" s="209">
        <f>(AB22+AB48+AB75+AB101+AB126+AB152)/60</f>
        <v/>
      </c>
      <c r="AC177" s="209">
        <f>(AC22+AC48+AC75+AC101+AC126+AC152)/60</f>
        <v/>
      </c>
      <c r="AD177" s="209">
        <f>(AD22+AD48+AD75+AD101+AD126+AD152)/60</f>
        <v/>
      </c>
      <c r="AE177" s="209">
        <f>(AE22+AE48+AE75+AE101+AE126+AE152)/60</f>
        <v/>
      </c>
      <c r="AF177" s="209">
        <f>(AF22+AF48+AF75+AF101+AF126+AF152)/60</f>
        <v/>
      </c>
      <c r="AG177" s="209">
        <f>(AG22+AG48+AG75+AG101+AG126+AG152)/60</f>
        <v/>
      </c>
      <c r="AH177" s="209">
        <f>(AH22+AH48+AH75+AH101+AH126+AH152)/60</f>
        <v/>
      </c>
      <c r="AI177" s="209">
        <f>(AI22+AI48+AI75+AI101+AI126+AI152)/60</f>
        <v/>
      </c>
      <c r="AJ177" s="209">
        <f>(AJ22+AJ48+AJ75+AJ101+AJ126+AJ152)/60</f>
        <v/>
      </c>
      <c r="AK177" s="209">
        <f>(AK22+AK48+AK75+AK101+AK126+AK152)/60</f>
        <v/>
      </c>
      <c r="AL177" s="209">
        <f>(AL22+AL48+AL75+AL101+AL126+AL152)/60</f>
        <v/>
      </c>
      <c r="AM177" s="209">
        <f>(AM22+AM48+AM75+AM101+AM126+AM152)/60</f>
        <v/>
      </c>
      <c r="AN177" s="209">
        <f>(AN22+AN48+AN75+AN101+AN126+AN152)/60</f>
        <v/>
      </c>
      <c r="AO177" s="209">
        <f>(AO22+AO48+AO75+AO101+AO126+AO152)/60</f>
        <v/>
      </c>
      <c r="AP177" s="209">
        <f>(AP22+AP48+AP75+AP101+AP126+AP152)/60</f>
        <v/>
      </c>
      <c r="AQ177" s="209">
        <f>(AQ22+AQ48+AQ75+AQ101+AQ126+AQ152)/60</f>
        <v/>
      </c>
      <c r="AR177" s="209">
        <f>(AR22+AR48+AR75+AR101+AR126+AR152)/60</f>
        <v/>
      </c>
      <c r="AS177" s="209">
        <f>(AS22+AS48+AS75+AS101+AS126+AS152)/60</f>
        <v/>
      </c>
      <c r="AT177" s="209">
        <f>(AT22+AT48+AT75+AT101+AT126+AT152)/60</f>
        <v/>
      </c>
      <c r="AU177" s="209">
        <f>(AU22+AU48+AU75+AU101+AU126+AU152)/60</f>
        <v/>
      </c>
      <c r="AV177" s="209">
        <f>(AV22+AV48+AV75+AV101+AV126+AV152)/60</f>
        <v/>
      </c>
      <c r="AW177" s="258">
        <f>(AW22+AW48+AW75+AW101+AW126+AW152)/60</f>
        <v/>
      </c>
      <c r="AX177" s="258">
        <f>(AX22+AX48+AX75+AX101+AX126+AX152)/60</f>
        <v/>
      </c>
      <c r="AY177" s="275" t="inlineStr">
        <is>
          <t>EUR USD</t>
        </is>
      </c>
      <c r="AZ177" s="277" t="inlineStr">
        <is>
          <t>GBP CHF</t>
        </is>
      </c>
      <c r="BA177" s="278" t="n">
        <v>-0.400086900591586</v>
      </c>
      <c r="BB177" s="278" t="n">
        <v>71.4285714285714</v>
      </c>
      <c r="BC177" s="278" t="n">
        <v>-1.4725175744812</v>
      </c>
      <c r="BD177" s="259" t="n"/>
      <c r="BE177" s="259" t="n"/>
      <c r="BF177" s="260" t="n"/>
    </row>
    <row r="178" ht="21" customHeight="1">
      <c r="A178" s="224" t="n"/>
      <c r="B178" s="224" t="n"/>
      <c r="C178" s="224" t="n"/>
      <c r="D178" s="221" t="n"/>
      <c r="E178" s="217" t="inlineStr">
        <is>
          <t>EUR JPY</t>
        </is>
      </c>
      <c r="F178" s="209">
        <f>(F23+F49+F76+F102+F127+F153)/60</f>
        <v/>
      </c>
      <c r="G178" s="209">
        <f>(G23+G49+G76+G102+G127+G153)/60</f>
        <v/>
      </c>
      <c r="H178" s="209">
        <f>(H23+H49+H76+H102+H127+H153)/60</f>
        <v/>
      </c>
      <c r="I178" s="209">
        <f>(I23+I49+I76+I102+I127+I153)/60</f>
        <v/>
      </c>
      <c r="J178" s="209">
        <f>(J23+J49+J76+J102+J127+J153)/60</f>
        <v/>
      </c>
      <c r="K178" s="209">
        <f>(K23+K49+K76+K102+K127+K153)/60</f>
        <v/>
      </c>
      <c r="L178" s="209">
        <f>(L23+L49+L76+L102+L127+L153)/60</f>
        <v/>
      </c>
      <c r="M178" s="209">
        <f>(M23+M49+M76+M102+M127+M153)/60</f>
        <v/>
      </c>
      <c r="N178" s="209">
        <f>(N23+N49+N76+N102+N127+N153)/60</f>
        <v/>
      </c>
      <c r="O178" s="209">
        <f>(O23+O49+O76+O102+O127+O153)/60</f>
        <v/>
      </c>
      <c r="P178" s="209">
        <f>(P23+P49+P76+P102+P127+P153)/60</f>
        <v/>
      </c>
      <c r="Q178" s="209">
        <f>(Q23+Q49+Q76+Q102+Q127+Q153)/60</f>
        <v/>
      </c>
      <c r="R178" s="209">
        <f>(R23+R49+R76+R102+R127+R153)/60</f>
        <v/>
      </c>
      <c r="S178" s="209">
        <f>(S23+S49+S76+S102+S127+S153)/60</f>
        <v/>
      </c>
      <c r="T178" s="209">
        <f>(T23+T49+T76+T102+T127+T153)/60</f>
        <v/>
      </c>
      <c r="U178" s="209">
        <f>(U23+U49+U76+U102+U127+U153)/60</f>
        <v/>
      </c>
      <c r="V178" s="209">
        <f>(V23+V49+V76+V102+V127+V153)/60</f>
        <v/>
      </c>
      <c r="W178" s="209">
        <f>(W23+W49+W76+W102+W127+W153)/60</f>
        <v/>
      </c>
      <c r="X178" s="209">
        <f>(X23+X49+X76+X102+X127+X153)/60</f>
        <v/>
      </c>
      <c r="Y178" s="209">
        <f>(Y23+Y49+Y76+Y102+Y127+Y153)/60</f>
        <v/>
      </c>
      <c r="Z178" s="209">
        <f>(Z23+Z49+Z76+Z102+Z127+Z153)/60</f>
        <v/>
      </c>
      <c r="AA178" s="209">
        <f>(AA23+AA49+AA76+AA102+AA127+AA153)/60</f>
        <v/>
      </c>
      <c r="AB178" s="209">
        <f>(AB23+AB49+AB76+AB102+AB127+AB153)/60</f>
        <v/>
      </c>
      <c r="AC178" s="209">
        <f>(AC23+AC49+AC76+AC102+AC127+AC153)/60</f>
        <v/>
      </c>
      <c r="AD178" s="209">
        <f>(AD23+AD49+AD76+AD102+AD127+AD153)/60</f>
        <v/>
      </c>
      <c r="AE178" s="209">
        <f>(AE23+AE49+AE76+AE102+AE127+AE153)/60</f>
        <v/>
      </c>
      <c r="AF178" s="209">
        <f>(AF23+AF49+AF76+AF102+AF127+AF153)/60</f>
        <v/>
      </c>
      <c r="AG178" s="209">
        <f>(AG23+AG49+AG76+AG102+AG127+AG153)/60</f>
        <v/>
      </c>
      <c r="AH178" s="209">
        <f>(AH23+AH49+AH76+AH102+AH127+AH153)/60</f>
        <v/>
      </c>
      <c r="AI178" s="209">
        <f>(AI23+AI49+AI76+AI102+AI127+AI153)/60</f>
        <v/>
      </c>
      <c r="AJ178" s="209">
        <f>(AJ23+AJ49+AJ76+AJ102+AJ127+AJ153)/60</f>
        <v/>
      </c>
      <c r="AK178" s="209">
        <f>(AK23+AK49+AK76+AK102+AK127+AK153)/60</f>
        <v/>
      </c>
      <c r="AL178" s="209">
        <f>(AL23+AL49+AL76+AL102+AL127+AL153)/60</f>
        <v/>
      </c>
      <c r="AM178" s="209">
        <f>(AM23+AM49+AM76+AM102+AM127+AM153)/60</f>
        <v/>
      </c>
      <c r="AN178" s="209">
        <f>(AN23+AN49+AN76+AN102+AN127+AN153)/60</f>
        <v/>
      </c>
      <c r="AO178" s="209">
        <f>(AO23+AO49+AO76+AO102+AO127+AO153)/60</f>
        <v/>
      </c>
      <c r="AP178" s="209">
        <f>(AP23+AP49+AP76+AP102+AP127+AP153)/60</f>
        <v/>
      </c>
      <c r="AQ178" s="209">
        <f>(AQ23+AQ49+AQ76+AQ102+AQ127+AQ153)/60</f>
        <v/>
      </c>
      <c r="AR178" s="209">
        <f>(AR23+AR49+AR76+AR102+AR127+AR153)/60</f>
        <v/>
      </c>
      <c r="AS178" s="209">
        <f>(AS23+AS49+AS76+AS102+AS127+AS153)/60</f>
        <v/>
      </c>
      <c r="AT178" s="209">
        <f>(AT23+AT49+AT76+AT102+AT127+AT153)/60</f>
        <v/>
      </c>
      <c r="AU178" s="209">
        <f>(AU23+AU49+AU76+AU102+AU127+AU153)/60</f>
        <v/>
      </c>
      <c r="AV178" s="209">
        <f>(AV23+AV49+AV76+AV102+AV127+AV153)/60</f>
        <v/>
      </c>
      <c r="AW178" s="258">
        <f>(AW23+AW49+AW76+AW102+AW127+AW153)/60</f>
        <v/>
      </c>
      <c r="AX178" s="258">
        <f>(AX23+AX49+AX76+AX102+AX127+AX153)/60</f>
        <v/>
      </c>
      <c r="AY178" s="275" t="inlineStr">
        <is>
          <t>EUR JPY</t>
        </is>
      </c>
      <c r="AZ178" s="251" t="inlineStr">
        <is>
          <t>AUD JPY</t>
        </is>
      </c>
      <c r="BA178" s="252" t="n">
        <v>0.476402558018124</v>
      </c>
      <c r="BB178" s="252" t="n">
        <v>57.1428571428571</v>
      </c>
      <c r="BC178" s="252" t="n">
        <v>-2.80980477295033</v>
      </c>
      <c r="BD178" s="259" t="n"/>
      <c r="BE178" s="259" t="n"/>
      <c r="BF178" s="260" t="n"/>
    </row>
    <row r="179" ht="21" customHeight="1">
      <c r="A179" s="224" t="n"/>
      <c r="B179" s="224" t="n"/>
      <c r="C179" s="224" t="n"/>
      <c r="D179" s="221" t="n"/>
      <c r="E179" s="217" t="inlineStr">
        <is>
          <t>EUR CHF</t>
        </is>
      </c>
      <c r="F179" s="209">
        <f>(F24+F50+F77+F103+F128+F154)/60</f>
        <v/>
      </c>
      <c r="G179" s="209">
        <f>(G24+G50+G77+G103+G128+G154)/60</f>
        <v/>
      </c>
      <c r="H179" s="209">
        <f>(H24+H50+H77+H103+H128+H154)/60</f>
        <v/>
      </c>
      <c r="I179" s="209">
        <f>(I24+I50+I77+I103+I128+I154)/60</f>
        <v/>
      </c>
      <c r="J179" s="209">
        <f>(J24+J50+J77+J103+J128+J154)/60</f>
        <v/>
      </c>
      <c r="K179" s="209">
        <f>(K24+K50+K77+K103+K128+K154)/60</f>
        <v/>
      </c>
      <c r="L179" s="209">
        <f>(L24+L50+L77+L103+L128+L154)/60</f>
        <v/>
      </c>
      <c r="M179" s="209">
        <f>(M24+M50+M77+M103+M128+M154)/60</f>
        <v/>
      </c>
      <c r="N179" s="209">
        <f>(N24+N50+N77+N103+N128+N154)/60</f>
        <v/>
      </c>
      <c r="O179" s="209">
        <f>(O24+O50+O77+O103+O128+O154)/60</f>
        <v/>
      </c>
      <c r="P179" s="209">
        <f>(P24+P50+P77+P103+P128+P154)/60</f>
        <v/>
      </c>
      <c r="Q179" s="209">
        <f>(Q24+Q50+Q77+Q103+Q128+Q154)/60</f>
        <v/>
      </c>
      <c r="R179" s="209">
        <f>(R24+R50+R77+R103+R128+R154)/60</f>
        <v/>
      </c>
      <c r="S179" s="209">
        <f>(S24+S50+S77+S103+S128+S154)/60</f>
        <v/>
      </c>
      <c r="T179" s="209">
        <f>(T24+T50+T77+T103+T128+T154)/60</f>
        <v/>
      </c>
      <c r="U179" s="209">
        <f>(U24+U50+U77+U103+U128+U154)/60</f>
        <v/>
      </c>
      <c r="V179" s="209">
        <f>(V24+V50+V77+V103+V128+V154)/60</f>
        <v/>
      </c>
      <c r="W179" s="209">
        <f>(W24+W50+W77+W103+W128+W154)/60</f>
        <v/>
      </c>
      <c r="X179" s="209">
        <f>(X24+X50+X77+X103+X128+X154)/60</f>
        <v/>
      </c>
      <c r="Y179" s="209">
        <f>(Y24+Y50+Y77+Y103+Y128+Y154)/60</f>
        <v/>
      </c>
      <c r="Z179" s="209">
        <f>(Z24+Z50+Z77+Z103+Z128+Z154)/60</f>
        <v/>
      </c>
      <c r="AA179" s="209">
        <f>(AA24+AA50+AA77+AA103+AA128+AA154)/60</f>
        <v/>
      </c>
      <c r="AB179" s="209">
        <f>(AB24+AB50+AB77+AB103+AB128+AB154)/60</f>
        <v/>
      </c>
      <c r="AC179" s="209">
        <f>(AC24+AC50+AC77+AC103+AC128+AC154)/60</f>
        <v/>
      </c>
      <c r="AD179" s="209">
        <f>(AD24+AD50+AD77+AD103+AD128+AD154)/60</f>
        <v/>
      </c>
      <c r="AE179" s="209">
        <f>(AE24+AE50+AE77+AE103+AE128+AE154)/60</f>
        <v/>
      </c>
      <c r="AF179" s="209">
        <f>(AF24+AF50+AF77+AF103+AF128+AF154)/60</f>
        <v/>
      </c>
      <c r="AG179" s="209">
        <f>(AG24+AG50+AG77+AG103+AG128+AG154)/60</f>
        <v/>
      </c>
      <c r="AH179" s="209">
        <f>(AH24+AH50+AH77+AH103+AH128+AH154)/60</f>
        <v/>
      </c>
      <c r="AI179" s="209">
        <f>(AI24+AI50+AI77+AI103+AI128+AI154)/60</f>
        <v/>
      </c>
      <c r="AJ179" s="209">
        <f>(AJ24+AJ50+AJ77+AJ103+AJ128+AJ154)/60</f>
        <v/>
      </c>
      <c r="AK179" s="209">
        <f>(AK24+AK50+AK77+AK103+AK128+AK154)/60</f>
        <v/>
      </c>
      <c r="AL179" s="209">
        <f>(AL24+AL50+AL77+AL103+AL128+AL154)/60</f>
        <v/>
      </c>
      <c r="AM179" s="209">
        <f>(AM24+AM50+AM77+AM103+AM128+AM154)/60</f>
        <v/>
      </c>
      <c r="AN179" s="209">
        <f>(AN24+AN50+AN77+AN103+AN128+AN154)/60</f>
        <v/>
      </c>
      <c r="AO179" s="209">
        <f>(AO24+AO50+AO77+AO103+AO128+AO154)/60</f>
        <v/>
      </c>
      <c r="AP179" s="209">
        <f>(AP24+AP50+AP77+AP103+AP128+AP154)/60</f>
        <v/>
      </c>
      <c r="AQ179" s="209">
        <f>(AQ24+AQ50+AQ77+AQ103+AQ128+AQ154)/60</f>
        <v/>
      </c>
      <c r="AR179" s="209">
        <f>(AR24+AR50+AR77+AR103+AR128+AR154)/60</f>
        <v/>
      </c>
      <c r="AS179" s="209">
        <f>(AS24+AS50+AS77+AS103+AS128+AS154)/60</f>
        <v/>
      </c>
      <c r="AT179" s="209">
        <f>(AT24+AT50+AT77+AT103+AT128+AT154)/60</f>
        <v/>
      </c>
      <c r="AU179" s="209">
        <f>(AU24+AU50+AU77+AU103+AU128+AU154)/60</f>
        <v/>
      </c>
      <c r="AV179" s="209">
        <f>(AV24+AV50+AV77+AV103+AV128+AV154)/60</f>
        <v/>
      </c>
      <c r="AW179" s="258">
        <f>(AW24+AW50+AW77+AW103+AW128+AW154)/60</f>
        <v/>
      </c>
      <c r="AX179" s="258">
        <f>(AX24+AX50+AX77+AX103+AX128+AX154)/60</f>
        <v/>
      </c>
      <c r="AY179" s="264" t="inlineStr">
        <is>
          <t>EUR CHF</t>
        </is>
      </c>
      <c r="AZ179" s="251" t="inlineStr">
        <is>
          <t>CHF JPY</t>
        </is>
      </c>
      <c r="BA179" s="252" t="n">
        <v>0.349076817225813</v>
      </c>
      <c r="BB179" s="252" t="n">
        <v>57.1428571428571</v>
      </c>
      <c r="BC179" s="252" t="n">
        <v>-1.98395405522231</v>
      </c>
      <c r="BD179" s="259" t="n"/>
      <c r="BE179" s="259" t="n"/>
      <c r="BF179" s="260" t="n"/>
    </row>
    <row r="180" ht="21" customHeight="1">
      <c r="A180" s="224" t="n"/>
      <c r="B180" s="224" t="n"/>
      <c r="C180" s="224" t="n"/>
      <c r="D180" s="221" t="n"/>
      <c r="E180" s="217" t="inlineStr">
        <is>
          <t>EUR GBP</t>
        </is>
      </c>
      <c r="F180" s="209">
        <f>(F25+F51+F78+F104+F129+F155)/60</f>
        <v/>
      </c>
      <c r="G180" s="209">
        <f>(G25+G51+G78+G104+G129+G155)/60</f>
        <v/>
      </c>
      <c r="H180" s="209">
        <f>(H25+H51+H78+H104+H129+H155)/60</f>
        <v/>
      </c>
      <c r="I180" s="209">
        <f>(I25+I51+I78+I104+I129+I155)/60</f>
        <v/>
      </c>
      <c r="J180" s="209">
        <f>(J25+J51+J78+J104+J129+J155)/60</f>
        <v/>
      </c>
      <c r="K180" s="209">
        <f>(K25+K51+K78+K104+K129+K155)/60</f>
        <v/>
      </c>
      <c r="L180" s="209">
        <f>(L25+L51+L78+L104+L129+L155)/60</f>
        <v/>
      </c>
      <c r="M180" s="209">
        <f>(M25+M51+M78+M104+M129+M155)/60</f>
        <v/>
      </c>
      <c r="N180" s="209">
        <f>(N25+N51+N78+N104+N129+N155)/60</f>
        <v/>
      </c>
      <c r="O180" s="209">
        <f>(O25+O51+O78+O104+O129+O155)/60</f>
        <v/>
      </c>
      <c r="P180" s="209">
        <f>(P25+P51+P78+P104+P129+P155)/60</f>
        <v/>
      </c>
      <c r="Q180" s="209">
        <f>(Q25+Q51+Q78+Q104+Q129+Q155)/60</f>
        <v/>
      </c>
      <c r="R180" s="209">
        <f>(R25+R51+R78+R104+R129+R155)/60</f>
        <v/>
      </c>
      <c r="S180" s="209">
        <f>(S25+S51+S78+S104+S129+S155)/60</f>
        <v/>
      </c>
      <c r="T180" s="209">
        <f>(T25+T51+T78+T104+T129+T155)/60</f>
        <v/>
      </c>
      <c r="U180" s="209">
        <f>(U25+U51+U78+U104+U129+U155)/60</f>
        <v/>
      </c>
      <c r="V180" s="209">
        <f>(V25+V51+V78+V104+V129+V155)/60</f>
        <v/>
      </c>
      <c r="W180" s="209">
        <f>(W25+W51+W78+W104+W129+W155)/60</f>
        <v/>
      </c>
      <c r="X180" s="209">
        <f>(X25+X51+X78+X104+X129+X155)/60</f>
        <v/>
      </c>
      <c r="Y180" s="209">
        <f>(Y25+Y51+Y78+Y104+Y129+Y155)/60</f>
        <v/>
      </c>
      <c r="Z180" s="209">
        <f>(Z25+Z51+Z78+Z104+Z129+Z155)/60</f>
        <v/>
      </c>
      <c r="AA180" s="209">
        <f>(AA25+AA51+AA78+AA104+AA129+AA155)/60</f>
        <v/>
      </c>
      <c r="AB180" s="209">
        <f>(AB25+AB51+AB78+AB104+AB129+AB155)/60</f>
        <v/>
      </c>
      <c r="AC180" s="209">
        <f>(AC25+AC51+AC78+AC104+AC129+AC155)/60</f>
        <v/>
      </c>
      <c r="AD180" s="209">
        <f>(AD25+AD51+AD78+AD104+AD129+AD155)/60</f>
        <v/>
      </c>
      <c r="AE180" s="209">
        <f>(AE25+AE51+AE78+AE104+AE129+AE155)/60</f>
        <v/>
      </c>
      <c r="AF180" s="209">
        <f>(AF25+AF51+AF78+AF104+AF129+AF155)/60</f>
        <v/>
      </c>
      <c r="AG180" s="209">
        <f>(AG25+AG51+AG78+AG104+AG129+AG155)/60</f>
        <v/>
      </c>
      <c r="AH180" s="209">
        <f>(AH25+AH51+AH78+AH104+AH129+AH155)/60</f>
        <v/>
      </c>
      <c r="AI180" s="209">
        <f>(AI25+AI51+AI78+AI104+AI129+AI155)/60</f>
        <v/>
      </c>
      <c r="AJ180" s="209">
        <f>(AJ25+AJ51+AJ78+AJ104+AJ129+AJ155)/60</f>
        <v/>
      </c>
      <c r="AK180" s="209">
        <f>(AK25+AK51+AK78+AK104+AK129+AK155)/60</f>
        <v/>
      </c>
      <c r="AL180" s="209">
        <f>(AL25+AL51+AL78+AL104+AL129+AL155)/60</f>
        <v/>
      </c>
      <c r="AM180" s="209">
        <f>(AM25+AM51+AM78+AM104+AM129+AM155)/60</f>
        <v/>
      </c>
      <c r="AN180" s="209">
        <f>(AN25+AN51+AN78+AN104+AN129+AN155)/60</f>
        <v/>
      </c>
      <c r="AO180" s="209">
        <f>(AO25+AO51+AO78+AO104+AO129+AO155)/60</f>
        <v/>
      </c>
      <c r="AP180" s="209">
        <f>(AP25+AP51+AP78+AP104+AP129+AP155)/60</f>
        <v/>
      </c>
      <c r="AQ180" s="209">
        <f>(AQ25+AQ51+AQ78+AQ104+AQ129+AQ155)/60</f>
        <v/>
      </c>
      <c r="AR180" s="209">
        <f>(AR25+AR51+AR78+AR104+AR129+AR155)/60</f>
        <v/>
      </c>
      <c r="AS180" s="209">
        <f>(AS25+AS51+AS78+AS104+AS129+AS155)/60</f>
        <v/>
      </c>
      <c r="AT180" s="209">
        <f>(AT25+AT51+AT78+AT104+AT129+AT155)/60</f>
        <v/>
      </c>
      <c r="AU180" s="209">
        <f>(AU25+AU51+AU78+AU104+AU129+AU155)/60</f>
        <v/>
      </c>
      <c r="AV180" s="209">
        <f>(AV25+AV51+AV78+AV104+AV129+AV155)/60</f>
        <v/>
      </c>
      <c r="AW180" s="258">
        <f>(AW25+AW51+AW78+AW104+AW129+AW155)/60</f>
        <v/>
      </c>
      <c r="AX180" s="258">
        <f>(AX25+AX51+AX78+AX104+AX129+AX155)/60</f>
        <v/>
      </c>
      <c r="AY180" s="275" t="inlineStr">
        <is>
          <t>EUR GBP</t>
        </is>
      </c>
      <c r="AZ180" s="251" t="inlineStr">
        <is>
          <t>GBP USD</t>
        </is>
      </c>
      <c r="BA180" s="252" t="n">
        <v>0.300339685180712</v>
      </c>
      <c r="BB180" s="252" t="n">
        <v>57.1428571428571</v>
      </c>
      <c r="BC180" s="252" t="n">
        <v>-2.64762429414296</v>
      </c>
      <c r="BD180" s="259" t="n"/>
      <c r="BE180" s="259" t="n"/>
      <c r="BF180" s="260" t="n"/>
    </row>
    <row r="181" ht="21" customHeight="1">
      <c r="A181" s="224" t="n"/>
      <c r="B181" s="224" t="n"/>
      <c r="C181" s="224" t="n"/>
      <c r="D181" s="221" t="n"/>
      <c r="E181" s="218" t="inlineStr">
        <is>
          <t>EUR CAD</t>
        </is>
      </c>
      <c r="F181" s="209">
        <f>(F26+F52+F79+F105+F130+F156)/60</f>
        <v/>
      </c>
      <c r="G181" s="209">
        <f>(G26+G52+G79+G105+G130+G156)/60</f>
        <v/>
      </c>
      <c r="H181" s="209">
        <f>(H26+H52+H79+H105+H130+H156)/60</f>
        <v/>
      </c>
      <c r="I181" s="209">
        <f>(I26+I52+I79+I105+I130+I156)/60</f>
        <v/>
      </c>
      <c r="J181" s="209">
        <f>(J26+J52+J79+J105+J130+J156)/60</f>
        <v/>
      </c>
      <c r="K181" s="209">
        <f>(K26+K52+K79+K105+K130+K156)/60</f>
        <v/>
      </c>
      <c r="L181" s="209">
        <f>(L26+L52+L79+L105+L130+L156)/60</f>
        <v/>
      </c>
      <c r="M181" s="209">
        <f>(M26+M52+M79+M105+M130+M156)/60</f>
        <v/>
      </c>
      <c r="N181" s="209">
        <f>(N26+N52+N79+N105+N130+N156)/60</f>
        <v/>
      </c>
      <c r="O181" s="209">
        <f>(O26+O52+O79+O105+O130+O156)/60</f>
        <v/>
      </c>
      <c r="P181" s="209">
        <f>(P26+P52+P79+P105+P130+P156)/60</f>
        <v/>
      </c>
      <c r="Q181" s="209">
        <f>(Q26+Q52+Q79+Q105+Q130+Q156)/60</f>
        <v/>
      </c>
      <c r="R181" s="209">
        <f>(R26+R52+R79+R105+R130+R156)/60</f>
        <v/>
      </c>
      <c r="S181" s="209">
        <f>(S26+S52+S79+S105+S130+S156)/60</f>
        <v/>
      </c>
      <c r="T181" s="209">
        <f>(T26+T52+T79+T105+T130+T156)/60</f>
        <v/>
      </c>
      <c r="U181" s="209">
        <f>(U26+U52+U79+U105+U130+U156)/60</f>
        <v/>
      </c>
      <c r="V181" s="209">
        <f>(V26+V52+V79+V105+V130+V156)/60</f>
        <v/>
      </c>
      <c r="W181" s="209">
        <f>(W26+W52+W79+W105+W130+W156)/60</f>
        <v/>
      </c>
      <c r="X181" s="209">
        <f>(X26+X52+X79+X105+X130+X156)/60</f>
        <v/>
      </c>
      <c r="Y181" s="209">
        <f>(Y26+Y52+Y79+Y105+Y130+Y156)/60</f>
        <v/>
      </c>
      <c r="Z181" s="209">
        <f>(Z26+Z52+Z79+Z105+Z130+Z156)/60</f>
        <v/>
      </c>
      <c r="AA181" s="209">
        <f>(AA26+AA52+AA79+AA105+AA130+AA156)/60</f>
        <v/>
      </c>
      <c r="AB181" s="209">
        <f>(AB26+AB52+AB79+AB105+AB130+AB156)/60</f>
        <v/>
      </c>
      <c r="AC181" s="209">
        <f>(AC26+AC52+AC79+AC105+AC130+AC156)/60</f>
        <v/>
      </c>
      <c r="AD181" s="209">
        <f>(AD26+AD52+AD79+AD105+AD130+AD156)/60</f>
        <v/>
      </c>
      <c r="AE181" s="209">
        <f>(AE26+AE52+AE79+AE105+AE130+AE156)/60</f>
        <v/>
      </c>
      <c r="AF181" s="209">
        <f>(AF26+AF52+AF79+AF105+AF130+AF156)/60</f>
        <v/>
      </c>
      <c r="AG181" s="209">
        <f>(AG26+AG52+AG79+AG105+AG130+AG156)/60</f>
        <v/>
      </c>
      <c r="AH181" s="209">
        <f>(AH26+AH52+AH79+AH105+AH130+AH156)/60</f>
        <v/>
      </c>
      <c r="AI181" s="209">
        <f>(AI26+AI52+AI79+AI105+AI130+AI156)/60</f>
        <v/>
      </c>
      <c r="AJ181" s="209">
        <f>(AJ26+AJ52+AJ79+AJ105+AJ130+AJ156)/60</f>
        <v/>
      </c>
      <c r="AK181" s="209">
        <f>(AK26+AK52+AK79+AK105+AK130+AK156)/60</f>
        <v/>
      </c>
      <c r="AL181" s="209">
        <f>(AL26+AL52+AL79+AL105+AL130+AL156)/60</f>
        <v/>
      </c>
      <c r="AM181" s="209">
        <f>(AM26+AM52+AM79+AM105+AM130+AM156)/60</f>
        <v/>
      </c>
      <c r="AN181" s="209">
        <f>(AN26+AN52+AN79+AN105+AN130+AN156)/60</f>
        <v/>
      </c>
      <c r="AO181" s="209">
        <f>(AO26+AO52+AO79+AO105+AO130+AO156)/60</f>
        <v/>
      </c>
      <c r="AP181" s="209">
        <f>(AP26+AP52+AP79+AP105+AP130+AP156)/60</f>
        <v/>
      </c>
      <c r="AQ181" s="209">
        <f>(AQ26+AQ52+AQ79+AQ105+AQ130+AQ156)/60</f>
        <v/>
      </c>
      <c r="AR181" s="209">
        <f>(AR26+AR52+AR79+AR105+AR130+AR156)/60</f>
        <v/>
      </c>
      <c r="AS181" s="209">
        <f>(AS26+AS52+AS79+AS105+AS130+AS156)/60</f>
        <v/>
      </c>
      <c r="AT181" s="209">
        <f>(AT26+AT52+AT79+AT105+AT130+AT156)/60</f>
        <v/>
      </c>
      <c r="AU181" s="209">
        <f>(AU26+AU52+AU79+AU105+AU130+AU156)/60</f>
        <v/>
      </c>
      <c r="AV181" s="209">
        <f>(AV26+AV52+AV79+AV105+AV130+AV156)/60</f>
        <v/>
      </c>
      <c r="AW181" s="258">
        <f>(AW26+AW52+AW79+AW105+AW130+AW156)/60</f>
        <v/>
      </c>
      <c r="AX181" s="258">
        <f>(AX26+AX52+AX79+AX105+AX130+AX156)/60</f>
        <v/>
      </c>
      <c r="AY181" s="276" t="inlineStr">
        <is>
          <t>EUR CAD</t>
        </is>
      </c>
      <c r="AZ181" s="251" t="inlineStr">
        <is>
          <t>AUD CAD</t>
        </is>
      </c>
      <c r="BA181" s="252" t="n">
        <v>0.288850523242382</v>
      </c>
      <c r="BB181" s="252" t="n">
        <v>57.1428571428571</v>
      </c>
      <c r="BC181" s="252" t="n">
        <v>-1.82887662656953</v>
      </c>
      <c r="BD181" s="259" t="n"/>
      <c r="BE181" s="259" t="n"/>
      <c r="BF181" s="262" t="n"/>
    </row>
    <row r="182" ht="21" customHeight="1">
      <c r="A182" s="224" t="n"/>
      <c r="B182" s="224" t="n"/>
      <c r="C182" s="224" t="n"/>
      <c r="D182" s="221" t="n"/>
      <c r="E182" s="217" t="inlineStr">
        <is>
          <t>EUR AUD</t>
        </is>
      </c>
      <c r="F182" s="209">
        <f>(F27+F53+F80+F106+F131+F157)/60</f>
        <v/>
      </c>
      <c r="G182" s="209">
        <f>(G27+G53+G80+G106+G131+G157)/60</f>
        <v/>
      </c>
      <c r="H182" s="209">
        <f>(H27+H53+H80+H106+H131+H157)/60</f>
        <v/>
      </c>
      <c r="I182" s="209">
        <f>(I27+I53+I80+I106+I131+I157)/60</f>
        <v/>
      </c>
      <c r="J182" s="209">
        <f>(J27+J53+J80+J106+J131+J157)/60</f>
        <v/>
      </c>
      <c r="K182" s="209">
        <f>(K27+K53+K80+K106+K131+K157)/60</f>
        <v/>
      </c>
      <c r="L182" s="209">
        <f>(L27+L53+L80+L106+L131+L157)/60</f>
        <v/>
      </c>
      <c r="M182" s="209">
        <f>(M27+M53+M80+M106+M131+M157)/60</f>
        <v/>
      </c>
      <c r="N182" s="209">
        <f>(N27+N53+N80+N106+N131+N157)/60</f>
        <v/>
      </c>
      <c r="O182" s="209">
        <f>(O27+O53+O80+O106+O131+O157)/60</f>
        <v/>
      </c>
      <c r="P182" s="209">
        <f>(P27+P53+P80+P106+P131+P157)/60</f>
        <v/>
      </c>
      <c r="Q182" s="209">
        <f>(Q27+Q53+Q80+Q106+Q131+Q157)/60</f>
        <v/>
      </c>
      <c r="R182" s="209">
        <f>(R27+R53+R80+R106+R131+R157)/60</f>
        <v/>
      </c>
      <c r="S182" s="209">
        <f>(S27+S53+S80+S106+S131+S157)/60</f>
        <v/>
      </c>
      <c r="T182" s="209">
        <f>(T27+T53+T80+T106+T131+T157)/60</f>
        <v/>
      </c>
      <c r="U182" s="209">
        <f>(U27+U53+U80+U106+U131+U157)/60</f>
        <v/>
      </c>
      <c r="V182" s="209">
        <f>(V27+V53+V80+V106+V131+V157)/60</f>
        <v/>
      </c>
      <c r="W182" s="209">
        <f>(W27+W53+W80+W106+W131+W157)/60</f>
        <v/>
      </c>
      <c r="X182" s="209">
        <f>(X27+X53+X80+X106+X131+X157)/60</f>
        <v/>
      </c>
      <c r="Y182" s="209">
        <f>(Y27+Y53+Y80+Y106+Y131+Y157)/60</f>
        <v/>
      </c>
      <c r="Z182" s="209">
        <f>(Z27+Z53+Z80+Z106+Z131+Z157)/60</f>
        <v/>
      </c>
      <c r="AA182" s="209">
        <f>(AA27+AA53+AA80+AA106+AA131+AA157)/60</f>
        <v/>
      </c>
      <c r="AB182" s="209">
        <f>(AB27+AB53+AB80+AB106+AB131+AB157)/60</f>
        <v/>
      </c>
      <c r="AC182" s="209">
        <f>(AC27+AC53+AC80+AC106+AC131+AC157)/60</f>
        <v/>
      </c>
      <c r="AD182" s="209">
        <f>(AD27+AD53+AD80+AD106+AD131+AD157)/60</f>
        <v/>
      </c>
      <c r="AE182" s="209">
        <f>(AE27+AE53+AE80+AE106+AE131+AE157)/60</f>
        <v/>
      </c>
      <c r="AF182" s="209">
        <f>(AF27+AF53+AF80+AF106+AF131+AF157)/60</f>
        <v/>
      </c>
      <c r="AG182" s="209">
        <f>(AG27+AG53+AG80+AG106+AG131+AG157)/60</f>
        <v/>
      </c>
      <c r="AH182" s="209">
        <f>(AH27+AH53+AH80+AH106+AH131+AH157)/60</f>
        <v/>
      </c>
      <c r="AI182" s="209">
        <f>(AI27+AI53+AI80+AI106+AI131+AI157)/60</f>
        <v/>
      </c>
      <c r="AJ182" s="209">
        <f>(AJ27+AJ53+AJ80+AJ106+AJ131+AJ157)/60</f>
        <v/>
      </c>
      <c r="AK182" s="209">
        <f>(AK27+AK53+AK80+AK106+AK131+AK157)/60</f>
        <v/>
      </c>
      <c r="AL182" s="209">
        <f>(AL27+AL53+AL80+AL106+AL131+AL157)/60</f>
        <v/>
      </c>
      <c r="AM182" s="209">
        <f>(AM27+AM53+AM80+AM106+AM131+AM157)/60</f>
        <v/>
      </c>
      <c r="AN182" s="209">
        <f>(AN27+AN53+AN80+AN106+AN131+AN157)/60</f>
        <v/>
      </c>
      <c r="AO182" s="209">
        <f>(AO27+AO53+AO80+AO106+AO131+AO157)/60</f>
        <v/>
      </c>
      <c r="AP182" s="209">
        <f>(AP27+AP53+AP80+AP106+AP131+AP157)/60</f>
        <v/>
      </c>
      <c r="AQ182" s="209">
        <f>(AQ27+AQ53+AQ80+AQ106+AQ131+AQ157)/60</f>
        <v/>
      </c>
      <c r="AR182" s="209">
        <f>(AR27+AR53+AR80+AR106+AR131+AR157)/60</f>
        <v/>
      </c>
      <c r="AS182" s="209">
        <f>(AS27+AS53+AS80+AS106+AS131+AS157)/60</f>
        <v/>
      </c>
      <c r="AT182" s="209">
        <f>(AT27+AT53+AT80+AT106+AT131+AT157)/60</f>
        <v/>
      </c>
      <c r="AU182" s="209">
        <f>(AU27+AU53+AU80+AU106+AU131+AU157)/60</f>
        <v/>
      </c>
      <c r="AV182" s="209">
        <f>(AV27+AV53+AV80+AV106+AV131+AV157)/60</f>
        <v/>
      </c>
      <c r="AW182" s="258">
        <f>(AW27+AW53+AW80+AW106+AW131+AW157)/60</f>
        <v/>
      </c>
      <c r="AX182" s="258">
        <f>(AX27+AX53+AX80+AX106+AX131+AX157)/60</f>
        <v/>
      </c>
      <c r="AY182" s="264" t="inlineStr">
        <is>
          <t>EUR AUD</t>
        </is>
      </c>
      <c r="AZ182" s="251" t="inlineStr">
        <is>
          <t>GBP CAD</t>
        </is>
      </c>
      <c r="BA182" s="252" t="n">
        <v>0.262089578435254</v>
      </c>
      <c r="BB182" s="252" t="n">
        <v>57.1428571428571</v>
      </c>
      <c r="BC182" s="252" t="n">
        <v>-1.03366279132504</v>
      </c>
      <c r="BD182" s="259" t="n"/>
      <c r="BE182" s="259" t="n"/>
      <c r="BF182" s="260" t="n"/>
    </row>
    <row r="183" ht="21" customHeight="1">
      <c r="A183" s="223" t="n">
        <v>75</v>
      </c>
      <c r="B183" s="225" t="n">
        <v>0.4</v>
      </c>
      <c r="C183" s="225" t="n">
        <v>1</v>
      </c>
      <c r="D183" s="221" t="n">
        <v>4</v>
      </c>
      <c r="E183" s="226" t="inlineStr">
        <is>
          <t>EUR NZD</t>
        </is>
      </c>
      <c r="F183" s="209">
        <f>(F28+F54+F81+F107+F132+F158)/60</f>
        <v/>
      </c>
      <c r="G183" s="209">
        <f>(G28+G54+G81+G107+G132+G158)/60</f>
        <v/>
      </c>
      <c r="H183" s="209">
        <f>(H28+H54+H81+H107+H132+H158)/60</f>
        <v/>
      </c>
      <c r="I183" s="209">
        <f>(I28+I54+I81+I107+I132+I158)/60</f>
        <v/>
      </c>
      <c r="J183" s="209">
        <f>(J28+J54+J81+J107+J132+J158)/60</f>
        <v/>
      </c>
      <c r="K183" s="209">
        <f>(K28+K54+K81+K107+K132+K158)/60</f>
        <v/>
      </c>
      <c r="L183" s="209">
        <f>(L28+L54+L81+L107+L132+L158)/60</f>
        <v/>
      </c>
      <c r="M183" s="209">
        <f>(M28+M54+M81+M107+M132+M158)/60</f>
        <v/>
      </c>
      <c r="N183" s="209">
        <f>(N28+N54+N81+N107+N132+N158)/60</f>
        <v/>
      </c>
      <c r="O183" s="209">
        <f>(O28+O54+O81+O107+O132+O158)/60</f>
        <v/>
      </c>
      <c r="P183" s="209">
        <f>(P28+P54+P81+P107+P132+P158)/60</f>
        <v/>
      </c>
      <c r="Q183" s="209">
        <f>(Q28+Q54+Q81+Q107+Q132+Q158)/60</f>
        <v/>
      </c>
      <c r="R183" s="209">
        <f>(R28+R54+R81+R107+R132+R158)/60</f>
        <v/>
      </c>
      <c r="S183" s="209">
        <f>(S28+S54+S81+S107+S132+S158)/60</f>
        <v/>
      </c>
      <c r="T183" s="209">
        <f>(T28+T54+T81+T107+T132+T158)/60</f>
        <v/>
      </c>
      <c r="U183" s="209">
        <f>(U28+U54+U81+U107+U132+U158)/60</f>
        <v/>
      </c>
      <c r="V183" s="209">
        <f>(V28+V54+V81+V107+V132+V158)/60</f>
        <v/>
      </c>
      <c r="W183" s="209">
        <f>(W28+W54+W81+W107+W132+W158)/60</f>
        <v/>
      </c>
      <c r="X183" s="209">
        <f>(X28+X54+X81+X107+X132+X158)/60</f>
        <v/>
      </c>
      <c r="Y183" s="209">
        <f>(Y28+Y54+Y81+Y107+Y132+Y158)/60</f>
        <v/>
      </c>
      <c r="Z183" s="209">
        <f>(Z28+Z54+Z81+Z107+Z132+Z158)/60</f>
        <v/>
      </c>
      <c r="AA183" s="209">
        <f>(AA28+AA54+AA81+AA107+AA132+AA158)/60</f>
        <v/>
      </c>
      <c r="AB183" s="209">
        <f>(AB28+AB54+AB81+AB107+AB132+AB158)/60</f>
        <v/>
      </c>
      <c r="AC183" s="209">
        <f>(AC28+AC54+AC81+AC107+AC132+AC158)/60</f>
        <v/>
      </c>
      <c r="AD183" s="209">
        <f>(AD28+AD54+AD81+AD107+AD132+AD158)/60</f>
        <v/>
      </c>
      <c r="AE183" s="209">
        <f>(AE28+AE54+AE81+AE107+AE132+AE158)/60</f>
        <v/>
      </c>
      <c r="AF183" s="209">
        <f>(AF28+AF54+AF81+AF107+AF132+AF158)/60</f>
        <v/>
      </c>
      <c r="AG183" s="209">
        <f>(AG28+AG54+AG81+AG107+AG132+AG158)/60</f>
        <v/>
      </c>
      <c r="AH183" s="209">
        <f>(AH28+AH54+AH81+AH107+AH132+AH158)/60</f>
        <v/>
      </c>
      <c r="AI183" s="209">
        <f>(AI28+AI54+AI81+AI107+AI132+AI158)/60</f>
        <v/>
      </c>
      <c r="AJ183" s="209">
        <f>(AJ28+AJ54+AJ81+AJ107+AJ132+AJ158)/60</f>
        <v/>
      </c>
      <c r="AK183" s="209">
        <f>(AK28+AK54+AK81+AK107+AK132+AK158)/60</f>
        <v/>
      </c>
      <c r="AL183" s="209">
        <f>(AL28+AL54+AL81+AL107+AL132+AL158)/60</f>
        <v/>
      </c>
      <c r="AM183" s="209">
        <f>(AM28+AM54+AM81+AM107+AM132+AM158)/60</f>
        <v/>
      </c>
      <c r="AN183" s="209">
        <f>(AN28+AN54+AN81+AN107+AN132+AN158)/60</f>
        <v/>
      </c>
      <c r="AO183" s="209">
        <f>(AO28+AO54+AO81+AO107+AO132+AO158)/60</f>
        <v/>
      </c>
      <c r="AP183" s="209">
        <f>(AP28+AP54+AP81+AP107+AP132+AP158)/60</f>
        <v/>
      </c>
      <c r="AQ183" s="209">
        <f>(AQ28+AQ54+AQ81+AQ107+AQ132+AQ158)/60</f>
        <v/>
      </c>
      <c r="AR183" s="209">
        <f>(AR28+AR54+AR81+AR107+AR132+AR158)/60</f>
        <v/>
      </c>
      <c r="AS183" s="209">
        <f>(AS28+AS54+AS81+AS107+AS132+AS158)/60</f>
        <v/>
      </c>
      <c r="AT183" s="209">
        <f>(AT28+AT54+AT81+AT107+AT132+AT158)/60</f>
        <v/>
      </c>
      <c r="AU183" s="209">
        <f>(AU28+AU54+AU81+AU107+AU132+AU158)/60</f>
        <v/>
      </c>
      <c r="AV183" s="209">
        <f>(AV28+AV54+AV81+AV107+AV132+AV158)/60</f>
        <v/>
      </c>
      <c r="AW183" s="258">
        <f>(AW28+AW54+AW81+AW107+AW132+AW158)/60</f>
        <v/>
      </c>
      <c r="AX183" s="258">
        <f>(AX28+AX54+AX81+AX107+AX132+AX158)/60</f>
        <v/>
      </c>
      <c r="AY183" s="308" t="inlineStr">
        <is>
          <t>EUR NZD</t>
        </is>
      </c>
      <c r="AZ183" s="251" t="inlineStr">
        <is>
          <t>USD JPY</t>
        </is>
      </c>
      <c r="BA183" s="252" t="n">
        <v>-0.0663654416608203</v>
      </c>
      <c r="BB183" s="252" t="n">
        <v>57.1428571428571</v>
      </c>
      <c r="BC183" s="252" t="n">
        <v>-2.12693697366307</v>
      </c>
      <c r="BD183" s="259" t="n"/>
      <c r="BE183" s="259" t="n"/>
      <c r="BF183" s="309" t="n"/>
    </row>
    <row r="184" ht="21" customHeight="1">
      <c r="A184" s="224" t="n"/>
      <c r="B184" s="224" t="n"/>
      <c r="C184" s="224" t="n"/>
      <c r="D184" s="221" t="n"/>
      <c r="E184" s="217" t="inlineStr">
        <is>
          <t>GBP USD</t>
        </is>
      </c>
      <c r="F184" s="209">
        <f>(F29+F55+F82+F108+F133+F159)/60</f>
        <v/>
      </c>
      <c r="G184" s="209">
        <f>(G29+G55+G82+G108+G133+G159)/60</f>
        <v/>
      </c>
      <c r="H184" s="209">
        <f>(H29+H55+H82+H108+H133+H159)/60</f>
        <v/>
      </c>
      <c r="I184" s="209">
        <f>(I29+I55+I82+I108+I133+I159)/60</f>
        <v/>
      </c>
      <c r="J184" s="209">
        <f>(J29+J55+J82+J108+J133+J159)/60</f>
        <v/>
      </c>
      <c r="K184" s="209">
        <f>(K29+K55+K82+K108+K133+K159)/60</f>
        <v/>
      </c>
      <c r="L184" s="209">
        <f>(L29+L55+L82+L108+L133+L159)/60</f>
        <v/>
      </c>
      <c r="M184" s="209">
        <f>(M29+M55+M82+M108+M133+M159)/60</f>
        <v/>
      </c>
      <c r="N184" s="209">
        <f>(N29+N55+N82+N108+N133+N159)/60</f>
        <v/>
      </c>
      <c r="O184" s="209">
        <f>(O29+O55+O82+O108+O133+O159)/60</f>
        <v/>
      </c>
      <c r="P184" s="209">
        <f>(P29+P55+P82+P108+P133+P159)/60</f>
        <v/>
      </c>
      <c r="Q184" s="209">
        <f>(Q29+Q55+Q82+Q108+Q133+Q159)/60</f>
        <v/>
      </c>
      <c r="R184" s="209">
        <f>(R29+R55+R82+R108+R133+R159)/60</f>
        <v/>
      </c>
      <c r="S184" s="209">
        <f>(S29+S55+S82+S108+S133+S159)/60</f>
        <v/>
      </c>
      <c r="T184" s="209">
        <f>(T29+T55+T82+T108+T133+T159)/60</f>
        <v/>
      </c>
      <c r="U184" s="209">
        <f>(U29+U55+U82+U108+U133+U159)/60</f>
        <v/>
      </c>
      <c r="V184" s="209">
        <f>(V29+V55+V82+V108+V133+V159)/60</f>
        <v/>
      </c>
      <c r="W184" s="209">
        <f>(W29+W55+W82+W108+W133+W159)/60</f>
        <v/>
      </c>
      <c r="X184" s="209">
        <f>(X29+X55+X82+X108+X133+X159)/60</f>
        <v/>
      </c>
      <c r="Y184" s="209">
        <f>(Y29+Y55+Y82+Y108+Y133+Y159)/60</f>
        <v/>
      </c>
      <c r="Z184" s="209">
        <f>(Z29+Z55+Z82+Z108+Z133+Z159)/60</f>
        <v/>
      </c>
      <c r="AA184" s="209">
        <f>(AA29+AA55+AA82+AA108+AA133+AA159)/60</f>
        <v/>
      </c>
      <c r="AB184" s="209">
        <f>(AB29+AB55+AB82+AB108+AB133+AB159)/60</f>
        <v/>
      </c>
      <c r="AC184" s="209">
        <f>(AC29+AC55+AC82+AC108+AC133+AC159)/60</f>
        <v/>
      </c>
      <c r="AD184" s="209">
        <f>(AD29+AD55+AD82+AD108+AD133+AD159)/60</f>
        <v/>
      </c>
      <c r="AE184" s="209">
        <f>(AE29+AE55+AE82+AE108+AE133+AE159)/60</f>
        <v/>
      </c>
      <c r="AF184" s="209">
        <f>(AF29+AF55+AF82+AF108+AF133+AF159)/60</f>
        <v/>
      </c>
      <c r="AG184" s="209">
        <f>(AG29+AG55+AG82+AG108+AG133+AG159)/60</f>
        <v/>
      </c>
      <c r="AH184" s="209">
        <f>(AH29+AH55+AH82+AH108+AH133+AH159)/60</f>
        <v/>
      </c>
      <c r="AI184" s="209">
        <f>(AI29+AI55+AI82+AI108+AI133+AI159)/60</f>
        <v/>
      </c>
      <c r="AJ184" s="209">
        <f>(AJ29+AJ55+AJ82+AJ108+AJ133+AJ159)/60</f>
        <v/>
      </c>
      <c r="AK184" s="209">
        <f>(AK29+AK55+AK82+AK108+AK133+AK159)/60</f>
        <v/>
      </c>
      <c r="AL184" s="209">
        <f>(AL29+AL55+AL82+AL108+AL133+AL159)/60</f>
        <v/>
      </c>
      <c r="AM184" s="209">
        <f>(AM29+AM55+AM82+AM108+AM133+AM159)/60</f>
        <v/>
      </c>
      <c r="AN184" s="209">
        <f>(AN29+AN55+AN82+AN108+AN133+AN159)/60</f>
        <v/>
      </c>
      <c r="AO184" s="209">
        <f>(AO29+AO55+AO82+AO108+AO133+AO159)/60</f>
        <v/>
      </c>
      <c r="AP184" s="209">
        <f>(AP29+AP55+AP82+AP108+AP133+AP159)/60</f>
        <v/>
      </c>
      <c r="AQ184" s="209">
        <f>(AQ29+AQ55+AQ82+AQ108+AQ133+AQ159)/60</f>
        <v/>
      </c>
      <c r="AR184" s="209">
        <f>(AR29+AR55+AR82+AR108+AR133+AR159)/60</f>
        <v/>
      </c>
      <c r="AS184" s="209">
        <f>(AS29+AS55+AS82+AS108+AS133+AS159)/60</f>
        <v/>
      </c>
      <c r="AT184" s="209">
        <f>(AT29+AT55+AT82+AT108+AT133+AT159)/60</f>
        <v/>
      </c>
      <c r="AU184" s="209">
        <f>(AU29+AU55+AU82+AU108+AU133+AU159)/60</f>
        <v/>
      </c>
      <c r="AV184" s="209">
        <f>(AV29+AV55+AV82+AV108+AV133+AV159)/60</f>
        <v/>
      </c>
      <c r="AW184" s="258">
        <f>(AW29+AW55+AW82+AW108+AW133+AW159)/60</f>
        <v/>
      </c>
      <c r="AX184" s="258">
        <f>(AX29+AX55+AX82+AX108+AX133+AX159)/60</f>
        <v/>
      </c>
      <c r="AY184" s="264" t="inlineStr">
        <is>
          <t>GBP USD</t>
        </is>
      </c>
      <c r="AZ184" s="251" t="inlineStr">
        <is>
          <t>USD CAD</t>
        </is>
      </c>
      <c r="BA184" s="252" t="n">
        <v>-0.0665719453820635</v>
      </c>
      <c r="BB184" s="252" t="n">
        <v>57.1428571428571</v>
      </c>
      <c r="BC184" s="252" t="n">
        <v>-3.87784249016528</v>
      </c>
      <c r="BD184" s="259" t="n"/>
      <c r="BE184" s="259" t="n"/>
      <c r="BF184" s="260" t="n"/>
    </row>
    <row r="185" ht="21" customHeight="1">
      <c r="A185" s="223" t="n">
        <v>75</v>
      </c>
      <c r="B185" s="225" t="n">
        <v>0.4</v>
      </c>
      <c r="C185" s="225" t="n">
        <v>4</v>
      </c>
      <c r="D185" s="221" t="n">
        <v>5</v>
      </c>
      <c r="E185" s="220" t="inlineStr">
        <is>
          <t>GBP JPY</t>
        </is>
      </c>
      <c r="F185" s="209">
        <f>(F30+F56+F83+F109+F134+F160)/60</f>
        <v/>
      </c>
      <c r="G185" s="209">
        <f>(G30+G56+G83+G109+G134+G160)/60</f>
        <v/>
      </c>
      <c r="H185" s="209">
        <f>(H30+H56+H83+H109+H134+H160)/60</f>
        <v/>
      </c>
      <c r="I185" s="209">
        <f>(I30+I56+I83+I109+I134+I160)/60</f>
        <v/>
      </c>
      <c r="J185" s="209">
        <f>(J30+J56+J83+J109+J134+J160)/60</f>
        <v/>
      </c>
      <c r="K185" s="209">
        <f>(K30+K56+K83+K109+K134+K160)/60</f>
        <v/>
      </c>
      <c r="L185" s="209">
        <f>(L30+L56+L83+L109+L134+L160)/60</f>
        <v/>
      </c>
      <c r="M185" s="209">
        <f>(M30+M56+M83+M109+M134+M160)/60</f>
        <v/>
      </c>
      <c r="N185" s="209">
        <f>(N30+N56+N83+N109+N134+N160)/60</f>
        <v/>
      </c>
      <c r="O185" s="209">
        <f>(O30+O56+O83+O109+O134+O160)/60</f>
        <v/>
      </c>
      <c r="P185" s="209">
        <f>(P30+P56+P83+P109+P134+P160)/60</f>
        <v/>
      </c>
      <c r="Q185" s="209">
        <f>(Q30+Q56+Q83+Q109+Q134+Q160)/60</f>
        <v/>
      </c>
      <c r="R185" s="209">
        <f>(R30+R56+R83+R109+R134+R160)/60</f>
        <v/>
      </c>
      <c r="S185" s="209">
        <f>(S30+S56+S83+S109+S134+S160)/60</f>
        <v/>
      </c>
      <c r="T185" s="209">
        <f>(T30+T56+T83+T109+T134+T160)/60</f>
        <v/>
      </c>
      <c r="U185" s="209">
        <f>(U30+U56+U83+U109+U134+U160)/60</f>
        <v/>
      </c>
      <c r="V185" s="209">
        <f>(V30+V56+V83+V109+V134+V160)/60</f>
        <v/>
      </c>
      <c r="W185" s="209">
        <f>(W30+W56+W83+W109+W134+W160)/60</f>
        <v/>
      </c>
      <c r="X185" s="209">
        <f>(X30+X56+X83+X109+X134+X160)/60</f>
        <v/>
      </c>
      <c r="Y185" s="209">
        <f>(Y30+Y56+Y83+Y109+Y134+Y160)/60</f>
        <v/>
      </c>
      <c r="Z185" s="209">
        <f>(Z30+Z56+Z83+Z109+Z134+Z160)/60</f>
        <v/>
      </c>
      <c r="AA185" s="209">
        <f>(AA30+AA56+AA83+AA109+AA134+AA160)/60</f>
        <v/>
      </c>
      <c r="AB185" s="209">
        <f>(AB30+AB56+AB83+AB109+AB134+AB160)/60</f>
        <v/>
      </c>
      <c r="AC185" s="209">
        <f>(AC30+AC56+AC83+AC109+AC134+AC160)/60</f>
        <v/>
      </c>
      <c r="AD185" s="209">
        <f>(AD30+AD56+AD83+AD109+AD134+AD160)/60</f>
        <v/>
      </c>
      <c r="AE185" s="209">
        <f>(AE30+AE56+AE83+AE109+AE134+AE160)/60</f>
        <v/>
      </c>
      <c r="AF185" s="209">
        <f>(AF30+AF56+AF83+AF109+AF134+AF160)/60</f>
        <v/>
      </c>
      <c r="AG185" s="209">
        <f>(AG30+AG56+AG83+AG109+AG134+AG160)/60</f>
        <v/>
      </c>
      <c r="AH185" s="209">
        <f>(AH30+AH56+AH83+AH109+AH134+AH160)/60</f>
        <v/>
      </c>
      <c r="AI185" s="209">
        <f>(AI30+AI56+AI83+AI109+AI134+AI160)/60</f>
        <v/>
      </c>
      <c r="AJ185" s="209">
        <f>(AJ30+AJ56+AJ83+AJ109+AJ134+AJ160)/60</f>
        <v/>
      </c>
      <c r="AK185" s="209">
        <f>(AK30+AK56+AK83+AK109+AK134+AK160)/60</f>
        <v/>
      </c>
      <c r="AL185" s="209">
        <f>(AL30+AL56+AL83+AL109+AL134+AL160)/60</f>
        <v/>
      </c>
      <c r="AM185" s="209">
        <f>(AM30+AM56+AM83+AM109+AM134+AM160)/60</f>
        <v/>
      </c>
      <c r="AN185" s="209">
        <f>(AN30+AN56+AN83+AN109+AN134+AN160)/60</f>
        <v/>
      </c>
      <c r="AO185" s="209">
        <f>(AO30+AO56+AO83+AO109+AO134+AO160)/60</f>
        <v/>
      </c>
      <c r="AP185" s="209">
        <f>(AP30+AP56+AP83+AP109+AP134+AP160)/60</f>
        <v/>
      </c>
      <c r="AQ185" s="209">
        <f>(AQ30+AQ56+AQ83+AQ109+AQ134+AQ160)/60</f>
        <v/>
      </c>
      <c r="AR185" s="209">
        <f>(AR30+AR56+AR83+AR109+AR134+AR160)/60</f>
        <v/>
      </c>
      <c r="AS185" s="209">
        <f>(AS30+AS56+AS83+AS109+AS134+AS160)/60</f>
        <v/>
      </c>
      <c r="AT185" s="209">
        <f>(AT30+AT56+AT83+AT109+AT134+AT160)/60</f>
        <v/>
      </c>
      <c r="AU185" s="209">
        <f>(AU30+AU56+AU83+AU109+AU134+AU160)/60</f>
        <v/>
      </c>
      <c r="AV185" s="209">
        <f>(AV30+AV56+AV83+AV109+AV134+AV160)/60</f>
        <v/>
      </c>
      <c r="AW185" s="258">
        <f>(AW30+AW56+AW83+AW109+AW134+AW160)/60</f>
        <v/>
      </c>
      <c r="AX185" s="258">
        <f>(AX30+AX56+AX83+AX109+AX134+AX160)/60</f>
        <v/>
      </c>
      <c r="AY185" s="275" t="inlineStr">
        <is>
          <t>GBP JPY</t>
        </is>
      </c>
      <c r="AZ185" s="251" t="inlineStr">
        <is>
          <t>USD CHF</t>
        </is>
      </c>
      <c r="BA185" s="252" t="n">
        <v>-0.087811561000201</v>
      </c>
      <c r="BB185" s="252" t="n">
        <v>57.1428571428571</v>
      </c>
      <c r="BC185" s="252" t="n">
        <v>-2.37335839091014</v>
      </c>
      <c r="BD185" s="259" t="n"/>
      <c r="BE185" s="259" t="n"/>
      <c r="BF185" s="260" t="n"/>
    </row>
    <row r="186" ht="21" customHeight="1">
      <c r="A186" s="224" t="n"/>
      <c r="B186" s="224" t="n"/>
      <c r="C186" s="224" t="n"/>
      <c r="D186" s="221" t="n"/>
      <c r="E186" s="217" t="inlineStr">
        <is>
          <t>GBP CHF</t>
        </is>
      </c>
      <c r="F186" s="209">
        <f>(F31+F57+F84+F110+F135+F161)/60</f>
        <v/>
      </c>
      <c r="G186" s="209">
        <f>(G31+G57+G84+G110+G135+G161)/60</f>
        <v/>
      </c>
      <c r="H186" s="209">
        <f>(H31+H57+H84+H110+H135+H161)/60</f>
        <v/>
      </c>
      <c r="I186" s="209">
        <f>(I31+I57+I84+I110+I135+I161)/60</f>
        <v/>
      </c>
      <c r="J186" s="209">
        <f>(J31+J57+J84+J110+J135+J161)/60</f>
        <v/>
      </c>
      <c r="K186" s="209">
        <f>(K31+K57+K84+K110+K135+K161)/60</f>
        <v/>
      </c>
      <c r="L186" s="209">
        <f>(L31+L57+L84+L110+L135+L161)/60</f>
        <v/>
      </c>
      <c r="M186" s="209">
        <f>(M31+M57+M84+M110+M135+M161)/60</f>
        <v/>
      </c>
      <c r="N186" s="209">
        <f>(N31+N57+N84+N110+N135+N161)/60</f>
        <v/>
      </c>
      <c r="O186" s="209">
        <f>(O31+O57+O84+O110+O135+O161)/60</f>
        <v/>
      </c>
      <c r="P186" s="209">
        <f>(P31+P57+P84+P110+P135+P161)/60</f>
        <v/>
      </c>
      <c r="Q186" s="209">
        <f>(Q31+Q57+Q84+Q110+Q135+Q161)/60</f>
        <v/>
      </c>
      <c r="R186" s="209">
        <f>(R31+R57+R84+R110+R135+R161)/60</f>
        <v/>
      </c>
      <c r="S186" s="209">
        <f>(S31+S57+S84+S110+S135+S161)/60</f>
        <v/>
      </c>
      <c r="T186" s="209">
        <f>(T31+T57+T84+T110+T135+T161)/60</f>
        <v/>
      </c>
      <c r="U186" s="209">
        <f>(U31+U57+U84+U110+U135+U161)/60</f>
        <v/>
      </c>
      <c r="V186" s="209">
        <f>(V31+V57+V84+V110+V135+V161)/60</f>
        <v/>
      </c>
      <c r="W186" s="209">
        <f>(W31+W57+W84+W110+W135+W161)/60</f>
        <v/>
      </c>
      <c r="X186" s="209">
        <f>(X31+X57+X84+X110+X135+X161)/60</f>
        <v/>
      </c>
      <c r="Y186" s="209">
        <f>(Y31+Y57+Y84+Y110+Y135+Y161)/60</f>
        <v/>
      </c>
      <c r="Z186" s="209">
        <f>(Z31+Z57+Z84+Z110+Z135+Z161)/60</f>
        <v/>
      </c>
      <c r="AA186" s="209">
        <f>(AA31+AA57+AA84+AA110+AA135+AA161)/60</f>
        <v/>
      </c>
      <c r="AB186" s="209">
        <f>(AB31+AB57+AB84+AB110+AB135+AB161)/60</f>
        <v/>
      </c>
      <c r="AC186" s="209">
        <f>(AC31+AC57+AC84+AC110+AC135+AC161)/60</f>
        <v/>
      </c>
      <c r="AD186" s="209">
        <f>(AD31+AD57+AD84+AD110+AD135+AD161)/60</f>
        <v/>
      </c>
      <c r="AE186" s="209">
        <f>(AE31+AE57+AE84+AE110+AE135+AE161)/60</f>
        <v/>
      </c>
      <c r="AF186" s="209">
        <f>(AF31+AF57+AF84+AF110+AF135+AF161)/60</f>
        <v/>
      </c>
      <c r="AG186" s="209">
        <f>(AG31+AG57+AG84+AG110+AG135+AG161)/60</f>
        <v/>
      </c>
      <c r="AH186" s="209">
        <f>(AH31+AH57+AH84+AH110+AH135+AH161)/60</f>
        <v/>
      </c>
      <c r="AI186" s="209">
        <f>(AI31+AI57+AI84+AI110+AI135+AI161)/60</f>
        <v/>
      </c>
      <c r="AJ186" s="209">
        <f>(AJ31+AJ57+AJ84+AJ110+AJ135+AJ161)/60</f>
        <v/>
      </c>
      <c r="AK186" s="209">
        <f>(AK31+AK57+AK84+AK110+AK135+AK161)/60</f>
        <v/>
      </c>
      <c r="AL186" s="209">
        <f>(AL31+AL57+AL84+AL110+AL135+AL161)/60</f>
        <v/>
      </c>
      <c r="AM186" s="209">
        <f>(AM31+AM57+AM84+AM110+AM135+AM161)/60</f>
        <v/>
      </c>
      <c r="AN186" s="209">
        <f>(AN31+AN57+AN84+AN110+AN135+AN161)/60</f>
        <v/>
      </c>
      <c r="AO186" s="209">
        <f>(AO31+AO57+AO84+AO110+AO135+AO161)/60</f>
        <v/>
      </c>
      <c r="AP186" s="209">
        <f>(AP31+AP57+AP84+AP110+AP135+AP161)/60</f>
        <v/>
      </c>
      <c r="AQ186" s="209">
        <f>(AQ31+AQ57+AQ84+AQ110+AQ135+AQ161)/60</f>
        <v/>
      </c>
      <c r="AR186" s="209">
        <f>(AR31+AR57+AR84+AR110+AR135+AR161)/60</f>
        <v/>
      </c>
      <c r="AS186" s="209">
        <f>(AS31+AS57+AS84+AS110+AS135+AS161)/60</f>
        <v/>
      </c>
      <c r="AT186" s="209">
        <f>(AT31+AT57+AT84+AT110+AT135+AT161)/60</f>
        <v/>
      </c>
      <c r="AU186" s="209">
        <f>(AU31+AU57+AU84+AU110+AU135+AU161)/60</f>
        <v/>
      </c>
      <c r="AV186" s="209">
        <f>(AV31+AV57+AV84+AV110+AV135+AV161)/60</f>
        <v/>
      </c>
      <c r="AW186" s="258">
        <f>(AW31+AW57+AW84+AW110+AW135+AW161)/60</f>
        <v/>
      </c>
      <c r="AX186" s="258">
        <f>(AX31+AX57+AX84+AX110+AX135+AX161)/60</f>
        <v/>
      </c>
      <c r="AY186" s="264" t="inlineStr">
        <is>
          <t>GBP CHF</t>
        </is>
      </c>
      <c r="AZ186" s="251" t="inlineStr">
        <is>
          <t>EUR USD</t>
        </is>
      </c>
      <c r="BA186" s="252" t="n">
        <v>-0.278161648352685</v>
      </c>
      <c r="BB186" s="252" t="n">
        <v>57.1428571428571</v>
      </c>
      <c r="BC186" s="252" t="n">
        <v>-1.96070089213457</v>
      </c>
      <c r="BD186" s="259" t="n"/>
      <c r="BE186" s="259" t="n"/>
      <c r="BF186" s="260" t="n"/>
    </row>
    <row r="187" ht="21" customHeight="1">
      <c r="A187" s="224" t="n"/>
      <c r="B187" s="224" t="n"/>
      <c r="C187" s="224" t="n"/>
      <c r="D187" s="221" t="n"/>
      <c r="E187" s="217" t="inlineStr">
        <is>
          <t>GBP CAD</t>
        </is>
      </c>
      <c r="F187" s="209">
        <f>(F32+F58+F85+F111+F136+F162)/60</f>
        <v/>
      </c>
      <c r="G187" s="209">
        <f>(G32+G58+G85+G111+G136+G162)/60</f>
        <v/>
      </c>
      <c r="H187" s="209">
        <f>(H32+H58+H85+H111+H136+H162)/60</f>
        <v/>
      </c>
      <c r="I187" s="209">
        <f>(I32+I58+I85+I111+I136+I162)/60</f>
        <v/>
      </c>
      <c r="J187" s="209">
        <f>(J32+J58+J85+J111+J136+J162)/60</f>
        <v/>
      </c>
      <c r="K187" s="209">
        <f>(K32+K58+K85+K111+K136+K162)/60</f>
        <v/>
      </c>
      <c r="L187" s="209">
        <f>(L32+L58+L85+L111+L136+L162)/60</f>
        <v/>
      </c>
      <c r="M187" s="209">
        <f>(M32+M58+M85+M111+M136+M162)/60</f>
        <v/>
      </c>
      <c r="N187" s="209">
        <f>(N32+N58+N85+N111+N136+N162)/60</f>
        <v/>
      </c>
      <c r="O187" s="209">
        <f>(O32+O58+O85+O111+O136+O162)/60</f>
        <v/>
      </c>
      <c r="P187" s="209">
        <f>(P32+P58+P85+P111+P136+P162)/60</f>
        <v/>
      </c>
      <c r="Q187" s="209">
        <f>(Q32+Q58+Q85+Q111+Q136+Q162)/60</f>
        <v/>
      </c>
      <c r="R187" s="209">
        <f>(R32+R58+R85+R111+R136+R162)/60</f>
        <v/>
      </c>
      <c r="S187" s="209">
        <f>(S32+S58+S85+S111+S136+S162)/60</f>
        <v/>
      </c>
      <c r="T187" s="209">
        <f>(T32+T58+T85+T111+T136+T162)/60</f>
        <v/>
      </c>
      <c r="U187" s="209">
        <f>(U32+U58+U85+U111+U136+U162)/60</f>
        <v/>
      </c>
      <c r="V187" s="209">
        <f>(V32+V58+V85+V111+V136+V162)/60</f>
        <v/>
      </c>
      <c r="W187" s="209">
        <f>(W32+W58+W85+W111+W136+W162)/60</f>
        <v/>
      </c>
      <c r="X187" s="209">
        <f>(X32+X58+X85+X111+X136+X162)/60</f>
        <v/>
      </c>
      <c r="Y187" s="209">
        <f>(Y32+Y58+Y85+Y111+Y136+Y162)/60</f>
        <v/>
      </c>
      <c r="Z187" s="209">
        <f>(Z32+Z58+Z85+Z111+Z136+Z162)/60</f>
        <v/>
      </c>
      <c r="AA187" s="209">
        <f>(AA32+AA58+AA85+AA111+AA136+AA162)/60</f>
        <v/>
      </c>
      <c r="AB187" s="209">
        <f>(AB32+AB58+AB85+AB111+AB136+AB162)/60</f>
        <v/>
      </c>
      <c r="AC187" s="209">
        <f>(AC32+AC58+AC85+AC111+AC136+AC162)/60</f>
        <v/>
      </c>
      <c r="AD187" s="209">
        <f>(AD32+AD58+AD85+AD111+AD136+AD162)/60</f>
        <v/>
      </c>
      <c r="AE187" s="209">
        <f>(AE32+AE58+AE85+AE111+AE136+AE162)/60</f>
        <v/>
      </c>
      <c r="AF187" s="209">
        <f>(AF32+AF58+AF85+AF111+AF136+AF162)/60</f>
        <v/>
      </c>
      <c r="AG187" s="209">
        <f>(AG32+AG58+AG85+AG111+AG136+AG162)/60</f>
        <v/>
      </c>
      <c r="AH187" s="209">
        <f>(AH32+AH58+AH85+AH111+AH136+AH162)/60</f>
        <v/>
      </c>
      <c r="AI187" s="209">
        <f>(AI32+AI58+AI85+AI111+AI136+AI162)/60</f>
        <v/>
      </c>
      <c r="AJ187" s="209">
        <f>(AJ32+AJ58+AJ85+AJ111+AJ136+AJ162)/60</f>
        <v/>
      </c>
      <c r="AK187" s="209">
        <f>(AK32+AK58+AK85+AK111+AK136+AK162)/60</f>
        <v/>
      </c>
      <c r="AL187" s="209">
        <f>(AL32+AL58+AL85+AL111+AL136+AL162)/60</f>
        <v/>
      </c>
      <c r="AM187" s="209">
        <f>(AM32+AM58+AM85+AM111+AM136+AM162)/60</f>
        <v/>
      </c>
      <c r="AN187" s="209">
        <f>(AN32+AN58+AN85+AN111+AN136+AN162)/60</f>
        <v/>
      </c>
      <c r="AO187" s="209">
        <f>(AO32+AO58+AO85+AO111+AO136+AO162)/60</f>
        <v/>
      </c>
      <c r="AP187" s="209">
        <f>(AP32+AP58+AP85+AP111+AP136+AP162)/60</f>
        <v/>
      </c>
      <c r="AQ187" s="209">
        <f>(AQ32+AQ58+AQ85+AQ111+AQ136+AQ162)/60</f>
        <v/>
      </c>
      <c r="AR187" s="209">
        <f>(AR32+AR58+AR85+AR111+AR136+AR162)/60</f>
        <v/>
      </c>
      <c r="AS187" s="209">
        <f>(AS32+AS58+AS85+AS111+AS136+AS162)/60</f>
        <v/>
      </c>
      <c r="AT187" s="209">
        <f>(AT32+AT58+AT85+AT111+AT136+AT162)/60</f>
        <v/>
      </c>
      <c r="AU187" s="209">
        <f>(AU32+AU58+AU85+AU111+AU136+AU162)/60</f>
        <v/>
      </c>
      <c r="AV187" s="209">
        <f>(AV32+AV58+AV85+AV111+AV136+AV162)/60</f>
        <v/>
      </c>
      <c r="AW187" s="258">
        <f>(AW32+AW58+AW85+AW111+AW136+AW162)/60</f>
        <v/>
      </c>
      <c r="AX187" s="258">
        <f>(AX32+AX58+AX85+AX111+AX136+AX162)/60</f>
        <v/>
      </c>
      <c r="AY187" s="275" t="inlineStr">
        <is>
          <t>GBP CAD</t>
        </is>
      </c>
      <c r="AZ187" s="251" t="inlineStr">
        <is>
          <t>AUD NZD</t>
        </is>
      </c>
      <c r="BA187" s="252" t="n">
        <v>-0.366904133139003</v>
      </c>
      <c r="BB187" s="252" t="n">
        <v>57.1428571428571</v>
      </c>
      <c r="BC187" s="252" t="n">
        <v>-2.02797325065598</v>
      </c>
      <c r="BD187" s="259" t="n"/>
      <c r="BE187" s="259" t="n"/>
      <c r="BF187" s="260" t="n"/>
    </row>
    <row r="188" ht="21" customHeight="1">
      <c r="A188" s="224" t="n"/>
      <c r="B188" s="224" t="n"/>
      <c r="C188" s="224" t="n"/>
      <c r="D188" s="221" t="n"/>
      <c r="E188" s="217" t="inlineStr">
        <is>
          <t>GBP AUD</t>
        </is>
      </c>
      <c r="F188" s="209">
        <f>(F33+F59+F86+F112+F137+F163)/60</f>
        <v/>
      </c>
      <c r="G188" s="209">
        <f>(G33+G59+G86+G112+G137+G163)/60</f>
        <v/>
      </c>
      <c r="H188" s="209">
        <f>(H33+H59+H86+H112+H137+H163)/60</f>
        <v/>
      </c>
      <c r="I188" s="209">
        <f>(I33+I59+I86+I112+I137+I163)/60</f>
        <v/>
      </c>
      <c r="J188" s="209">
        <f>(J33+J59+J86+J112+J137+J163)/60</f>
        <v/>
      </c>
      <c r="K188" s="209">
        <f>(K33+K59+K86+K112+K137+K163)/60</f>
        <v/>
      </c>
      <c r="L188" s="209">
        <f>(L33+L59+L86+L112+L137+L163)/60</f>
        <v/>
      </c>
      <c r="M188" s="209">
        <f>(M33+M59+M86+M112+M137+M163)/60</f>
        <v/>
      </c>
      <c r="N188" s="209">
        <f>(N33+N59+N86+N112+N137+N163)/60</f>
        <v/>
      </c>
      <c r="O188" s="209">
        <f>(O33+O59+O86+O112+O137+O163)/60</f>
        <v/>
      </c>
      <c r="P188" s="209">
        <f>(P33+P59+P86+P112+P137+P163)/60</f>
        <v/>
      </c>
      <c r="Q188" s="209">
        <f>(Q33+Q59+Q86+Q112+Q137+Q163)/60</f>
        <v/>
      </c>
      <c r="R188" s="209">
        <f>(R33+R59+R86+R112+R137+R163)/60</f>
        <v/>
      </c>
      <c r="S188" s="209">
        <f>(S33+S59+S86+S112+S137+S163)/60</f>
        <v/>
      </c>
      <c r="T188" s="209">
        <f>(T33+T59+T86+T112+T137+T163)/60</f>
        <v/>
      </c>
      <c r="U188" s="209">
        <f>(U33+U59+U86+U112+U137+U163)/60</f>
        <v/>
      </c>
      <c r="V188" s="209">
        <f>(V33+V59+V86+V112+V137+V163)/60</f>
        <v/>
      </c>
      <c r="W188" s="209">
        <f>(W33+W59+W86+W112+W137+W163)/60</f>
        <v/>
      </c>
      <c r="X188" s="209">
        <f>(X33+X59+X86+X112+X137+X163)/60</f>
        <v/>
      </c>
      <c r="Y188" s="209">
        <f>(Y33+Y59+Y86+Y112+Y137+Y163)/60</f>
        <v/>
      </c>
      <c r="Z188" s="209">
        <f>(Z33+Z59+Z86+Z112+Z137+Z163)/60</f>
        <v/>
      </c>
      <c r="AA188" s="209">
        <f>(AA33+AA59+AA86+AA112+AA137+AA163)/60</f>
        <v/>
      </c>
      <c r="AB188" s="209">
        <f>(AB33+AB59+AB86+AB112+AB137+AB163)/60</f>
        <v/>
      </c>
      <c r="AC188" s="209">
        <f>(AC33+AC59+AC86+AC112+AC137+AC163)/60</f>
        <v/>
      </c>
      <c r="AD188" s="209">
        <f>(AD33+AD59+AD86+AD112+AD137+AD163)/60</f>
        <v/>
      </c>
      <c r="AE188" s="209">
        <f>(AE33+AE59+AE86+AE112+AE137+AE163)/60</f>
        <v/>
      </c>
      <c r="AF188" s="209">
        <f>(AF33+AF59+AF86+AF112+AF137+AF163)/60</f>
        <v/>
      </c>
      <c r="AG188" s="209">
        <f>(AG33+AG59+AG86+AG112+AG137+AG163)/60</f>
        <v/>
      </c>
      <c r="AH188" s="209">
        <f>(AH33+AH59+AH86+AH112+AH137+AH163)/60</f>
        <v/>
      </c>
      <c r="AI188" s="209">
        <f>(AI33+AI59+AI86+AI112+AI137+AI163)/60</f>
        <v/>
      </c>
      <c r="AJ188" s="209">
        <f>(AJ33+AJ59+AJ86+AJ112+AJ137+AJ163)/60</f>
        <v/>
      </c>
      <c r="AK188" s="209">
        <f>(AK33+AK59+AK86+AK112+AK137+AK163)/60</f>
        <v/>
      </c>
      <c r="AL188" s="209">
        <f>(AL33+AL59+AL86+AL112+AL137+AL163)/60</f>
        <v/>
      </c>
      <c r="AM188" s="209">
        <f>(AM33+AM59+AM86+AM112+AM137+AM163)/60</f>
        <v/>
      </c>
      <c r="AN188" s="209">
        <f>(AN33+AN59+AN86+AN112+AN137+AN163)/60</f>
        <v/>
      </c>
      <c r="AO188" s="209">
        <f>(AO33+AO59+AO86+AO112+AO137+AO163)/60</f>
        <v/>
      </c>
      <c r="AP188" s="209">
        <f>(AP33+AP59+AP86+AP112+AP137+AP163)/60</f>
        <v/>
      </c>
      <c r="AQ188" s="209">
        <f>(AQ33+AQ59+AQ86+AQ112+AQ137+AQ163)/60</f>
        <v/>
      </c>
      <c r="AR188" s="209">
        <f>(AR33+AR59+AR86+AR112+AR137+AR163)/60</f>
        <v/>
      </c>
      <c r="AS188" s="209">
        <f>(AS33+AS59+AS86+AS112+AS137+AS163)/60</f>
        <v/>
      </c>
      <c r="AT188" s="209">
        <f>(AT33+AT59+AT86+AT112+AT137+AT163)/60</f>
        <v/>
      </c>
      <c r="AU188" s="209">
        <f>(AU33+AU59+AU86+AU112+AU137+AU163)/60</f>
        <v/>
      </c>
      <c r="AV188" s="209">
        <f>(AV33+AV59+AV86+AV112+AV137+AV163)/60</f>
        <v/>
      </c>
      <c r="AW188" s="258">
        <f>(AW33+AW59+AW86+AW112+AW137+AW163)/60</f>
        <v/>
      </c>
      <c r="AX188" s="258">
        <f>(AX33+AX59+AX86+AX112+AX137+AX163)/60</f>
        <v/>
      </c>
      <c r="AY188" s="275" t="inlineStr">
        <is>
          <t>GBP AUD</t>
        </is>
      </c>
      <c r="AZ188" s="251" t="inlineStr">
        <is>
          <t>AUD CHF</t>
        </is>
      </c>
      <c r="BA188" s="252" t="n">
        <v>-0.525884691309907</v>
      </c>
      <c r="BB188" s="252" t="n">
        <v>57.1428571428571</v>
      </c>
      <c r="BC188" s="252" t="n">
        <v>-1.3239235431271</v>
      </c>
      <c r="BD188" s="259" t="n"/>
      <c r="BE188" s="259" t="n"/>
      <c r="BF188" s="260" t="n"/>
    </row>
    <row r="189" ht="21" customHeight="1">
      <c r="A189" s="224" t="n"/>
      <c r="B189" s="224" t="n"/>
      <c r="C189" s="224" t="n"/>
      <c r="D189" s="221" t="n"/>
      <c r="E189" s="217" t="inlineStr">
        <is>
          <t>GBP NZD</t>
        </is>
      </c>
      <c r="F189" s="209">
        <f>(F34+F60+F87+F113+F138+F164)/60</f>
        <v/>
      </c>
      <c r="G189" s="209">
        <f>(G34+G60+G87+G113+G138+G164)/60</f>
        <v/>
      </c>
      <c r="H189" s="209">
        <f>(H34+H60+H87+H113+H138+H164)/60</f>
        <v/>
      </c>
      <c r="I189" s="209">
        <f>(I34+I60+I87+I113+I138+I164)/60</f>
        <v/>
      </c>
      <c r="J189" s="209">
        <f>(J34+J60+J87+J113+J138+J164)/60</f>
        <v/>
      </c>
      <c r="K189" s="209">
        <f>(K34+K60+K87+K113+K138+K164)/60</f>
        <v/>
      </c>
      <c r="L189" s="209">
        <f>(L34+L60+L87+L113+L138+L164)/60</f>
        <v/>
      </c>
      <c r="M189" s="209">
        <f>(M34+M60+M87+M113+M138+M164)/60</f>
        <v/>
      </c>
      <c r="N189" s="209">
        <f>(N34+N60+N87+N113+N138+N164)/60</f>
        <v/>
      </c>
      <c r="O189" s="209">
        <f>(O34+O60+O87+O113+O138+O164)/60</f>
        <v/>
      </c>
      <c r="P189" s="209">
        <f>(P34+P60+P87+P113+P138+P164)/60</f>
        <v/>
      </c>
      <c r="Q189" s="209">
        <f>(Q34+Q60+Q87+Q113+Q138+Q164)/60</f>
        <v/>
      </c>
      <c r="R189" s="209">
        <f>(R34+R60+R87+R113+R138+R164)/60</f>
        <v/>
      </c>
      <c r="S189" s="209">
        <f>(S34+S60+S87+S113+S138+S164)/60</f>
        <v/>
      </c>
      <c r="T189" s="209">
        <f>(T34+T60+T87+T113+T138+T164)/60</f>
        <v/>
      </c>
      <c r="U189" s="209">
        <f>(U34+U60+U87+U113+U138+U164)/60</f>
        <v/>
      </c>
      <c r="V189" s="209">
        <f>(V34+V60+V87+V113+V138+V164)/60</f>
        <v/>
      </c>
      <c r="W189" s="209">
        <f>(W34+W60+W87+W113+W138+W164)/60</f>
        <v/>
      </c>
      <c r="X189" s="209">
        <f>(X34+X60+X87+X113+X138+X164)/60</f>
        <v/>
      </c>
      <c r="Y189" s="209">
        <f>(Y34+Y60+Y87+Y113+Y138+Y164)/60</f>
        <v/>
      </c>
      <c r="Z189" s="209">
        <f>(Z34+Z60+Z87+Z113+Z138+Z164)/60</f>
        <v/>
      </c>
      <c r="AA189" s="209">
        <f>(AA34+AA60+AA87+AA113+AA138+AA164)/60</f>
        <v/>
      </c>
      <c r="AB189" s="209">
        <f>(AB34+AB60+AB87+AB113+AB138+AB164)/60</f>
        <v/>
      </c>
      <c r="AC189" s="209">
        <f>(AC34+AC60+AC87+AC113+AC138+AC164)/60</f>
        <v/>
      </c>
      <c r="AD189" s="209">
        <f>(AD34+AD60+AD87+AD113+AD138+AD164)/60</f>
        <v/>
      </c>
      <c r="AE189" s="209">
        <f>(AE34+AE60+AE87+AE113+AE138+AE164)/60</f>
        <v/>
      </c>
      <c r="AF189" s="209">
        <f>(AF34+AF60+AF87+AF113+AF138+AF164)/60</f>
        <v/>
      </c>
      <c r="AG189" s="209">
        <f>(AG34+AG60+AG87+AG113+AG138+AG164)/60</f>
        <v/>
      </c>
      <c r="AH189" s="209">
        <f>(AH34+AH60+AH87+AH113+AH138+AH164)/60</f>
        <v/>
      </c>
      <c r="AI189" s="209">
        <f>(AI34+AI60+AI87+AI113+AI138+AI164)/60</f>
        <v/>
      </c>
      <c r="AJ189" s="209">
        <f>(AJ34+AJ60+AJ87+AJ113+AJ138+AJ164)/60</f>
        <v/>
      </c>
      <c r="AK189" s="209">
        <f>(AK34+AK60+AK87+AK113+AK138+AK164)/60</f>
        <v/>
      </c>
      <c r="AL189" s="209">
        <f>(AL34+AL60+AL87+AL113+AL138+AL164)/60</f>
        <v/>
      </c>
      <c r="AM189" s="209">
        <f>(AM34+AM60+AM87+AM113+AM138+AM164)/60</f>
        <v/>
      </c>
      <c r="AN189" s="209">
        <f>(AN34+AN60+AN87+AN113+AN138+AN164)/60</f>
        <v/>
      </c>
      <c r="AO189" s="209">
        <f>(AO34+AO60+AO87+AO113+AO138+AO164)/60</f>
        <v/>
      </c>
      <c r="AP189" s="209">
        <f>(AP34+AP60+AP87+AP113+AP138+AP164)/60</f>
        <v/>
      </c>
      <c r="AQ189" s="209">
        <f>(AQ34+AQ60+AQ87+AQ113+AQ138+AQ164)/60</f>
        <v/>
      </c>
      <c r="AR189" s="209">
        <f>(AR34+AR60+AR87+AR113+AR138+AR164)/60</f>
        <v/>
      </c>
      <c r="AS189" s="209">
        <f>(AS34+AS60+AS87+AS113+AS138+AS164)/60</f>
        <v/>
      </c>
      <c r="AT189" s="209">
        <f>(AT34+AT60+AT87+AT113+AT138+AT164)/60</f>
        <v/>
      </c>
      <c r="AU189" s="209">
        <f>(AU34+AU60+AU87+AU113+AU138+AU164)/60</f>
        <v/>
      </c>
      <c r="AV189" s="209">
        <f>(AV34+AV60+AV87+AV113+AV138+AV164)/60</f>
        <v/>
      </c>
      <c r="AW189" s="258">
        <f>(AW34+AW60+AW87+AW113+AW138+AW164)/60</f>
        <v/>
      </c>
      <c r="AX189" s="258">
        <f>(AX34+AX60+AX87+AX113+AX138+AX164)/60</f>
        <v/>
      </c>
      <c r="AY189" s="274" t="inlineStr">
        <is>
          <t>GBP NZD</t>
        </is>
      </c>
      <c r="AZ189" s="251" t="inlineStr">
        <is>
          <t>EUR GBP</t>
        </is>
      </c>
      <c r="BA189" s="252" t="n">
        <v>0.194622045814015</v>
      </c>
      <c r="BB189" s="252" t="n">
        <v>42.8571428571429</v>
      </c>
      <c r="BC189" s="252" t="n">
        <v>-0.579577622416694</v>
      </c>
      <c r="BD189" s="259" t="n"/>
      <c r="BE189" s="259" t="n"/>
      <c r="BF189" s="260" t="n"/>
    </row>
    <row r="190" ht="21" customHeight="1">
      <c r="A190" s="224" t="n"/>
      <c r="B190" s="224" t="n"/>
      <c r="C190" s="224" t="n"/>
      <c r="D190" s="221" t="n"/>
      <c r="E190" s="217" t="inlineStr">
        <is>
          <t xml:space="preserve">CHF JPY </t>
        </is>
      </c>
      <c r="F190" s="209">
        <f>(F35+F61+F88+F114+F139+F165)/60</f>
        <v/>
      </c>
      <c r="G190" s="209">
        <f>(G35+G61+G88+G114+G139+G165)/60</f>
        <v/>
      </c>
      <c r="H190" s="209">
        <f>(H35+H61+H88+H114+H139+H165)/60</f>
        <v/>
      </c>
      <c r="I190" s="209">
        <f>(I35+I61+I88+I114+I139+I165)/60</f>
        <v/>
      </c>
      <c r="J190" s="209">
        <f>(J35+J61+J88+J114+J139+J165)/60</f>
        <v/>
      </c>
      <c r="K190" s="209">
        <f>(K35+K61+K88+K114+K139+K165)/60</f>
        <v/>
      </c>
      <c r="L190" s="209">
        <f>(L35+L61+L88+L114+L139+L165)/60</f>
        <v/>
      </c>
      <c r="M190" s="209">
        <f>(M35+M61+M88+M114+M139+M165)/60</f>
        <v/>
      </c>
      <c r="N190" s="209">
        <f>(N35+N61+N88+N114+N139+N165)/60</f>
        <v/>
      </c>
      <c r="O190" s="209">
        <f>(O35+O61+O88+O114+O139+O165)/60</f>
        <v/>
      </c>
      <c r="P190" s="209">
        <f>(P35+P61+P88+P114+P139+P165)/60</f>
        <v/>
      </c>
      <c r="Q190" s="209">
        <f>(Q35+Q61+Q88+Q114+Q139+Q165)/60</f>
        <v/>
      </c>
      <c r="R190" s="209">
        <f>(R35+R61+R88+R114+R139+R165)/60</f>
        <v/>
      </c>
      <c r="S190" s="209">
        <f>(S35+S61+S88+S114+S139+S165)/60</f>
        <v/>
      </c>
      <c r="T190" s="209">
        <f>(T35+T61+T88+T114+T139+T165)/60</f>
        <v/>
      </c>
      <c r="U190" s="209">
        <f>(U35+U61+U88+U114+U139+U165)/60</f>
        <v/>
      </c>
      <c r="V190" s="209">
        <f>(V35+V61+V88+V114+V139+V165)/60</f>
        <v/>
      </c>
      <c r="W190" s="209">
        <f>(W35+W61+W88+W114+W139+W165)/60</f>
        <v/>
      </c>
      <c r="X190" s="209">
        <f>(X35+X61+X88+X114+X139+X165)/60</f>
        <v/>
      </c>
      <c r="Y190" s="209">
        <f>(Y35+Y61+Y88+Y114+Y139+Y165)/60</f>
        <v/>
      </c>
      <c r="Z190" s="209">
        <f>(Z35+Z61+Z88+Z114+Z139+Z165)/60</f>
        <v/>
      </c>
      <c r="AA190" s="209">
        <f>(AA35+AA61+AA88+AA114+AA139+AA165)/60</f>
        <v/>
      </c>
      <c r="AB190" s="209">
        <f>(AB35+AB61+AB88+AB114+AB139+AB165)/60</f>
        <v/>
      </c>
      <c r="AC190" s="209">
        <f>(AC35+AC61+AC88+AC114+AC139+AC165)/60</f>
        <v/>
      </c>
      <c r="AD190" s="209">
        <f>(AD35+AD61+AD88+AD114+AD139+AD165)/60</f>
        <v/>
      </c>
      <c r="AE190" s="209">
        <f>(AE35+AE61+AE88+AE114+AE139+AE165)/60</f>
        <v/>
      </c>
      <c r="AF190" s="209">
        <f>(AF35+AF61+AF88+AF114+AF139+AF165)/60</f>
        <v/>
      </c>
      <c r="AG190" s="209">
        <f>(AG35+AG61+AG88+AG114+AG139+AG165)/60</f>
        <v/>
      </c>
      <c r="AH190" s="209">
        <f>(AH35+AH61+AH88+AH114+AH139+AH165)/60</f>
        <v/>
      </c>
      <c r="AI190" s="209">
        <f>(AI35+AI61+AI88+AI114+AI139+AI165)/60</f>
        <v/>
      </c>
      <c r="AJ190" s="209">
        <f>(AJ35+AJ61+AJ88+AJ114+AJ139+AJ165)/60</f>
        <v/>
      </c>
      <c r="AK190" s="209">
        <f>(AK35+AK61+AK88+AK114+AK139+AK165)/60</f>
        <v/>
      </c>
      <c r="AL190" s="209">
        <f>(AL35+AL61+AL88+AL114+AL139+AL165)/60</f>
        <v/>
      </c>
      <c r="AM190" s="209">
        <f>(AM35+AM61+AM88+AM114+AM139+AM165)/60</f>
        <v/>
      </c>
      <c r="AN190" s="209">
        <f>(AN35+AN61+AN88+AN114+AN139+AN165)/60</f>
        <v/>
      </c>
      <c r="AO190" s="209">
        <f>(AO35+AO61+AO88+AO114+AO139+AO165)/60</f>
        <v/>
      </c>
      <c r="AP190" s="209">
        <f>(AP35+AP61+AP88+AP114+AP139+AP165)/60</f>
        <v/>
      </c>
      <c r="AQ190" s="209">
        <f>(AQ35+AQ61+AQ88+AQ114+AQ139+AQ165)/60</f>
        <v/>
      </c>
      <c r="AR190" s="209">
        <f>(AR35+AR61+AR88+AR114+AR139+AR165)/60</f>
        <v/>
      </c>
      <c r="AS190" s="209">
        <f>(AS35+AS61+AS88+AS114+AS139+AS165)/60</f>
        <v/>
      </c>
      <c r="AT190" s="209">
        <f>(AT35+AT61+AT88+AT114+AT139+AT165)/60</f>
        <v/>
      </c>
      <c r="AU190" s="209">
        <f>(AU35+AU61+AU88+AU114+AU139+AU165)/60</f>
        <v/>
      </c>
      <c r="AV190" s="209">
        <f>(AV35+AV61+AV88+AV114+AV139+AV165)/60</f>
        <v/>
      </c>
      <c r="AW190" s="258">
        <f>(AW35+AW61+AW88+AW114+AW139+AW165)/60</f>
        <v/>
      </c>
      <c r="AX190" s="258">
        <f>(AX35+AX61+AX88+AX114+AX139+AX165)/60</f>
        <v/>
      </c>
      <c r="AY190" s="274" t="inlineStr">
        <is>
          <t xml:space="preserve">CHF JPY </t>
        </is>
      </c>
      <c r="AZ190" s="251" t="inlineStr">
        <is>
          <t>GBP AUD</t>
        </is>
      </c>
      <c r="BA190" s="252" t="n">
        <v>0.0644084312654583</v>
      </c>
      <c r="BB190" s="252" t="n">
        <v>42.8571428571429</v>
      </c>
      <c r="BC190" s="252" t="n">
        <v>-3.64221463396838</v>
      </c>
      <c r="BD190" s="259" t="n"/>
      <c r="BE190" s="259" t="n"/>
      <c r="BF190" s="260" t="n"/>
    </row>
    <row r="191" ht="21" customHeight="1">
      <c r="A191" s="224" t="n"/>
      <c r="B191" s="224" t="n"/>
      <c r="C191" s="224" t="n"/>
      <c r="D191" s="221" t="n"/>
      <c r="E191" s="217" t="inlineStr">
        <is>
          <t>AUD USD</t>
        </is>
      </c>
      <c r="F191" s="209">
        <f>(F36+F62+F89+F115+F140+F166)/60</f>
        <v/>
      </c>
      <c r="G191" s="209">
        <f>(G36+G62+G89+G115+G140+G166)/60</f>
        <v/>
      </c>
      <c r="H191" s="209">
        <f>(H36+H62+H89+H115+H140+H166)/60</f>
        <v/>
      </c>
      <c r="I191" s="209">
        <f>(I36+I62+I89+I115+I140+I166)/60</f>
        <v/>
      </c>
      <c r="J191" s="209">
        <f>(J36+J62+J89+J115+J140+J166)/60</f>
        <v/>
      </c>
      <c r="K191" s="209">
        <f>(K36+K62+K89+K115+K140+K166)/60</f>
        <v/>
      </c>
      <c r="L191" s="209">
        <f>(L36+L62+L89+L115+L140+L166)/60</f>
        <v/>
      </c>
      <c r="M191" s="209">
        <f>(M36+M62+M89+M115+M140+M166)/60</f>
        <v/>
      </c>
      <c r="N191" s="209">
        <f>(N36+N62+N89+N115+N140+N166)/60</f>
        <v/>
      </c>
      <c r="O191" s="209">
        <f>(O36+O62+O89+O115+O140+O166)/60</f>
        <v/>
      </c>
      <c r="P191" s="209">
        <f>(P36+P62+P89+P115+P140+P166)/60</f>
        <v/>
      </c>
      <c r="Q191" s="209">
        <f>(Q36+Q62+Q89+Q115+Q140+Q166)/60</f>
        <v/>
      </c>
      <c r="R191" s="209">
        <f>(R36+R62+R89+R115+R140+R166)/60</f>
        <v/>
      </c>
      <c r="S191" s="209">
        <f>(S36+S62+S89+S115+S140+S166)/60</f>
        <v/>
      </c>
      <c r="T191" s="209">
        <f>(T36+T62+T89+T115+T140+T166)/60</f>
        <v/>
      </c>
      <c r="U191" s="209">
        <f>(U36+U62+U89+U115+U140+U166)/60</f>
        <v/>
      </c>
      <c r="V191" s="209">
        <f>(V36+V62+V89+V115+V140+V166)/60</f>
        <v/>
      </c>
      <c r="W191" s="209">
        <f>(W36+W62+W89+W115+W140+W166)/60</f>
        <v/>
      </c>
      <c r="X191" s="209">
        <f>(X36+X62+X89+X115+X140+X166)/60</f>
        <v/>
      </c>
      <c r="Y191" s="209">
        <f>(Y36+Y62+Y89+Y115+Y140+Y166)/60</f>
        <v/>
      </c>
      <c r="Z191" s="209">
        <f>(Z36+Z62+Z89+Z115+Z140+Z166)/60</f>
        <v/>
      </c>
      <c r="AA191" s="209">
        <f>(AA36+AA62+AA89+AA115+AA140+AA166)/60</f>
        <v/>
      </c>
      <c r="AB191" s="209">
        <f>(AB36+AB62+AB89+AB115+AB140+AB166)/60</f>
        <v/>
      </c>
      <c r="AC191" s="209">
        <f>(AC36+AC62+AC89+AC115+AC140+AC166)/60</f>
        <v/>
      </c>
      <c r="AD191" s="209">
        <f>(AD36+AD62+AD89+AD115+AD140+AD166)/60</f>
        <v/>
      </c>
      <c r="AE191" s="209">
        <f>(AE36+AE62+AE89+AE115+AE140+AE166)/60</f>
        <v/>
      </c>
      <c r="AF191" s="209">
        <f>(AF36+AF62+AF89+AF115+AF140+AF166)/60</f>
        <v/>
      </c>
      <c r="AG191" s="209">
        <f>(AG36+AG62+AG89+AG115+AG140+AG166)/60</f>
        <v/>
      </c>
      <c r="AH191" s="209">
        <f>(AH36+AH62+AH89+AH115+AH140+AH166)/60</f>
        <v/>
      </c>
      <c r="AI191" s="209">
        <f>(AI36+AI62+AI89+AI115+AI140+AI166)/60</f>
        <v/>
      </c>
      <c r="AJ191" s="209">
        <f>(AJ36+AJ62+AJ89+AJ115+AJ140+AJ166)/60</f>
        <v/>
      </c>
      <c r="AK191" s="209">
        <f>(AK36+AK62+AK89+AK115+AK140+AK166)/60</f>
        <v/>
      </c>
      <c r="AL191" s="209">
        <f>(AL36+AL62+AL89+AL115+AL140+AL166)/60</f>
        <v/>
      </c>
      <c r="AM191" s="209">
        <f>(AM36+AM62+AM89+AM115+AM140+AM166)/60</f>
        <v/>
      </c>
      <c r="AN191" s="209">
        <f>(AN36+AN62+AN89+AN115+AN140+AN166)/60</f>
        <v/>
      </c>
      <c r="AO191" s="209">
        <f>(AO36+AO62+AO89+AO115+AO140+AO166)/60</f>
        <v/>
      </c>
      <c r="AP191" s="209">
        <f>(AP36+AP62+AP89+AP115+AP140+AP166)/60</f>
        <v/>
      </c>
      <c r="AQ191" s="209">
        <f>(AQ36+AQ62+AQ89+AQ115+AQ140+AQ166)/60</f>
        <v/>
      </c>
      <c r="AR191" s="209">
        <f>(AR36+AR62+AR89+AR115+AR140+AR166)/60</f>
        <v/>
      </c>
      <c r="AS191" s="209">
        <f>(AS36+AS62+AS89+AS115+AS140+AS166)/60</f>
        <v/>
      </c>
      <c r="AT191" s="209">
        <f>(AT36+AT62+AT89+AT115+AT140+AT166)/60</f>
        <v/>
      </c>
      <c r="AU191" s="209">
        <f>(AU36+AU62+AU89+AU115+AU140+AU166)/60</f>
        <v/>
      </c>
      <c r="AV191" s="209">
        <f>(AV36+AV62+AV89+AV115+AV140+AV166)/60</f>
        <v/>
      </c>
      <c r="AW191" s="258">
        <f>(AW36+AW62+AW89+AW115+AW140+AW166)/60</f>
        <v/>
      </c>
      <c r="AX191" s="258">
        <f>(AX36+AX62+AX89+AX115+AX140+AX166)/60</f>
        <v/>
      </c>
      <c r="AY191" s="274" t="inlineStr">
        <is>
          <t>AUD USD</t>
        </is>
      </c>
      <c r="AZ191" s="251" t="inlineStr">
        <is>
          <t>EUR JPY</t>
        </is>
      </c>
      <c r="BA191" s="252" t="n">
        <v>-0.176169635061959</v>
      </c>
      <c r="BB191" s="252" t="n">
        <v>42.8571428571429</v>
      </c>
      <c r="BC191" s="252" t="n">
        <v>-3.84082922785607</v>
      </c>
      <c r="BD191" s="261" t="n"/>
      <c r="BE191" s="259" t="n"/>
      <c r="BF191" s="260" t="n"/>
    </row>
    <row r="192" ht="21" customHeight="1">
      <c r="A192" s="224" t="n"/>
      <c r="B192" s="224" t="n"/>
      <c r="C192" s="224" t="n"/>
      <c r="D192" s="221" t="n"/>
      <c r="E192" s="217" t="inlineStr">
        <is>
          <t>AUD CHF</t>
        </is>
      </c>
      <c r="F192" s="209">
        <f>(F37+F63+F90+F116+F141+F167)/60</f>
        <v/>
      </c>
      <c r="G192" s="209">
        <f>(G37+G63+G90+G116+G141+G167)/60</f>
        <v/>
      </c>
      <c r="H192" s="209">
        <f>(H37+H63+H90+H116+H141+H167)/60</f>
        <v/>
      </c>
      <c r="I192" s="209">
        <f>(I37+I63+I90+I116+I141+I167)/60</f>
        <v/>
      </c>
      <c r="J192" s="209">
        <f>(J37+J63+J90+J116+J141+J167)/60</f>
        <v/>
      </c>
      <c r="K192" s="209">
        <f>(K37+K63+K90+K116+K141+K167)/60</f>
        <v/>
      </c>
      <c r="L192" s="209">
        <f>(L37+L63+L90+L116+L141+L167)/60</f>
        <v/>
      </c>
      <c r="M192" s="209">
        <f>(M37+M63+M90+M116+M141+M167)/60</f>
        <v/>
      </c>
      <c r="N192" s="209">
        <f>(N37+N63+N90+N116+N141+N167)/60</f>
        <v/>
      </c>
      <c r="O192" s="209">
        <f>(O37+O63+O90+O116+O141+O167)/60</f>
        <v/>
      </c>
      <c r="P192" s="209">
        <f>(P37+P63+P90+P116+P141+P167)/60</f>
        <v/>
      </c>
      <c r="Q192" s="209">
        <f>(Q37+Q63+Q90+Q116+Q141+Q167)/60</f>
        <v/>
      </c>
      <c r="R192" s="209">
        <f>(R37+R63+R90+R116+R141+R167)/60</f>
        <v/>
      </c>
      <c r="S192" s="209">
        <f>(S37+S63+S90+S116+S141+S167)/60</f>
        <v/>
      </c>
      <c r="T192" s="209">
        <f>(T37+T63+T90+T116+T141+T167)/60</f>
        <v/>
      </c>
      <c r="U192" s="209">
        <f>(U37+U63+U90+U116+U141+U167)/60</f>
        <v/>
      </c>
      <c r="V192" s="209">
        <f>(V37+V63+V90+V116+V141+V167)/60</f>
        <v/>
      </c>
      <c r="W192" s="209">
        <f>(W37+W63+W90+W116+W141+W167)/60</f>
        <v/>
      </c>
      <c r="X192" s="209">
        <f>(X37+X63+X90+X116+X141+X167)/60</f>
        <v/>
      </c>
      <c r="Y192" s="209">
        <f>(Y37+Y63+Y90+Y116+Y141+Y167)/60</f>
        <v/>
      </c>
      <c r="Z192" s="209">
        <f>(Z37+Z63+Z90+Z116+Z141+Z167)/60</f>
        <v/>
      </c>
      <c r="AA192" s="209">
        <f>(AA37+AA63+AA90+AA116+AA141+AA167)/60</f>
        <v/>
      </c>
      <c r="AB192" s="209">
        <f>(AB37+AB63+AB90+AB116+AB141+AB167)/60</f>
        <v/>
      </c>
      <c r="AC192" s="209">
        <f>(AC37+AC63+AC90+AC116+AC141+AC167)/60</f>
        <v/>
      </c>
      <c r="AD192" s="209">
        <f>(AD37+AD63+AD90+AD116+AD141+AD167)/60</f>
        <v/>
      </c>
      <c r="AE192" s="209">
        <f>(AE37+AE63+AE90+AE116+AE141+AE167)/60</f>
        <v/>
      </c>
      <c r="AF192" s="209">
        <f>(AF37+AF63+AF90+AF116+AF141+AF167)/60</f>
        <v/>
      </c>
      <c r="AG192" s="209">
        <f>(AG37+AG63+AG90+AG116+AG141+AG167)/60</f>
        <v/>
      </c>
      <c r="AH192" s="209">
        <f>(AH37+AH63+AH90+AH116+AH141+AH167)/60</f>
        <v/>
      </c>
      <c r="AI192" s="209">
        <f>(AI37+AI63+AI90+AI116+AI141+AI167)/60</f>
        <v/>
      </c>
      <c r="AJ192" s="209">
        <f>(AJ37+AJ63+AJ90+AJ116+AJ141+AJ167)/60</f>
        <v/>
      </c>
      <c r="AK192" s="209">
        <f>(AK37+AK63+AK90+AK116+AK141+AK167)/60</f>
        <v/>
      </c>
      <c r="AL192" s="209">
        <f>(AL37+AL63+AL90+AL116+AL141+AL167)/60</f>
        <v/>
      </c>
      <c r="AM192" s="209">
        <f>(AM37+AM63+AM90+AM116+AM141+AM167)/60</f>
        <v/>
      </c>
      <c r="AN192" s="209">
        <f>(AN37+AN63+AN90+AN116+AN141+AN167)/60</f>
        <v/>
      </c>
      <c r="AO192" s="209">
        <f>(AO37+AO63+AO90+AO116+AO141+AO167)/60</f>
        <v/>
      </c>
      <c r="AP192" s="209">
        <f>(AP37+AP63+AP90+AP116+AP141+AP167)/60</f>
        <v/>
      </c>
      <c r="AQ192" s="209">
        <f>(AQ37+AQ63+AQ90+AQ116+AQ141+AQ167)/60</f>
        <v/>
      </c>
      <c r="AR192" s="209">
        <f>(AR37+AR63+AR90+AR116+AR141+AR167)/60</f>
        <v/>
      </c>
      <c r="AS192" s="209">
        <f>(AS37+AS63+AS90+AS116+AS141+AS167)/60</f>
        <v/>
      </c>
      <c r="AT192" s="209">
        <f>(AT37+AT63+AT90+AT116+AT141+AT167)/60</f>
        <v/>
      </c>
      <c r="AU192" s="209">
        <f>(AU37+AU63+AU90+AU116+AU141+AU167)/60</f>
        <v/>
      </c>
      <c r="AV192" s="209">
        <f>(AV37+AV63+AV90+AV116+AV141+AV167)/60</f>
        <v/>
      </c>
      <c r="AW192" s="258">
        <f>(AW37+AW63+AW90+AW116+AW141+AW167)/60</f>
        <v/>
      </c>
      <c r="AX192" s="258">
        <f>(AX37+AX63+AX90+AX116+AX141+AX167)/60</f>
        <v/>
      </c>
      <c r="AY192" s="274" t="inlineStr">
        <is>
          <t>AUD CHF</t>
        </is>
      </c>
      <c r="AZ192" s="251" t="inlineStr">
        <is>
          <t>GBP NZD</t>
        </is>
      </c>
      <c r="BA192" s="252" t="n">
        <v>-0.322870650756409</v>
      </c>
      <c r="BB192" s="252" t="n">
        <v>42.8571428571429</v>
      </c>
      <c r="BC192" s="252" t="n">
        <v>-4.97935131734144</v>
      </c>
      <c r="BD192" s="259" t="n"/>
      <c r="BE192" s="259" t="n"/>
      <c r="BF192" s="260" t="n"/>
    </row>
    <row r="193" ht="21" customHeight="1">
      <c r="A193" s="223" t="n">
        <v>87</v>
      </c>
      <c r="B193" s="225" t="n">
        <v>0.737</v>
      </c>
      <c r="C193" s="225" t="n">
        <v>1</v>
      </c>
      <c r="D193" s="221" t="n">
        <v>1</v>
      </c>
      <c r="E193" s="220" t="inlineStr">
        <is>
          <t>AUD JPY</t>
        </is>
      </c>
      <c r="F193" s="209">
        <f>(F38+F64+F91+F117+F142+F168)/60</f>
        <v/>
      </c>
      <c r="G193" s="209">
        <f>(G38+G64+G91+G117+G142+G168)/60</f>
        <v/>
      </c>
      <c r="H193" s="209">
        <f>(H38+H64+H91+H117+H142+H168)/60</f>
        <v/>
      </c>
      <c r="I193" s="209">
        <f>(I38+I64+I91+I117+I142+I168)/60</f>
        <v/>
      </c>
      <c r="J193" s="209">
        <f>(J38+J64+J91+J117+J142+J168)/60</f>
        <v/>
      </c>
      <c r="K193" s="209">
        <f>(K38+K64+K91+K117+K142+K168)/60</f>
        <v/>
      </c>
      <c r="L193" s="209">
        <f>(L38+L64+L91+L117+L142+L168)/60</f>
        <v/>
      </c>
      <c r="M193" s="209">
        <f>(M38+M64+M91+M117+M142+M168)/60</f>
        <v/>
      </c>
      <c r="N193" s="209">
        <f>(N38+N64+N91+N117+N142+N168)/60</f>
        <v/>
      </c>
      <c r="O193" s="209">
        <f>(O38+O64+O91+O117+O142+O168)/60</f>
        <v/>
      </c>
      <c r="P193" s="209">
        <f>(P38+P64+P91+P117+P142+P168)/60</f>
        <v/>
      </c>
      <c r="Q193" s="209">
        <f>(Q38+Q64+Q91+Q117+Q142+Q168)/60</f>
        <v/>
      </c>
      <c r="R193" s="209">
        <f>(R38+R64+R91+R117+R142+R168)/60</f>
        <v/>
      </c>
      <c r="S193" s="209">
        <f>(S38+S64+S91+S117+S142+S168)/60</f>
        <v/>
      </c>
      <c r="T193" s="209">
        <f>(T38+T64+T91+T117+T142+T168)/60</f>
        <v/>
      </c>
      <c r="U193" s="209">
        <f>(U38+U64+U91+U117+U142+U168)/60</f>
        <v/>
      </c>
      <c r="V193" s="209">
        <f>(V38+V64+V91+V117+V142+V168)/60</f>
        <v/>
      </c>
      <c r="W193" s="209">
        <f>(W38+W64+W91+W117+W142+W168)/60</f>
        <v/>
      </c>
      <c r="X193" s="209">
        <f>(X38+X64+X91+X117+X142+X168)/60</f>
        <v/>
      </c>
      <c r="Y193" s="209">
        <f>(Y38+Y64+Y91+Y117+Y142+Y168)/60</f>
        <v/>
      </c>
      <c r="Z193" s="209">
        <f>(Z38+Z64+Z91+Z117+Z142+Z168)/60</f>
        <v/>
      </c>
      <c r="AA193" s="209">
        <f>(AA38+AA64+AA91+AA117+AA142+AA168)/60</f>
        <v/>
      </c>
      <c r="AB193" s="209">
        <f>(AB38+AB64+AB91+AB117+AB142+AB168)/60</f>
        <v/>
      </c>
      <c r="AC193" s="209">
        <f>(AC38+AC64+AC91+AC117+AC142+AC168)/60</f>
        <v/>
      </c>
      <c r="AD193" s="209">
        <f>(AD38+AD64+AD91+AD117+AD142+AD168)/60</f>
        <v/>
      </c>
      <c r="AE193" s="209">
        <f>(AE38+AE64+AE91+AE117+AE142+AE168)/60</f>
        <v/>
      </c>
      <c r="AF193" s="209">
        <f>(AF38+AF64+AF91+AF117+AF142+AF168)/60</f>
        <v/>
      </c>
      <c r="AG193" s="209">
        <f>(AG38+AG64+AG91+AG117+AG142+AG168)/60</f>
        <v/>
      </c>
      <c r="AH193" s="209">
        <f>(AH38+AH64+AH91+AH117+AH142+AH168)/60</f>
        <v/>
      </c>
      <c r="AI193" s="209">
        <f>(AI38+AI64+AI91+AI117+AI142+AI168)/60</f>
        <v/>
      </c>
      <c r="AJ193" s="209">
        <f>(AJ38+AJ64+AJ91+AJ117+AJ142+AJ168)/60</f>
        <v/>
      </c>
      <c r="AK193" s="209">
        <f>(AK38+AK64+AK91+AK117+AK142+AK168)/60</f>
        <v/>
      </c>
      <c r="AL193" s="209">
        <f>(AL38+AL64+AL91+AL117+AL142+AL168)/60</f>
        <v/>
      </c>
      <c r="AM193" s="209">
        <f>(AM38+AM64+AM91+AM117+AM142+AM168)/60</f>
        <v/>
      </c>
      <c r="AN193" s="209">
        <f>(AN38+AN64+AN91+AN117+AN142+AN168)/60</f>
        <v/>
      </c>
      <c r="AO193" s="209">
        <f>(AO38+AO64+AO91+AO117+AO142+AO168)/60</f>
        <v/>
      </c>
      <c r="AP193" s="209">
        <f>(AP38+AP64+AP91+AP117+AP142+AP168)/60</f>
        <v/>
      </c>
      <c r="AQ193" s="209">
        <f>(AQ38+AQ64+AQ91+AQ117+AQ142+AQ168)/60</f>
        <v/>
      </c>
      <c r="AR193" s="209">
        <f>(AR38+AR64+AR91+AR117+AR142+AR168)/60</f>
        <v/>
      </c>
      <c r="AS193" s="209">
        <f>(AS38+AS64+AS91+AS117+AS142+AS168)/60</f>
        <v/>
      </c>
      <c r="AT193" s="209">
        <f>(AT38+AT64+AT91+AT117+AT142+AT168)/60</f>
        <v/>
      </c>
      <c r="AU193" s="209">
        <f>(AU38+AU64+AU91+AU117+AU142+AU168)/60</f>
        <v/>
      </c>
      <c r="AV193" s="209">
        <f>(AV38+AV64+AV91+AV117+AV142+AV168)/60</f>
        <v/>
      </c>
      <c r="AW193" s="258">
        <f>(AW38+AW64+AW91+AW117+AW142+AW168)/60</f>
        <v/>
      </c>
      <c r="AX193" s="258">
        <f>(AX38+AX64+AX91+AX117+AX142+AX168)/60</f>
        <v/>
      </c>
      <c r="AY193" s="274" t="inlineStr">
        <is>
          <t>AUD JPY</t>
        </is>
      </c>
      <c r="AZ193" s="251" t="inlineStr">
        <is>
          <t>EUR NZD</t>
        </is>
      </c>
      <c r="BA193" s="252" t="n">
        <v>-0.364877261467278</v>
      </c>
      <c r="BB193" s="252" t="n">
        <v>42.8571428571429</v>
      </c>
      <c r="BC193" s="252" t="n">
        <v>-7.55050296802716</v>
      </c>
      <c r="BD193" s="259" t="n"/>
      <c r="BE193" s="259" t="n"/>
      <c r="BF193" s="260" t="n"/>
    </row>
    <row r="194" ht="21" customHeight="1">
      <c r="A194" s="224" t="n"/>
      <c r="B194" s="224" t="n"/>
      <c r="C194" s="224" t="n"/>
      <c r="D194" s="9" t="n"/>
      <c r="E194" s="217" t="inlineStr">
        <is>
          <t>AUD NZD</t>
        </is>
      </c>
      <c r="F194" s="209">
        <f>(F39+F65+F92+F118+F143+F169)/60</f>
        <v/>
      </c>
      <c r="G194" s="209">
        <f>(G39+G65+G92+G118+G143+G169)/60</f>
        <v/>
      </c>
      <c r="H194" s="209">
        <f>(H39+H65+H92+H118+H143+H169)/60</f>
        <v/>
      </c>
      <c r="I194" s="209">
        <f>(I39+I65+I92+I118+I143+I169)/60</f>
        <v/>
      </c>
      <c r="J194" s="209">
        <f>(J39+J65+J92+J118+J143+J169)/60</f>
        <v/>
      </c>
      <c r="K194" s="209">
        <f>(K39+K65+K92+K118+K143+K169)/60</f>
        <v/>
      </c>
      <c r="L194" s="209">
        <f>(L39+L65+L92+L118+L143+L169)/60</f>
        <v/>
      </c>
      <c r="M194" s="209">
        <f>(M39+M65+M92+M118+M143+M169)/60</f>
        <v/>
      </c>
      <c r="N194" s="209">
        <f>(N39+N65+N92+N118+N143+N169)/60</f>
        <v/>
      </c>
      <c r="O194" s="209">
        <f>(O39+O65+O92+O118+O143+O169)/60</f>
        <v/>
      </c>
      <c r="P194" s="209">
        <f>(P39+P65+P92+P118+P143+P169)/60</f>
        <v/>
      </c>
      <c r="Q194" s="209">
        <f>(Q39+Q65+Q92+Q118+Q143+Q169)/60</f>
        <v/>
      </c>
      <c r="R194" s="209">
        <f>(R39+R65+R92+R118+R143+R169)/60</f>
        <v/>
      </c>
      <c r="S194" s="209">
        <f>(S39+S65+S92+S118+S143+S169)/60</f>
        <v/>
      </c>
      <c r="T194" s="209">
        <f>(T39+T65+T92+T118+T143+T169)/60</f>
        <v/>
      </c>
      <c r="U194" s="209">
        <f>(U39+U65+U92+U118+U143+U169)/60</f>
        <v/>
      </c>
      <c r="V194" s="209">
        <f>(V39+V65+V92+V118+V143+V169)/60</f>
        <v/>
      </c>
      <c r="W194" s="209">
        <f>(W39+W65+W92+W118+W143+W169)/60</f>
        <v/>
      </c>
      <c r="X194" s="209">
        <f>(X39+X65+X92+X118+X143+X169)/60</f>
        <v/>
      </c>
      <c r="Y194" s="209">
        <f>(Y39+Y65+Y92+Y118+Y143+Y169)/60</f>
        <v/>
      </c>
      <c r="Z194" s="209">
        <f>(Z39+Z65+Z92+Z118+Z143+Z169)/60</f>
        <v/>
      </c>
      <c r="AA194" s="209">
        <f>(AA39+AA65+AA92+AA118+AA143+AA169)/60</f>
        <v/>
      </c>
      <c r="AB194" s="209">
        <f>(AB39+AB65+AB92+AB118+AB143+AB169)/60</f>
        <v/>
      </c>
      <c r="AC194" s="209">
        <f>(AC39+AC65+AC92+AC118+AC143+AC169)/60</f>
        <v/>
      </c>
      <c r="AD194" s="209">
        <f>(AD39+AD65+AD92+AD118+AD143+AD169)/60</f>
        <v/>
      </c>
      <c r="AE194" s="209">
        <f>(AE39+AE65+AE92+AE118+AE143+AE169)/60</f>
        <v/>
      </c>
      <c r="AF194" s="209">
        <f>(AF39+AF65+AF92+AF118+AF143+AF169)/60</f>
        <v/>
      </c>
      <c r="AG194" s="209">
        <f>(AG39+AG65+AG92+AG118+AG143+AG169)/60</f>
        <v/>
      </c>
      <c r="AH194" s="209">
        <f>(AH39+AH65+AH92+AH118+AH143+AH169)/60</f>
        <v/>
      </c>
      <c r="AI194" s="209">
        <f>(AI39+AI65+AI92+AI118+AI143+AI169)/60</f>
        <v/>
      </c>
      <c r="AJ194" s="209">
        <f>(AJ39+AJ65+AJ92+AJ118+AJ143+AJ169)/60</f>
        <v/>
      </c>
      <c r="AK194" s="209">
        <f>(AK39+AK65+AK92+AK118+AK143+AK169)/60</f>
        <v/>
      </c>
      <c r="AL194" s="209">
        <f>(AL39+AL65+AL92+AL118+AL143+AL169)/60</f>
        <v/>
      </c>
      <c r="AM194" s="209">
        <f>(AM39+AM65+AM92+AM118+AM143+AM169)/60</f>
        <v/>
      </c>
      <c r="AN194" s="209">
        <f>(AN39+AN65+AN92+AN118+AN143+AN169)/60</f>
        <v/>
      </c>
      <c r="AO194" s="209">
        <f>(AO39+AO65+AO92+AO118+AO143+AO169)/60</f>
        <v/>
      </c>
      <c r="AP194" s="209">
        <f>(AP39+AP65+AP92+AP118+AP143+AP169)/60</f>
        <v/>
      </c>
      <c r="AQ194" s="209">
        <f>(AQ39+AQ65+AQ92+AQ118+AQ143+AQ169)/60</f>
        <v/>
      </c>
      <c r="AR194" s="209">
        <f>(AR39+AR65+AR92+AR118+AR143+AR169)/60</f>
        <v/>
      </c>
      <c r="AS194" s="209">
        <f>(AS39+AS65+AS92+AS118+AS143+AS169)/60</f>
        <v/>
      </c>
      <c r="AT194" s="209">
        <f>(AT39+AT65+AT92+AT118+AT143+AT169)/60</f>
        <v/>
      </c>
      <c r="AU194" s="209">
        <f>(AU39+AU65+AU92+AU118+AU143+AU169)/60</f>
        <v/>
      </c>
      <c r="AV194" s="209">
        <f>(AV39+AV65+AV92+AV118+AV143+AV169)/60</f>
        <v/>
      </c>
      <c r="AW194" s="258">
        <f>(AW39+AW65+AW92+AW118+AW143+AW169)/60</f>
        <v/>
      </c>
      <c r="AX194" s="258">
        <f>(AX39+AX65+AX92+AX118+AX143+AX169)/60</f>
        <v/>
      </c>
      <c r="AY194" s="274" t="inlineStr">
        <is>
          <t>AUD NZD</t>
        </is>
      </c>
      <c r="AZ194" s="251" t="inlineStr">
        <is>
          <t>GBP JPY</t>
        </is>
      </c>
      <c r="BA194" s="252" t="n">
        <v>0.00141929493035392</v>
      </c>
      <c r="BB194" s="252" t="n">
        <v>28.5714285714286</v>
      </c>
      <c r="BC194" s="252" t="n">
        <v>-2.47530564016985</v>
      </c>
      <c r="BD194" s="259" t="n"/>
      <c r="BE194" s="259" t="n"/>
      <c r="BF194" s="260" t="n"/>
    </row>
    <row r="195" ht="21" customHeight="1">
      <c r="A195" s="224" t="n"/>
      <c r="B195" s="224" t="n"/>
      <c r="C195" s="224" t="n"/>
      <c r="D195" s="9" t="n"/>
      <c r="E195" s="217" t="inlineStr">
        <is>
          <t>AUD CAD</t>
        </is>
      </c>
      <c r="F195" s="209">
        <f>(F40+F66+F93+F119+F144+F170)/60</f>
        <v/>
      </c>
      <c r="G195" s="209">
        <f>(G40+G66+G93+G119+G144+G170)/60</f>
        <v/>
      </c>
      <c r="H195" s="209">
        <f>(H40+H66+H93+H119+H144+H170)/60</f>
        <v/>
      </c>
      <c r="I195" s="209">
        <f>(I40+I66+I93+I119+I144+I170)/60</f>
        <v/>
      </c>
      <c r="J195" s="209">
        <f>(J40+J66+J93+J119+J144+J170)/60</f>
        <v/>
      </c>
      <c r="K195" s="209">
        <f>(K40+K66+K93+K119+K144+K170)/60</f>
        <v/>
      </c>
      <c r="L195" s="209">
        <f>(L40+L66+L93+L119+L144+L170)/60</f>
        <v/>
      </c>
      <c r="M195" s="209">
        <f>(M40+M66+M93+M119+M144+M170)/60</f>
        <v/>
      </c>
      <c r="N195" s="209">
        <f>(N40+N66+N93+N119+N144+N170)/60</f>
        <v/>
      </c>
      <c r="O195" s="209">
        <f>(O40+O66+O93+O119+O144+O170)/60</f>
        <v/>
      </c>
      <c r="P195" s="209">
        <f>(P40+P66+P93+P119+P144+P170)/60</f>
        <v/>
      </c>
      <c r="Q195" s="209">
        <f>(Q40+Q66+Q93+Q119+Q144+Q170)/60</f>
        <v/>
      </c>
      <c r="R195" s="209">
        <f>(R40+R66+R93+R119+R144+R170)/60</f>
        <v/>
      </c>
      <c r="S195" s="209">
        <f>(S40+S66+S93+S119+S144+S170)/60</f>
        <v/>
      </c>
      <c r="T195" s="209">
        <f>(T40+T66+T93+T119+T144+T170)/60</f>
        <v/>
      </c>
      <c r="U195" s="209">
        <f>(U40+U66+U93+U119+U144+U170)/60</f>
        <v/>
      </c>
      <c r="V195" s="209">
        <f>(V40+V66+V93+V119+V144+V170)/60</f>
        <v/>
      </c>
      <c r="W195" s="209">
        <f>(W40+W66+W93+W119+W144+W170)/60</f>
        <v/>
      </c>
      <c r="X195" s="209">
        <f>(X40+X66+X93+X119+X144+X170)/60</f>
        <v/>
      </c>
      <c r="Y195" s="209">
        <f>(Y40+Y66+Y93+Y119+Y144+Y170)/60</f>
        <v/>
      </c>
      <c r="Z195" s="209">
        <f>(Z40+Z66+Z93+Z119+Z144+Z170)/60</f>
        <v/>
      </c>
      <c r="AA195" s="209">
        <f>(AA40+AA66+AA93+AA119+AA144+AA170)/60</f>
        <v/>
      </c>
      <c r="AB195" s="209">
        <f>(AB40+AB66+AB93+AB119+AB144+AB170)/60</f>
        <v/>
      </c>
      <c r="AC195" s="209">
        <f>(AC40+AC66+AC93+AC119+AC144+AC170)/60</f>
        <v/>
      </c>
      <c r="AD195" s="209">
        <f>(AD40+AD66+AD93+AD119+AD144+AD170)/60</f>
        <v/>
      </c>
      <c r="AE195" s="209">
        <f>(AE40+AE66+AE93+AE119+AE144+AE170)/60</f>
        <v/>
      </c>
      <c r="AF195" s="209">
        <f>(AF40+AF66+AF93+AF119+AF144+AF170)/60</f>
        <v/>
      </c>
      <c r="AG195" s="209">
        <f>(AG40+AG66+AG93+AG119+AG144+AG170)/60</f>
        <v/>
      </c>
      <c r="AH195" s="209">
        <f>(AH40+AH66+AH93+AH119+AH144+AH170)/60</f>
        <v/>
      </c>
      <c r="AI195" s="209">
        <f>(AI40+AI66+AI93+AI119+AI144+AI170)/60</f>
        <v/>
      </c>
      <c r="AJ195" s="209">
        <f>(AJ40+AJ66+AJ93+AJ119+AJ144+AJ170)/60</f>
        <v/>
      </c>
      <c r="AK195" s="209">
        <f>(AK40+AK66+AK93+AK119+AK144+AK170)/60</f>
        <v/>
      </c>
      <c r="AL195" s="209">
        <f>(AL40+AL66+AL93+AL119+AL144+AL170)/60</f>
        <v/>
      </c>
      <c r="AM195" s="209">
        <f>(AM40+AM66+AM93+AM119+AM144+AM170)/60</f>
        <v/>
      </c>
      <c r="AN195" s="209">
        <f>(AN40+AN66+AN93+AN119+AN144+AN170)/60</f>
        <v/>
      </c>
      <c r="AO195" s="209">
        <f>(AO40+AO66+AO93+AO119+AO144+AO170)/60</f>
        <v/>
      </c>
      <c r="AP195" s="209">
        <f>(AP40+AP66+AP93+AP119+AP144+AP170)/60</f>
        <v/>
      </c>
      <c r="AQ195" s="209">
        <f>(AQ40+AQ66+AQ93+AQ119+AQ144+AQ170)/60</f>
        <v/>
      </c>
      <c r="AR195" s="209">
        <f>(AR40+AR66+AR93+AR119+AR144+AR170)/60</f>
        <v/>
      </c>
      <c r="AS195" s="209">
        <f>(AS40+AS66+AS93+AS119+AS144+AS170)/60</f>
        <v/>
      </c>
      <c r="AT195" s="209">
        <f>(AT40+AT66+AT93+AT119+AT144+AT170)/60</f>
        <v/>
      </c>
      <c r="AU195" s="209">
        <f>(AU40+AU66+AU93+AU119+AU144+AU170)/60</f>
        <v/>
      </c>
      <c r="AV195" s="209">
        <f>(AV40+AV66+AV93+AV119+AV144+AV170)/60</f>
        <v/>
      </c>
      <c r="AW195" s="258">
        <f>(AW40+AW66+AW93+AW119+AW144+AW170)/60</f>
        <v/>
      </c>
      <c r="AX195" s="258">
        <f>(AX40+AX66+AX93+AX119+AX144+AX170)/60</f>
        <v/>
      </c>
      <c r="AY195" s="274" t="inlineStr">
        <is>
          <t>AUD CAD</t>
        </is>
      </c>
      <c r="AZ195" s="251" t="inlineStr">
        <is>
          <t>CAD JPY</t>
        </is>
      </c>
      <c r="BA195" s="252" t="n">
        <v>-0.261083922062103</v>
      </c>
      <c r="BB195" s="252" t="n">
        <v>28.5714285714286</v>
      </c>
      <c r="BC195" s="252" t="n">
        <v>-5.15789187663902</v>
      </c>
      <c r="BD195" s="259" t="n"/>
      <c r="BE195" s="259" t="n"/>
      <c r="BF195" s="260" t="n"/>
    </row>
    <row r="196" ht="21" customHeight="1">
      <c r="A196" s="223" t="n">
        <v>75</v>
      </c>
      <c r="B196" s="225" t="n">
        <v>0.4</v>
      </c>
      <c r="C196" s="225" t="n">
        <v>1</v>
      </c>
      <c r="D196" s="221" t="n">
        <v>3</v>
      </c>
      <c r="E196" s="222" t="inlineStr">
        <is>
          <t>CAD JPY</t>
        </is>
      </c>
      <c r="F196" s="209">
        <f>(F41+F67+F94+F120+F145+F171)/60</f>
        <v/>
      </c>
      <c r="G196" s="209">
        <f>(G41+G67+G94+G120+G145+G171)/60</f>
        <v/>
      </c>
      <c r="H196" s="209">
        <f>(H41+H67+H94+H120+H145+H171)/60</f>
        <v/>
      </c>
      <c r="I196" s="209">
        <f>(I41+I67+I94+I120+I145+I171)/60</f>
        <v/>
      </c>
      <c r="J196" s="209">
        <f>(J41+J67+J94+J120+J145+J171)/60</f>
        <v/>
      </c>
      <c r="K196" s="209">
        <f>(K41+K67+K94+K120+K145+K171)/60</f>
        <v/>
      </c>
      <c r="L196" s="209">
        <f>(L41+L67+L94+L120+L145+L171)/60</f>
        <v/>
      </c>
      <c r="M196" s="209">
        <f>(M41+M67+M94+M120+M145+M171)/60</f>
        <v/>
      </c>
      <c r="N196" s="209">
        <f>(N41+N67+N94+N120+N145+N171)/60</f>
        <v/>
      </c>
      <c r="O196" s="209">
        <f>(O41+O67+O94+O120+O145+O171)/60</f>
        <v/>
      </c>
      <c r="P196" s="209">
        <f>(P41+P67+P94+P120+P145+P171)/60</f>
        <v/>
      </c>
      <c r="Q196" s="209">
        <f>(Q41+Q67+Q94+Q120+Q145+Q171)/60</f>
        <v/>
      </c>
      <c r="R196" s="209">
        <f>(R41+R67+R94+R120+R145+R171)/60</f>
        <v/>
      </c>
      <c r="S196" s="209">
        <f>(S41+S67+S94+S120+S145+S171)/60</f>
        <v/>
      </c>
      <c r="T196" s="209">
        <f>(T41+T67+T94+T120+T145+T171)/60</f>
        <v/>
      </c>
      <c r="U196" s="209">
        <f>(U41+U67+U94+U120+U145+U171)/60</f>
        <v/>
      </c>
      <c r="V196" s="209">
        <f>(V41+V67+V94+V120+V145+V171)/60</f>
        <v/>
      </c>
      <c r="W196" s="209">
        <f>(W41+W67+W94+W120+W145+W171)/60</f>
        <v/>
      </c>
      <c r="X196" s="209">
        <f>(X41+X67+X94+X120+X145+X171)/60</f>
        <v/>
      </c>
      <c r="Y196" s="209">
        <f>(Y41+Y67+Y94+Y120+Y145+Y171)/60</f>
        <v/>
      </c>
      <c r="Z196" s="209">
        <f>(Z41+Z67+Z94+Z120+Z145+Z171)/60</f>
        <v/>
      </c>
      <c r="AA196" s="209">
        <f>(AA41+AA67+AA94+AA120+AA145+AA171)/60</f>
        <v/>
      </c>
      <c r="AB196" s="209">
        <f>(AB41+AB67+AB94+AB120+AB145+AB171)/60</f>
        <v/>
      </c>
      <c r="AC196" s="209">
        <f>(AC41+AC67+AC94+AC120+AC145+AC171)/60</f>
        <v/>
      </c>
      <c r="AD196" s="209">
        <f>(AD41+AD67+AD94+AD120+AD145+AD171)/60</f>
        <v/>
      </c>
      <c r="AE196" s="209">
        <f>(AE41+AE67+AE94+AE120+AE145+AE171)/60</f>
        <v/>
      </c>
      <c r="AF196" s="209">
        <f>(AF41+AF67+AF94+AF120+AF145+AF171)/60</f>
        <v/>
      </c>
      <c r="AG196" s="209">
        <f>(AG41+AG67+AG94+AG120+AG145+AG171)/60</f>
        <v/>
      </c>
      <c r="AH196" s="209">
        <f>(AH41+AH67+AH94+AH120+AH145+AH171)/60</f>
        <v/>
      </c>
      <c r="AI196" s="209">
        <f>(AI41+AI67+AI94+AI120+AI145+AI171)/60</f>
        <v/>
      </c>
      <c r="AJ196" s="209">
        <f>(AJ41+AJ67+AJ94+AJ120+AJ145+AJ171)/60</f>
        <v/>
      </c>
      <c r="AK196" s="209">
        <f>(AK41+AK67+AK94+AK120+AK145+AK171)/60</f>
        <v/>
      </c>
      <c r="AL196" s="209">
        <f>(AL41+AL67+AL94+AL120+AL145+AL171)/60</f>
        <v/>
      </c>
      <c r="AM196" s="209">
        <f>(AM41+AM67+AM94+AM120+AM145+AM171)/60</f>
        <v/>
      </c>
      <c r="AN196" s="209">
        <f>(AN41+AN67+AN94+AN120+AN145+AN171)/60</f>
        <v/>
      </c>
      <c r="AO196" s="209">
        <f>(AO41+AO67+AO94+AO120+AO145+AO171)/60</f>
        <v/>
      </c>
      <c r="AP196" s="209">
        <f>(AP41+AP67+AP94+AP120+AP145+AP171)/60</f>
        <v/>
      </c>
      <c r="AQ196" s="209">
        <f>(AQ41+AQ67+AQ94+AQ120+AQ145+AQ171)/60</f>
        <v/>
      </c>
      <c r="AR196" s="209">
        <f>(AR41+AR67+AR94+AR120+AR145+AR171)/60</f>
        <v/>
      </c>
      <c r="AS196" s="209">
        <f>(AS41+AS67+AS94+AS120+AS145+AS171)/60</f>
        <v/>
      </c>
      <c r="AT196" s="209">
        <f>(AT41+AT67+AT94+AT120+AT145+AT171)/60</f>
        <v/>
      </c>
      <c r="AU196" s="209">
        <f>(AU41+AU67+AU94+AU120+AU145+AU171)/60</f>
        <v/>
      </c>
      <c r="AV196" s="209">
        <f>(AV41+AV67+AV94+AV120+AV145+AV171)/60</f>
        <v/>
      </c>
      <c r="AW196" s="258">
        <f>(AW41+AW67+AW94+AW120+AW145+AW171)/60</f>
        <v/>
      </c>
      <c r="AX196" s="258">
        <f>(AX41+AX67+AX94+AX120+AX145+AX171)/60</f>
        <v/>
      </c>
      <c r="AY196" s="274" t="inlineStr">
        <is>
          <t>CAD JPY</t>
        </is>
      </c>
      <c r="AZ196" s="251" t="inlineStr">
        <is>
          <t>EUR CAD</t>
        </is>
      </c>
      <c r="BA196" s="252" t="n">
        <v>-0.267100067573551</v>
      </c>
      <c r="BB196" s="252" t="n">
        <v>28.5714285714286</v>
      </c>
      <c r="BC196" s="252" t="n">
        <v>-1.67672162232166</v>
      </c>
      <c r="BD196" s="259" t="n"/>
      <c r="BE196" s="259" t="n"/>
      <c r="BF196" s="260" t="n"/>
    </row>
    <row r="197">
      <c r="AQ197" s="255" t="n"/>
      <c r="AZ197" s="251" t="inlineStr">
        <is>
          <t>AUD USD</t>
        </is>
      </c>
      <c r="BA197" s="252" t="n">
        <v>-0.339405190700078</v>
      </c>
      <c r="BB197" s="252" t="n">
        <v>28.5714285714286</v>
      </c>
      <c r="BC197" s="252" t="n">
        <v>-7.48368054531177</v>
      </c>
    </row>
    <row r="198">
      <c r="AQ198" s="255" t="n"/>
    </row>
    <row r="199">
      <c r="AW199" s="272" t="n"/>
      <c r="AX199" s="272" t="n"/>
    </row>
    <row r="200">
      <c r="AW200" s="272" t="n"/>
      <c r="AX200" s="272" t="n"/>
    </row>
    <row r="201">
      <c r="AW201" s="272" t="n"/>
      <c r="AX201" s="272" t="n"/>
    </row>
    <row r="202">
      <c r="AW202" s="272" t="n"/>
      <c r="AX202" s="272" t="n"/>
    </row>
    <row r="203">
      <c r="AW203" s="272" t="n"/>
      <c r="AX203" s="272" t="n"/>
    </row>
    <row r="204">
      <c r="AW204" s="272" t="n"/>
      <c r="AX204" s="272" t="n"/>
    </row>
    <row r="205">
      <c r="AW205" s="272" t="n"/>
      <c r="AX205" s="272" t="n"/>
    </row>
    <row r="206">
      <c r="AW206" s="272" t="n"/>
      <c r="AX206" s="272" t="n"/>
    </row>
    <row r="207">
      <c r="AW207" s="272" t="n"/>
      <c r="AX207" s="272" t="n"/>
    </row>
    <row r="208">
      <c r="AW208" s="272" t="n"/>
      <c r="AX208" s="272" t="n"/>
    </row>
    <row r="209">
      <c r="AW209" s="272" t="n"/>
      <c r="AX209" s="272" t="n"/>
    </row>
    <row r="210">
      <c r="AW210" s="272" t="n"/>
      <c r="AX210" s="272" t="n"/>
    </row>
    <row r="211">
      <c r="AW211" s="272" t="n"/>
      <c r="AX211" s="272" t="n"/>
    </row>
    <row r="212">
      <c r="AW212" s="272" t="n"/>
      <c r="AX212" s="272" t="n"/>
    </row>
    <row r="213">
      <c r="AW213" s="272" t="n"/>
      <c r="AX213" s="272" t="n"/>
    </row>
    <row r="214">
      <c r="AW214" s="272" t="n"/>
      <c r="AX214" s="272" t="n"/>
    </row>
    <row r="215">
      <c r="AW215" s="272" t="n"/>
      <c r="AX215" s="272" t="n"/>
    </row>
    <row r="216">
      <c r="AW216" s="272" t="n"/>
      <c r="AX216" s="272" t="n"/>
    </row>
    <row r="217">
      <c r="AW217" s="272" t="n"/>
      <c r="AX217" s="272" t="n"/>
    </row>
    <row r="218">
      <c r="AW218" s="272" t="n"/>
      <c r="AX218" s="272" t="n"/>
    </row>
    <row r="219">
      <c r="AW219" s="272" t="n"/>
      <c r="AX219" s="272" t="n"/>
    </row>
    <row r="220">
      <c r="AW220" s="272" t="n"/>
      <c r="AX220" s="272" t="n"/>
    </row>
    <row r="221">
      <c r="AW221" s="272" t="n"/>
      <c r="AX221" s="272" t="n"/>
    </row>
  </sheetData>
  <mergeCells count="3">
    <mergeCell ref="BB172:BC172"/>
    <mergeCell ref="AZ172:BA172"/>
    <mergeCell ref="BD172:BE172"/>
  </mergeCells>
  <conditionalFormatting sqref="F174:AX19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174">
    <cfRule type="colorScale" priority="20">
      <colorScale>
        <cfvo type="min"/>
        <cfvo type="max"/>
        <color rgb="FFFFEF9C"/>
        <color rgb="FF63BE7B"/>
      </colorScale>
    </cfRule>
  </conditionalFormatting>
  <conditionalFormatting sqref="AZ183">
    <cfRule type="colorScale" priority="8">
      <colorScale>
        <cfvo type="min"/>
        <cfvo type="max"/>
        <color rgb="FFFFEF9C"/>
        <color rgb="FF63BE7B"/>
      </colorScale>
    </cfRule>
  </conditionalFormatting>
  <conditionalFormatting sqref="AZ185">
    <cfRule type="colorScale" priority="4">
      <colorScale>
        <cfvo type="min"/>
        <cfvo type="max"/>
        <color rgb="FFFFEF9C"/>
        <color rgb="FF63BE7B"/>
      </colorScale>
    </cfRule>
  </conditionalFormatting>
  <conditionalFormatting sqref="BA174">
    <cfRule type="colorScale" priority="19">
      <colorScale>
        <cfvo type="min"/>
        <cfvo type="max"/>
        <color rgb="FFFFEF9C"/>
        <color rgb="FF63BE7B"/>
      </colorScale>
    </cfRule>
  </conditionalFormatting>
  <conditionalFormatting sqref="BA183">
    <cfRule type="colorScale" priority="7">
      <colorScale>
        <cfvo type="min"/>
        <cfvo type="max"/>
        <color rgb="FFFFEF9C"/>
        <color rgb="FF63BE7B"/>
      </colorScale>
    </cfRule>
  </conditionalFormatting>
  <conditionalFormatting sqref="BA185">
    <cfRule type="colorScale" priority="3">
      <colorScale>
        <cfvo type="min"/>
        <cfvo type="max"/>
        <color rgb="FFFFEF9C"/>
        <color rgb="FF63BE7B"/>
      </colorScale>
    </cfRule>
  </conditionalFormatting>
  <conditionalFormatting sqref="BB174">
    <cfRule type="colorScale" priority="18">
      <colorScale>
        <cfvo type="min"/>
        <cfvo type="max"/>
        <color rgb="FFFFEF9C"/>
        <color rgb="FF63BE7B"/>
      </colorScale>
    </cfRule>
  </conditionalFormatting>
  <conditionalFormatting sqref="BB183">
    <cfRule type="colorScale" priority="6">
      <colorScale>
        <cfvo type="min"/>
        <cfvo type="max"/>
        <color rgb="FFFFEF9C"/>
        <color rgb="FF63BE7B"/>
      </colorScale>
    </cfRule>
  </conditionalFormatting>
  <conditionalFormatting sqref="BB185">
    <cfRule type="colorScale" priority="2">
      <colorScale>
        <cfvo type="min"/>
        <cfvo type="max"/>
        <color rgb="FFFFEF9C"/>
        <color rgb="FF63BE7B"/>
      </colorScale>
    </cfRule>
  </conditionalFormatting>
  <conditionalFormatting sqref="BC174">
    <cfRule type="colorScale" priority="17">
      <colorScale>
        <cfvo type="min"/>
        <cfvo type="max"/>
        <color rgb="FFFFEF9C"/>
        <color rgb="FF63BE7B"/>
      </colorScale>
    </cfRule>
  </conditionalFormatting>
  <conditionalFormatting sqref="BC183">
    <cfRule type="colorScale" priority="5">
      <colorScale>
        <cfvo type="min"/>
        <cfvo type="max"/>
        <color rgb="FFFFEF9C"/>
        <color rgb="FF63BE7B"/>
      </colorScale>
    </cfRule>
  </conditionalFormatting>
  <conditionalFormatting sqref="BC18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10" t="inlineStr">
        <is>
          <t>OECD Current Account Balance (% of GDP) - Official Quarterly SDMX 3.0 Series</t>
        </is>
      </c>
    </row>
    <row r="3">
      <c r="A3" s="311" t="inlineStr">
        <is>
          <t>Country / Reference Area</t>
        </is>
      </c>
      <c r="B3" s="312" t="inlineStr">
        <is>
          <t>2023-Q1</t>
        </is>
      </c>
      <c r="C3" s="312" t="inlineStr">
        <is>
          <t>2023-Q2</t>
        </is>
      </c>
      <c r="D3" s="312" t="inlineStr">
        <is>
          <t>2023-Q3</t>
        </is>
      </c>
      <c r="E3" s="312" t="inlineStr">
        <is>
          <t>2023-Q4</t>
        </is>
      </c>
      <c r="F3" s="312" t="inlineStr">
        <is>
          <t>2024-Q1</t>
        </is>
      </c>
      <c r="G3" s="312" t="inlineStr">
        <is>
          <t>2024-Q2</t>
        </is>
      </c>
      <c r="H3" s="312" t="inlineStr">
        <is>
          <t>2024-Q3</t>
        </is>
      </c>
      <c r="I3" s="312" t="inlineStr">
        <is>
          <t>2024-Q4</t>
        </is>
      </c>
      <c r="J3" s="312" t="inlineStr">
        <is>
          <t>2025-Q1</t>
        </is>
      </c>
      <c r="K3" s="312" t="inlineStr">
        <is>
          <t>2025-Q2</t>
        </is>
      </c>
      <c r="L3" s="312" t="inlineStr">
        <is>
          <t>2025-Q3</t>
        </is>
      </c>
      <c r="M3" s="312" t="inlineStr">
        <is>
          <t>2025-Q4</t>
        </is>
      </c>
      <c r="N3" s="312" t="inlineStr">
        <is>
          <t>2026-Q1</t>
        </is>
      </c>
      <c r="O3" s="312" t="inlineStr">
        <is>
          <t>2026-Q2</t>
        </is>
      </c>
    </row>
    <row r="4">
      <c r="A4" s="313" t="inlineStr">
        <is>
          <t>Australia</t>
        </is>
      </c>
      <c r="B4" s="319" t="n">
        <v>0.5178161</v>
      </c>
      <c r="C4" s="319" t="n">
        <v>-0.2283273</v>
      </c>
      <c r="D4" s="319" t="n">
        <v>-1.40563</v>
      </c>
      <c r="E4" s="319" t="n">
        <v>-0.2746948</v>
      </c>
      <c r="F4" s="319" t="n">
        <v>-1.318746</v>
      </c>
      <c r="G4" s="319" t="n">
        <v>-2.394648</v>
      </c>
      <c r="H4" s="319" t="n">
        <v>-2.472772</v>
      </c>
      <c r="I4" s="319" t="n">
        <v>-2.611136</v>
      </c>
      <c r="J4" s="319" t="n">
        <v>-2.264893</v>
      </c>
      <c r="K4" s="319" t="n">
        <v>-2.380304</v>
      </c>
      <c r="L4" s="319" t="n">
        <v>-2.648238</v>
      </c>
      <c r="M4" s="319" t="n">
        <v>-3.106944</v>
      </c>
      <c r="N4" s="319" t="n">
        <v>-3.453962</v>
      </c>
      <c r="O4" s="319" t="n">
        <v>-3.665983</v>
      </c>
    </row>
    <row r="5">
      <c r="A5" s="313" t="inlineStr">
        <is>
          <t>Canada</t>
        </is>
      </c>
      <c r="B5" s="319" t="n">
        <v>-0.9103057</v>
      </c>
      <c r="C5" s="319" t="n">
        <v>-0.7758245</v>
      </c>
      <c r="D5" s="319" t="n">
        <v>-0.7987552999999999</v>
      </c>
      <c r="E5" s="319" t="n">
        <v>-0.2814779</v>
      </c>
      <c r="F5" s="319" t="n">
        <v>-0.7692237</v>
      </c>
      <c r="G5" s="319" t="n">
        <v>-0.4802992</v>
      </c>
      <c r="H5" s="319" t="n">
        <v>-0.5910502</v>
      </c>
      <c r="I5" s="319" t="n">
        <v>-0.1004742</v>
      </c>
      <c r="J5" s="319" t="n">
        <v>-0.3616118</v>
      </c>
      <c r="K5" s="319" t="n">
        <v>-2.715445</v>
      </c>
      <c r="L5" s="319" t="n">
        <v>-0.6209641</v>
      </c>
      <c r="M5" s="319" t="n">
        <v>-0.1228772</v>
      </c>
      <c r="N5" s="319" t="n">
        <v>-0.9986504</v>
      </c>
      <c r="O5" s="319" t="n">
        <v>1.028123</v>
      </c>
    </row>
    <row r="6">
      <c r="A6" s="313" t="inlineStr">
        <is>
          <t>Japan</t>
        </is>
      </c>
      <c r="B6" s="319" t="n">
        <v>2.198734</v>
      </c>
      <c r="C6" s="319" t="n">
        <v>3.925856</v>
      </c>
      <c r="D6" s="319" t="n">
        <v>4.356519</v>
      </c>
      <c r="E6" s="319" t="n">
        <v>4.297242</v>
      </c>
      <c r="F6" s="319" t="n">
        <v>4.324823</v>
      </c>
      <c r="G6" s="319" t="n">
        <v>4.471209</v>
      </c>
      <c r="H6" s="319" t="n">
        <v>4.842206</v>
      </c>
      <c r="I6" s="319" t="n">
        <v>4.697466</v>
      </c>
      <c r="J6" s="319" t="n">
        <v>4.628131</v>
      </c>
      <c r="K6" s="319" t="n">
        <v>4.412066</v>
      </c>
      <c r="L6" s="319" t="n">
        <v>5.328309</v>
      </c>
      <c r="M6" s="319" t="n">
        <v>4.902074</v>
      </c>
      <c r="N6" s="319" t="n">
        <v>5.809678</v>
      </c>
      <c r="O6" s="319" t="n">
        <v>5.033247</v>
      </c>
    </row>
    <row r="7">
      <c r="A7" s="313" t="inlineStr">
        <is>
          <t>Switzerland</t>
        </is>
      </c>
      <c r="B7" s="319" t="n">
        <v>5.051963</v>
      </c>
      <c r="C7" s="319" t="n">
        <v>6.851121</v>
      </c>
      <c r="D7" s="319" t="n">
        <v>7.81084</v>
      </c>
      <c r="E7" s="319" t="n">
        <v>3.0269</v>
      </c>
      <c r="F7" s="319" t="n">
        <v>11.87226</v>
      </c>
      <c r="G7" s="319" t="n">
        <v>11.46023</v>
      </c>
      <c r="H7" s="319" t="n">
        <v>3.415149</v>
      </c>
      <c r="I7" s="319" t="n">
        <v>9.550939</v>
      </c>
      <c r="J7" s="319" t="n">
        <v>15.59482</v>
      </c>
      <c r="K7" s="319" t="n">
        <v>3.399356</v>
      </c>
      <c r="L7" s="319" t="n">
        <v>4.245384</v>
      </c>
      <c r="M7" s="319" t="n">
        <v>0.1449953</v>
      </c>
      <c r="N7" s="319" t="n">
        <v>10.02279</v>
      </c>
      <c r="O7" s="319" t="n">
        <v>9.198192000000001</v>
      </c>
    </row>
    <row r="8">
      <c r="A8" s="313" t="inlineStr">
        <is>
          <t>New Zealand</t>
        </is>
      </c>
      <c r="B8" s="319" t="n">
        <v>-7.207618</v>
      </c>
      <c r="C8" s="319" t="n">
        <v>-5.753605</v>
      </c>
      <c r="D8" s="319" t="n">
        <v>-5.886574</v>
      </c>
      <c r="E8" s="319" t="n">
        <v>-5.338708</v>
      </c>
      <c r="F8" s="319" t="n">
        <v>-5.368975</v>
      </c>
      <c r="G8" s="319" t="n">
        <v>-5.430479</v>
      </c>
      <c r="H8" s="319" t="n">
        <v>-4.83238</v>
      </c>
      <c r="I8" s="319" t="n">
        <v>-4.003401</v>
      </c>
      <c r="J8" s="319" t="n">
        <v>-3.545576</v>
      </c>
      <c r="K8" s="319" t="n">
        <v>-2.391005</v>
      </c>
      <c r="L8" s="319" t="n">
        <v>-2.354201</v>
      </c>
      <c r="M8" s="319" t="n">
        <v>-3.647876</v>
      </c>
      <c r="N8" s="319" t="n">
        <v>-3.849324</v>
      </c>
      <c r="O8" s="319" t="n">
        <v>-3.255669</v>
      </c>
    </row>
    <row r="9">
      <c r="A9" s="313" t="inlineStr">
        <is>
          <t>United Kingdom</t>
        </is>
      </c>
      <c r="B9" s="319" t="n">
        <v>-2.913895</v>
      </c>
      <c r="C9" s="319" t="n">
        <v>-5.029161</v>
      </c>
      <c r="D9" s="319" t="n">
        <v>-2.271199</v>
      </c>
      <c r="E9" s="319" t="n">
        <v>-4.062315</v>
      </c>
      <c r="F9" s="319" t="n">
        <v>-2.972881</v>
      </c>
      <c r="G9" s="319" t="n">
        <v>-3.261572</v>
      </c>
      <c r="H9" s="319" t="n">
        <v>-1.932302</v>
      </c>
      <c r="I9" s="319" t="n">
        <v>-3.654375</v>
      </c>
      <c r="J9" s="319" t="n">
        <v>-3.101889</v>
      </c>
      <c r="K9" s="319" t="n">
        <v>-3.238587</v>
      </c>
      <c r="L9" s="319" t="n">
        <v>-2.634263</v>
      </c>
      <c r="M9" s="319" t="n">
        <v>-3.541209</v>
      </c>
      <c r="N9" s="319" t="n">
        <v>-2.835533</v>
      </c>
      <c r="O9" s="315" t="inlineStr"/>
    </row>
    <row r="10">
      <c r="A10" s="313" t="inlineStr">
        <is>
          <t>United States</t>
        </is>
      </c>
      <c r="B10" s="319" t="n">
        <v>-3.276534</v>
      </c>
      <c r="C10" s="319" t="n">
        <v>-3.371748</v>
      </c>
      <c r="D10" s="319" t="n">
        <v>-3.181111</v>
      </c>
      <c r="E10" s="319" t="n">
        <v>-3.561928</v>
      </c>
      <c r="F10" s="319" t="n">
        <v>-3.606222</v>
      </c>
      <c r="G10" s="319" t="n">
        <v>-3.882617</v>
      </c>
      <c r="H10" s="319" t="n">
        <v>-4.48155</v>
      </c>
      <c r="I10" s="319" t="n">
        <v>-4.375336</v>
      </c>
      <c r="J10" s="319" t="n">
        <v>-5.834996</v>
      </c>
      <c r="K10" s="319" t="n">
        <v>-3.344384</v>
      </c>
      <c r="L10" s="319" t="n">
        <v>-3.381205</v>
      </c>
      <c r="M10" s="319" t="n">
        <v>-2.814096</v>
      </c>
      <c r="N10" s="319" t="n">
        <v>-2.668661</v>
      </c>
      <c r="O10" s="319" t="n">
        <v>-3.029274</v>
      </c>
    </row>
    <row r="11">
      <c r="A11" s="313" t="inlineStr">
        <is>
          <t>EURO AREA</t>
        </is>
      </c>
      <c r="B11" s="319" t="n">
        <v>0.9049218999999999</v>
      </c>
      <c r="C11" s="319" t="n">
        <v>1.469623</v>
      </c>
      <c r="D11" s="319" t="n">
        <v>1.854201</v>
      </c>
      <c r="E11" s="319" t="n">
        <v>2.415108</v>
      </c>
      <c r="F11" s="319" t="n">
        <v>2.868217</v>
      </c>
      <c r="G11" s="319" t="n">
        <v>3.068143</v>
      </c>
      <c r="H11" s="319" t="n">
        <v>2.158417</v>
      </c>
      <c r="I11" s="319" t="n">
        <v>2.027561</v>
      </c>
      <c r="J11" s="319" t="n">
        <v>1.647232</v>
      </c>
      <c r="K11" s="319" t="n">
        <v>1.952547</v>
      </c>
      <c r="L11" s="319" t="n">
        <v>1.41954</v>
      </c>
      <c r="M11" s="319" t="n">
        <v>1.554832</v>
      </c>
      <c r="N11" s="319" t="n">
        <v>1.917209</v>
      </c>
      <c r="O11" s="315" t="inlineStr"/>
    </row>
    <row r="15">
      <c r="A15" s="316" t="inlineStr">
        <is>
          <t>United States - OECD Data Explorer Portal Verification (Last 5 Quarters):</t>
        </is>
      </c>
    </row>
    <row r="16">
      <c r="A16" s="317" t="inlineStr">
        <is>
          <t>Time period</t>
        </is>
      </c>
      <c r="B16" s="317" t="inlineStr">
        <is>
          <t>Current account (% of GDP)</t>
        </is>
      </c>
    </row>
    <row r="17">
      <c r="A17" s="313" t="inlineStr">
        <is>
          <t>2025-Q2</t>
        </is>
      </c>
      <c r="B17" s="320" t="n">
        <v>-3.344384</v>
      </c>
    </row>
    <row r="18">
      <c r="A18" s="313" t="inlineStr">
        <is>
          <t>2025-Q3</t>
        </is>
      </c>
      <c r="B18" s="320" t="n">
        <v>-3.381205</v>
      </c>
    </row>
    <row r="19">
      <c r="A19" s="313" t="inlineStr">
        <is>
          <t>2025-Q4</t>
        </is>
      </c>
      <c r="B19" s="320" t="n">
        <v>-2.814096</v>
      </c>
    </row>
    <row r="20">
      <c r="A20" s="313" t="inlineStr">
        <is>
          <t>2026-Q1</t>
        </is>
      </c>
      <c r="B20" s="320" t="n">
        <v>-2.668661</v>
      </c>
    </row>
    <row r="21">
      <c r="A21" s="313" t="inlineStr">
        <is>
          <t>2026-Q2</t>
        </is>
      </c>
      <c r="B21" s="320" t="n">
        <v>-3.029274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2026-09-27T17:41:08Z</dcterms:modified>
  <cp:lastPrinted>2026-04-12T12:40:53Z</cp:lastPrinted>
</cp:coreProperties>
</file>